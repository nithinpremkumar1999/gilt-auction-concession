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2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6.xml" ContentType="application/vnd.openxmlformats-officedocument.spreadsheetml.comments+xml"/>
  <Override PartName="/xl/comments1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1 M1" sheetId="2" state="visible" r:id="rId4"/>
    <sheet name="A1 M1b" sheetId="3" state="visible" r:id="rId5"/>
    <sheet name="A1 control" sheetId="4" state="visible" r:id="rId6"/>
    <sheet name="A1 M2" sheetId="5" state="visible" r:id="rId7"/>
    <sheet name="A2 M1" sheetId="6" state="visible" r:id="rId8"/>
    <sheet name="A2 M1b" sheetId="7" state="visible" r:id="rId9"/>
    <sheet name="A2 control" sheetId="8" state="visible" r:id="rId10"/>
    <sheet name="A2 M2" sheetId="9" state="visible" r:id="rId11"/>
    <sheet name="A3 M1" sheetId="10" state="visible" r:id="rId12"/>
    <sheet name="A3 M1b" sheetId="11" state="visible" r:id="rId13"/>
    <sheet name="A3 control" sheetId="12" state="visible" r:id="rId14"/>
    <sheet name="A3 M2" sheetId="13" state="visible" r:id="rId15"/>
    <sheet name="A4 M1" sheetId="14" state="visible" r:id="rId16"/>
    <sheet name="A4 M1b" sheetId="15" state="visible" r:id="rId17"/>
    <sheet name="A4 control" sheetId="16" state="visible" r:id="rId18"/>
    <sheet name="A4 M2" sheetId="17" state="visible" r:id="rId19"/>
    <sheet name="A5 M1" sheetId="18" state="visible" r:id="rId20"/>
    <sheet name="A5 M1b" sheetId="19" state="visible" r:id="rId21"/>
    <sheet name="A5 control" sheetId="20" state="visible" r:id="rId22"/>
    <sheet name="A5 M2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4" authorId="0">
      <text>
        <r>
          <rPr>
            <sz val="10"/>
            <rFont val="Arial"/>
            <family val="2"/>
          </rPr>
          <t xml:space="preserve">Solved in Python: the semi-annual GRY at which gilt_price() reproduces the curve dirty price (brentq). The two rows below re-price it here with the GRY formula to show it does.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4" authorId="0">
      <text>
        <r>
          <rPr>
            <sz val="10"/>
            <rFont val="Arial"/>
            <family val="2"/>
          </rPr>
          <t xml:space="preserve">Solved in Python: the semi-annual GRY at which gilt_price() reproduces the curve dirty price (brentq). The two rows below re-price it here with the GRY formula to show it does.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4" authorId="0">
      <text>
        <r>
          <rPr>
            <sz val="10"/>
            <rFont val="Arial"/>
            <family val="2"/>
          </rPr>
          <t xml:space="preserve">Solved in Python: the semi-annual GRY at which gilt_price() reproduces the curve dirty price (brentq). The two rows below re-price it here with the GRY formula to show it does.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6" authorId="0">
      <text>
        <r>
          <rPr>
            <sz val="10"/>
            <rFont val="Arial"/>
            <family val="2"/>
          </rPr>
          <t xml:space="preserve">Solved in Python: the semi-annual GRY at which gilt_price() reproduces the curve dirty price (brentq). The two rows below re-price it here with the GRY formula to show it does.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3" authorId="0">
      <text>
        <r>
          <rPr>
            <sz val="10"/>
            <rFont val="Arial"/>
            <family val="2"/>
          </rPr>
          <t xml:space="preserve">Solved in Python: the semi-annual GRY at which gilt_price() reproduces the curve dirty price (brentq). The two rows below re-price it here with the GRY formula to show it does.</t>
        </r>
      </text>
    </comment>
  </commentList>
</comments>
</file>

<file path=xl/sharedStrings.xml><?xml version="1.0" encoding="utf-8"?>
<sst xmlns="http://schemas.openxmlformats.org/spreadsheetml/2006/main" count="917" uniqueCount="246">
  <si>
    <t xml:space="preserve">Stage 4 hand check: five auctions, every intermediate value of M1, M1b and M2</t>
  </si>
  <si>
    <t xml:space="preserve">Blue cells: inputs from the build (cash flows, spline z(t), model yields, DMO yields, BoE curve points).</t>
  </si>
  <si>
    <t xml:space="preserve">Black cells: live formulas. Green cells: links to another sheet. Yellow: the results to check.</t>
  </si>
  <si>
    <t xml:space="preserve">Each sheet ends with the Python result next to the spreadsheet's own, so the two can be compared.</t>
  </si>
  <si>
    <t xml:space="preserve">Definitions: build spec §7 and src/gilt_study/measures.py. Event days k are UK business days (= BoE curve dates).</t>
  </si>
  <si>
    <t xml:space="preserve">M1 = 100·(AAY - model yield off the T-1 curve, for the auction settlement date).</t>
  </si>
  <si>
    <t xml:space="preserve">M1b = M1 - mean residual over T-25..T-6 (days within 5 business days of an earlier auction of the gilt excluded; ≥ 10 days).</t>
  </si>
  <si>
    <t xml:space="preserve">M2: AR = Δy - β·Δc with β = SLOPE over k = -120..-21; CAR = 0 at T-6.</t>
  </si>
  <si>
    <t xml:space="preserve">Slot</t>
  </si>
  <si>
    <t xml:space="preserve">Auction</t>
  </si>
  <si>
    <t xml:space="preserve">Gilt</t>
  </si>
  <si>
    <t xml:space="preserve">Bucket</t>
  </si>
  <si>
    <t xml:space="preserve">Regime</t>
  </si>
  <si>
    <t xml:space="preserve">New issue</t>
  </si>
  <si>
    <t xml:space="preserve">Sheets</t>
  </si>
  <si>
    <t xml:space="preserve">short</t>
  </si>
  <si>
    <t xml:space="preserve">1¼% Treasury Gilt 2018</t>
  </si>
  <si>
    <t xml:space="preserve">QE</t>
  </si>
  <si>
    <t xml:space="preserve">A1 M1 / M1b / M2 / control</t>
  </si>
  <si>
    <t xml:space="preserve">medium</t>
  </si>
  <si>
    <t xml:space="preserve">3¾% Treasury Gilt 2020</t>
  </si>
  <si>
    <t xml:space="preserve">A2 M1 / M1b / M2 / control</t>
  </si>
  <si>
    <t xml:space="preserve">long</t>
  </si>
  <si>
    <t xml:space="preserve">4¼% Treasury Stock 2032</t>
  </si>
  <si>
    <t xml:space="preserve">A3 M1 / M1b / M2 / control</t>
  </si>
  <si>
    <t xml:space="preserve">new issue</t>
  </si>
  <si>
    <t xml:space="preserve">1 5/8% Treasury Gilt 2028</t>
  </si>
  <si>
    <t xml:space="preserve">A4 M1 / M1b / M2 / control</t>
  </si>
  <si>
    <t xml:space="preserve">Sept-Oct 2022</t>
  </si>
  <si>
    <t xml:space="preserve">0½% Treasury Gilt 2061</t>
  </si>
  <si>
    <t xml:space="preserve">LDI stress</t>
  </si>
  <si>
    <t xml:space="preserve">A5 M1 / M1b / M2 / control</t>
  </si>
  <si>
    <t xml:space="preserve">A1: 1¼% Treasury Gilt 2018, auction 06 Aug 2013 - M1 (spec §7)</t>
  </si>
  <si>
    <t xml:space="preserve">Auction date</t>
  </si>
  <si>
    <t xml:space="preserve">Settlement date (DMO issue date)</t>
  </si>
  <si>
    <t xml:space="preserve">Effective settlement (first issue date if later, decision #10)</t>
  </si>
  <si>
    <t xml:space="preserve">Curve date (T-1 close)</t>
  </si>
  <si>
    <t xml:space="preserve">Coupon (% p.a.)</t>
  </si>
  <si>
    <t xml:space="preserve">Maturity</t>
  </si>
  <si>
    <t xml:space="preserve">First issue date</t>
  </si>
  <si>
    <t xml:space="preserve">First coupon date (source below)</t>
  </si>
  <si>
    <t xml:space="preserve">First coupon source</t>
  </si>
  <si>
    <t xml:space="preserve">DMO reference prices (accrued interest)</t>
  </si>
  <si>
    <t xml:space="preserve">Accrued interest at settlement (cash_flows)</t>
  </si>
  <si>
    <t xml:space="preserve">Average accepted yield, AAY (% , D2.1A)</t>
  </si>
  <si>
    <t xml:space="preserve">Curve: last maturity T (y)</t>
  </si>
  <si>
    <t xml:space="preserve">Curve: z(T) (%)</t>
  </si>
  <si>
    <t xml:space="preserve">Curve: BoE forward f(T) (%)</t>
  </si>
  <si>
    <t xml:space="preserve">Cash flow date</t>
  </si>
  <si>
    <t xml:space="preserve">Amount per £100</t>
  </si>
  <si>
    <t xml:space="preserve">t = days/365.25</t>
  </si>
  <si>
    <t xml:space="preserve">z(t) % (spline; flat fwd beyond T)</t>
  </si>
  <si>
    <t xml:space="preserve">DF = exp(-z/100·t)</t>
  </si>
  <si>
    <t xml:space="preserve">PV = amount·DF</t>
  </si>
  <si>
    <t xml:space="preserve">Exponent (semi-annual periods)</t>
  </si>
  <si>
    <t xml:space="preserve">v^exponent at model yield</t>
  </si>
  <si>
    <t xml:space="preserve">PV at model yield</t>
  </si>
  <si>
    <t xml:space="preserve">BoE point below</t>
  </si>
  <si>
    <t xml:space="preserve">z below</t>
  </si>
  <si>
    <t xml:space="preserve">BoE point above</t>
  </si>
  <si>
    <t xml:space="preserve">z above</t>
  </si>
  <si>
    <t xml:space="preserve">Linear interp. of z (check)</t>
  </si>
  <si>
    <t xml:space="preserve">Curve dirty price = SUM(PV)</t>
  </si>
  <si>
    <t xml:space="preserve">Accrued interest</t>
  </si>
  <si>
    <t xml:space="preserve">Curve clean price</t>
  </si>
  <si>
    <t xml:space="preserve">Model yield (% , brentq in Python)</t>
  </si>
  <si>
    <t xml:space="preserve">Price at the model yield = SUM(PV at model yield)</t>
  </si>
  <si>
    <t xml:space="preserve">Check: price at model yield - curve dirty (≈ 0)</t>
  </si>
  <si>
    <t xml:space="preserve">M1 (bp) = 100·(AAY - model yield)</t>
  </si>
  <si>
    <t xml:space="preserve">Python M1 (bp), for comparison</t>
  </si>
  <si>
    <t xml:space="preserve">A1: 1¼% Treasury Gilt 2018, auction 06 Aug 2013 - M1b baseline, T-25 to T-6 (decision #4)</t>
  </si>
  <si>
    <t xml:space="preserve">k (business days)</t>
  </si>
  <si>
    <t xml:space="preserve">Date</t>
  </si>
  <si>
    <t xml:space="preserve">Market yield (%): DMO yield (from the DMO clean price before 25 Nov 2002)</t>
  </si>
  <si>
    <t xml:space="preserve">Model yield (%, curve of that day)</t>
  </si>
  <si>
    <t xml:space="preserve">Residual (bp) = 100·(DMO - model)</t>
  </si>
  <si>
    <t xml:space="preserve">Included (1/0)</t>
  </si>
  <si>
    <t xml:space="preserve">Excluded because</t>
  </si>
  <si>
    <t xml:space="preserve">Valid days (need ≥ 10)</t>
  </si>
  <si>
    <t xml:space="preserve">Baseline = mean residual (bp)</t>
  </si>
  <si>
    <t xml:space="preserve">M1 (bp), from the M1 sheet</t>
  </si>
  <si>
    <t xml:space="preserve">M1b (bp) = M1 - baseline</t>
  </si>
  <si>
    <t xml:space="preserve">Python M1b (bp), for comparison</t>
  </si>
  <si>
    <t xml:space="preserve">Python note</t>
  </si>
  <si>
    <t xml:space="preserve">A1: control maturities = BoE points 2-30y more than 3y from the gilt's 4.96y to maturity (35 points). Top: z (%); bottom: daily change (bp).</t>
  </si>
  <si>
    <t xml:space="preserve">k</t>
  </si>
  <si>
    <t xml:space="preserve">z 8y</t>
  </si>
  <si>
    <t xml:space="preserve">z 8.5y</t>
  </si>
  <si>
    <t xml:space="preserve">z 9y</t>
  </si>
  <si>
    <t xml:space="preserve">z 9.5y</t>
  </si>
  <si>
    <t xml:space="preserve">z 10y</t>
  </si>
  <si>
    <t xml:space="preserve">z 10.5y</t>
  </si>
  <si>
    <t xml:space="preserve">z 11y</t>
  </si>
  <si>
    <t xml:space="preserve">z 11.5y</t>
  </si>
  <si>
    <t xml:space="preserve">z 12y</t>
  </si>
  <si>
    <t xml:space="preserve">z 12.5y</t>
  </si>
  <si>
    <t xml:space="preserve">z 13y</t>
  </si>
  <si>
    <t xml:space="preserve">z 13.5y</t>
  </si>
  <si>
    <t xml:space="preserve">z 14y</t>
  </si>
  <si>
    <t xml:space="preserve">z 14.5y</t>
  </si>
  <si>
    <t xml:space="preserve">z 15y</t>
  </si>
  <si>
    <t xml:space="preserve">z 15.5y</t>
  </si>
  <si>
    <t xml:space="preserve">z 16y</t>
  </si>
  <si>
    <t xml:space="preserve">z 16.5y</t>
  </si>
  <si>
    <t xml:space="preserve">z 17y</t>
  </si>
  <si>
    <t xml:space="preserve">z 17.5y</t>
  </si>
  <si>
    <t xml:space="preserve">z 18y</t>
  </si>
  <si>
    <t xml:space="preserve">z 18.5y</t>
  </si>
  <si>
    <t xml:space="preserve">z 19y</t>
  </si>
  <si>
    <t xml:space="preserve">z 19.5y</t>
  </si>
  <si>
    <t xml:space="preserve">z 20y</t>
  </si>
  <si>
    <t xml:space="preserve">z 20.5y</t>
  </si>
  <si>
    <t xml:space="preserve">z 21y</t>
  </si>
  <si>
    <t xml:space="preserve">z 21.5y</t>
  </si>
  <si>
    <t xml:space="preserve">z 22y</t>
  </si>
  <si>
    <t xml:space="preserve">z 22.5y</t>
  </si>
  <si>
    <t xml:space="preserve">z 23y</t>
  </si>
  <si>
    <t xml:space="preserve">z 23.5y</t>
  </si>
  <si>
    <t xml:space="preserve">z 24y</t>
  </si>
  <si>
    <t xml:space="preserve">z 24.5y</t>
  </si>
  <si>
    <t xml:space="preserve">z 25y</t>
  </si>
  <si>
    <t xml:space="preserve">Δz 8y (bp)</t>
  </si>
  <si>
    <t xml:space="preserve">Δz 8.5y (bp)</t>
  </si>
  <si>
    <t xml:space="preserve">Δz 9y (bp)</t>
  </si>
  <si>
    <t xml:space="preserve">Δz 9.5y (bp)</t>
  </si>
  <si>
    <t xml:space="preserve">Δz 10y (bp)</t>
  </si>
  <si>
    <t xml:space="preserve">Δz 10.5y (bp)</t>
  </si>
  <si>
    <t xml:space="preserve">Δz 11y (bp)</t>
  </si>
  <si>
    <t xml:space="preserve">Δz 11.5y (bp)</t>
  </si>
  <si>
    <t xml:space="preserve">Δz 12y (bp)</t>
  </si>
  <si>
    <t xml:space="preserve">Δz 12.5y (bp)</t>
  </si>
  <si>
    <t xml:space="preserve">Δz 13y (bp)</t>
  </si>
  <si>
    <t xml:space="preserve">Δz 13.5y (bp)</t>
  </si>
  <si>
    <t xml:space="preserve">Δz 14y (bp)</t>
  </si>
  <si>
    <t xml:space="preserve">Δz 14.5y (bp)</t>
  </si>
  <si>
    <t xml:space="preserve">Δz 15y (bp)</t>
  </si>
  <si>
    <t xml:space="preserve">Δz 15.5y (bp)</t>
  </si>
  <si>
    <t xml:space="preserve">Δz 16y (bp)</t>
  </si>
  <si>
    <t xml:space="preserve">Δz 16.5y (bp)</t>
  </si>
  <si>
    <t xml:space="preserve">Δz 17y (bp)</t>
  </si>
  <si>
    <t xml:space="preserve">Δz 17.5y (bp)</t>
  </si>
  <si>
    <t xml:space="preserve">Δz 18y (bp)</t>
  </si>
  <si>
    <t xml:space="preserve">Δz 18.5y (bp)</t>
  </si>
  <si>
    <t xml:space="preserve">Δz 19y (bp)</t>
  </si>
  <si>
    <t xml:space="preserve">Δz 19.5y (bp)</t>
  </si>
  <si>
    <t xml:space="preserve">Δz 20y (bp)</t>
  </si>
  <si>
    <t xml:space="preserve">Δz 20.5y (bp)</t>
  </si>
  <si>
    <t xml:space="preserve">Δz 21y (bp)</t>
  </si>
  <si>
    <t xml:space="preserve">Δz 21.5y (bp)</t>
  </si>
  <si>
    <t xml:space="preserve">Δz 22y (bp)</t>
  </si>
  <si>
    <t xml:space="preserve">Δz 22.5y (bp)</t>
  </si>
  <si>
    <t xml:space="preserve">Δz 23y (bp)</t>
  </si>
  <si>
    <t xml:space="preserve">Δz 23.5y (bp)</t>
  </si>
  <si>
    <t xml:space="preserve">Δz 24y (bp)</t>
  </si>
  <si>
    <t xml:space="preserve">Δz 24.5y (bp)</t>
  </si>
  <si>
    <t xml:space="preserve">Δz 25y (bp)</t>
  </si>
  <si>
    <t xml:space="preserve">Control Δc = average (bp)</t>
  </si>
  <si>
    <t xml:space="preserve">A1: 1¼% Treasury Gilt 2018, auction 06 Aug 2013 - M2 with control B-β (decision #13)</t>
  </si>
  <si>
    <t xml:space="preserve">Model yield y (%)</t>
  </si>
  <si>
    <t xml:space="preserve">Δy (bp)</t>
  </si>
  <si>
    <t xml:space="preserve">Δc (bp), from control sheet</t>
  </si>
  <si>
    <t xml:space="preserve">In β window (1/0)</t>
  </si>
  <si>
    <t xml:space="preserve">AR B-β = Δy - β·Δc</t>
  </si>
  <si>
    <t xml:space="preserve">CAR B-β (base T-6)</t>
  </si>
  <si>
    <t xml:space="preserve">AR B (β = 1)</t>
  </si>
  <si>
    <t xml:space="preserve">CAR B</t>
  </si>
  <si>
    <t xml:space="preserve">Raw cumulative Δy</t>
  </si>
  <si>
    <t xml:space="preserve">β = SLOPE(Δy, Δc) over k = -120..-21</t>
  </si>
  <si>
    <t xml:space="preserve">α (estimated, not subtracted)</t>
  </si>
  <si>
    <t xml:space="preserve">R²</t>
  </si>
  <si>
    <t xml:space="preserve">Observations</t>
  </si>
  <si>
    <t xml:space="preserve">Python β, for comparison</t>
  </si>
  <si>
    <t xml:space="preserve">The PM's three numbers (bp)</t>
  </si>
  <si>
    <t xml:space="preserve">B-β (main)</t>
  </si>
  <si>
    <t xml:space="preserve">B (β = 1)</t>
  </si>
  <si>
    <t xml:space="preserve">Raw (no control)</t>
  </si>
  <si>
    <t xml:space="preserve">Python B-β</t>
  </si>
  <si>
    <t xml:space="preserve">Pre-auction cheapening, CAR(T-1) - CAR(T-6)</t>
  </si>
  <si>
    <t xml:space="preserve">Auction day, CAR(T) - CAR(T-1)</t>
  </si>
  <si>
    <t xml:space="preserve">Post-auction, CAR(T+5) - CAR(T)</t>
  </si>
  <si>
    <t xml:space="preserve">A2: 3¾% Treasury Gilt 2020, auction 21 Oct 2010 - M1 (spec §7)</t>
  </si>
  <si>
    <t xml:space="preserve">A2: 3¾% Treasury Gilt 2020, auction 21 Oct 2010 - M1b baseline, T-25 to T-6 (decision #4)</t>
  </si>
  <si>
    <t xml:space="preserve">within 5 business days of an earlier auction of the gilt</t>
  </si>
  <si>
    <t xml:space="preserve">A2: control maturities = BoE points 2-30y more than 3y from the gilt's 9.88y to maturity (35 points). Top: z (%); bottom: daily change (bp).</t>
  </si>
  <si>
    <t xml:space="preserve">z 2y</t>
  </si>
  <si>
    <t xml:space="preserve">z 2.5y</t>
  </si>
  <si>
    <t xml:space="preserve">z 3y</t>
  </si>
  <si>
    <t xml:space="preserve">z 3.5y</t>
  </si>
  <si>
    <t xml:space="preserve">z 4y</t>
  </si>
  <si>
    <t xml:space="preserve">z 4.5y</t>
  </si>
  <si>
    <t xml:space="preserve">z 5y</t>
  </si>
  <si>
    <t xml:space="preserve">z 5.5y</t>
  </si>
  <si>
    <t xml:space="preserve">z 6y</t>
  </si>
  <si>
    <t xml:space="preserve">z 6.5y</t>
  </si>
  <si>
    <t xml:space="preserve">Δz 2y (bp)</t>
  </si>
  <si>
    <t xml:space="preserve">Δz 2.5y (bp)</t>
  </si>
  <si>
    <t xml:space="preserve">Δz 3y (bp)</t>
  </si>
  <si>
    <t xml:space="preserve">Δz 3.5y (bp)</t>
  </si>
  <si>
    <t xml:space="preserve">Δz 4y (bp)</t>
  </si>
  <si>
    <t xml:space="preserve">Δz 4.5y (bp)</t>
  </si>
  <si>
    <t xml:space="preserve">Δz 5y (bp)</t>
  </si>
  <si>
    <t xml:space="preserve">Δz 5.5y (bp)</t>
  </si>
  <si>
    <t xml:space="preserve">Δz 6y (bp)</t>
  </si>
  <si>
    <t xml:space="preserve">Δz 6.5y (bp)</t>
  </si>
  <si>
    <t xml:space="preserve">A2: 3¾% Treasury Gilt 2020, auction 21 Oct 2010 - M2 with control B-β (decision #13)</t>
  </si>
  <si>
    <t xml:space="preserve">A3: 4¼% Treasury Stock 2032, auction 09 Oct 2012 - M1 (spec §7)</t>
  </si>
  <si>
    <t xml:space="preserve">A3: 4¼% Treasury Stock 2032, auction 09 Oct 2012 - M1b baseline, T-25 to T-6 (decision #4)</t>
  </si>
  <si>
    <t xml:space="preserve">A3: control maturities = BoE points 2-30y more than 3y from the gilt's 19.66y to maturity (35 points). Top: z (%); bottom: daily change (bp).</t>
  </si>
  <si>
    <t xml:space="preserve">z 7y</t>
  </si>
  <si>
    <t xml:space="preserve">z 7.5y</t>
  </si>
  <si>
    <t xml:space="preserve">Δz 7y (bp)</t>
  </si>
  <si>
    <t xml:space="preserve">Δz 7.5y (bp)</t>
  </si>
  <si>
    <t xml:space="preserve">A3: 4¼% Treasury Stock 2032, auction 09 Oct 2012 - M2 with control B-β (decision #13)</t>
  </si>
  <si>
    <t xml:space="preserve">A4: 1 5/8% Treasury Gilt 2028, auction 15 Mar 2018 - M1 (spec §7)</t>
  </si>
  <si>
    <t xml:space="preserve">DMO notice (issuance/pre-auction notice or prospectus)</t>
  </si>
  <si>
    <t xml:space="preserve">A4: 1 5/8% Treasury Gilt 2028, auction 15 Mar 2018 - M1b baseline, T-25 to T-6 (decision #4)</t>
  </si>
  <si>
    <t xml:space="preserve">outside the reference-price data (1 Nov 1998 - 21 Jul 2017)</t>
  </si>
  <si>
    <t xml:space="preserve">new issue: no prices before launch</t>
  </si>
  <si>
    <t xml:space="preserve">A4: control maturities = BoE points 2-30y more than 3y from the gilt's 10.60y to maturity (45 points). Top: z (%); bottom: daily change (bp).</t>
  </si>
  <si>
    <t xml:space="preserve">z 25.5y</t>
  </si>
  <si>
    <t xml:space="preserve">z 26y</t>
  </si>
  <si>
    <t xml:space="preserve">z 26.5y</t>
  </si>
  <si>
    <t xml:space="preserve">z 27y</t>
  </si>
  <si>
    <t xml:space="preserve">z 27.5y</t>
  </si>
  <si>
    <t xml:space="preserve">z 28y</t>
  </si>
  <si>
    <t xml:space="preserve">z 28.5y</t>
  </si>
  <si>
    <t xml:space="preserve">z 29y</t>
  </si>
  <si>
    <t xml:space="preserve">z 29.5y</t>
  </si>
  <si>
    <t xml:space="preserve">z 30y</t>
  </si>
  <si>
    <t xml:space="preserve">Δz 25.5y (bp)</t>
  </si>
  <si>
    <t xml:space="preserve">Δz 26y (bp)</t>
  </si>
  <si>
    <t xml:space="preserve">Δz 26.5y (bp)</t>
  </si>
  <si>
    <t xml:space="preserve">Δz 27y (bp)</t>
  </si>
  <si>
    <t xml:space="preserve">Δz 27.5y (bp)</t>
  </si>
  <si>
    <t xml:space="preserve">Δz 28y (bp)</t>
  </si>
  <si>
    <t xml:space="preserve">Δz 28.5y (bp)</t>
  </si>
  <si>
    <t xml:space="preserve">Δz 29y (bp)</t>
  </si>
  <si>
    <t xml:space="preserve">Δz 29.5y (bp)</t>
  </si>
  <si>
    <t xml:space="preserve">Δz 30y (bp)</t>
  </si>
  <si>
    <t xml:space="preserve">A4: 1 5/8% Treasury Gilt 2028, auction 15 Mar 2018 - M2 with control B-β (decision #13)</t>
  </si>
  <si>
    <t xml:space="preserve">A5: 0½% Treasury Gilt 2061, auction 04 Oct 2022 - M1 (spec §7)</t>
  </si>
  <si>
    <t xml:space="preserve">rule: issued &gt;= 61 days before next quasi date -&gt; short</t>
  </si>
  <si>
    <t xml:space="preserve">A5: 0½% Treasury Gilt 2061, auction 04 Oct 2022 - M1b baseline, T-25 to T-6 (decision #4)</t>
  </si>
  <si>
    <t xml:space="preserve">outside the reference-price data</t>
  </si>
  <si>
    <t xml:space="preserve">A5: control maturities = BoE points 2-30y more than 3y from the gilt's 39.05y to maturity (57 points). Top: z (%); bottom: daily change (bp).</t>
  </si>
  <si>
    <t xml:space="preserve">A5: 0½% Treasury Gilt 2061, auction 04 Oct 2022 - M2 with control B-β (decision #13)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</si>
</sst>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General"/>
    <numFmt numFmtId="167" formatCode="0.000"/>
    <numFmt numFmtId="168" formatCode="0.000000"/>
    <numFmt numFmtId="169" formatCode="0.0"/>
    <numFmt numFmtId="170" formatCode="0.00000000"/>
    <numFmt numFmtId="171" formatCode="0.000E+00"/>
    <numFmt numFmtId="172" formatCode="0"/>
    <numFmt numFmtId="173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26.85" hidden="false" customHeight="false" outlineLevel="0" collapsed="false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</row>
    <row r="12" customFormat="false" ht="15" hidden="false" customHeight="false" outlineLevel="0" collapsed="false">
      <c r="A12" s="2" t="s">
        <v>15</v>
      </c>
      <c r="B12" s="4" t="n">
        <v>41492</v>
      </c>
      <c r="C12" s="2" t="s">
        <v>16</v>
      </c>
      <c r="D12" s="2" t="s">
        <v>15</v>
      </c>
      <c r="E12" s="2" t="s">
        <v>17</v>
      </c>
      <c r="F12" s="5" t="b">
        <f aca="false">FALSE()</f>
        <v>0</v>
      </c>
      <c r="G12" s="2" t="s">
        <v>18</v>
      </c>
    </row>
    <row r="13" customFormat="false" ht="15" hidden="false" customHeight="false" outlineLevel="0" collapsed="false">
      <c r="A13" s="2" t="s">
        <v>19</v>
      </c>
      <c r="B13" s="4" t="n">
        <v>40472</v>
      </c>
      <c r="C13" s="2" t="s">
        <v>20</v>
      </c>
      <c r="D13" s="2" t="s">
        <v>19</v>
      </c>
      <c r="E13" s="2" t="s">
        <v>17</v>
      </c>
      <c r="F13" s="5" t="b">
        <f aca="false">FALSE()</f>
        <v>0</v>
      </c>
      <c r="G13" s="2" t="s">
        <v>21</v>
      </c>
    </row>
    <row r="14" customFormat="false" ht="15" hidden="false" customHeight="false" outlineLevel="0" collapsed="false">
      <c r="A14" s="2" t="s">
        <v>22</v>
      </c>
      <c r="B14" s="4" t="n">
        <v>41191</v>
      </c>
      <c r="C14" s="2" t="s">
        <v>23</v>
      </c>
      <c r="D14" s="2" t="s">
        <v>22</v>
      </c>
      <c r="E14" s="2" t="s">
        <v>17</v>
      </c>
      <c r="F14" s="5" t="b">
        <f aca="false">FALSE()</f>
        <v>0</v>
      </c>
      <c r="G14" s="2" t="s">
        <v>24</v>
      </c>
    </row>
    <row r="15" customFormat="false" ht="15" hidden="false" customHeight="false" outlineLevel="0" collapsed="false">
      <c r="A15" s="2" t="s">
        <v>25</v>
      </c>
      <c r="B15" s="4" t="n">
        <v>43174</v>
      </c>
      <c r="C15" s="2" t="s">
        <v>26</v>
      </c>
      <c r="D15" s="2" t="s">
        <v>19</v>
      </c>
      <c r="E15" s="2" t="s">
        <v>17</v>
      </c>
      <c r="F15" s="5" t="b">
        <f aca="false">TRUE()</f>
        <v>1</v>
      </c>
      <c r="G15" s="2" t="s">
        <v>27</v>
      </c>
    </row>
    <row r="16" customFormat="false" ht="15" hidden="false" customHeight="false" outlineLevel="0" collapsed="false">
      <c r="A16" s="2" t="s">
        <v>28</v>
      </c>
      <c r="B16" s="4" t="n">
        <v>44838</v>
      </c>
      <c r="C16" s="2" t="s">
        <v>29</v>
      </c>
      <c r="D16" s="2" t="s">
        <v>22</v>
      </c>
      <c r="E16" s="2" t="s">
        <v>30</v>
      </c>
      <c r="F16" s="5" t="b">
        <f aca="false">FALSE()</f>
        <v>0</v>
      </c>
      <c r="G16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6" t="s">
        <v>32</v>
      </c>
    </row>
    <row r="3" customFormat="false" ht="15" hidden="false" customHeight="false" outlineLevel="0" collapsed="false">
      <c r="A3" s="7" t="s">
        <v>33</v>
      </c>
      <c r="B3" s="8" t="n">
        <v>41492</v>
      </c>
    </row>
    <row r="4" customFormat="false" ht="15" hidden="false" customHeight="false" outlineLevel="0" collapsed="false">
      <c r="A4" s="7" t="s">
        <v>34</v>
      </c>
      <c r="B4" s="8" t="n">
        <v>41493</v>
      </c>
    </row>
    <row r="5" customFormat="false" ht="15" hidden="false" customHeight="false" outlineLevel="0" collapsed="false">
      <c r="A5" s="7" t="s">
        <v>35</v>
      </c>
      <c r="B5" s="8" t="n">
        <v>41493</v>
      </c>
    </row>
    <row r="6" customFormat="false" ht="15" hidden="false" customHeight="false" outlineLevel="0" collapsed="false">
      <c r="A6" s="7" t="s">
        <v>36</v>
      </c>
      <c r="B6" s="8" t="n">
        <v>41491</v>
      </c>
    </row>
    <row r="7" customFormat="false" ht="15" hidden="false" customHeight="false" outlineLevel="0" collapsed="false">
      <c r="A7" s="7" t="s">
        <v>37</v>
      </c>
      <c r="B7" s="9" t="n">
        <v>1.25</v>
      </c>
    </row>
    <row r="8" customFormat="false" ht="15" hidden="false" customHeight="false" outlineLevel="0" collapsed="false">
      <c r="A8" s="7" t="s">
        <v>38</v>
      </c>
      <c r="B8" s="8" t="n">
        <v>43303</v>
      </c>
    </row>
    <row r="9" customFormat="false" ht="15" hidden="false" customHeight="false" outlineLevel="0" collapsed="false">
      <c r="A9" s="7" t="s">
        <v>39</v>
      </c>
      <c r="B9" s="8" t="n">
        <v>41320</v>
      </c>
    </row>
    <row r="10" customFormat="false" ht="15" hidden="false" customHeight="false" outlineLevel="0" collapsed="false">
      <c r="A10" s="7" t="s">
        <v>40</v>
      </c>
      <c r="B10" s="8" t="n">
        <v>41477</v>
      </c>
    </row>
    <row r="11" customFormat="false" ht="15" hidden="false" customHeight="false" outlineLevel="0" collapsed="false">
      <c r="A11" s="7" t="s">
        <v>41</v>
      </c>
      <c r="B11" s="10" t="s">
        <v>42</v>
      </c>
    </row>
    <row r="12" customFormat="false" ht="15" hidden="false" customHeight="false" outlineLevel="0" collapsed="false">
      <c r="A12" s="7" t="s">
        <v>43</v>
      </c>
      <c r="B12" s="11" t="n">
        <v>0.0543478260869565</v>
      </c>
    </row>
    <row r="13" customFormat="false" ht="15" hidden="false" customHeight="false" outlineLevel="0" collapsed="false">
      <c r="A13" s="7" t="s">
        <v>44</v>
      </c>
      <c r="B13" s="11" t="n">
        <v>1.405044</v>
      </c>
    </row>
    <row r="14" customFormat="false" ht="15" hidden="false" customHeight="false" outlineLevel="0" collapsed="false">
      <c r="A14" s="7" t="s">
        <v>45</v>
      </c>
      <c r="B14" s="12" t="n">
        <v>25</v>
      </c>
    </row>
    <row r="15" customFormat="false" ht="15" hidden="false" customHeight="false" outlineLevel="0" collapsed="false">
      <c r="A15" s="7" t="s">
        <v>46</v>
      </c>
      <c r="B15" s="11" t="n">
        <v>3.71726863163117</v>
      </c>
    </row>
    <row r="16" customFormat="false" ht="15" hidden="false" customHeight="false" outlineLevel="0" collapsed="false">
      <c r="A16" s="7" t="s">
        <v>47</v>
      </c>
      <c r="B16" s="11" t="n">
        <v>4.11736590786016</v>
      </c>
    </row>
    <row r="19" customFormat="false" ht="39.55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58</v>
      </c>
      <c r="L19" s="3" t="s">
        <v>59</v>
      </c>
      <c r="M19" s="3" t="s">
        <v>60</v>
      </c>
      <c r="N19" s="3" t="s">
        <v>61</v>
      </c>
    </row>
    <row r="20" customFormat="false" ht="15" hidden="false" customHeight="false" outlineLevel="0" collapsed="false">
      <c r="A20" s="8" t="n">
        <v>41661</v>
      </c>
      <c r="B20" s="11" t="n">
        <v>0.625</v>
      </c>
      <c r="C20" s="13" t="n">
        <f aca="false">(A20-$B$5)/365.25</f>
        <v>0.459958932238193</v>
      </c>
      <c r="D20" s="11" t="n">
        <v>0.33530859633105</v>
      </c>
      <c r="E20" s="14" t="n">
        <f aca="false">EXP(-D20/100*C20)</f>
        <v>0.998458906866064</v>
      </c>
      <c r="F20" s="13" t="n">
        <f aca="false">B20*E20</f>
        <v>0.62403681679129</v>
      </c>
      <c r="G20" s="11" t="n">
        <v>0.91304347826087</v>
      </c>
      <c r="H20" s="14" t="n">
        <f aca="false">(1/(1+$B$34/200))^G20</f>
        <v>0.993839415018818</v>
      </c>
      <c r="I20" s="13" t="n">
        <f aca="false">B20*H20</f>
        <v>0.621149634386761</v>
      </c>
    </row>
    <row r="21" customFormat="false" ht="15" hidden="false" customHeight="false" outlineLevel="0" collapsed="false">
      <c r="A21" s="8" t="n">
        <v>41842</v>
      </c>
      <c r="B21" s="11" t="n">
        <v>0.625</v>
      </c>
      <c r="C21" s="13" t="n">
        <f aca="false">(A21-$B$5)/365.25</f>
        <v>0.955509924709103</v>
      </c>
      <c r="D21" s="11" t="n">
        <v>0.297861612566171</v>
      </c>
      <c r="E21" s="14" t="n">
        <f aca="false">EXP(-D21/100*C21)</f>
        <v>0.99715794902524</v>
      </c>
      <c r="F21" s="13" t="n">
        <f aca="false">B21*E21</f>
        <v>0.623223718140775</v>
      </c>
      <c r="G21" s="11" t="n">
        <v>1.91304347826087</v>
      </c>
      <c r="H21" s="14" t="n">
        <f aca="false">(1/(1+$B$34/200))^G21</f>
        <v>0.987135645888462</v>
      </c>
      <c r="I21" s="13" t="n">
        <f aca="false">B21*H21</f>
        <v>0.616959778680289</v>
      </c>
      <c r="J21" s="9" t="n">
        <v>0.916667</v>
      </c>
      <c r="K21" s="11" t="n">
        <v>0.300754171400116</v>
      </c>
      <c r="L21" s="9" t="n">
        <v>1</v>
      </c>
      <c r="M21" s="11" t="n">
        <v>0.295331657214015</v>
      </c>
      <c r="N21" s="13" t="n">
        <f aca="false">IF(L21=J21,K21,K21+(M21-K21)*(C21-J21)/(L21-J21))</f>
        <v>0.298226645566836</v>
      </c>
    </row>
    <row r="22" customFormat="false" ht="15" hidden="false" customHeight="false" outlineLevel="0" collapsed="false">
      <c r="A22" s="8" t="n">
        <v>42026</v>
      </c>
      <c r="B22" s="11" t="n">
        <v>0.625</v>
      </c>
      <c r="C22" s="13" t="n">
        <f aca="false">(A22-$B$5)/365.25</f>
        <v>1.45927446954141</v>
      </c>
      <c r="D22" s="11" t="n">
        <v>0.312825616043276</v>
      </c>
      <c r="E22" s="14" t="n">
        <f aca="false">EXP(-D22/100*C22)</f>
        <v>0.995445419355013</v>
      </c>
      <c r="F22" s="13" t="n">
        <f aca="false">B22*E22</f>
        <v>0.622153387096883</v>
      </c>
      <c r="G22" s="11" t="n">
        <v>2.91304347826087</v>
      </c>
      <c r="H22" s="14" t="n">
        <f aca="false">(1/(1+$B$34/200))^G22</f>
        <v>0.980477095854747</v>
      </c>
      <c r="I22" s="13" t="n">
        <f aca="false">B22*H22</f>
        <v>0.612798184909217</v>
      </c>
      <c r="J22" s="9" t="n">
        <v>1.416667</v>
      </c>
      <c r="K22" s="11" t="n">
        <v>0.308192645467981</v>
      </c>
      <c r="L22" s="9" t="n">
        <v>1.5</v>
      </c>
      <c r="M22" s="11" t="n">
        <v>0.317754492181834</v>
      </c>
      <c r="N22" s="13" t="n">
        <f aca="false">IF(L22=J22,K22,K22+(M22-K22)*(C22-J22)/(L22-J22))</f>
        <v>0.313081538134993</v>
      </c>
    </row>
    <row r="23" customFormat="false" ht="15" hidden="false" customHeight="false" outlineLevel="0" collapsed="false">
      <c r="A23" s="8" t="n">
        <v>42207</v>
      </c>
      <c r="B23" s="11" t="n">
        <v>0.625</v>
      </c>
      <c r="C23" s="13" t="n">
        <f aca="false">(A23-$B$5)/365.25</f>
        <v>1.95482546201232</v>
      </c>
      <c r="D23" s="11" t="n">
        <v>0.40096972176949</v>
      </c>
      <c r="E23" s="14" t="n">
        <f aca="false">EXP(-D23/100*C23)</f>
        <v>0.99219238082532</v>
      </c>
      <c r="F23" s="13" t="n">
        <f aca="false">B23*E23</f>
        <v>0.620120238015825</v>
      </c>
      <c r="G23" s="11" t="n">
        <v>3.91304347826087</v>
      </c>
      <c r="H23" s="14" t="n">
        <f aca="false">(1/(1+$B$34/200))^G23</f>
        <v>0.973863459900202</v>
      </c>
      <c r="I23" s="13" t="n">
        <f aca="false">B23*H23</f>
        <v>0.608664662437626</v>
      </c>
      <c r="J23" s="9" t="n">
        <v>1.916667</v>
      </c>
      <c r="K23" s="11" t="n">
        <v>0.392281481456267</v>
      </c>
      <c r="L23" s="9" t="n">
        <v>2</v>
      </c>
      <c r="M23" s="11" t="n">
        <v>0.411591778776251</v>
      </c>
      <c r="N23" s="13" t="n">
        <f aca="false">IF(L23=J23,K23,K23+(M23-K23)*(C23-J23)/(L23-J23))</f>
        <v>0.401123731786043</v>
      </c>
    </row>
    <row r="24" customFormat="false" ht="15" hidden="false" customHeight="false" outlineLevel="0" collapsed="false">
      <c r="A24" s="8" t="n">
        <v>42391</v>
      </c>
      <c r="B24" s="11" t="n">
        <v>0.625</v>
      </c>
      <c r="C24" s="13" t="n">
        <f aca="false">(A24-$B$5)/365.25</f>
        <v>2.45859000684463</v>
      </c>
      <c r="D24" s="11" t="n">
        <v>0.536014132903117</v>
      </c>
      <c r="E24" s="14" t="n">
        <f aca="false">EXP(-D24/100*C24)</f>
        <v>0.986908064878442</v>
      </c>
      <c r="F24" s="13" t="n">
        <f aca="false">B24*E24</f>
        <v>0.616817540549026</v>
      </c>
      <c r="G24" s="11" t="n">
        <v>4.91304347826087</v>
      </c>
      <c r="H24" s="14" t="n">
        <f aca="false">(1/(1+$B$34/200))^G24</f>
        <v>0.9672944350648</v>
      </c>
      <c r="I24" s="13" t="n">
        <f aca="false">B24*H24</f>
        <v>0.6045590219155</v>
      </c>
      <c r="J24" s="9" t="n">
        <v>2.416667</v>
      </c>
      <c r="K24" s="11" t="n">
        <v>0.523618990140605</v>
      </c>
      <c r="L24" s="9" t="n">
        <v>2.5</v>
      </c>
      <c r="M24" s="11" t="n">
        <v>0.548415685963638</v>
      </c>
      <c r="N24" s="13" t="n">
        <f aca="false">IF(L24=J24,K24,K24+(M24-K24)*(C24-J24)/(L24-J24))</f>
        <v>0.536093664623861</v>
      </c>
    </row>
    <row r="25" customFormat="false" ht="15" hidden="false" customHeight="false" outlineLevel="0" collapsed="false">
      <c r="A25" s="8" t="n">
        <v>42573</v>
      </c>
      <c r="B25" s="11" t="n">
        <v>0.625</v>
      </c>
      <c r="C25" s="13" t="n">
        <f aca="false">(A25-$B$5)/365.25</f>
        <v>2.95687885010267</v>
      </c>
      <c r="D25" s="11" t="n">
        <v>0.693249351526381</v>
      </c>
      <c r="E25" s="14" t="n">
        <f aca="false">EXP(-D25/100*C25)</f>
        <v>0.979710123466578</v>
      </c>
      <c r="F25" s="13" t="n">
        <f aca="false">B25*E25</f>
        <v>0.612318827166611</v>
      </c>
      <c r="G25" s="11" t="n">
        <v>5.91304347826087</v>
      </c>
      <c r="H25" s="14" t="n">
        <f aca="false">(1/(1+$B$34/200))^G25</f>
        <v>0.960769720432075</v>
      </c>
      <c r="I25" s="13" t="n">
        <f aca="false">B25*H25</f>
        <v>0.600481075270047</v>
      </c>
      <c r="J25" s="9" t="n">
        <v>2.916667</v>
      </c>
      <c r="K25" s="11" t="n">
        <v>0.680041509367297</v>
      </c>
      <c r="L25" s="9" t="n">
        <v>3</v>
      </c>
      <c r="M25" s="11" t="n">
        <v>0.707485890284818</v>
      </c>
      <c r="N25" s="13" t="n">
        <f aca="false">IF(L25=J25,K25,K25+(M25-K25)*(C25-J25)/(L25-J25))</f>
        <v>0.693284634319188</v>
      </c>
    </row>
    <row r="26" customFormat="false" ht="15" hidden="false" customHeight="false" outlineLevel="0" collapsed="false">
      <c r="A26" s="8" t="n">
        <v>42757</v>
      </c>
      <c r="B26" s="11" t="n">
        <v>0.625</v>
      </c>
      <c r="C26" s="13" t="n">
        <f aca="false">(A26-$B$5)/365.25</f>
        <v>3.46064339493498</v>
      </c>
      <c r="D26" s="11" t="n">
        <v>0.862883884848268</v>
      </c>
      <c r="E26" s="14" t="n">
        <f aca="false">EXP(-D26/100*C26)</f>
        <v>0.970580110517236</v>
      </c>
      <c r="F26" s="13" t="n">
        <f aca="false">B26*E26</f>
        <v>0.606612569073272</v>
      </c>
      <c r="G26" s="11" t="n">
        <v>6.91304347826087</v>
      </c>
      <c r="H26" s="14" t="n">
        <f aca="false">(1/(1+$B$34/200))^G26</f>
        <v>0.954289017115341</v>
      </c>
      <c r="I26" s="13" t="n">
        <f aca="false">B26*H26</f>
        <v>0.596430635697088</v>
      </c>
      <c r="J26" s="9" t="n">
        <v>3.416667</v>
      </c>
      <c r="K26" s="11" t="n">
        <v>0.847867558406055</v>
      </c>
      <c r="L26" s="9" t="n">
        <v>3.5</v>
      </c>
      <c r="M26" s="11" t="n">
        <v>0.876341764727446</v>
      </c>
      <c r="N26" s="13" t="n">
        <f aca="false">IF(L26=J26,K26,K26+(M26-K26)*(C26-J26)/(L26-J26))</f>
        <v>0.862893933823351</v>
      </c>
    </row>
    <row r="27" customFormat="false" ht="15" hidden="false" customHeight="false" outlineLevel="0" collapsed="false">
      <c r="A27" s="8" t="n">
        <v>42938</v>
      </c>
      <c r="B27" s="11" t="n">
        <v>0.625</v>
      </c>
      <c r="C27" s="13" t="n">
        <f aca="false">(A27-$B$5)/365.25</f>
        <v>3.95619438740589</v>
      </c>
      <c r="D27" s="11" t="n">
        <v>1.0328831568649</v>
      </c>
      <c r="E27" s="14" t="n">
        <f aca="false">EXP(-D27/100*C27)</f>
        <v>0.959960764680107</v>
      </c>
      <c r="F27" s="13" t="n">
        <f aca="false">B27*E27</f>
        <v>0.599975477925067</v>
      </c>
      <c r="G27" s="11" t="n">
        <v>7.91304347826087</v>
      </c>
      <c r="H27" s="14" t="n">
        <f aca="false">(1/(1+$B$34/200))^G27</f>
        <v>0.947852028244001</v>
      </c>
      <c r="I27" s="13" t="n">
        <f aca="false">B27*H27</f>
        <v>0.5924075176525</v>
      </c>
      <c r="J27" s="9" t="n">
        <v>3.916667</v>
      </c>
      <c r="K27" s="11" t="n">
        <v>1.01932002616327</v>
      </c>
      <c r="L27" s="9" t="n">
        <v>4</v>
      </c>
      <c r="M27" s="11" t="n">
        <v>1.04790576955321</v>
      </c>
      <c r="N27" s="13" t="n">
        <f aca="false">IF(L27=J27,K27,K27+(M27-K27)*(C27-J27)/(L27-J27))</f>
        <v>1.03287911743875</v>
      </c>
    </row>
    <row r="28" customFormat="false" ht="15" hidden="false" customHeight="false" outlineLevel="0" collapsed="false">
      <c r="A28" s="8" t="n">
        <v>43122</v>
      </c>
      <c r="B28" s="11" t="n">
        <v>0.625</v>
      </c>
      <c r="C28" s="13" t="n">
        <f aca="false">(A28-$B$5)/365.25</f>
        <v>4.45995893223819</v>
      </c>
      <c r="D28" s="11" t="n">
        <v>1.20464407320405</v>
      </c>
      <c r="E28" s="14" t="n">
        <f aca="false">EXP(-D28/100*C28)</f>
        <v>0.947691140526193</v>
      </c>
      <c r="F28" s="13" t="n">
        <f aca="false">B28*E28</f>
        <v>0.592306962828871</v>
      </c>
      <c r="G28" s="11" t="n">
        <v>8.91304347826087</v>
      </c>
      <c r="H28" s="14" t="n">
        <f aca="false">(1/(1+$B$34/200))^G28</f>
        <v>0.941458458949944</v>
      </c>
      <c r="I28" s="13" t="n">
        <f aca="false">B28*H28</f>
        <v>0.588411536843715</v>
      </c>
      <c r="J28" s="9" t="n">
        <v>4.416666</v>
      </c>
      <c r="K28" s="11" t="n">
        <v>1.18999544079412</v>
      </c>
      <c r="L28" s="9" t="n">
        <v>4.5</v>
      </c>
      <c r="M28" s="11" t="n">
        <v>1.21816859821951</v>
      </c>
      <c r="N28" s="13" t="n">
        <f aca="false">IF(L28=J28,K28,K28+(M28-K28)*(C28-J28)/(L28-J28))</f>
        <v>1.20463170684823</v>
      </c>
    </row>
    <row r="29" customFormat="false" ht="15" hidden="false" customHeight="false" outlineLevel="0" collapsed="false">
      <c r="A29" s="8" t="n">
        <v>43303</v>
      </c>
      <c r="B29" s="11" t="n">
        <v>100.625</v>
      </c>
      <c r="C29" s="13" t="n">
        <f aca="false">(A29-$B$5)/365.25</f>
        <v>4.9555099247091</v>
      </c>
      <c r="D29" s="11" t="n">
        <v>1.37015356213397</v>
      </c>
      <c r="E29" s="14" t="n">
        <f aca="false">EXP(-D29/100*C29)</f>
        <v>0.93435568353619</v>
      </c>
      <c r="F29" s="13" t="n">
        <f aca="false">B29*E29</f>
        <v>94.0195406558291</v>
      </c>
      <c r="G29" s="11" t="n">
        <v>9.91304347826087</v>
      </c>
      <c r="H29" s="14" t="n">
        <f aca="false">(1/(1+$B$34/200))^G29</f>
        <v>0.935108016354043</v>
      </c>
      <c r="I29" s="13" t="n">
        <f aca="false">B29*H29</f>
        <v>94.0952441456256</v>
      </c>
      <c r="J29" s="9" t="n">
        <v>4.916666</v>
      </c>
      <c r="K29" s="11" t="n">
        <v>1.35734138428429</v>
      </c>
      <c r="L29" s="9" t="n">
        <v>5</v>
      </c>
      <c r="M29" s="11" t="n">
        <v>1.38479080778859</v>
      </c>
      <c r="N29" s="13" t="n">
        <f aca="false">IF(L29=J29,K29,K29+(M29-K29)*(C29-J29)/(L29-J29))</f>
        <v>1.37013620200466</v>
      </c>
    </row>
    <row r="31" customFormat="false" ht="15" hidden="false" customHeight="false" outlineLevel="0" collapsed="false">
      <c r="A31" s="7" t="s">
        <v>62</v>
      </c>
      <c r="B31" s="13" t="n">
        <f aca="false">SUM(F20:F29)</f>
        <v>99.5371061934167</v>
      </c>
    </row>
    <row r="32" customFormat="false" ht="15" hidden="false" customHeight="false" outlineLevel="0" collapsed="false">
      <c r="A32" s="7" t="s">
        <v>63</v>
      </c>
      <c r="B32" s="13" t="n">
        <f aca="false">B12</f>
        <v>0.0543478260869565</v>
      </c>
    </row>
    <row r="33" customFormat="false" ht="15" hidden="false" customHeight="false" outlineLevel="0" collapsed="false">
      <c r="A33" s="7" t="s">
        <v>64</v>
      </c>
      <c r="B33" s="13" t="n">
        <f aca="false">B31-B32</f>
        <v>99.4827583673297</v>
      </c>
    </row>
    <row r="34" customFormat="false" ht="15" hidden="false" customHeight="false" outlineLevel="0" collapsed="false">
      <c r="A34" s="7" t="s">
        <v>65</v>
      </c>
      <c r="B34" s="15" t="n">
        <v>1.35822653315738</v>
      </c>
    </row>
    <row r="35" customFormat="false" ht="15" hidden="false" customHeight="false" outlineLevel="0" collapsed="false">
      <c r="A35" s="7" t="s">
        <v>66</v>
      </c>
      <c r="B35" s="13" t="n">
        <f aca="false">SUM(I20:I29)</f>
        <v>99.5371061934183</v>
      </c>
    </row>
    <row r="36" customFormat="false" ht="15" hidden="false" customHeight="false" outlineLevel="0" collapsed="false">
      <c r="A36" s="7" t="s">
        <v>67</v>
      </c>
      <c r="B36" s="16" t="n">
        <f aca="false">B35-B31</f>
        <v>1.60582658281783E-012</v>
      </c>
    </row>
    <row r="37" customFormat="false" ht="15" hidden="false" customHeight="false" outlineLevel="0" collapsed="false">
      <c r="A37" s="7" t="s">
        <v>68</v>
      </c>
      <c r="B37" s="17" t="n">
        <f aca="false">100*(B13-B34)</f>
        <v>4.6817466842616</v>
      </c>
    </row>
    <row r="38" customFormat="false" ht="15" hidden="false" customHeight="false" outlineLevel="0" collapsed="false">
      <c r="A38" s="7" t="s">
        <v>69</v>
      </c>
      <c r="B38" s="9" t="n">
        <v>4.68174668426156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6" t="s">
        <v>70</v>
      </c>
    </row>
    <row r="3" customFormat="false" ht="77.6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customFormat="false" ht="15" hidden="false" customHeight="false" outlineLevel="0" collapsed="false">
      <c r="A4" s="10" t="n">
        <v>-25</v>
      </c>
      <c r="B4" s="8" t="n">
        <v>41457</v>
      </c>
      <c r="C4" s="11" t="n">
        <v>1.385677</v>
      </c>
      <c r="D4" s="11" t="n">
        <v>1.360956894</v>
      </c>
      <c r="E4" s="18" t="n">
        <f aca="false">IF(F4=1,100*(C4-D4),"")</f>
        <v>2.4720106</v>
      </c>
      <c r="F4" s="10" t="n">
        <v>1</v>
      </c>
      <c r="G4" s="10"/>
    </row>
    <row r="5" customFormat="false" ht="15" hidden="false" customHeight="false" outlineLevel="0" collapsed="false">
      <c r="A5" s="10" t="n">
        <v>-24</v>
      </c>
      <c r="B5" s="8" t="n">
        <v>41458</v>
      </c>
      <c r="C5" s="11" t="n">
        <v>1.41675</v>
      </c>
      <c r="D5" s="11" t="n">
        <v>1.390003476</v>
      </c>
      <c r="E5" s="18" t="n">
        <f aca="false">IF(F5=1,100*(C5-D5),"")</f>
        <v>2.6746524</v>
      </c>
      <c r="F5" s="10" t="n">
        <v>1</v>
      </c>
      <c r="G5" s="10"/>
    </row>
    <row r="6" customFormat="false" ht="15" hidden="false" customHeight="false" outlineLevel="0" collapsed="false">
      <c r="A6" s="10" t="n">
        <v>-23</v>
      </c>
      <c r="B6" s="8" t="n">
        <v>41459</v>
      </c>
      <c r="C6" s="11" t="n">
        <v>1.36724</v>
      </c>
      <c r="D6" s="11" t="n">
        <v>1.350203226</v>
      </c>
      <c r="E6" s="18" t="n">
        <f aca="false">IF(F6=1,100*(C6-D6),"")</f>
        <v>1.70367739999999</v>
      </c>
      <c r="F6" s="10" t="n">
        <v>1</v>
      </c>
      <c r="G6" s="10"/>
    </row>
    <row r="7" customFormat="false" ht="15" hidden="false" customHeight="false" outlineLevel="0" collapsed="false">
      <c r="A7" s="10" t="n">
        <v>-22</v>
      </c>
      <c r="B7" s="8" t="n">
        <v>41460</v>
      </c>
      <c r="C7" s="11" t="n">
        <v>1.435774</v>
      </c>
      <c r="D7" s="11" t="n">
        <v>1.420539014</v>
      </c>
      <c r="E7" s="18" t="n">
        <f aca="false">IF(F7=1,100*(C7-D7),"")</f>
        <v>1.52349860000001</v>
      </c>
      <c r="F7" s="10" t="n">
        <v>1</v>
      </c>
      <c r="G7" s="10"/>
    </row>
    <row r="8" customFormat="false" ht="15" hidden="false" customHeight="false" outlineLevel="0" collapsed="false">
      <c r="A8" s="10" t="n">
        <v>-21</v>
      </c>
      <c r="B8" s="8" t="n">
        <v>41463</v>
      </c>
      <c r="C8" s="11" t="n">
        <v>1.413053</v>
      </c>
      <c r="D8" s="11" t="n">
        <v>1.400426162</v>
      </c>
      <c r="E8" s="18" t="n">
        <f aca="false">IF(F8=1,100*(C8-D8),"")</f>
        <v>1.26268379999999</v>
      </c>
      <c r="F8" s="10" t="n">
        <v>1</v>
      </c>
      <c r="G8" s="10"/>
    </row>
    <row r="9" customFormat="false" ht="15" hidden="false" customHeight="false" outlineLevel="0" collapsed="false">
      <c r="A9" s="10" t="n">
        <v>-20</v>
      </c>
      <c r="B9" s="8" t="n">
        <v>41464</v>
      </c>
      <c r="C9" s="11" t="n">
        <v>1.346877</v>
      </c>
      <c r="D9" s="11" t="n">
        <v>1.335085266</v>
      </c>
      <c r="E9" s="18" t="n">
        <f aca="false">IF(F9=1,100*(C9-D9),"")</f>
        <v>1.1791734</v>
      </c>
      <c r="F9" s="10" t="n">
        <v>1</v>
      </c>
      <c r="G9" s="10"/>
    </row>
    <row r="10" customFormat="false" ht="15" hidden="false" customHeight="false" outlineLevel="0" collapsed="false">
      <c r="A10" s="10" t="n">
        <v>-19</v>
      </c>
      <c r="B10" s="8" t="n">
        <v>41465</v>
      </c>
      <c r="C10" s="11" t="n">
        <v>1.351066</v>
      </c>
      <c r="D10" s="11" t="n">
        <v>1.332142693</v>
      </c>
      <c r="E10" s="18" t="n">
        <f aca="false">IF(F10=1,100*(C10-D10),"")</f>
        <v>1.89233070000001</v>
      </c>
      <c r="F10" s="10" t="n">
        <v>1</v>
      </c>
      <c r="G10" s="10"/>
    </row>
    <row r="11" customFormat="false" ht="15" hidden="false" customHeight="false" outlineLevel="0" collapsed="false">
      <c r="A11" s="10" t="n">
        <v>-18</v>
      </c>
      <c r="B11" s="8" t="n">
        <v>41466</v>
      </c>
      <c r="C11" s="11" t="n">
        <v>1.324276</v>
      </c>
      <c r="D11" s="11" t="n">
        <v>1.304827485</v>
      </c>
      <c r="E11" s="18" t="n">
        <f aca="false">IF(F11=1,100*(C11-D11),"")</f>
        <v>1.94485150000001</v>
      </c>
      <c r="F11" s="10" t="n">
        <v>1</v>
      </c>
      <c r="G11" s="10"/>
    </row>
    <row r="12" customFormat="false" ht="15" hidden="false" customHeight="false" outlineLevel="0" collapsed="false">
      <c r="A12" s="10" t="n">
        <v>-17</v>
      </c>
      <c r="B12" s="8" t="n">
        <v>41467</v>
      </c>
      <c r="C12" s="11" t="n">
        <v>1.287164</v>
      </c>
      <c r="D12" s="11" t="n">
        <v>1.261149303</v>
      </c>
      <c r="E12" s="18" t="n">
        <f aca="false">IF(F12=1,100*(C12-D12),"")</f>
        <v>2.60146969999999</v>
      </c>
      <c r="F12" s="10" t="n">
        <v>1</v>
      </c>
      <c r="G12" s="10"/>
    </row>
    <row r="13" customFormat="false" ht="15" hidden="false" customHeight="false" outlineLevel="0" collapsed="false">
      <c r="A13" s="10" t="n">
        <v>-16</v>
      </c>
      <c r="B13" s="8" t="n">
        <v>41470</v>
      </c>
      <c r="C13" s="11" t="n">
        <v>1.301656</v>
      </c>
      <c r="D13" s="11" t="n">
        <v>1.278829823</v>
      </c>
      <c r="E13" s="18" t="n">
        <f aca="false">IF(F13=1,100*(C13-D13),"")</f>
        <v>2.2826177</v>
      </c>
      <c r="F13" s="10" t="n">
        <v>1</v>
      </c>
      <c r="G13" s="10"/>
    </row>
    <row r="14" customFormat="false" ht="15" hidden="false" customHeight="false" outlineLevel="0" collapsed="false">
      <c r="A14" s="10" t="n">
        <v>-15</v>
      </c>
      <c r="B14" s="8" t="n">
        <v>41471</v>
      </c>
      <c r="C14" s="11" t="n">
        <v>1.229384</v>
      </c>
      <c r="D14" s="11" t="n">
        <v>1.206797771</v>
      </c>
      <c r="E14" s="18" t="n">
        <f aca="false">IF(F14=1,100*(C14-D14),"")</f>
        <v>2.25862290000001</v>
      </c>
      <c r="F14" s="10" t="n">
        <v>1</v>
      </c>
      <c r="G14" s="10"/>
    </row>
    <row r="15" customFormat="false" ht="15" hidden="false" customHeight="false" outlineLevel="0" collapsed="false">
      <c r="A15" s="10" t="n">
        <v>-14</v>
      </c>
      <c r="B15" s="8" t="n">
        <v>41472</v>
      </c>
      <c r="C15" s="11" t="n">
        <v>1.214938</v>
      </c>
      <c r="D15" s="11" t="n">
        <v>1.200791392</v>
      </c>
      <c r="E15" s="18" t="n">
        <f aca="false">IF(F15=1,100*(C15-D15),"")</f>
        <v>1.41466080000001</v>
      </c>
      <c r="F15" s="10" t="n">
        <v>1</v>
      </c>
      <c r="G15" s="10"/>
    </row>
    <row r="16" customFormat="false" ht="15" hidden="false" customHeight="false" outlineLevel="0" collapsed="false">
      <c r="A16" s="10" t="n">
        <v>-13</v>
      </c>
      <c r="B16" s="8" t="n">
        <v>41473</v>
      </c>
      <c r="C16" s="11" t="n">
        <v>1.17372</v>
      </c>
      <c r="D16" s="11" t="n">
        <v>1.161795064</v>
      </c>
      <c r="E16" s="18" t="n">
        <f aca="false">IF(F16=1,100*(C16-D16),"")</f>
        <v>1.1924936</v>
      </c>
      <c r="F16" s="10" t="n">
        <v>1</v>
      </c>
      <c r="G16" s="10"/>
    </row>
    <row r="17" customFormat="false" ht="15" hidden="false" customHeight="false" outlineLevel="0" collapsed="false">
      <c r="A17" s="10" t="n">
        <v>-12</v>
      </c>
      <c r="B17" s="8" t="n">
        <v>41474</v>
      </c>
      <c r="C17" s="11" t="n">
        <v>1.221051</v>
      </c>
      <c r="D17" s="11" t="n">
        <v>1.207106358</v>
      </c>
      <c r="E17" s="18" t="n">
        <f aca="false">IF(F17=1,100*(C17-D17),"")</f>
        <v>1.3944642</v>
      </c>
      <c r="F17" s="10" t="n">
        <v>1</v>
      </c>
      <c r="G17" s="10"/>
    </row>
    <row r="18" customFormat="false" ht="15" hidden="false" customHeight="false" outlineLevel="0" collapsed="false">
      <c r="A18" s="10" t="n">
        <v>-11</v>
      </c>
      <c r="B18" s="8" t="n">
        <v>41477</v>
      </c>
      <c r="C18" s="11" t="n">
        <v>1.206569</v>
      </c>
      <c r="D18" s="11" t="n">
        <v>1.195516171</v>
      </c>
      <c r="E18" s="18" t="n">
        <f aca="false">IF(F18=1,100*(C18-D18),"")</f>
        <v>1.1052829</v>
      </c>
      <c r="F18" s="10" t="n">
        <v>1</v>
      </c>
      <c r="G18" s="10"/>
    </row>
    <row r="19" customFormat="false" ht="15" hidden="false" customHeight="false" outlineLevel="0" collapsed="false">
      <c r="A19" s="10" t="n">
        <v>-10</v>
      </c>
      <c r="B19" s="8" t="n">
        <v>41478</v>
      </c>
      <c r="C19" s="11" t="n">
        <v>1.245853</v>
      </c>
      <c r="D19" s="11" t="n">
        <v>1.236253955</v>
      </c>
      <c r="E19" s="18" t="n">
        <f aca="false">IF(F19=1,100*(C19-D19),"")</f>
        <v>0.959904500000008</v>
      </c>
      <c r="F19" s="10" t="n">
        <v>1</v>
      </c>
      <c r="G19" s="10"/>
    </row>
    <row r="20" customFormat="false" ht="15" hidden="false" customHeight="false" outlineLevel="0" collapsed="false">
      <c r="A20" s="10" t="n">
        <v>-9</v>
      </c>
      <c r="B20" s="8" t="n">
        <v>41479</v>
      </c>
      <c r="C20" s="11" t="n">
        <v>1.301883</v>
      </c>
      <c r="D20" s="11" t="n">
        <v>1.300095689</v>
      </c>
      <c r="E20" s="18" t="n">
        <f aca="false">IF(F20=1,100*(C20-D20),"")</f>
        <v>0.178731099999996</v>
      </c>
      <c r="F20" s="10" t="n">
        <v>1</v>
      </c>
      <c r="G20" s="10"/>
    </row>
    <row r="21" customFormat="false" ht="15" hidden="false" customHeight="false" outlineLevel="0" collapsed="false">
      <c r="A21" s="10" t="n">
        <v>-8</v>
      </c>
      <c r="B21" s="8" t="n">
        <v>41480</v>
      </c>
      <c r="C21" s="11" t="n">
        <v>1.289435</v>
      </c>
      <c r="D21" s="11" t="n">
        <v>1.288277382</v>
      </c>
      <c r="E21" s="18" t="n">
        <f aca="false">IF(F21=1,100*(C21-D21),"")</f>
        <v>0.115761800000014</v>
      </c>
      <c r="F21" s="10" t="n">
        <v>1</v>
      </c>
      <c r="G21" s="10"/>
    </row>
    <row r="22" customFormat="false" ht="15" hidden="false" customHeight="false" outlineLevel="0" collapsed="false">
      <c r="A22" s="10" t="n">
        <v>-7</v>
      </c>
      <c r="B22" s="8" t="n">
        <v>41481</v>
      </c>
      <c r="C22" s="11" t="n">
        <v>1.227152</v>
      </c>
      <c r="D22" s="11" t="n">
        <v>1.222858298</v>
      </c>
      <c r="E22" s="18" t="n">
        <f aca="false">IF(F22=1,100*(C22-D22),"")</f>
        <v>0.429370200000001</v>
      </c>
      <c r="F22" s="10" t="n">
        <v>1</v>
      </c>
      <c r="G22" s="10"/>
    </row>
    <row r="23" customFormat="false" ht="15" hidden="false" customHeight="false" outlineLevel="0" collapsed="false">
      <c r="A23" s="10" t="n">
        <v>-6</v>
      </c>
      <c r="B23" s="8" t="n">
        <v>41484</v>
      </c>
      <c r="C23" s="11" t="n">
        <v>1.235442</v>
      </c>
      <c r="D23" s="11" t="n">
        <v>1.22507896</v>
      </c>
      <c r="E23" s="18" t="n">
        <f aca="false">IF(F23=1,100*(C23-D23),"")</f>
        <v>1.03630399999999</v>
      </c>
      <c r="F23" s="10" t="n">
        <v>1</v>
      </c>
      <c r="G23" s="10"/>
    </row>
    <row r="25" customFormat="false" ht="15" hidden="false" customHeight="false" outlineLevel="0" collapsed="false">
      <c r="A25" s="7" t="s">
        <v>78</v>
      </c>
      <c r="B25" s="19" t="n">
        <f aca="false">SUM(F4:F23)</f>
        <v>20</v>
      </c>
    </row>
    <row r="26" customFormat="false" ht="15" hidden="false" customHeight="false" outlineLevel="0" collapsed="false">
      <c r="A26" s="7" t="s">
        <v>79</v>
      </c>
      <c r="B26" s="18" t="n">
        <f aca="false">IF(B25&gt;=10,AVERAGEIF(F4:F23,1,E4:E23),"n/a")</f>
        <v>1.48112809</v>
      </c>
    </row>
    <row r="27" customFormat="false" ht="15" hidden="false" customHeight="false" outlineLevel="0" collapsed="false">
      <c r="A27" s="7" t="s">
        <v>80</v>
      </c>
      <c r="B27" s="18" t="n">
        <f aca="false">'A1 M1'!B37</f>
        <v>4.6817466842616</v>
      </c>
    </row>
    <row r="28" customFormat="false" ht="15" hidden="false" customHeight="false" outlineLevel="0" collapsed="false">
      <c r="A28" s="7" t="s">
        <v>81</v>
      </c>
      <c r="B28" s="17" t="n">
        <f aca="false">IF(B25&gt;=10,B27-B26,"n/a")</f>
        <v>3.2006185942616</v>
      </c>
    </row>
    <row r="29" customFormat="false" ht="15" hidden="false" customHeight="false" outlineLevel="0" collapsed="false">
      <c r="A29" s="7" t="s">
        <v>82</v>
      </c>
      <c r="B29" s="9" t="n">
        <v>3.20061859976155</v>
      </c>
    </row>
    <row r="30" customFormat="false" ht="15" hidden="false" customHeight="false" outlineLevel="0" collapsed="false">
      <c r="A30" s="7" t="s">
        <v>83</v>
      </c>
      <c r="B3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84</v>
      </c>
    </row>
    <row r="3" customFormat="false" ht="15" hidden="false" customHeight="false" outlineLevel="0" collapsed="false">
      <c r="A3" s="3" t="s">
        <v>85</v>
      </c>
      <c r="B3" s="3" t="s">
        <v>72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  <c r="J3" s="3" t="s">
        <v>93</v>
      </c>
      <c r="K3" s="3" t="s">
        <v>94</v>
      </c>
      <c r="L3" s="3" t="s">
        <v>95</v>
      </c>
      <c r="M3" s="3" t="s">
        <v>96</v>
      </c>
      <c r="N3" s="3" t="s">
        <v>97</v>
      </c>
      <c r="O3" s="3" t="s">
        <v>98</v>
      </c>
      <c r="P3" s="3" t="s">
        <v>99</v>
      </c>
      <c r="Q3" s="3" t="s">
        <v>100</v>
      </c>
      <c r="R3" s="3" t="s">
        <v>101</v>
      </c>
      <c r="S3" s="3" t="s">
        <v>102</v>
      </c>
      <c r="T3" s="3" t="s">
        <v>103</v>
      </c>
      <c r="U3" s="3" t="s">
        <v>104</v>
      </c>
      <c r="V3" s="3" t="s">
        <v>105</v>
      </c>
      <c r="W3" s="3" t="s">
        <v>106</v>
      </c>
      <c r="X3" s="3" t="s">
        <v>107</v>
      </c>
      <c r="Y3" s="3" t="s">
        <v>108</v>
      </c>
      <c r="Z3" s="3" t="s">
        <v>109</v>
      </c>
      <c r="AA3" s="3" t="s">
        <v>110</v>
      </c>
      <c r="AB3" s="3" t="s">
        <v>111</v>
      </c>
      <c r="AC3" s="3" t="s">
        <v>112</v>
      </c>
      <c r="AD3" s="3" t="s">
        <v>113</v>
      </c>
      <c r="AE3" s="3" t="s">
        <v>114</v>
      </c>
      <c r="AF3" s="3" t="s">
        <v>115</v>
      </c>
      <c r="AG3" s="3" t="s">
        <v>116</v>
      </c>
      <c r="AH3" s="3" t="s">
        <v>117</v>
      </c>
      <c r="AI3" s="3" t="s">
        <v>118</v>
      </c>
      <c r="AJ3" s="3" t="s">
        <v>119</v>
      </c>
      <c r="AK3" s="3" t="s">
        <v>120</v>
      </c>
    </row>
    <row r="4" customFormat="false" ht="15" hidden="false" customHeight="false" outlineLevel="0" collapsed="false">
      <c r="A4" s="10" t="n">
        <v>-121</v>
      </c>
      <c r="B4" s="8" t="n">
        <v>41317</v>
      </c>
      <c r="C4" s="11" t="n">
        <v>1.816918958713</v>
      </c>
      <c r="D4" s="11" t="n">
        <v>1.92624791305943</v>
      </c>
      <c r="E4" s="11" t="n">
        <v>2.02985248968967</v>
      </c>
      <c r="F4" s="11" t="n">
        <v>2.12794970994993</v>
      </c>
      <c r="G4" s="11" t="n">
        <v>2.22083803236774</v>
      </c>
      <c r="H4" s="11" t="n">
        <v>2.30882526381259</v>
      </c>
      <c r="I4" s="11" t="n">
        <v>2.39221899793687</v>
      </c>
      <c r="J4" s="11" t="n">
        <v>2.47132666022813</v>
      </c>
      <c r="K4" s="11" t="n">
        <v>2.54645554304335</v>
      </c>
      <c r="L4" s="11" t="n">
        <v>2.61791174010487</v>
      </c>
      <c r="M4" s="11" t="n">
        <v>2.68598282239969</v>
      </c>
      <c r="N4" s="11" t="n">
        <v>2.75091847659457</v>
      </c>
      <c r="O4" s="11" t="n">
        <v>2.81293433549409</v>
      </c>
      <c r="P4" s="11" t="n">
        <v>2.87221784879856</v>
      </c>
      <c r="Q4" s="11" t="n">
        <v>2.92893297345312</v>
      </c>
      <c r="R4" s="11" t="n">
        <v>2.98322260546842</v>
      </c>
      <c r="S4" s="11" t="n">
        <v>3.03520627237534</v>
      </c>
      <c r="T4" s="11" t="n">
        <v>3.08498187266514</v>
      </c>
      <c r="U4" s="11" t="n">
        <v>3.1326316690748</v>
      </c>
      <c r="V4" s="11" t="n">
        <v>3.17822581797689</v>
      </c>
      <c r="W4" s="11" t="n">
        <v>3.22182408814122</v>
      </c>
      <c r="X4" s="11" t="n">
        <v>3.26347793979797</v>
      </c>
      <c r="Y4" s="11" t="n">
        <v>3.30323453445799</v>
      </c>
      <c r="Z4" s="11" t="n">
        <v>3.34113863766899</v>
      </c>
      <c r="AA4" s="11" t="n">
        <v>3.37723329247934</v>
      </c>
      <c r="AB4" s="11" t="n">
        <v>3.41156145579781</v>
      </c>
      <c r="AC4" s="11" t="n">
        <v>3.44416665812287</v>
      </c>
      <c r="AD4" s="11" t="n">
        <v>3.47509295436731</v>
      </c>
      <c r="AE4" s="11" t="n">
        <v>3.50438491080498</v>
      </c>
      <c r="AF4" s="11" t="n">
        <v>3.53208835805833</v>
      </c>
      <c r="AG4" s="11" t="n">
        <v>3.55825136742834</v>
      </c>
      <c r="AH4" s="11" t="n">
        <v>3.58292411099444</v>
      </c>
      <c r="AI4" s="11" t="n">
        <v>3.60615769624727</v>
      </c>
      <c r="AJ4" s="11" t="n">
        <v>3.62800277476231</v>
      </c>
      <c r="AK4" s="11" t="n">
        <v>3.64850941052032</v>
      </c>
    </row>
    <row r="5" customFormat="false" ht="15" hidden="false" customHeight="false" outlineLevel="0" collapsed="false">
      <c r="A5" s="10" t="n">
        <v>-120</v>
      </c>
      <c r="B5" s="8" t="n">
        <v>41318</v>
      </c>
      <c r="C5" s="11" t="n">
        <v>1.91938734030484</v>
      </c>
      <c r="D5" s="11" t="n">
        <v>2.03190832761167</v>
      </c>
      <c r="E5" s="11" t="n">
        <v>2.13812799436417</v>
      </c>
      <c r="F5" s="11" t="n">
        <v>2.23828037325224</v>
      </c>
      <c r="G5" s="11" t="n">
        <v>2.3326969660666</v>
      </c>
      <c r="H5" s="11" t="n">
        <v>2.42172232091486</v>
      </c>
      <c r="I5" s="11" t="n">
        <v>2.50570256496871</v>
      </c>
      <c r="J5" s="11" t="n">
        <v>2.58498505991172</v>
      </c>
      <c r="K5" s="11" t="n">
        <v>2.65991814474944</v>
      </c>
      <c r="L5" s="11" t="n">
        <v>2.73084968224275</v>
      </c>
      <c r="M5" s="11" t="n">
        <v>2.79810728216312</v>
      </c>
      <c r="N5" s="11" t="n">
        <v>2.86197656272914</v>
      </c>
      <c r="O5" s="11" t="n">
        <v>2.92270541565912</v>
      </c>
      <c r="P5" s="11" t="n">
        <v>2.98051051016997</v>
      </c>
      <c r="Q5" s="11" t="n">
        <v>3.03558249041123</v>
      </c>
      <c r="R5" s="11" t="n">
        <v>3.08808897520329</v>
      </c>
      <c r="S5" s="11" t="n">
        <v>3.13817328051432</v>
      </c>
      <c r="T5" s="11" t="n">
        <v>3.18595645483586</v>
      </c>
      <c r="U5" s="11" t="n">
        <v>3.2315425383695</v>
      </c>
      <c r="V5" s="11" t="n">
        <v>3.27502189980016</v>
      </c>
      <c r="W5" s="11" t="n">
        <v>3.31647316123552</v>
      </c>
      <c r="X5" s="11" t="n">
        <v>3.35596535605809</v>
      </c>
      <c r="Y5" s="11" t="n">
        <v>3.39356162134766</v>
      </c>
      <c r="Z5" s="11" t="n">
        <v>3.42932106699003</v>
      </c>
      <c r="AA5" s="11" t="n">
        <v>3.46329964335702</v>
      </c>
      <c r="AB5" s="11" t="n">
        <v>3.49555192410498</v>
      </c>
      <c r="AC5" s="11" t="n">
        <v>3.52613189870278</v>
      </c>
      <c r="AD5" s="11" t="n">
        <v>3.5550930569295</v>
      </c>
      <c r="AE5" s="11" t="n">
        <v>3.58248848249488</v>
      </c>
      <c r="AF5" s="11" t="n">
        <v>3.60837152771536</v>
      </c>
      <c r="AG5" s="11" t="n">
        <v>3.63279663987822</v>
      </c>
      <c r="AH5" s="11" t="n">
        <v>3.6558192977783</v>
      </c>
      <c r="AI5" s="11" t="n">
        <v>3.67749483566039</v>
      </c>
      <c r="AJ5" s="11" t="n">
        <v>3.69787701239268</v>
      </c>
      <c r="AK5" s="11" t="n">
        <v>3.71701797415233</v>
      </c>
    </row>
    <row r="6" customFormat="false" ht="15" hidden="false" customHeight="false" outlineLevel="0" collapsed="false">
      <c r="A6" s="10" t="n">
        <v>-119</v>
      </c>
      <c r="B6" s="8" t="n">
        <v>41319</v>
      </c>
      <c r="C6" s="11" t="n">
        <v>1.91034721735289</v>
      </c>
      <c r="D6" s="11" t="n">
        <v>2.02517976355422</v>
      </c>
      <c r="E6" s="11" t="n">
        <v>2.13327394857728</v>
      </c>
      <c r="F6" s="11" t="n">
        <v>2.23489240697916</v>
      </c>
      <c r="G6" s="11" t="n">
        <v>2.33039868530938</v>
      </c>
      <c r="H6" s="11" t="n">
        <v>2.42016896144888</v>
      </c>
      <c r="I6" s="11" t="n">
        <v>2.50458040586821</v>
      </c>
      <c r="J6" s="11" t="n">
        <v>2.58401096472294</v>
      </c>
      <c r="K6" s="11" t="n">
        <v>2.65883919825259</v>
      </c>
      <c r="L6" s="11" t="n">
        <v>2.72944278397456</v>
      </c>
      <c r="M6" s="11" t="n">
        <v>2.79617736596653</v>
      </c>
      <c r="N6" s="11" t="n">
        <v>2.85935360811096</v>
      </c>
      <c r="O6" s="11" t="n">
        <v>2.91924184851113</v>
      </c>
      <c r="P6" s="11" t="n">
        <v>2.97607905169951</v>
      </c>
      <c r="Q6" s="11" t="n">
        <v>3.03007436328952</v>
      </c>
      <c r="R6" s="11" t="n">
        <v>3.08141221750362</v>
      </c>
      <c r="S6" s="11" t="n">
        <v>3.13025065907565</v>
      </c>
      <c r="T6" s="11" t="n">
        <v>3.17672354357901</v>
      </c>
      <c r="U6" s="11" t="n">
        <v>3.22094649906042</v>
      </c>
      <c r="V6" s="11" t="n">
        <v>3.26302061276983</v>
      </c>
      <c r="W6" s="11" t="n">
        <v>3.30303448120642</v>
      </c>
      <c r="X6" s="11" t="n">
        <v>3.3410665401564</v>
      </c>
      <c r="Y6" s="11" t="n">
        <v>3.37718910099647</v>
      </c>
      <c r="Z6" s="11" t="n">
        <v>3.41147035658486</v>
      </c>
      <c r="AA6" s="11" t="n">
        <v>3.44397518426782</v>
      </c>
      <c r="AB6" s="11" t="n">
        <v>3.47476660597863</v>
      </c>
      <c r="AC6" s="11" t="n">
        <v>3.50390647826574</v>
      </c>
      <c r="AD6" s="11" t="n">
        <v>3.53145563988104</v>
      </c>
      <c r="AE6" s="11" t="n">
        <v>3.55747404957611</v>
      </c>
      <c r="AF6" s="11" t="n">
        <v>3.58202125550232</v>
      </c>
      <c r="AG6" s="11" t="n">
        <v>3.60515693886701</v>
      </c>
      <c r="AH6" s="11" t="n">
        <v>3.62694089834798</v>
      </c>
      <c r="AI6" s="11" t="n">
        <v>3.64743190300484</v>
      </c>
      <c r="AJ6" s="11" t="n">
        <v>3.66668628042945</v>
      </c>
      <c r="AK6" s="11" t="n">
        <v>3.68475795942887</v>
      </c>
    </row>
    <row r="7" customFormat="false" ht="15" hidden="false" customHeight="false" outlineLevel="0" collapsed="false">
      <c r="A7" s="10" t="n">
        <v>-118</v>
      </c>
      <c r="B7" s="8" t="n">
        <v>41320</v>
      </c>
      <c r="C7" s="11" t="n">
        <v>1.90958004536353</v>
      </c>
      <c r="D7" s="11" t="n">
        <v>2.02347101231237</v>
      </c>
      <c r="E7" s="11" t="n">
        <v>2.13082498504652</v>
      </c>
      <c r="F7" s="11" t="n">
        <v>2.23190527048546</v>
      </c>
      <c r="G7" s="11" t="n">
        <v>2.32706017837333</v>
      </c>
      <c r="H7" s="11" t="n">
        <v>2.41664573659132</v>
      </c>
      <c r="I7" s="11" t="n">
        <v>2.50101664415096</v>
      </c>
      <c r="J7" s="11" t="n">
        <v>2.58052655952715</v>
      </c>
      <c r="K7" s="11" t="n">
        <v>2.65552831743659</v>
      </c>
      <c r="L7" s="11" t="n">
        <v>2.72637279472167</v>
      </c>
      <c r="M7" s="11" t="n">
        <v>2.79339015709513</v>
      </c>
      <c r="N7" s="11" t="n">
        <v>2.85687029875441</v>
      </c>
      <c r="O7" s="11" t="n">
        <v>2.91706723843355</v>
      </c>
      <c r="P7" s="11" t="n">
        <v>2.97420530457093</v>
      </c>
      <c r="Q7" s="11" t="n">
        <v>3.0284840774301</v>
      </c>
      <c r="R7" s="11" t="n">
        <v>3.0800813851159</v>
      </c>
      <c r="S7" s="11" t="n">
        <v>3.1291528600102</v>
      </c>
      <c r="T7" s="11" t="n">
        <v>3.17583397700065</v>
      </c>
      <c r="U7" s="11" t="n">
        <v>3.22024408219606</v>
      </c>
      <c r="V7" s="11" t="n">
        <v>3.2624891635561</v>
      </c>
      <c r="W7" s="11" t="n">
        <v>3.30266371949669</v>
      </c>
      <c r="X7" s="11" t="n">
        <v>3.34085273314122</v>
      </c>
      <c r="Y7" s="11" t="n">
        <v>3.3771346269983</v>
      </c>
      <c r="Z7" s="11" t="n">
        <v>3.41158284667464</v>
      </c>
      <c r="AA7" s="11" t="n">
        <v>3.4442667003792</v>
      </c>
      <c r="AB7" s="11" t="n">
        <v>3.47525265281797</v>
      </c>
      <c r="AC7" s="11" t="n">
        <v>3.50460500180031</v>
      </c>
      <c r="AD7" s="11" t="n">
        <v>3.53238613830568</v>
      </c>
      <c r="AE7" s="11" t="n">
        <v>3.55865678381122</v>
      </c>
      <c r="AF7" s="11" t="n">
        <v>3.58347650438414</v>
      </c>
      <c r="AG7" s="11" t="n">
        <v>3.6069042619659</v>
      </c>
      <c r="AH7" s="11" t="n">
        <v>3.62899846929663</v>
      </c>
      <c r="AI7" s="11" t="n">
        <v>3.64981603981222</v>
      </c>
      <c r="AJ7" s="11" t="n">
        <v>3.669411241648</v>
      </c>
      <c r="AK7" s="11" t="n">
        <v>3.68783579717959</v>
      </c>
    </row>
    <row r="8" customFormat="false" ht="15" hidden="false" customHeight="false" outlineLevel="0" collapsed="false">
      <c r="A8" s="10" t="n">
        <v>-117</v>
      </c>
      <c r="B8" s="8" t="n">
        <v>41323</v>
      </c>
      <c r="C8" s="11" t="n">
        <v>1.90889666736483</v>
      </c>
      <c r="D8" s="11" t="n">
        <v>2.02288029911049</v>
      </c>
      <c r="E8" s="11" t="n">
        <v>2.13039714105819</v>
      </c>
      <c r="F8" s="11" t="n">
        <v>2.23170513662626</v>
      </c>
      <c r="G8" s="11" t="n">
        <v>2.3271475356322</v>
      </c>
      <c r="H8" s="11" t="n">
        <v>2.41707583660996</v>
      </c>
      <c r="I8" s="11" t="n">
        <v>2.50184080608323</v>
      </c>
      <c r="J8" s="11" t="n">
        <v>2.58179263725638</v>
      </c>
      <c r="K8" s="11" t="n">
        <v>2.657281069456</v>
      </c>
      <c r="L8" s="11" t="n">
        <v>2.72865411286011</v>
      </c>
      <c r="M8" s="11" t="n">
        <v>2.79623860554339</v>
      </c>
      <c r="N8" s="11" t="n">
        <v>2.860320236086</v>
      </c>
      <c r="O8" s="11" t="n">
        <v>2.92114807911758</v>
      </c>
      <c r="P8" s="11" t="n">
        <v>2.97894090785256</v>
      </c>
      <c r="Q8" s="11" t="n">
        <v>3.03389223674612</v>
      </c>
      <c r="R8" s="11" t="n">
        <v>3.08617324008737</v>
      </c>
      <c r="S8" s="11" t="n">
        <v>3.13593184373614</v>
      </c>
      <c r="T8" s="11" t="n">
        <v>3.18329496456714</v>
      </c>
      <c r="U8" s="11" t="n">
        <v>3.22837362247062</v>
      </c>
      <c r="V8" s="11" t="n">
        <v>3.2712660746798</v>
      </c>
      <c r="W8" s="11" t="n">
        <v>3.31205961160101</v>
      </c>
      <c r="X8" s="11" t="n">
        <v>3.35083262919721</v>
      </c>
      <c r="Y8" s="11" t="n">
        <v>3.38765815198941</v>
      </c>
      <c r="Z8" s="11" t="n">
        <v>3.4226055349367</v>
      </c>
      <c r="AA8" s="11" t="n">
        <v>3.45574114561753</v>
      </c>
      <c r="AB8" s="11" t="n">
        <v>3.48712950738743</v>
      </c>
      <c r="AC8" s="11" t="n">
        <v>3.51683384845849</v>
      </c>
      <c r="AD8" s="11" t="n">
        <v>3.54491626020408</v>
      </c>
      <c r="AE8" s="11" t="n">
        <v>3.57143784904222</v>
      </c>
      <c r="AF8" s="11" t="n">
        <v>3.59645920089721</v>
      </c>
      <c r="AG8" s="11" t="n">
        <v>3.62004089224603</v>
      </c>
      <c r="AH8" s="11" t="n">
        <v>3.64224347823114</v>
      </c>
      <c r="AI8" s="11" t="n">
        <v>3.66312640620763</v>
      </c>
      <c r="AJ8" s="11" t="n">
        <v>3.68274674155749</v>
      </c>
      <c r="AK8" s="11" t="n">
        <v>3.70115923230619</v>
      </c>
    </row>
    <row r="9" customFormat="false" ht="15" hidden="false" customHeight="false" outlineLevel="0" collapsed="false">
      <c r="A9" s="10" t="n">
        <v>-116</v>
      </c>
      <c r="B9" s="8" t="n">
        <v>41324</v>
      </c>
      <c r="C9" s="11" t="n">
        <v>1.90128730656486</v>
      </c>
      <c r="D9" s="11" t="n">
        <v>2.01572009366732</v>
      </c>
      <c r="E9" s="11" t="n">
        <v>2.12350966610388</v>
      </c>
      <c r="F9" s="11" t="n">
        <v>2.22494750211248</v>
      </c>
      <c r="G9" s="11" t="n">
        <v>2.32041382045233</v>
      </c>
      <c r="H9" s="11" t="n">
        <v>2.4102922504894</v>
      </c>
      <c r="I9" s="11" t="n">
        <v>2.49496120831819</v>
      </c>
      <c r="J9" s="11" t="n">
        <v>2.57479502968565</v>
      </c>
      <c r="K9" s="11" t="n">
        <v>2.65016482006359</v>
      </c>
      <c r="L9" s="11" t="n">
        <v>2.72143756902106</v>
      </c>
      <c r="M9" s="11" t="n">
        <v>2.78895514545322</v>
      </c>
      <c r="N9" s="11" t="n">
        <v>2.85301292224187</v>
      </c>
      <c r="O9" s="11" t="n">
        <v>2.91386506191842</v>
      </c>
      <c r="P9" s="11" t="n">
        <v>2.97173162170744</v>
      </c>
      <c r="Q9" s="11" t="n">
        <v>3.02680423102793</v>
      </c>
      <c r="R9" s="11" t="n">
        <v>3.07924969445142</v>
      </c>
      <c r="S9" s="11" t="n">
        <v>3.12921018176456</v>
      </c>
      <c r="T9" s="11" t="n">
        <v>3.17680611604464</v>
      </c>
      <c r="U9" s="11" t="n">
        <v>3.22214186093388</v>
      </c>
      <c r="V9" s="11" t="n">
        <v>3.2653090573358</v>
      </c>
      <c r="W9" s="11" t="n">
        <v>3.30638841845796</v>
      </c>
      <c r="X9" s="11" t="n">
        <v>3.34545197564379</v>
      </c>
      <c r="Y9" s="11" t="n">
        <v>3.38256724519507</v>
      </c>
      <c r="Z9" s="11" t="n">
        <v>3.41779909366639</v>
      </c>
      <c r="AA9" s="11" t="n">
        <v>3.45121030628052</v>
      </c>
      <c r="AB9" s="11" t="n">
        <v>3.48286263963951</v>
      </c>
      <c r="AC9" s="11" t="n">
        <v>3.51281727806056</v>
      </c>
      <c r="AD9" s="11" t="n">
        <v>3.54113490773949</v>
      </c>
      <c r="AE9" s="11" t="n">
        <v>3.56787579558304</v>
      </c>
      <c r="AF9" s="11" t="n">
        <v>3.5931001774633</v>
      </c>
      <c r="AG9" s="11" t="n">
        <v>3.61686869376848</v>
      </c>
      <c r="AH9" s="11" t="n">
        <v>3.63924232415969</v>
      </c>
      <c r="AI9" s="11" t="n">
        <v>3.66028119532581</v>
      </c>
      <c r="AJ9" s="11" t="n">
        <v>3.68004321137534</v>
      </c>
      <c r="AK9" s="11" t="n">
        <v>3.69858409654048</v>
      </c>
    </row>
    <row r="10" customFormat="false" ht="15" hidden="false" customHeight="false" outlineLevel="0" collapsed="false">
      <c r="A10" s="10" t="n">
        <v>-115</v>
      </c>
      <c r="B10" s="8" t="n">
        <v>41325</v>
      </c>
      <c r="C10" s="11" t="n">
        <v>1.9145633961151</v>
      </c>
      <c r="D10" s="11" t="n">
        <v>2.03268801528336</v>
      </c>
      <c r="E10" s="11" t="n">
        <v>2.14344948600654</v>
      </c>
      <c r="F10" s="11" t="n">
        <v>2.24716974191534</v>
      </c>
      <c r="G10" s="11" t="n">
        <v>2.34427969509771</v>
      </c>
      <c r="H10" s="11" t="n">
        <v>2.43522067635746</v>
      </c>
      <c r="I10" s="11" t="n">
        <v>2.52043339679756</v>
      </c>
      <c r="J10" s="11" t="n">
        <v>2.60035808218756</v>
      </c>
      <c r="K10" s="11" t="n">
        <v>2.67543457407471</v>
      </c>
      <c r="L10" s="11" t="n">
        <v>2.74610055081386</v>
      </c>
      <c r="M10" s="11" t="n">
        <v>2.81276598175568</v>
      </c>
      <c r="N10" s="11" t="n">
        <v>2.87578762540484</v>
      </c>
      <c r="O10" s="11" t="n">
        <v>2.93547503366399</v>
      </c>
      <c r="P10" s="11" t="n">
        <v>2.99209869072505</v>
      </c>
      <c r="Q10" s="11" t="n">
        <v>3.04589651364668</v>
      </c>
      <c r="R10" s="11" t="n">
        <v>3.09707760195699</v>
      </c>
      <c r="S10" s="11" t="n">
        <v>3.14582116484883</v>
      </c>
      <c r="T10" s="11" t="n">
        <v>3.1922791909097</v>
      </c>
      <c r="U10" s="11" t="n">
        <v>3.23658185915671</v>
      </c>
      <c r="V10" s="11" t="n">
        <v>3.27884124908023</v>
      </c>
      <c r="W10" s="11" t="n">
        <v>3.31915387071792</v>
      </c>
      <c r="X10" s="11" t="n">
        <v>3.35760328744535</v>
      </c>
      <c r="Y10" s="11" t="n">
        <v>3.39426383277229</v>
      </c>
      <c r="Z10" s="11" t="n">
        <v>3.42920264078938</v>
      </c>
      <c r="AA10" s="11" t="n">
        <v>3.46248088346712</v>
      </c>
      <c r="AB10" s="11" t="n">
        <v>3.49415570948277</v>
      </c>
      <c r="AC10" s="11" t="n">
        <v>3.52428122341201</v>
      </c>
      <c r="AD10" s="11" t="n">
        <v>3.55290885082871</v>
      </c>
      <c r="AE10" s="11" t="n">
        <v>3.58008769035373</v>
      </c>
      <c r="AF10" s="11" t="n">
        <v>3.6058654915429</v>
      </c>
      <c r="AG10" s="11" t="n">
        <v>3.63028970061014</v>
      </c>
      <c r="AH10" s="11" t="n">
        <v>3.65340755832628</v>
      </c>
      <c r="AI10" s="11" t="n">
        <v>3.67526545814471</v>
      </c>
      <c r="AJ10" s="11" t="n">
        <v>3.69590820745326</v>
      </c>
      <c r="AK10" s="11" t="n">
        <v>3.71537908597926</v>
      </c>
    </row>
    <row r="11" customFormat="false" ht="15" hidden="false" customHeight="false" outlineLevel="0" collapsed="false">
      <c r="A11" s="10" t="n">
        <v>-114</v>
      </c>
      <c r="B11" s="8" t="n">
        <v>41326</v>
      </c>
      <c r="C11" s="11" t="n">
        <v>1.82646831147144</v>
      </c>
      <c r="D11" s="11" t="n">
        <v>1.9439269100572</v>
      </c>
      <c r="E11" s="11" t="n">
        <v>2.05432518521694</v>
      </c>
      <c r="F11" s="11" t="n">
        <v>2.1579186492677</v>
      </c>
      <c r="G11" s="11" t="n">
        <v>2.25507567079907</v>
      </c>
      <c r="H11" s="11" t="n">
        <v>2.34618573283718</v>
      </c>
      <c r="I11" s="11" t="n">
        <v>2.43164708595375</v>
      </c>
      <c r="J11" s="11" t="n">
        <v>2.51186484203762</v>
      </c>
      <c r="K11" s="11" t="n">
        <v>2.58724954485368</v>
      </c>
      <c r="L11" s="11" t="n">
        <v>2.65821432786419</v>
      </c>
      <c r="M11" s="11" t="n">
        <v>2.72515026735072</v>
      </c>
      <c r="N11" s="11" t="n">
        <v>2.78840231159518</v>
      </c>
      <c r="O11" s="11" t="n">
        <v>2.84827435172822</v>
      </c>
      <c r="P11" s="11" t="n">
        <v>2.90503630041927</v>
      </c>
      <c r="Q11" s="11" t="n">
        <v>2.95892974266784</v>
      </c>
      <c r="R11" s="11" t="n">
        <v>3.01017084798588</v>
      </c>
      <c r="S11" s="11" t="n">
        <v>3.05894827412756</v>
      </c>
      <c r="T11" s="11" t="n">
        <v>3.10542500483525</v>
      </c>
      <c r="U11" s="11" t="n">
        <v>3.14974238042291</v>
      </c>
      <c r="V11" s="11" t="n">
        <v>3.19202331273158</v>
      </c>
      <c r="W11" s="11" t="n">
        <v>3.23237484861485</v>
      </c>
      <c r="X11" s="11" t="n">
        <v>3.27089052079071</v>
      </c>
      <c r="Y11" s="11" t="n">
        <v>3.30765291848755</v>
      </c>
      <c r="Z11" s="11" t="n">
        <v>3.34273542091152</v>
      </c>
      <c r="AA11" s="11" t="n">
        <v>3.37620363113721</v>
      </c>
      <c r="AB11" s="11" t="n">
        <v>3.40811735987432</v>
      </c>
      <c r="AC11" s="11" t="n">
        <v>3.43853173725528</v>
      </c>
      <c r="AD11" s="11" t="n">
        <v>3.4674977662538</v>
      </c>
      <c r="AE11" s="11" t="n">
        <v>3.49506284158565</v>
      </c>
      <c r="AF11" s="11" t="n">
        <v>3.52127189163118</v>
      </c>
      <c r="AG11" s="11" t="n">
        <v>3.54616856167864</v>
      </c>
      <c r="AH11" s="11" t="n">
        <v>3.56979543454399</v>
      </c>
      <c r="AI11" s="11" t="n">
        <v>3.59219375758873</v>
      </c>
      <c r="AJ11" s="11" t="n">
        <v>3.61340310733425</v>
      </c>
      <c r="AK11" s="11" t="n">
        <v>3.6334615001318</v>
      </c>
    </row>
    <row r="12" customFormat="false" ht="15" hidden="false" customHeight="false" outlineLevel="0" collapsed="false">
      <c r="A12" s="10" t="n">
        <v>-113</v>
      </c>
      <c r="B12" s="8" t="n">
        <v>41327</v>
      </c>
      <c r="C12" s="11" t="n">
        <v>1.83551591423847</v>
      </c>
      <c r="D12" s="11" t="n">
        <v>1.95283483045566</v>
      </c>
      <c r="E12" s="11" t="n">
        <v>2.06315632037178</v>
      </c>
      <c r="F12" s="11" t="n">
        <v>2.16670626885495</v>
      </c>
      <c r="G12" s="11" t="n">
        <v>2.26382788861285</v>
      </c>
      <c r="H12" s="11" t="n">
        <v>2.35489070779519</v>
      </c>
      <c r="I12" s="11" t="n">
        <v>2.44027756099416</v>
      </c>
      <c r="J12" s="11" t="n">
        <v>2.52038169644204</v>
      </c>
      <c r="K12" s="11" t="n">
        <v>2.5956046065029</v>
      </c>
      <c r="L12" s="11" t="n">
        <v>2.66635253185976</v>
      </c>
      <c r="M12" s="11" t="n">
        <v>2.73301139708115</v>
      </c>
      <c r="N12" s="11" t="n">
        <v>2.79592340620543</v>
      </c>
      <c r="O12" s="11" t="n">
        <v>2.85539193180233</v>
      </c>
      <c r="P12" s="11" t="n">
        <v>2.91168820999871</v>
      </c>
      <c r="Q12" s="11" t="n">
        <v>2.96505668191541</v>
      </c>
      <c r="R12" s="11" t="n">
        <v>3.0157175590268</v>
      </c>
      <c r="S12" s="11" t="n">
        <v>3.06386442378794</v>
      </c>
      <c r="T12" s="11" t="n">
        <v>3.10966588478827</v>
      </c>
      <c r="U12" s="11" t="n">
        <v>3.15326916857572</v>
      </c>
      <c r="V12" s="11" t="n">
        <v>3.19480316052064</v>
      </c>
      <c r="W12" s="11" t="n">
        <v>3.23438095299425</v>
      </c>
      <c r="X12" s="11" t="n">
        <v>3.27210212375109</v>
      </c>
      <c r="Y12" s="11" t="n">
        <v>3.30805504496677</v>
      </c>
      <c r="Z12" s="11" t="n">
        <v>3.34231853389792</v>
      </c>
      <c r="AA12" s="11" t="n">
        <v>3.37496330487724</v>
      </c>
      <c r="AB12" s="11" t="n">
        <v>3.40605387322573</v>
      </c>
      <c r="AC12" s="11" t="n">
        <v>3.43564965305062</v>
      </c>
      <c r="AD12" s="11" t="n">
        <v>3.46380555764321</v>
      </c>
      <c r="AE12" s="11" t="n">
        <v>3.49057256011452</v>
      </c>
      <c r="AF12" s="11" t="n">
        <v>3.51599882487795</v>
      </c>
      <c r="AG12" s="11" t="n">
        <v>3.54013083949172</v>
      </c>
      <c r="AH12" s="11" t="n">
        <v>3.56301365997167</v>
      </c>
      <c r="AI12" s="11" t="n">
        <v>3.58469066579331</v>
      </c>
      <c r="AJ12" s="11" t="n">
        <v>3.60520326352088</v>
      </c>
      <c r="AK12" s="11" t="n">
        <v>3.62459103067397</v>
      </c>
    </row>
    <row r="13" customFormat="false" ht="15" hidden="false" customHeight="false" outlineLevel="0" collapsed="false">
      <c r="A13" s="10" t="n">
        <v>-112</v>
      </c>
      <c r="B13" s="8" t="n">
        <v>41330</v>
      </c>
      <c r="C13" s="11" t="n">
        <v>1.80470496237017</v>
      </c>
      <c r="D13" s="11" t="n">
        <v>1.92242155619727</v>
      </c>
      <c r="E13" s="11" t="n">
        <v>2.03322648115219</v>
      </c>
      <c r="F13" s="11" t="n">
        <v>2.13733062796713</v>
      </c>
      <c r="G13" s="11" t="n">
        <v>2.23506181991391</v>
      </c>
      <c r="H13" s="11" t="n">
        <v>2.32677661379942</v>
      </c>
      <c r="I13" s="11" t="n">
        <v>2.41284713601205</v>
      </c>
      <c r="J13" s="11" t="n">
        <v>2.49365769776377</v>
      </c>
      <c r="K13" s="11" t="n">
        <v>2.56960225658523</v>
      </c>
      <c r="L13" s="11" t="n">
        <v>2.64108062804842</v>
      </c>
      <c r="M13" s="11" t="n">
        <v>2.70847345320356</v>
      </c>
      <c r="N13" s="11" t="n">
        <v>2.77211917812167</v>
      </c>
      <c r="O13" s="11" t="n">
        <v>2.83231877801562</v>
      </c>
      <c r="P13" s="11" t="n">
        <v>2.88934221769364</v>
      </c>
      <c r="Q13" s="11" t="n">
        <v>2.94343360249635</v>
      </c>
      <c r="R13" s="11" t="n">
        <v>2.99481333112086</v>
      </c>
      <c r="S13" s="11" t="n">
        <v>3.04367478565544</v>
      </c>
      <c r="T13" s="11" t="n">
        <v>3.09018581822698</v>
      </c>
      <c r="U13" s="11" t="n">
        <v>3.13449262327719</v>
      </c>
      <c r="V13" s="11" t="n">
        <v>3.1767228958105</v>
      </c>
      <c r="W13" s="11" t="n">
        <v>3.21698840296679</v>
      </c>
      <c r="X13" s="11" t="n">
        <v>3.25538726279673</v>
      </c>
      <c r="Y13" s="11" t="n">
        <v>3.2920061992884</v>
      </c>
      <c r="Z13" s="11" t="n">
        <v>3.32692218636309</v>
      </c>
      <c r="AA13" s="11" t="n">
        <v>3.36020392297966</v>
      </c>
      <c r="AB13" s="11" t="n">
        <v>3.3919137441914</v>
      </c>
      <c r="AC13" s="11" t="n">
        <v>3.4221087287744</v>
      </c>
      <c r="AD13" s="11" t="n">
        <v>3.45084131727758</v>
      </c>
      <c r="AE13" s="11" t="n">
        <v>3.47815989496143</v>
      </c>
      <c r="AF13" s="11" t="n">
        <v>3.5041100171605</v>
      </c>
      <c r="AG13" s="11" t="n">
        <v>3.52873562908794</v>
      </c>
      <c r="AH13" s="11" t="n">
        <v>3.55207932341658</v>
      </c>
      <c r="AI13" s="11" t="n">
        <v>3.57418224653527</v>
      </c>
      <c r="AJ13" s="11" t="n">
        <v>3.59508397114435</v>
      </c>
      <c r="AK13" s="11" t="n">
        <v>3.61482262267183</v>
      </c>
    </row>
    <row r="14" customFormat="false" ht="15" hidden="false" customHeight="false" outlineLevel="0" collapsed="false">
      <c r="A14" s="10" t="n">
        <v>-111</v>
      </c>
      <c r="B14" s="8" t="n">
        <v>41331</v>
      </c>
      <c r="C14" s="11" t="n">
        <v>1.69746690555166</v>
      </c>
      <c r="D14" s="11" t="n">
        <v>1.81143954235674</v>
      </c>
      <c r="E14" s="11" t="n">
        <v>1.91943605368191</v>
      </c>
      <c r="F14" s="11" t="n">
        <v>2.02162841018523</v>
      </c>
      <c r="G14" s="11" t="n">
        <v>2.11828268500913</v>
      </c>
      <c r="H14" s="11" t="n">
        <v>2.20968367060981</v>
      </c>
      <c r="I14" s="11" t="n">
        <v>2.29612487236285</v>
      </c>
      <c r="J14" s="11" t="n">
        <v>2.37790661441028</v>
      </c>
      <c r="K14" s="11" t="n">
        <v>2.4553346190842</v>
      </c>
      <c r="L14" s="11" t="n">
        <v>2.52871744553656</v>
      </c>
      <c r="M14" s="11" t="n">
        <v>2.59834720407383</v>
      </c>
      <c r="N14" s="11" t="n">
        <v>2.66448202024247</v>
      </c>
      <c r="O14" s="11" t="n">
        <v>2.72734995967621</v>
      </c>
      <c r="P14" s="11" t="n">
        <v>2.787154210818</v>
      </c>
      <c r="Q14" s="11" t="n">
        <v>2.84407722314954</v>
      </c>
      <c r="R14" s="11" t="n">
        <v>2.89828316490311</v>
      </c>
      <c r="S14" s="11" t="n">
        <v>2.94991773653721</v>
      </c>
      <c r="T14" s="11" t="n">
        <v>2.99910997745879</v>
      </c>
      <c r="U14" s="11" t="n">
        <v>3.04597520482079</v>
      </c>
      <c r="V14" s="11" t="n">
        <v>3.0906171669268</v>
      </c>
      <c r="W14" s="11" t="n">
        <v>3.13312965644652</v>
      </c>
      <c r="X14" s="11" t="n">
        <v>3.17359820846246</v>
      </c>
      <c r="Y14" s="11" t="n">
        <v>3.21210245172354</v>
      </c>
      <c r="Z14" s="11" t="n">
        <v>3.24871735905927</v>
      </c>
      <c r="AA14" s="11" t="n">
        <v>3.28351386809006</v>
      </c>
      <c r="AB14" s="11" t="n">
        <v>3.31655947534994</v>
      </c>
      <c r="AC14" s="11" t="n">
        <v>3.34791868504553</v>
      </c>
      <c r="AD14" s="11" t="n">
        <v>3.37765335774705</v>
      </c>
      <c r="AE14" s="11" t="n">
        <v>3.40582303466831</v>
      </c>
      <c r="AF14" s="11" t="n">
        <v>3.43248552081985</v>
      </c>
      <c r="AG14" s="11" t="n">
        <v>3.45769745234906</v>
      </c>
      <c r="AH14" s="11" t="n">
        <v>3.4815144150155</v>
      </c>
      <c r="AI14" s="11" t="n">
        <v>3.50399040214143</v>
      </c>
      <c r="AJ14" s="11" t="n">
        <v>3.52517722268512</v>
      </c>
      <c r="AK14" s="11" t="n">
        <v>3.54512463604672</v>
      </c>
    </row>
    <row r="15" customFormat="false" ht="15" hidden="false" customHeight="false" outlineLevel="0" collapsed="false">
      <c r="A15" s="10" t="n">
        <v>-110</v>
      </c>
      <c r="B15" s="8" t="n">
        <v>41332</v>
      </c>
      <c r="C15" s="11" t="n">
        <v>1.68638676250787</v>
      </c>
      <c r="D15" s="11" t="n">
        <v>1.79852736470465</v>
      </c>
      <c r="E15" s="11" t="n">
        <v>1.90497300776401</v>
      </c>
      <c r="F15" s="11" t="n">
        <v>2.00586707655286</v>
      </c>
      <c r="G15" s="11" t="n">
        <v>2.10144863421245</v>
      </c>
      <c r="H15" s="11" t="n">
        <v>2.19197810916523</v>
      </c>
      <c r="I15" s="11" t="n">
        <v>2.27772691196003</v>
      </c>
      <c r="J15" s="11" t="n">
        <v>2.35897504782747</v>
      </c>
      <c r="K15" s="11" t="n">
        <v>2.43600932612128</v>
      </c>
      <c r="L15" s="11" t="n">
        <v>2.50912055114841</v>
      </c>
      <c r="M15" s="11" t="n">
        <v>2.57858473691508</v>
      </c>
      <c r="N15" s="11" t="n">
        <v>2.64464629336731</v>
      </c>
      <c r="O15" s="11" t="n">
        <v>2.70752166455565</v>
      </c>
      <c r="P15" s="11" t="n">
        <v>2.76740415032719</v>
      </c>
      <c r="Q15" s="11" t="n">
        <v>2.82446775698741</v>
      </c>
      <c r="R15" s="11" t="n">
        <v>2.8788695893967</v>
      </c>
      <c r="S15" s="11" t="n">
        <v>2.93075005370977</v>
      </c>
      <c r="T15" s="11" t="n">
        <v>2.98023443561223</v>
      </c>
      <c r="U15" s="11" t="n">
        <v>3.02743492871983</v>
      </c>
      <c r="V15" s="11" t="n">
        <v>3.07245243776342</v>
      </c>
      <c r="W15" s="11" t="n">
        <v>3.11537814703099</v>
      </c>
      <c r="X15" s="11" t="n">
        <v>3.15629504693239</v>
      </c>
      <c r="Y15" s="11" t="n">
        <v>3.19527976600537</v>
      </c>
      <c r="Z15" s="11" t="n">
        <v>3.23240367716619</v>
      </c>
      <c r="AA15" s="11" t="n">
        <v>3.26773360777674</v>
      </c>
      <c r="AB15" s="11" t="n">
        <v>3.30133255922862</v>
      </c>
      <c r="AC15" s="11" t="n">
        <v>3.33326022497341</v>
      </c>
      <c r="AD15" s="11" t="n">
        <v>3.36357337632879</v>
      </c>
      <c r="AE15" s="11" t="n">
        <v>3.39232623237611</v>
      </c>
      <c r="AF15" s="11" t="n">
        <v>3.41957125088798</v>
      </c>
      <c r="AG15" s="11" t="n">
        <v>3.44535990300523</v>
      </c>
      <c r="AH15" s="11" t="n">
        <v>3.46974280889946</v>
      </c>
      <c r="AI15" s="11" t="n">
        <v>3.49276938200459</v>
      </c>
      <c r="AJ15" s="11" t="n">
        <v>3.51448744362212</v>
      </c>
      <c r="AK15" s="11" t="n">
        <v>3.53494332661898</v>
      </c>
    </row>
    <row r="16" customFormat="false" ht="15" hidden="false" customHeight="false" outlineLevel="0" collapsed="false">
      <c r="A16" s="10" t="n">
        <v>-109</v>
      </c>
      <c r="B16" s="8" t="n">
        <v>41333</v>
      </c>
      <c r="C16" s="11" t="n">
        <v>1.69882546381632</v>
      </c>
      <c r="D16" s="11" t="n">
        <v>1.81073649963251</v>
      </c>
      <c r="E16" s="11" t="n">
        <v>1.91675186446446</v>
      </c>
      <c r="F16" s="11" t="n">
        <v>2.01700418529201</v>
      </c>
      <c r="G16" s="11" t="n">
        <v>2.11173332566964</v>
      </c>
      <c r="H16" s="11" t="n">
        <v>2.20121059142338</v>
      </c>
      <c r="I16" s="11" t="n">
        <v>2.28572627102723</v>
      </c>
      <c r="J16" s="11" t="n">
        <v>2.36558550892474</v>
      </c>
      <c r="K16" s="11" t="n">
        <v>2.44110521053536</v>
      </c>
      <c r="L16" s="11" t="n">
        <v>2.5126100431331</v>
      </c>
      <c r="M16" s="11" t="n">
        <v>2.58041079106728</v>
      </c>
      <c r="N16" s="11" t="n">
        <v>2.6447853166932</v>
      </c>
      <c r="O16" s="11" t="n">
        <v>2.70598225695814</v>
      </c>
      <c r="P16" s="11" t="n">
        <v>2.76422606225453</v>
      </c>
      <c r="Q16" s="11" t="n">
        <v>2.81972101017775</v>
      </c>
      <c r="R16" s="11" t="n">
        <v>2.87265266437461</v>
      </c>
      <c r="S16" s="11" t="n">
        <v>2.92318479707759</v>
      </c>
      <c r="T16" s="11" t="n">
        <v>2.97146037881587</v>
      </c>
      <c r="U16" s="11" t="n">
        <v>3.01760417646071</v>
      </c>
      <c r="V16" s="11" t="n">
        <v>3.06172519722498</v>
      </c>
      <c r="W16" s="11" t="n">
        <v>3.10391887499147</v>
      </c>
      <c r="X16" s="11" t="n">
        <v>3.14426893537503</v>
      </c>
      <c r="Y16" s="11" t="n">
        <v>3.18284904398554</v>
      </c>
      <c r="Z16" s="11" t="n">
        <v>3.21972413966934</v>
      </c>
      <c r="AA16" s="11" t="n">
        <v>3.25495180672013</v>
      </c>
      <c r="AB16" s="11" t="n">
        <v>3.28858413503304</v>
      </c>
      <c r="AC16" s="11" t="n">
        <v>3.32066873435013</v>
      </c>
      <c r="AD16" s="11" t="n">
        <v>3.35124926171914</v>
      </c>
      <c r="AE16" s="11" t="n">
        <v>3.38036593874272</v>
      </c>
      <c r="AF16" s="11" t="n">
        <v>3.40805683100547</v>
      </c>
      <c r="AG16" s="11" t="n">
        <v>3.43435910214683</v>
      </c>
      <c r="AH16" s="11" t="n">
        <v>3.45930922200524</v>
      </c>
      <c r="AI16" s="11" t="n">
        <v>3.4829430633371</v>
      </c>
      <c r="AJ16" s="11" t="n">
        <v>3.50529599038443</v>
      </c>
      <c r="AK16" s="11" t="n">
        <v>3.52640291269774</v>
      </c>
    </row>
    <row r="17" customFormat="false" ht="15" hidden="false" customHeight="false" outlineLevel="0" collapsed="false">
      <c r="A17" s="10" t="n">
        <v>-108</v>
      </c>
      <c r="B17" s="8" t="n">
        <v>41334</v>
      </c>
      <c r="C17" s="11" t="n">
        <v>1.60038814462462</v>
      </c>
      <c r="D17" s="11" t="n">
        <v>1.70973839888121</v>
      </c>
      <c r="E17" s="11" t="n">
        <v>1.81372497447159</v>
      </c>
      <c r="F17" s="11" t="n">
        <v>1.91241891947288</v>
      </c>
      <c r="G17" s="11" t="n">
        <v>2.0059846180413</v>
      </c>
      <c r="H17" s="11" t="n">
        <v>2.09462447633224</v>
      </c>
      <c r="I17" s="11" t="n">
        <v>2.17856692146457</v>
      </c>
      <c r="J17" s="11" t="n">
        <v>2.25806074478779</v>
      </c>
      <c r="K17" s="11" t="n">
        <v>2.33337085933403</v>
      </c>
      <c r="L17" s="11" t="n">
        <v>2.40477373230975</v>
      </c>
      <c r="M17" s="11" t="n">
        <v>2.47253951535701</v>
      </c>
      <c r="N17" s="11" t="n">
        <v>2.53691702535507</v>
      </c>
      <c r="O17" s="11" t="n">
        <v>2.59813599400804</v>
      </c>
      <c r="P17" s="11" t="n">
        <v>2.65641035839075</v>
      </c>
      <c r="Q17" s="11" t="n">
        <v>2.7119408667318</v>
      </c>
      <c r="R17" s="11" t="n">
        <v>2.76491472117963</v>
      </c>
      <c r="S17" s="11" t="n">
        <v>2.81549969992318</v>
      </c>
      <c r="T17" s="11" t="n">
        <v>2.86384392326191</v>
      </c>
      <c r="U17" s="11" t="n">
        <v>2.91007748751802</v>
      </c>
      <c r="V17" s="11" t="n">
        <v>2.9543146080529</v>
      </c>
      <c r="W17" s="11" t="n">
        <v>2.99665581483086</v>
      </c>
      <c r="X17" s="11" t="n">
        <v>3.0371894820334</v>
      </c>
      <c r="Y17" s="11" t="n">
        <v>3.07599235304519</v>
      </c>
      <c r="Z17" s="11" t="n">
        <v>3.11313064133112</v>
      </c>
      <c r="AA17" s="11" t="n">
        <v>3.14866166589803</v>
      </c>
      <c r="AB17" s="11" t="n">
        <v>3.18263601262541</v>
      </c>
      <c r="AC17" s="11" t="n">
        <v>3.21509872358101</v>
      </c>
      <c r="AD17" s="11" t="n">
        <v>3.24608994810319</v>
      </c>
      <c r="AE17" s="11" t="n">
        <v>3.27564558387659</v>
      </c>
      <c r="AF17" s="11" t="n">
        <v>3.30379881678056</v>
      </c>
      <c r="AG17" s="11" t="n">
        <v>3.33058158546984</v>
      </c>
      <c r="AH17" s="11" t="n">
        <v>3.35602485484327</v>
      </c>
      <c r="AI17" s="11" t="n">
        <v>3.38015896601417</v>
      </c>
      <c r="AJ17" s="11" t="n">
        <v>3.40301397108089</v>
      </c>
      <c r="AK17" s="11" t="n">
        <v>3.42461968985414</v>
      </c>
    </row>
    <row r="18" customFormat="false" ht="15" hidden="false" customHeight="false" outlineLevel="0" collapsed="false">
      <c r="A18" s="10" t="n">
        <v>-107</v>
      </c>
      <c r="B18" s="8" t="n">
        <v>41337</v>
      </c>
      <c r="C18" s="11" t="n">
        <v>1.63528457521876</v>
      </c>
      <c r="D18" s="11" t="n">
        <v>1.74535638707635</v>
      </c>
      <c r="E18" s="11" t="n">
        <v>1.84993641939866</v>
      </c>
      <c r="F18" s="11" t="n">
        <v>1.94910759854016</v>
      </c>
      <c r="G18" s="11" t="n">
        <v>2.04304945992921</v>
      </c>
      <c r="H18" s="11" t="n">
        <v>2.1319795846453</v>
      </c>
      <c r="I18" s="11" t="n">
        <v>2.21614139031085</v>
      </c>
      <c r="J18" s="11" t="n">
        <v>2.29579851445073</v>
      </c>
      <c r="K18" s="11" t="n">
        <v>2.3712306020126</v>
      </c>
      <c r="L18" s="11" t="n">
        <v>2.44272861593368</v>
      </c>
      <c r="M18" s="11" t="n">
        <v>2.51057560551995</v>
      </c>
      <c r="N18" s="11" t="n">
        <v>2.57503073689691</v>
      </c>
      <c r="O18" s="11" t="n">
        <v>2.63633190369192</v>
      </c>
      <c r="P18" s="11" t="n">
        <v>2.69469939470553</v>
      </c>
      <c r="Q18" s="11" t="n">
        <v>2.750338797698</v>
      </c>
      <c r="R18" s="11" t="n">
        <v>2.80344063630518</v>
      </c>
      <c r="S18" s="11" t="n">
        <v>2.85417403990509</v>
      </c>
      <c r="T18" s="11" t="n">
        <v>2.90268675991001</v>
      </c>
      <c r="U18" s="11" t="n">
        <v>2.94910757388075</v>
      </c>
      <c r="V18" s="11" t="n">
        <v>2.99354875221068</v>
      </c>
      <c r="W18" s="11" t="n">
        <v>3.03610834472793</v>
      </c>
      <c r="X18" s="11" t="n">
        <v>3.07687188257</v>
      </c>
      <c r="Y18" s="11" t="n">
        <v>3.11591329622299</v>
      </c>
      <c r="Z18" s="11" t="n">
        <v>3.15329614285708</v>
      </c>
      <c r="AA18" s="11" t="n">
        <v>3.18907526441529</v>
      </c>
      <c r="AB18" s="11" t="n">
        <v>3.22329904314173</v>
      </c>
      <c r="AC18" s="11" t="n">
        <v>3.25601059480058</v>
      </c>
      <c r="AD18" s="11" t="n">
        <v>3.28724838792096</v>
      </c>
      <c r="AE18" s="11" t="n">
        <v>3.31704685910339</v>
      </c>
      <c r="AF18" s="11" t="n">
        <v>3.3454379372853</v>
      </c>
      <c r="AG18" s="11" t="n">
        <v>3.37245248179649</v>
      </c>
      <c r="AH18" s="11" t="n">
        <v>3.39812053312769</v>
      </c>
      <c r="AI18" s="11" t="n">
        <v>3.42247162428833</v>
      </c>
      <c r="AJ18" s="11" t="n">
        <v>3.44553507626219</v>
      </c>
      <c r="AK18" s="11" t="n">
        <v>3.46734004383317</v>
      </c>
    </row>
    <row r="19" customFormat="false" ht="15" hidden="false" customHeight="false" outlineLevel="0" collapsed="false">
      <c r="A19" s="10" t="n">
        <v>-106</v>
      </c>
      <c r="B19" s="8" t="n">
        <v>41338</v>
      </c>
      <c r="C19" s="11" t="n">
        <v>1.68888156418872</v>
      </c>
      <c r="D19" s="11" t="n">
        <v>1.8009785599971</v>
      </c>
      <c r="E19" s="11" t="n">
        <v>1.90717117436371</v>
      </c>
      <c r="F19" s="11" t="n">
        <v>2.00758761221259</v>
      </c>
      <c r="G19" s="11" t="n">
        <v>2.1024600168746</v>
      </c>
      <c r="H19" s="11" t="n">
        <v>2.19205477850579</v>
      </c>
      <c r="I19" s="11" t="n">
        <v>2.27666031583845</v>
      </c>
      <c r="J19" s="11" t="n">
        <v>2.35658228735995</v>
      </c>
      <c r="K19" s="11" t="n">
        <v>2.43213999969703</v>
      </c>
      <c r="L19" s="11" t="n">
        <v>2.5036618707579</v>
      </c>
      <c r="M19" s="11" t="n">
        <v>2.57146329543213</v>
      </c>
      <c r="N19" s="11" t="n">
        <v>2.63582846865558</v>
      </c>
      <c r="O19" s="11" t="n">
        <v>2.69701403392738</v>
      </c>
      <c r="P19" s="11" t="n">
        <v>2.75525383355728</v>
      </c>
      <c r="Q19" s="11" t="n">
        <v>2.81076267783815</v>
      </c>
      <c r="R19" s="11" t="n">
        <v>2.86373671209051</v>
      </c>
      <c r="S19" s="11" t="n">
        <v>2.91434786162752</v>
      </c>
      <c r="T19" s="11" t="n">
        <v>2.96274464827605</v>
      </c>
      <c r="U19" s="11" t="n">
        <v>3.00905573993794</v>
      </c>
      <c r="V19" s="11" t="n">
        <v>3.05339283940753</v>
      </c>
      <c r="W19" s="11" t="n">
        <v>3.09585304153992</v>
      </c>
      <c r="X19" s="11" t="n">
        <v>3.13652081628625</v>
      </c>
      <c r="Y19" s="11" t="n">
        <v>3.17546969930107</v>
      </c>
      <c r="Z19" s="11" t="n">
        <v>3.21276370729946</v>
      </c>
      <c r="AA19" s="11" t="n">
        <v>3.24845880584656</v>
      </c>
      <c r="AB19" s="11" t="n">
        <v>3.28260478507342</v>
      </c>
      <c r="AC19" s="11" t="n">
        <v>3.31524630881023</v>
      </c>
      <c r="AD19" s="11" t="n">
        <v>3.34642351560471</v>
      </c>
      <c r="AE19" s="11" t="n">
        <v>3.37617261006468</v>
      </c>
      <c r="AF19" s="11" t="n">
        <v>3.40452723604632</v>
      </c>
      <c r="AG19" s="11" t="n">
        <v>3.4315197566263</v>
      </c>
      <c r="AH19" s="11" t="n">
        <v>3.45718150571317</v>
      </c>
      <c r="AI19" s="11" t="n">
        <v>3.4815430768349</v>
      </c>
      <c r="AJ19" s="11" t="n">
        <v>3.50463459208999</v>
      </c>
      <c r="AK19" s="11" t="n">
        <v>3.52648576853167</v>
      </c>
    </row>
    <row r="20" customFormat="false" ht="15" hidden="false" customHeight="false" outlineLevel="0" collapsed="false">
      <c r="A20" s="10" t="n">
        <v>-105</v>
      </c>
      <c r="B20" s="8" t="n">
        <v>41339</v>
      </c>
      <c r="C20" s="11" t="n">
        <v>1.67783177584669</v>
      </c>
      <c r="D20" s="11" t="n">
        <v>1.79119967409982</v>
      </c>
      <c r="E20" s="11" t="n">
        <v>1.89851220776585</v>
      </c>
      <c r="F20" s="11" t="n">
        <v>1.99989363653795</v>
      </c>
      <c r="G20" s="11" t="n">
        <v>2.09557925947269</v>
      </c>
      <c r="H20" s="11" t="n">
        <v>2.18584211075657</v>
      </c>
      <c r="I20" s="11" t="n">
        <v>2.27097982438821</v>
      </c>
      <c r="J20" s="11" t="n">
        <v>2.35130928639302</v>
      </c>
      <c r="K20" s="11" t="n">
        <v>2.42716262398429</v>
      </c>
      <c r="L20" s="11" t="n">
        <v>2.4988822142505</v>
      </c>
      <c r="M20" s="11" t="n">
        <v>2.56679714944953</v>
      </c>
      <c r="N20" s="11" t="n">
        <v>2.63120417398733</v>
      </c>
      <c r="O20" s="11" t="n">
        <v>2.69237148207759</v>
      </c>
      <c r="P20" s="11" t="n">
        <v>2.75054364018855</v>
      </c>
      <c r="Q20" s="11" t="n">
        <v>2.80594549120037</v>
      </c>
      <c r="R20" s="11" t="n">
        <v>2.85878248730358</v>
      </c>
      <c r="S20" s="11" t="n">
        <v>2.90923490497219</v>
      </c>
      <c r="T20" s="11" t="n">
        <v>2.95745870300166</v>
      </c>
      <c r="U20" s="11" t="n">
        <v>3.00358913071116</v>
      </c>
      <c r="V20" s="11" t="n">
        <v>3.04774371229372</v>
      </c>
      <c r="W20" s="11" t="n">
        <v>3.09002470874294</v>
      </c>
      <c r="X20" s="11" t="n">
        <v>3.13052115385619</v>
      </c>
      <c r="Y20" s="11" t="n">
        <v>3.16931050869566</v>
      </c>
      <c r="Z20" s="11" t="n">
        <v>3.20646011777384</v>
      </c>
      <c r="AA20" s="11" t="n">
        <v>3.24202872542192</v>
      </c>
      <c r="AB20" s="11" t="n">
        <v>3.27606832614448</v>
      </c>
      <c r="AC20" s="11" t="n">
        <v>3.30862524619471</v>
      </c>
      <c r="AD20" s="11" t="n">
        <v>3.33974080692086</v>
      </c>
      <c r="AE20" s="11" t="n">
        <v>3.36945196681719</v>
      </c>
      <c r="AF20" s="11" t="n">
        <v>3.39779268188555</v>
      </c>
      <c r="AG20" s="11" t="n">
        <v>3.42479515777152</v>
      </c>
      <c r="AH20" s="11" t="n">
        <v>3.45049014822041</v>
      </c>
      <c r="AI20" s="11" t="n">
        <v>3.47490735520204</v>
      </c>
      <c r="AJ20" s="11" t="n">
        <v>3.49807579817057</v>
      </c>
      <c r="AK20" s="11" t="n">
        <v>3.5200239079715</v>
      </c>
    </row>
    <row r="21" customFormat="false" ht="15" hidden="false" customHeight="false" outlineLevel="0" collapsed="false">
      <c r="A21" s="10" t="n">
        <v>-104</v>
      </c>
      <c r="B21" s="8" t="n">
        <v>41340</v>
      </c>
      <c r="C21" s="11" t="n">
        <v>1.73402119684597</v>
      </c>
      <c r="D21" s="11" t="n">
        <v>1.84889003820508</v>
      </c>
      <c r="E21" s="11" t="n">
        <v>1.95755629475744</v>
      </c>
      <c r="F21" s="11" t="n">
        <v>2.06013679880504</v>
      </c>
      <c r="G21" s="11" t="n">
        <v>2.15686374966036</v>
      </c>
      <c r="H21" s="11" t="n">
        <v>2.24801026191996</v>
      </c>
      <c r="I21" s="11" t="n">
        <v>2.33387657626488</v>
      </c>
      <c r="J21" s="11" t="n">
        <v>2.41478416248572</v>
      </c>
      <c r="K21" s="11" t="n">
        <v>2.49107129675153</v>
      </c>
      <c r="L21" s="11" t="n">
        <v>2.56308768962334</v>
      </c>
      <c r="M21" s="11" t="n">
        <v>2.63117032876356</v>
      </c>
      <c r="N21" s="11" t="n">
        <v>2.69562417825637</v>
      </c>
      <c r="O21" s="11" t="n">
        <v>2.75672593731982</v>
      </c>
      <c r="P21" s="11" t="n">
        <v>2.81472891355859</v>
      </c>
      <c r="Q21" s="11" t="n">
        <v>2.86986688678104</v>
      </c>
      <c r="R21" s="11" t="n">
        <v>2.92235442162979</v>
      </c>
      <c r="S21" s="11" t="n">
        <v>2.9723812010084</v>
      </c>
      <c r="T21" s="11" t="n">
        <v>3.02011287514015</v>
      </c>
      <c r="U21" s="11" t="n">
        <v>3.06569447224143</v>
      </c>
      <c r="V21" s="11" t="n">
        <v>3.10925331650173</v>
      </c>
      <c r="W21" s="11" t="n">
        <v>3.15090148558473</v>
      </c>
      <c r="X21" s="11" t="n">
        <v>3.19073778186951</v>
      </c>
      <c r="Y21" s="11" t="n">
        <v>3.22884919485006</v>
      </c>
      <c r="Z21" s="11" t="n">
        <v>3.26531231825096</v>
      </c>
      <c r="AA21" s="11" t="n">
        <v>3.30019479529349</v>
      </c>
      <c r="AB21" s="11" t="n">
        <v>3.33355687235093</v>
      </c>
      <c r="AC21" s="11" t="n">
        <v>3.36545243781598</v>
      </c>
      <c r="AD21" s="11" t="n">
        <v>3.39592976374938</v>
      </c>
      <c r="AE21" s="11" t="n">
        <v>3.42503219573038</v>
      </c>
      <c r="AF21" s="11" t="n">
        <v>3.45279930694272</v>
      </c>
      <c r="AG21" s="11" t="n">
        <v>3.47926794206287</v>
      </c>
      <c r="AH21" s="11" t="n">
        <v>3.50447258397211</v>
      </c>
      <c r="AI21" s="11" t="n">
        <v>3.52844577401484</v>
      </c>
      <c r="AJ21" s="11" t="n">
        <v>3.55121849131014</v>
      </c>
      <c r="AK21" s="11" t="n">
        <v>3.57282032644557</v>
      </c>
    </row>
    <row r="22" customFormat="false" ht="15" hidden="false" customHeight="false" outlineLevel="0" collapsed="false">
      <c r="A22" s="10" t="n">
        <v>-103</v>
      </c>
      <c r="B22" s="8" t="n">
        <v>41341</v>
      </c>
      <c r="C22" s="11" t="n">
        <v>1.77564032262128</v>
      </c>
      <c r="D22" s="11" t="n">
        <v>1.89222732535844</v>
      </c>
      <c r="E22" s="11" t="n">
        <v>2.00249565913206</v>
      </c>
      <c r="F22" s="11" t="n">
        <v>2.10651700782773</v>
      </c>
      <c r="G22" s="11" t="n">
        <v>2.20448529213124</v>
      </c>
      <c r="H22" s="11" t="n">
        <v>2.2966487579045</v>
      </c>
      <c r="I22" s="11" t="n">
        <v>2.38329415146186</v>
      </c>
      <c r="J22" s="11" t="n">
        <v>2.46473834990651</v>
      </c>
      <c r="K22" s="11" t="n">
        <v>2.54132208388281</v>
      </c>
      <c r="L22" s="11" t="n">
        <v>2.61340302587509</v>
      </c>
      <c r="M22" s="11" t="n">
        <v>2.68133024457983</v>
      </c>
      <c r="N22" s="11" t="n">
        <v>2.74542459113915</v>
      </c>
      <c r="O22" s="11" t="n">
        <v>2.80598190837586</v>
      </c>
      <c r="P22" s="11" t="n">
        <v>2.86327734257263</v>
      </c>
      <c r="Q22" s="11" t="n">
        <v>2.91756874158458</v>
      </c>
      <c r="R22" s="11" t="n">
        <v>2.96909564153437</v>
      </c>
      <c r="S22" s="11" t="n">
        <v>3.01807094181572</v>
      </c>
      <c r="T22" s="11" t="n">
        <v>3.06468132607508</v>
      </c>
      <c r="U22" s="11" t="n">
        <v>3.10909101365504</v>
      </c>
      <c r="V22" s="11" t="n">
        <v>3.15144495001686</v>
      </c>
      <c r="W22" s="11" t="n">
        <v>3.19187147965307</v>
      </c>
      <c r="X22" s="11" t="n">
        <v>3.2304842806573</v>
      </c>
      <c r="Y22" s="11" t="n">
        <v>3.26738334614198</v>
      </c>
      <c r="Z22" s="11" t="n">
        <v>3.30265642205493</v>
      </c>
      <c r="AA22" s="11" t="n">
        <v>3.33638065022479</v>
      </c>
      <c r="AB22" s="11" t="n">
        <v>3.36862421372297</v>
      </c>
      <c r="AC22" s="11" t="n">
        <v>3.39944751953001</v>
      </c>
      <c r="AD22" s="11" t="n">
        <v>3.42890410430755</v>
      </c>
      <c r="AE22" s="11" t="n">
        <v>3.45704146277005</v>
      </c>
      <c r="AF22" s="11" t="n">
        <v>3.48390225247894</v>
      </c>
      <c r="AG22" s="11" t="n">
        <v>3.5095253573226</v>
      </c>
      <c r="AH22" s="11" t="n">
        <v>3.53394635963388</v>
      </c>
      <c r="AI22" s="11" t="n">
        <v>3.55719811634848</v>
      </c>
      <c r="AJ22" s="11" t="n">
        <v>3.57931127011861</v>
      </c>
      <c r="AK22" s="11" t="n">
        <v>3.60031449217091</v>
      </c>
    </row>
    <row r="23" customFormat="false" ht="15" hidden="false" customHeight="false" outlineLevel="0" collapsed="false">
      <c r="A23" s="10" t="n">
        <v>-102</v>
      </c>
      <c r="B23" s="8" t="n">
        <v>41344</v>
      </c>
      <c r="C23" s="11" t="n">
        <v>1.73137544912901</v>
      </c>
      <c r="D23" s="11" t="n">
        <v>1.8479954715277</v>
      </c>
      <c r="E23" s="11" t="n">
        <v>1.95844454956507</v>
      </c>
      <c r="F23" s="11" t="n">
        <v>2.06278140870488</v>
      </c>
      <c r="G23" s="11" t="n">
        <v>2.16118054291583</v>
      </c>
      <c r="H23" s="11" t="n">
        <v>2.25387014740268</v>
      </c>
      <c r="I23" s="11" t="n">
        <v>2.34111688743447</v>
      </c>
      <c r="J23" s="11" t="n">
        <v>2.4232175352871</v>
      </c>
      <c r="K23" s="11" t="n">
        <v>2.50049269795017</v>
      </c>
      <c r="L23" s="11" t="n">
        <v>2.57328003355112</v>
      </c>
      <c r="M23" s="11" t="n">
        <v>2.64191030969753</v>
      </c>
      <c r="N23" s="11" t="n">
        <v>2.70668925229363</v>
      </c>
      <c r="O23" s="11" t="n">
        <v>2.76790036784923</v>
      </c>
      <c r="P23" s="11" t="n">
        <v>2.82580877440984</v>
      </c>
      <c r="Q23" s="11" t="n">
        <v>2.88066421553468</v>
      </c>
      <c r="R23" s="11" t="n">
        <v>2.93269989210132</v>
      </c>
      <c r="S23" s="11" t="n">
        <v>2.98212445244581</v>
      </c>
      <c r="T23" s="11" t="n">
        <v>3.02912227372246</v>
      </c>
      <c r="U23" s="11" t="n">
        <v>3.07385676392615</v>
      </c>
      <c r="V23" s="11" t="n">
        <v>3.11647328492845</v>
      </c>
      <c r="W23" s="11" t="n">
        <v>3.15710165361196</v>
      </c>
      <c r="X23" s="11" t="n">
        <v>3.19585789827074</v>
      </c>
      <c r="Y23" s="11" t="n">
        <v>3.23284502899369</v>
      </c>
      <c r="Z23" s="11" t="n">
        <v>3.26815436181608</v>
      </c>
      <c r="AA23" s="11" t="n">
        <v>3.30186704879804</v>
      </c>
      <c r="AB23" s="11" t="n">
        <v>3.3340555353542</v>
      </c>
      <c r="AC23" s="11" t="n">
        <v>3.36478466769223</v>
      </c>
      <c r="AD23" s="11" t="n">
        <v>3.39411257737465</v>
      </c>
      <c r="AE23" s="11" t="n">
        <v>3.42209148646789</v>
      </c>
      <c r="AF23" s="11" t="n">
        <v>3.44876882817987</v>
      </c>
      <c r="AG23" s="11" t="n">
        <v>3.47418822954129</v>
      </c>
      <c r="AH23" s="11" t="n">
        <v>3.49838996501152</v>
      </c>
      <c r="AI23" s="11" t="n">
        <v>3.52141137772628</v>
      </c>
      <c r="AJ23" s="11" t="n">
        <v>3.54328725001245</v>
      </c>
      <c r="AK23" s="11" t="n">
        <v>3.56405006593211</v>
      </c>
    </row>
    <row r="24" customFormat="false" ht="15" hidden="false" customHeight="false" outlineLevel="0" collapsed="false">
      <c r="A24" s="10" t="n">
        <v>-101</v>
      </c>
      <c r="B24" s="8" t="n">
        <v>41345</v>
      </c>
      <c r="C24" s="11" t="n">
        <v>1.68189406855618</v>
      </c>
      <c r="D24" s="11" t="n">
        <v>1.79854326748585</v>
      </c>
      <c r="E24" s="11" t="n">
        <v>1.90931093031762</v>
      </c>
      <c r="F24" s="11" t="n">
        <v>2.01422209743834</v>
      </c>
      <c r="G24" s="11" t="n">
        <v>2.11341767743124</v>
      </c>
      <c r="H24" s="11" t="n">
        <v>2.20709485979615</v>
      </c>
      <c r="I24" s="11" t="n">
        <v>2.29549157891401</v>
      </c>
      <c r="J24" s="11" t="n">
        <v>2.37887765646395</v>
      </c>
      <c r="K24" s="11" t="n">
        <v>2.4575481582361</v>
      </c>
      <c r="L24" s="11" t="n">
        <v>2.53181635406271</v>
      </c>
      <c r="M24" s="11" t="n">
        <v>2.60199013469176</v>
      </c>
      <c r="N24" s="11" t="n">
        <v>2.66835435064263</v>
      </c>
      <c r="O24" s="11" t="n">
        <v>2.73117336773645</v>
      </c>
      <c r="P24" s="11" t="n">
        <v>2.79069459894064</v>
      </c>
      <c r="Q24" s="11" t="n">
        <v>2.84715127781303</v>
      </c>
      <c r="R24" s="11" t="n">
        <v>2.90076111951207</v>
      </c>
      <c r="S24" s="11" t="n">
        <v>2.95171835167444</v>
      </c>
      <c r="T24" s="11" t="n">
        <v>3.00019426672692</v>
      </c>
      <c r="U24" s="11" t="n">
        <v>3.04634128811877</v>
      </c>
      <c r="V24" s="11" t="n">
        <v>3.09029589888041</v>
      </c>
      <c r="W24" s="11" t="n">
        <v>3.13218085662543</v>
      </c>
      <c r="X24" s="11" t="n">
        <v>3.1721069055616</v>
      </c>
      <c r="Y24" s="11" t="n">
        <v>3.21017392975657</v>
      </c>
      <c r="Z24" s="11" t="n">
        <v>3.24647220505838</v>
      </c>
      <c r="AA24" s="11" t="n">
        <v>3.28108355516669</v>
      </c>
      <c r="AB24" s="11" t="n">
        <v>3.31408225555697</v>
      </c>
      <c r="AC24" s="11" t="n">
        <v>3.34553589129831</v>
      </c>
      <c r="AD24" s="11" t="n">
        <v>3.37550613448772</v>
      </c>
      <c r="AE24" s="11" t="n">
        <v>3.40404944147345</v>
      </c>
      <c r="AF24" s="11" t="n">
        <v>3.43121790662088</v>
      </c>
      <c r="AG24" s="11" t="n">
        <v>3.45706000632596</v>
      </c>
      <c r="AH24" s="11" t="n">
        <v>3.48162099974002</v>
      </c>
      <c r="AI24" s="11" t="n">
        <v>3.50494317374139</v>
      </c>
      <c r="AJ24" s="11" t="n">
        <v>3.52706605791061</v>
      </c>
      <c r="AK24" s="11" t="n">
        <v>3.54802669239183</v>
      </c>
    </row>
    <row r="25" customFormat="false" ht="15" hidden="false" customHeight="false" outlineLevel="0" collapsed="false">
      <c r="A25" s="10" t="n">
        <v>-100</v>
      </c>
      <c r="B25" s="8" t="n">
        <v>41346</v>
      </c>
      <c r="C25" s="11" t="n">
        <v>1.6807018620977</v>
      </c>
      <c r="D25" s="11" t="n">
        <v>1.79718434796921</v>
      </c>
      <c r="E25" s="11" t="n">
        <v>1.90799725721074</v>
      </c>
      <c r="F25" s="11" t="n">
        <v>2.01313097301366</v>
      </c>
      <c r="G25" s="11" t="n">
        <v>2.11269138508932</v>
      </c>
      <c r="H25" s="11" t="n">
        <v>2.20684431566954</v>
      </c>
      <c r="I25" s="11" t="n">
        <v>2.29579954799548</v>
      </c>
      <c r="J25" s="11" t="n">
        <v>2.37980126957655</v>
      </c>
      <c r="K25" s="11" t="n">
        <v>2.45912090463404</v>
      </c>
      <c r="L25" s="11" t="n">
        <v>2.53404983100162</v>
      </c>
      <c r="M25" s="11" t="n">
        <v>2.60487731832876</v>
      </c>
      <c r="N25" s="11" t="n">
        <v>2.67187418836934</v>
      </c>
      <c r="O25" s="11" t="n">
        <v>2.73529473382908</v>
      </c>
      <c r="P25" s="11" t="n">
        <v>2.79537956820144</v>
      </c>
      <c r="Q25" s="11" t="n">
        <v>2.85235785763382</v>
      </c>
      <c r="R25" s="11" t="n">
        <v>2.90644592184207</v>
      </c>
      <c r="S25" s="11" t="n">
        <v>2.95784004848229</v>
      </c>
      <c r="T25" s="11" t="n">
        <v>3.00671643120012</v>
      </c>
      <c r="U25" s="11" t="n">
        <v>3.05323336192814</v>
      </c>
      <c r="V25" s="11" t="n">
        <v>3.09753355928251</v>
      </c>
      <c r="W25" s="11" t="n">
        <v>3.13974632187364</v>
      </c>
      <c r="X25" s="11" t="n">
        <v>3.17998882926186</v>
      </c>
      <c r="Y25" s="11" t="n">
        <v>3.21836622142512</v>
      </c>
      <c r="Z25" s="11" t="n">
        <v>3.25497265206868</v>
      </c>
      <c r="AA25" s="11" t="n">
        <v>3.2898925944207</v>
      </c>
      <c r="AB25" s="11" t="n">
        <v>3.32320184403741</v>
      </c>
      <c r="AC25" s="11" t="n">
        <v>3.35496849542919</v>
      </c>
      <c r="AD25" s="11" t="n">
        <v>3.38525383683367</v>
      </c>
      <c r="AE25" s="11" t="n">
        <v>3.41411315277788</v>
      </c>
      <c r="AF25" s="11" t="n">
        <v>3.4415967018966</v>
      </c>
      <c r="AG25" s="11" t="n">
        <v>3.46775056539753</v>
      </c>
      <c r="AH25" s="11" t="n">
        <v>3.49261713167618</v>
      </c>
      <c r="AI25" s="11" t="n">
        <v>3.51623562447169</v>
      </c>
      <c r="AJ25" s="11" t="n">
        <v>3.53864256468023</v>
      </c>
      <c r="AK25" s="11" t="n">
        <v>3.55987205281697</v>
      </c>
    </row>
    <row r="26" customFormat="false" ht="15" hidden="false" customHeight="false" outlineLevel="0" collapsed="false">
      <c r="A26" s="10" t="n">
        <v>-99</v>
      </c>
      <c r="B26" s="8" t="n">
        <v>41347</v>
      </c>
      <c r="C26" s="11" t="n">
        <v>1.67382639914316</v>
      </c>
      <c r="D26" s="11" t="n">
        <v>1.79065363147208</v>
      </c>
      <c r="E26" s="11" t="n">
        <v>1.90197315101557</v>
      </c>
      <c r="F26" s="11" t="n">
        <v>2.00774406615872</v>
      </c>
      <c r="G26" s="11" t="n">
        <v>2.10803975627704</v>
      </c>
      <c r="H26" s="11" t="n">
        <v>2.20299823804894</v>
      </c>
      <c r="I26" s="11" t="n">
        <v>2.29280564911008</v>
      </c>
      <c r="J26" s="11" t="n">
        <v>2.37768578697573</v>
      </c>
      <c r="K26" s="11" t="n">
        <v>2.45789226323161</v>
      </c>
      <c r="L26" s="11" t="n">
        <v>2.53370081263491</v>
      </c>
      <c r="M26" s="11" t="n">
        <v>2.60538815059525</v>
      </c>
      <c r="N26" s="11" t="n">
        <v>2.67321647258623</v>
      </c>
      <c r="O26" s="11" t="n">
        <v>2.73743480780529</v>
      </c>
      <c r="P26" s="11" t="n">
        <v>2.79828128922126</v>
      </c>
      <c r="Q26" s="11" t="n">
        <v>2.85598491651824</v>
      </c>
      <c r="R26" s="11" t="n">
        <v>2.91076354531545</v>
      </c>
      <c r="S26" s="11" t="n">
        <v>2.96281588313377</v>
      </c>
      <c r="T26" s="11" t="n">
        <v>3.01232110661955</v>
      </c>
      <c r="U26" s="11" t="n">
        <v>3.05944082519937</v>
      </c>
      <c r="V26" s="11" t="n">
        <v>3.10432131952541</v>
      </c>
      <c r="W26" s="11" t="n">
        <v>3.14709565775871</v>
      </c>
      <c r="X26" s="11" t="n">
        <v>3.18788479223856</v>
      </c>
      <c r="Y26" s="11" t="n">
        <v>3.22679714320422</v>
      </c>
      <c r="Z26" s="11" t="n">
        <v>3.26392956226539</v>
      </c>
      <c r="AA26" s="11" t="n">
        <v>3.29936862864369</v>
      </c>
      <c r="AB26" s="11" t="n">
        <v>3.33319149499193</v>
      </c>
      <c r="AC26" s="11" t="n">
        <v>3.36546688205036</v>
      </c>
      <c r="AD26" s="11" t="n">
        <v>3.39625605757476</v>
      </c>
      <c r="AE26" s="11" t="n">
        <v>3.42561371362535</v>
      </c>
      <c r="AF26" s="11" t="n">
        <v>3.45358901602891</v>
      </c>
      <c r="AG26" s="11" t="n">
        <v>3.48022651141126</v>
      </c>
      <c r="AH26" s="11" t="n">
        <v>3.50556667749724</v>
      </c>
      <c r="AI26" s="11" t="n">
        <v>3.52964668379624</v>
      </c>
      <c r="AJ26" s="11" t="n">
        <v>3.55250105134654</v>
      </c>
      <c r="AK26" s="11" t="n">
        <v>3.57416194536148</v>
      </c>
    </row>
    <row r="27" customFormat="false" ht="15" hidden="false" customHeight="false" outlineLevel="0" collapsed="false">
      <c r="A27" s="10" t="n">
        <v>-98</v>
      </c>
      <c r="B27" s="8" t="n">
        <v>41348</v>
      </c>
      <c r="C27" s="11" t="n">
        <v>1.65041450377069</v>
      </c>
      <c r="D27" s="11" t="n">
        <v>1.76669072560873</v>
      </c>
      <c r="E27" s="11" t="n">
        <v>1.87767009360878</v>
      </c>
      <c r="F27" s="11" t="n">
        <v>1.98327260675858</v>
      </c>
      <c r="G27" s="11" t="n">
        <v>2.08352702731024</v>
      </c>
      <c r="H27" s="11" t="n">
        <v>2.17853082825681</v>
      </c>
      <c r="I27" s="11" t="n">
        <v>2.26843348377088</v>
      </c>
      <c r="J27" s="11" t="n">
        <v>2.3534251646003</v>
      </c>
      <c r="K27" s="11" t="n">
        <v>2.43372825961051</v>
      </c>
      <c r="L27" s="11" t="n">
        <v>2.50958952953529</v>
      </c>
      <c r="M27" s="11" t="n">
        <v>2.58126234047877</v>
      </c>
      <c r="N27" s="11" t="n">
        <v>2.64899399424929</v>
      </c>
      <c r="O27" s="11" t="n">
        <v>2.71302592954605</v>
      </c>
      <c r="P27" s="11" t="n">
        <v>2.77359473284002</v>
      </c>
      <c r="Q27" s="11" t="n">
        <v>2.83093289001481</v>
      </c>
      <c r="R27" s="11" t="n">
        <v>2.88526601750923</v>
      </c>
      <c r="S27" s="11" t="n">
        <v>2.93680468349985</v>
      </c>
      <c r="T27" s="11" t="n">
        <v>2.98574294811974</v>
      </c>
      <c r="U27" s="11" t="n">
        <v>3.03225796369492</v>
      </c>
      <c r="V27" s="11" t="n">
        <v>3.07651155504948</v>
      </c>
      <c r="W27" s="11" t="n">
        <v>3.1186523195999</v>
      </c>
      <c r="X27" s="11" t="n">
        <v>3.15881610494463</v>
      </c>
      <c r="Y27" s="11" t="n">
        <v>3.19712400542479</v>
      </c>
      <c r="Z27" s="11" t="n">
        <v>3.23368312052252</v>
      </c>
      <c r="AA27" s="11" t="n">
        <v>3.26858809246992</v>
      </c>
      <c r="AB27" s="11" t="n">
        <v>3.30192207588828</v>
      </c>
      <c r="AC27" s="11" t="n">
        <v>3.3337579395751</v>
      </c>
      <c r="AD27" s="11" t="n">
        <v>3.36415946073115</v>
      </c>
      <c r="AE27" s="11" t="n">
        <v>3.39318239041867</v>
      </c>
      <c r="AF27" s="11" t="n">
        <v>3.42087566909773</v>
      </c>
      <c r="AG27" s="11" t="n">
        <v>3.44728246702686</v>
      </c>
      <c r="AH27" s="11" t="n">
        <v>3.47244088254031</v>
      </c>
      <c r="AI27" s="11" t="n">
        <v>3.4963850633552</v>
      </c>
      <c r="AJ27" s="11" t="n">
        <v>3.51914615687178</v>
      </c>
      <c r="AK27" s="11" t="n">
        <v>3.54075265518867</v>
      </c>
    </row>
    <row r="28" customFormat="false" ht="15" hidden="false" customHeight="false" outlineLevel="0" collapsed="false">
      <c r="A28" s="10" t="n">
        <v>-97</v>
      </c>
      <c r="B28" s="8" t="n">
        <v>41351</v>
      </c>
      <c r="C28" s="11" t="n">
        <v>1.60367849018901</v>
      </c>
      <c r="D28" s="11" t="n">
        <v>1.71924720539559</v>
      </c>
      <c r="E28" s="11" t="n">
        <v>1.82970680160141</v>
      </c>
      <c r="F28" s="11" t="n">
        <v>1.93495183605212</v>
      </c>
      <c r="G28" s="11" t="n">
        <v>2.03498540160656</v>
      </c>
      <c r="H28" s="11" t="n">
        <v>2.12988150807231</v>
      </c>
      <c r="I28" s="11" t="n">
        <v>2.21976806557748</v>
      </c>
      <c r="J28" s="11" t="n">
        <v>2.30481516710979</v>
      </c>
      <c r="K28" s="11" t="n">
        <v>2.38522630041427</v>
      </c>
      <c r="L28" s="11" t="n">
        <v>2.46123039010812</v>
      </c>
      <c r="M28" s="11" t="n">
        <v>2.53306516370349</v>
      </c>
      <c r="N28" s="11" t="n">
        <v>2.60096536743351</v>
      </c>
      <c r="O28" s="11" t="n">
        <v>2.66516252920371</v>
      </c>
      <c r="P28" s="11" t="n">
        <v>2.72588551347607</v>
      </c>
      <c r="Q28" s="11" t="n">
        <v>2.7833609080234</v>
      </c>
      <c r="R28" s="11" t="n">
        <v>2.83781005216637</v>
      </c>
      <c r="S28" s="11" t="n">
        <v>2.88944096109044</v>
      </c>
      <c r="T28" s="11" t="n">
        <v>2.93844669308915</v>
      </c>
      <c r="U28" s="11" t="n">
        <v>2.98500462336369</v>
      </c>
      <c r="V28" s="11" t="n">
        <v>3.02927783038421</v>
      </c>
      <c r="W28" s="11" t="n">
        <v>3.07141705114777</v>
      </c>
      <c r="X28" s="11" t="n">
        <v>3.11156096358126</v>
      </c>
      <c r="Y28" s="11" t="n">
        <v>3.14983392887561</v>
      </c>
      <c r="Z28" s="11" t="n">
        <v>3.18634665691464</v>
      </c>
      <c r="AA28" s="11" t="n">
        <v>3.22119759220945</v>
      </c>
      <c r="AB28" s="11" t="n">
        <v>3.25447357024283</v>
      </c>
      <c r="AC28" s="11" t="n">
        <v>3.28625094948165</v>
      </c>
      <c r="AD28" s="11" t="n">
        <v>3.31659682701115</v>
      </c>
      <c r="AE28" s="11" t="n">
        <v>3.34557010648793</v>
      </c>
      <c r="AF28" s="11" t="n">
        <v>3.37322256158161</v>
      </c>
      <c r="AG28" s="11" t="n">
        <v>3.39959975117837</v>
      </c>
      <c r="AH28" s="11" t="n">
        <v>3.42474174501861</v>
      </c>
      <c r="AI28" s="11" t="n">
        <v>3.44868421543714</v>
      </c>
      <c r="AJ28" s="11" t="n">
        <v>3.47145936016647</v>
      </c>
      <c r="AK28" s="11" t="n">
        <v>3.49309628814397</v>
      </c>
    </row>
    <row r="29" customFormat="false" ht="15" hidden="false" customHeight="false" outlineLevel="0" collapsed="false">
      <c r="A29" s="10" t="n">
        <v>-96</v>
      </c>
      <c r="B29" s="8" t="n">
        <v>41352</v>
      </c>
      <c r="C29" s="11" t="n">
        <v>1.53698975456109</v>
      </c>
      <c r="D29" s="11" t="n">
        <v>1.65050979889879</v>
      </c>
      <c r="E29" s="11" t="n">
        <v>1.75920797206728</v>
      </c>
      <c r="F29" s="11" t="n">
        <v>1.86294902625515</v>
      </c>
      <c r="G29" s="11" t="n">
        <v>1.96170787756334</v>
      </c>
      <c r="H29" s="11" t="n">
        <v>2.05553394637592</v>
      </c>
      <c r="I29" s="11" t="n">
        <v>2.14453351327875</v>
      </c>
      <c r="J29" s="11" t="n">
        <v>2.22885735814606</v>
      </c>
      <c r="K29" s="11" t="n">
        <v>2.30869148944587</v>
      </c>
      <c r="L29" s="11" t="n">
        <v>2.38424885163636</v>
      </c>
      <c r="M29" s="11" t="n">
        <v>2.45575287317235</v>
      </c>
      <c r="N29" s="11" t="n">
        <v>2.52342589349028</v>
      </c>
      <c r="O29" s="11" t="n">
        <v>2.58748863958623</v>
      </c>
      <c r="P29" s="11" t="n">
        <v>2.64816050402285</v>
      </c>
      <c r="Q29" s="11" t="n">
        <v>2.70565970027418</v>
      </c>
      <c r="R29" s="11" t="n">
        <v>2.76019964404026</v>
      </c>
      <c r="S29" s="11" t="n">
        <v>2.8119796872764</v>
      </c>
      <c r="T29" s="11" t="n">
        <v>2.8611835463887</v>
      </c>
      <c r="U29" s="11" t="n">
        <v>2.90797934341373</v>
      </c>
      <c r="V29" s="11" t="n">
        <v>2.95252118525083</v>
      </c>
      <c r="W29" s="11" t="n">
        <v>2.9949510839915</v>
      </c>
      <c r="X29" s="11" t="n">
        <v>3.03539936073253</v>
      </c>
      <c r="Y29" s="11" t="n">
        <v>3.0739828115702</v>
      </c>
      <c r="Z29" s="11" t="n">
        <v>3.11080542834307</v>
      </c>
      <c r="AA29" s="11" t="n">
        <v>3.1459597336754</v>
      </c>
      <c r="AB29" s="11" t="n">
        <v>3.17952749325345</v>
      </c>
      <c r="AC29" s="11" t="n">
        <v>3.21158079458499</v>
      </c>
      <c r="AD29" s="11" t="n">
        <v>3.24218317032219</v>
      </c>
      <c r="AE29" s="11" t="n">
        <v>3.27139059926956</v>
      </c>
      <c r="AF29" s="11" t="n">
        <v>3.29925262589612</v>
      </c>
      <c r="AG29" s="11" t="n">
        <v>3.32581331333161</v>
      </c>
      <c r="AH29" s="11" t="n">
        <v>3.35111189610714</v>
      </c>
      <c r="AI29" s="11" t="n">
        <v>3.37518375862939</v>
      </c>
      <c r="AJ29" s="11" t="n">
        <v>3.39806125645019</v>
      </c>
      <c r="AK29" s="11" t="n">
        <v>3.41977405324296</v>
      </c>
    </row>
    <row r="30" customFormat="false" ht="15" hidden="false" customHeight="false" outlineLevel="0" collapsed="false">
      <c r="A30" s="10" t="n">
        <v>-95</v>
      </c>
      <c r="B30" s="8" t="n">
        <v>41353</v>
      </c>
      <c r="C30" s="11" t="n">
        <v>1.57603571638994</v>
      </c>
      <c r="D30" s="11" t="n">
        <v>1.69188571096129</v>
      </c>
      <c r="E30" s="11" t="n">
        <v>1.80234579545435</v>
      </c>
      <c r="F30" s="11" t="n">
        <v>1.90730874674241</v>
      </c>
      <c r="G30" s="11" t="n">
        <v>2.00679604280164</v>
      </c>
      <c r="H30" s="11" t="n">
        <v>2.10090881307825</v>
      </c>
      <c r="I30" s="11" t="n">
        <v>2.18980835216997</v>
      </c>
      <c r="J30" s="11" t="n">
        <v>2.2737030404453</v>
      </c>
      <c r="K30" s="11" t="n">
        <v>2.35283853448674</v>
      </c>
      <c r="L30" s="11" t="n">
        <v>2.42748836618292</v>
      </c>
      <c r="M30" s="11" t="n">
        <v>2.49793126274283</v>
      </c>
      <c r="N30" s="11" t="n">
        <v>2.56443556162619</v>
      </c>
      <c r="O30" s="11" t="n">
        <v>2.62725999382977</v>
      </c>
      <c r="P30" s="11" t="n">
        <v>2.68665534017408</v>
      </c>
      <c r="Q30" s="11" t="n">
        <v>2.74286566489368</v>
      </c>
      <c r="R30" s="11" t="n">
        <v>2.79612434829753</v>
      </c>
      <c r="S30" s="11" t="n">
        <v>2.84664265586651</v>
      </c>
      <c r="T30" s="11" t="n">
        <v>2.89460921809627</v>
      </c>
      <c r="U30" s="11" t="n">
        <v>2.9401928862208</v>
      </c>
      <c r="V30" s="11" t="n">
        <v>2.98354543190107</v>
      </c>
      <c r="W30" s="11" t="n">
        <v>3.02480390632805</v>
      </c>
      <c r="X30" s="11" t="n">
        <v>3.0640919130944</v>
      </c>
      <c r="Y30" s="11" t="n">
        <v>3.10151943899619</v>
      </c>
      <c r="Z30" s="11" t="n">
        <v>3.13718402857965</v>
      </c>
      <c r="AA30" s="11" t="n">
        <v>3.17117241625716</v>
      </c>
      <c r="AB30" s="11" t="n">
        <v>3.20356206476355</v>
      </c>
      <c r="AC30" s="11" t="n">
        <v>3.23442233283034</v>
      </c>
      <c r="AD30" s="11" t="n">
        <v>3.26381541813787</v>
      </c>
      <c r="AE30" s="11" t="n">
        <v>3.29179723162285</v>
      </c>
      <c r="AF30" s="11" t="n">
        <v>3.31841867467977</v>
      </c>
      <c r="AG30" s="11" t="n">
        <v>3.34372670122503</v>
      </c>
      <c r="AH30" s="11" t="n">
        <v>3.36776478715439</v>
      </c>
      <c r="AI30" s="11" t="n">
        <v>3.39057337540756</v>
      </c>
      <c r="AJ30" s="11" t="n">
        <v>3.41219025914021</v>
      </c>
      <c r="AK30" s="11" t="n">
        <v>3.43265085247092</v>
      </c>
    </row>
    <row r="31" customFormat="false" ht="15" hidden="false" customHeight="false" outlineLevel="0" collapsed="false">
      <c r="A31" s="10" t="n">
        <v>-94</v>
      </c>
      <c r="B31" s="8" t="n">
        <v>41354</v>
      </c>
      <c r="C31" s="11" t="n">
        <v>1.56357025759405</v>
      </c>
      <c r="D31" s="11" t="n">
        <v>1.67839506064265</v>
      </c>
      <c r="E31" s="11" t="n">
        <v>1.78815726757186</v>
      </c>
      <c r="F31" s="11" t="n">
        <v>1.8927392696195</v>
      </c>
      <c r="G31" s="11" t="n">
        <v>1.99214539599819</v>
      </c>
      <c r="H31" s="11" t="n">
        <v>2.08645417493093</v>
      </c>
      <c r="I31" s="11" t="n">
        <v>2.17580007894873</v>
      </c>
      <c r="J31" s="11" t="n">
        <v>2.2603613630846</v>
      </c>
      <c r="K31" s="11" t="n">
        <v>2.34035094349215</v>
      </c>
      <c r="L31" s="11" t="n">
        <v>2.41600769247005</v>
      </c>
      <c r="M31" s="11" t="n">
        <v>2.48757590804149</v>
      </c>
      <c r="N31" s="11" t="n">
        <v>2.55529134538035</v>
      </c>
      <c r="O31" s="11" t="n">
        <v>2.61938180760246</v>
      </c>
      <c r="P31" s="11" t="n">
        <v>2.68006851681005</v>
      </c>
      <c r="Q31" s="11" t="n">
        <v>2.73756713427616</v>
      </c>
      <c r="R31" s="11" t="n">
        <v>2.79208453865074</v>
      </c>
      <c r="S31" s="11" t="n">
        <v>2.84380964824403</v>
      </c>
      <c r="T31" s="11" t="n">
        <v>2.89291309469855</v>
      </c>
      <c r="U31" s="11" t="n">
        <v>2.93954961894557</v>
      </c>
      <c r="V31" s="11" t="n">
        <v>2.9838602656546</v>
      </c>
      <c r="W31" s="11" t="n">
        <v>3.02597427492709</v>
      </c>
      <c r="X31" s="11" t="n">
        <v>3.06601009805974</v>
      </c>
      <c r="Y31" s="11" t="n">
        <v>3.10407526859581</v>
      </c>
      <c r="Z31" s="11" t="n">
        <v>3.14026735024792</v>
      </c>
      <c r="AA31" s="11" t="n">
        <v>3.17467516530528</v>
      </c>
      <c r="AB31" s="11" t="n">
        <v>3.20737982563495</v>
      </c>
      <c r="AC31" s="11" t="n">
        <v>3.23845564055234</v>
      </c>
      <c r="AD31" s="11" t="n">
        <v>3.26797090772084</v>
      </c>
      <c r="AE31" s="11" t="n">
        <v>3.29598863836184</v>
      </c>
      <c r="AF31" s="11" t="n">
        <v>3.32256754045782</v>
      </c>
      <c r="AG31" s="11" t="n">
        <v>3.34776283629938</v>
      </c>
      <c r="AH31" s="11" t="n">
        <v>3.3716266348006</v>
      </c>
      <c r="AI31" s="11" t="n">
        <v>3.39420801619464</v>
      </c>
      <c r="AJ31" s="11" t="n">
        <v>3.41555313030053</v>
      </c>
      <c r="AK31" s="11" t="n">
        <v>3.43570547333225</v>
      </c>
    </row>
    <row r="32" customFormat="false" ht="15" hidden="false" customHeight="false" outlineLevel="0" collapsed="false">
      <c r="A32" s="10" t="n">
        <v>-93</v>
      </c>
      <c r="B32" s="8" t="n">
        <v>41355</v>
      </c>
      <c r="C32" s="11" t="n">
        <v>1.55766434867197</v>
      </c>
      <c r="D32" s="11" t="n">
        <v>1.67129360624985</v>
      </c>
      <c r="E32" s="11" t="n">
        <v>1.77998568782844</v>
      </c>
      <c r="F32" s="11" t="n">
        <v>1.88361492170551</v>
      </c>
      <c r="G32" s="11" t="n">
        <v>1.98217596996141</v>
      </c>
      <c r="H32" s="11" t="n">
        <v>2.07573736554573</v>
      </c>
      <c r="I32" s="11" t="n">
        <v>2.16442344570518</v>
      </c>
      <c r="J32" s="11" t="n">
        <v>2.2484022206147</v>
      </c>
      <c r="K32" s="11" t="n">
        <v>2.32787627478938</v>
      </c>
      <c r="L32" s="11" t="n">
        <v>2.40307408245113</v>
      </c>
      <c r="M32" s="11" t="n">
        <v>2.47423021313275</v>
      </c>
      <c r="N32" s="11" t="n">
        <v>2.54157227780659</v>
      </c>
      <c r="O32" s="11" t="n">
        <v>2.6053213538472</v>
      </c>
      <c r="P32" s="11" t="n">
        <v>2.66569311151369</v>
      </c>
      <c r="Q32" s="11" t="n">
        <v>2.72289863042127</v>
      </c>
      <c r="R32" s="11" t="n">
        <v>2.77714094189275</v>
      </c>
      <c r="S32" s="11" t="n">
        <v>2.82860592502516</v>
      </c>
      <c r="T32" s="11" t="n">
        <v>2.87746192318439</v>
      </c>
      <c r="U32" s="11" t="n">
        <v>2.92386179688294</v>
      </c>
      <c r="V32" s="11" t="n">
        <v>2.96794499834641</v>
      </c>
      <c r="W32" s="11" t="n">
        <v>3.00983942058034</v>
      </c>
      <c r="X32" s="11" t="n">
        <v>3.04966230808819</v>
      </c>
      <c r="Y32" s="11" t="n">
        <v>3.08751998139148</v>
      </c>
      <c r="Z32" s="11" t="n">
        <v>3.12350876766838</v>
      </c>
      <c r="AA32" s="11" t="n">
        <v>3.15771626904258</v>
      </c>
      <c r="AB32" s="11" t="n">
        <v>3.19022248567442</v>
      </c>
      <c r="AC32" s="11" t="n">
        <v>3.22110073703538</v>
      </c>
      <c r="AD32" s="11" t="n">
        <v>3.25041843887119</v>
      </c>
      <c r="AE32" s="11" t="n">
        <v>3.27823782213638</v>
      </c>
      <c r="AF32" s="11" t="n">
        <v>3.30461694074241</v>
      </c>
      <c r="AG32" s="11" t="n">
        <v>3.3296104936245</v>
      </c>
      <c r="AH32" s="11" t="n">
        <v>3.35327018444023</v>
      </c>
      <c r="AI32" s="11" t="n">
        <v>3.37564481602469</v>
      </c>
      <c r="AJ32" s="11" t="n">
        <v>3.3967804017577</v>
      </c>
      <c r="AK32" s="11" t="n">
        <v>3.41672043097981</v>
      </c>
    </row>
    <row r="33" customFormat="false" ht="15" hidden="false" customHeight="false" outlineLevel="0" collapsed="false">
      <c r="A33" s="10" t="n">
        <v>-92</v>
      </c>
      <c r="B33" s="8" t="n">
        <v>41358</v>
      </c>
      <c r="C33" s="11" t="n">
        <v>1.51256115768894</v>
      </c>
      <c r="D33" s="11" t="n">
        <v>1.62523116557935</v>
      </c>
      <c r="E33" s="11" t="n">
        <v>1.73315491870508</v>
      </c>
      <c r="F33" s="11" t="n">
        <v>1.83619614237948</v>
      </c>
      <c r="G33" s="11" t="n">
        <v>1.93433213058638</v>
      </c>
      <c r="H33" s="11" t="n">
        <v>2.02761381675502</v>
      </c>
      <c r="I33" s="11" t="n">
        <v>2.11614811871316</v>
      </c>
      <c r="J33" s="11" t="n">
        <v>2.20008576816567</v>
      </c>
      <c r="K33" s="11" t="n">
        <v>2.27961218273286</v>
      </c>
      <c r="L33" s="11" t="n">
        <v>2.35493892344922</v>
      </c>
      <c r="M33" s="11" t="n">
        <v>2.42628543153653</v>
      </c>
      <c r="N33" s="11" t="n">
        <v>2.4938670422703</v>
      </c>
      <c r="O33" s="11" t="n">
        <v>2.55789500852555</v>
      </c>
      <c r="P33" s="11" t="n">
        <v>2.61857720463891</v>
      </c>
      <c r="Q33" s="11" t="n">
        <v>2.67611859164245</v>
      </c>
      <c r="R33" s="11" t="n">
        <v>2.73071696419943</v>
      </c>
      <c r="S33" s="11" t="n">
        <v>2.78255256154769</v>
      </c>
      <c r="T33" s="11" t="n">
        <v>2.83178767953552</v>
      </c>
      <c r="U33" s="11" t="n">
        <v>2.87856929153317</v>
      </c>
      <c r="V33" s="11" t="n">
        <v>2.92303123886502</v>
      </c>
      <c r="W33" s="11" t="n">
        <v>2.96529604408801</v>
      </c>
      <c r="X33" s="11" t="n">
        <v>3.00547588179495</v>
      </c>
      <c r="Y33" s="11" t="n">
        <v>3.04367251970499</v>
      </c>
      <c r="Z33" s="11" t="n">
        <v>3.07997826128114</v>
      </c>
      <c r="AA33" s="11" t="n">
        <v>3.11447721367058</v>
      </c>
      <c r="AB33" s="11" t="n">
        <v>3.14724650802738</v>
      </c>
      <c r="AC33" s="11" t="n">
        <v>3.1783571900535</v>
      </c>
      <c r="AD33" s="11" t="n">
        <v>3.20787492810185</v>
      </c>
      <c r="AE33" s="11" t="n">
        <v>3.23586068385565</v>
      </c>
      <c r="AF33" s="11" t="n">
        <v>3.26237176261269</v>
      </c>
      <c r="AG33" s="11" t="n">
        <v>3.28746265497957</v>
      </c>
      <c r="AH33" s="11" t="n">
        <v>3.31118534416098</v>
      </c>
      <c r="AI33" s="11" t="n">
        <v>3.33358935278039</v>
      </c>
      <c r="AJ33" s="11" t="n">
        <v>3.35472181418995</v>
      </c>
      <c r="AK33" s="11" t="n">
        <v>3.37462769844275</v>
      </c>
    </row>
    <row r="34" customFormat="false" ht="15" hidden="false" customHeight="false" outlineLevel="0" collapsed="false">
      <c r="A34" s="10" t="n">
        <v>-91</v>
      </c>
      <c r="B34" s="8" t="n">
        <v>41359</v>
      </c>
      <c r="C34" s="11" t="n">
        <v>1.50179565232779</v>
      </c>
      <c r="D34" s="11" t="n">
        <v>1.61354541967449</v>
      </c>
      <c r="E34" s="11" t="n">
        <v>1.72087914152651</v>
      </c>
      <c r="F34" s="11" t="n">
        <v>1.82365018977938</v>
      </c>
      <c r="G34" s="11" t="n">
        <v>1.92181759133713</v>
      </c>
      <c r="H34" s="11" t="n">
        <v>2.01540897300568</v>
      </c>
      <c r="I34" s="11" t="n">
        <v>2.1045041320787</v>
      </c>
      <c r="J34" s="11" t="n">
        <v>2.18922369492724</v>
      </c>
      <c r="K34" s="11" t="n">
        <v>2.2697206108653</v>
      </c>
      <c r="L34" s="11" t="n">
        <v>2.34617229295928</v>
      </c>
      <c r="M34" s="11" t="n">
        <v>2.41876458860846</v>
      </c>
      <c r="N34" s="11" t="n">
        <v>2.4876813175259</v>
      </c>
      <c r="O34" s="11" t="n">
        <v>2.55310404394046</v>
      </c>
      <c r="P34" s="11" t="n">
        <v>2.61521246547347</v>
      </c>
      <c r="Q34" s="11" t="n">
        <v>2.67418463744798</v>
      </c>
      <c r="R34" s="11" t="n">
        <v>2.73019315685153</v>
      </c>
      <c r="S34" s="11" t="n">
        <v>2.78339619862135</v>
      </c>
      <c r="T34" s="11" t="n">
        <v>2.83393738983721</v>
      </c>
      <c r="U34" s="11" t="n">
        <v>2.88194856070855</v>
      </c>
      <c r="V34" s="11" t="n">
        <v>2.92755159726012</v>
      </c>
      <c r="W34" s="11" t="n">
        <v>2.97085981842175</v>
      </c>
      <c r="X34" s="11" t="n">
        <v>3.01197886075536</v>
      </c>
      <c r="Y34" s="11" t="n">
        <v>3.05100700387969</v>
      </c>
      <c r="Z34" s="11" t="n">
        <v>3.08803592514637</v>
      </c>
      <c r="AA34" s="11" t="n">
        <v>3.12315146542525</v>
      </c>
      <c r="AB34" s="11" t="n">
        <v>3.15643419779975</v>
      </c>
      <c r="AC34" s="11" t="n">
        <v>3.18796001626303</v>
      </c>
      <c r="AD34" s="11" t="n">
        <v>3.21780067949611</v>
      </c>
      <c r="AE34" s="11" t="n">
        <v>3.24602430562129</v>
      </c>
      <c r="AF34" s="11" t="n">
        <v>3.27269599300218</v>
      </c>
      <c r="AG34" s="11" t="n">
        <v>3.29787832853649</v>
      </c>
      <c r="AH34" s="11" t="n">
        <v>3.32163160304129</v>
      </c>
      <c r="AI34" s="11" t="n">
        <v>3.34401349086193</v>
      </c>
      <c r="AJ34" s="11" t="n">
        <v>3.36507885317708</v>
      </c>
      <c r="AK34" s="11" t="n">
        <v>3.38487998645651</v>
      </c>
    </row>
    <row r="35" customFormat="false" ht="15" hidden="false" customHeight="false" outlineLevel="0" collapsed="false">
      <c r="A35" s="10" t="n">
        <v>-90</v>
      </c>
      <c r="B35" s="8" t="n">
        <v>41360</v>
      </c>
      <c r="C35" s="11" t="n">
        <v>1.4361324603386</v>
      </c>
      <c r="D35" s="11" t="n">
        <v>1.54673113520926</v>
      </c>
      <c r="E35" s="11" t="n">
        <v>1.65331506084662</v>
      </c>
      <c r="F35" s="11" t="n">
        <v>1.75569217549272</v>
      </c>
      <c r="G35" s="11" t="n">
        <v>1.85377084199963</v>
      </c>
      <c r="H35" s="11" t="n">
        <v>1.94752976602603</v>
      </c>
      <c r="I35" s="11" t="n">
        <v>2.03700156283206</v>
      </c>
      <c r="J35" s="11" t="n">
        <v>2.12226103780075</v>
      </c>
      <c r="K35" s="11" t="n">
        <v>2.20341639676662</v>
      </c>
      <c r="L35" s="11" t="n">
        <v>2.28060164313135</v>
      </c>
      <c r="M35" s="11" t="n">
        <v>2.35396423600117</v>
      </c>
      <c r="N35" s="11" t="n">
        <v>2.42365686679677</v>
      </c>
      <c r="O35" s="11" t="n">
        <v>2.48983615146013</v>
      </c>
      <c r="P35" s="11" t="n">
        <v>2.55266195381298</v>
      </c>
      <c r="Q35" s="11" t="n">
        <v>2.61229676905596</v>
      </c>
      <c r="R35" s="11" t="n">
        <v>2.6689018543052</v>
      </c>
      <c r="S35" s="11" t="n">
        <v>2.72262922869331</v>
      </c>
      <c r="T35" s="11" t="n">
        <v>2.77362077959155</v>
      </c>
      <c r="U35" s="11" t="n">
        <v>2.82200930565697</v>
      </c>
      <c r="V35" s="11" t="n">
        <v>2.86791970204151</v>
      </c>
      <c r="W35" s="11" t="n">
        <v>2.91147004639561</v>
      </c>
      <c r="X35" s="11" t="n">
        <v>2.95277197867765</v>
      </c>
      <c r="Y35" s="11" t="n">
        <v>2.99193020548316</v>
      </c>
      <c r="Z35" s="11" t="n">
        <v>3.0290430226045</v>
      </c>
      <c r="AA35" s="11" t="n">
        <v>3.06420291831233</v>
      </c>
      <c r="AB35" s="11" t="n">
        <v>3.0974968056022</v>
      </c>
      <c r="AC35" s="11" t="n">
        <v>3.12900655975087</v>
      </c>
      <c r="AD35" s="11" t="n">
        <v>3.15880960314125</v>
      </c>
      <c r="AE35" s="11" t="n">
        <v>3.1869794137836</v>
      </c>
      <c r="AF35" s="11" t="n">
        <v>3.21358598511532</v>
      </c>
      <c r="AG35" s="11" t="n">
        <v>3.23869622247178</v>
      </c>
      <c r="AH35" s="11" t="n">
        <v>3.26237419922671</v>
      </c>
      <c r="AI35" s="11" t="n">
        <v>3.28468082414184</v>
      </c>
      <c r="AJ35" s="11" t="n">
        <v>3.30567365036868</v>
      </c>
      <c r="AK35" s="11" t="n">
        <v>3.32540717519894</v>
      </c>
    </row>
    <row r="36" customFormat="false" ht="15" hidden="false" customHeight="false" outlineLevel="0" collapsed="false">
      <c r="A36" s="10" t="n">
        <v>-89</v>
      </c>
      <c r="B36" s="8" t="n">
        <v>41361</v>
      </c>
      <c r="C36" s="11" t="n">
        <v>1.48260124284099</v>
      </c>
      <c r="D36" s="11" t="n">
        <v>1.59356895385389</v>
      </c>
      <c r="E36" s="11" t="n">
        <v>1.70031122660518</v>
      </c>
      <c r="F36" s="11" t="n">
        <v>1.80266405326451</v>
      </c>
      <c r="G36" s="11" t="n">
        <v>1.90056271979298</v>
      </c>
      <c r="H36" s="11" t="n">
        <v>1.99401218313862</v>
      </c>
      <c r="I36" s="11" t="n">
        <v>2.08307087550718</v>
      </c>
      <c r="J36" s="11" t="n">
        <v>2.16783907930613</v>
      </c>
      <c r="K36" s="11" t="n">
        <v>2.24845020813483</v>
      </c>
      <c r="L36" s="11" t="n">
        <v>2.32506284914458</v>
      </c>
      <c r="M36" s="11" t="n">
        <v>2.39784604438897</v>
      </c>
      <c r="N36" s="11" t="n">
        <v>2.46697012922214</v>
      </c>
      <c r="O36" s="11" t="n">
        <v>2.53260606960727</v>
      </c>
      <c r="P36" s="11" t="n">
        <v>2.59492535339082</v>
      </c>
      <c r="Q36" s="11" t="n">
        <v>2.65409980060438</v>
      </c>
      <c r="R36" s="11" t="n">
        <v>2.71029735832177</v>
      </c>
      <c r="S36" s="11" t="n">
        <v>2.76367342801435</v>
      </c>
      <c r="T36" s="11" t="n">
        <v>2.81437058519864</v>
      </c>
      <c r="U36" s="11" t="n">
        <v>2.86252059230932</v>
      </c>
      <c r="V36" s="11" t="n">
        <v>2.90824597769553</v>
      </c>
      <c r="W36" s="11" t="n">
        <v>2.95166130861931</v>
      </c>
      <c r="X36" s="11" t="n">
        <v>2.99287384151605</v>
      </c>
      <c r="Y36" s="11" t="n">
        <v>3.03198349195159</v>
      </c>
      <c r="Z36" s="11" t="n">
        <v>3.06908352187013</v>
      </c>
      <c r="AA36" s="11" t="n">
        <v>3.10426123339718</v>
      </c>
      <c r="AB36" s="11" t="n">
        <v>3.13759838324674</v>
      </c>
      <c r="AC36" s="11" t="n">
        <v>3.16917176535143</v>
      </c>
      <c r="AD36" s="11" t="n">
        <v>3.19905378745171</v>
      </c>
      <c r="AE36" s="11" t="n">
        <v>3.22731299700383</v>
      </c>
      <c r="AF36" s="11" t="n">
        <v>3.25401472857331</v>
      </c>
      <c r="AG36" s="11" t="n">
        <v>3.27922162234514</v>
      </c>
      <c r="AH36" s="11" t="n">
        <v>3.30299385578699</v>
      </c>
      <c r="AI36" s="11" t="n">
        <v>3.32538887952498</v>
      </c>
      <c r="AJ36" s="11" t="n">
        <v>3.34646129400649</v>
      </c>
      <c r="AK36" s="11" t="n">
        <v>3.36626310882431</v>
      </c>
    </row>
    <row r="37" customFormat="false" ht="15" hidden="false" customHeight="false" outlineLevel="0" collapsed="false">
      <c r="A37" s="10" t="n">
        <v>-88</v>
      </c>
      <c r="B37" s="8" t="n">
        <v>41366</v>
      </c>
      <c r="C37" s="11" t="n">
        <v>1.4902933186949</v>
      </c>
      <c r="D37" s="11" t="n">
        <v>1.60125014164412</v>
      </c>
      <c r="E37" s="11" t="n">
        <v>1.70785184894147</v>
      </c>
      <c r="F37" s="11" t="n">
        <v>1.80995548548293</v>
      </c>
      <c r="G37" s="11" t="n">
        <v>1.90751782243831</v>
      </c>
      <c r="H37" s="11" t="n">
        <v>2.00056423491292</v>
      </c>
      <c r="I37" s="11" t="n">
        <v>2.08917267967628</v>
      </c>
      <c r="J37" s="11" t="n">
        <v>2.17346226436562</v>
      </c>
      <c r="K37" s="11" t="n">
        <v>2.2535846740931</v>
      </c>
      <c r="L37" s="11" t="n">
        <v>2.32971610378269</v>
      </c>
      <c r="M37" s="11" t="n">
        <v>2.40204119982865</v>
      </c>
      <c r="N37" s="11" t="n">
        <v>2.47074329475944</v>
      </c>
      <c r="O37" s="11" t="n">
        <v>2.53600416040356</v>
      </c>
      <c r="P37" s="11" t="n">
        <v>2.59800427697572</v>
      </c>
      <c r="Q37" s="11" t="n">
        <v>2.65692293343653</v>
      </c>
      <c r="R37" s="11" t="n">
        <v>2.71293388709311</v>
      </c>
      <c r="S37" s="11" t="n">
        <v>2.76619622084436</v>
      </c>
      <c r="T37" s="11" t="n">
        <v>2.81685418322557</v>
      </c>
      <c r="U37" s="11" t="n">
        <v>2.86503936451657</v>
      </c>
      <c r="V37" s="11" t="n">
        <v>2.91087250695286</v>
      </c>
      <c r="W37" s="11" t="n">
        <v>2.95446500101013</v>
      </c>
      <c r="X37" s="11" t="n">
        <v>2.99591970515798</v>
      </c>
      <c r="Y37" s="11" t="n">
        <v>3.03533104620173</v>
      </c>
      <c r="Z37" s="11" t="n">
        <v>3.0727858452715</v>
      </c>
      <c r="AA37" s="11" t="n">
        <v>3.10836426452892</v>
      </c>
      <c r="AB37" s="11" t="n">
        <v>3.14214061382064</v>
      </c>
      <c r="AC37" s="11" t="n">
        <v>3.17418404605587</v>
      </c>
      <c r="AD37" s="11" t="n">
        <v>3.20455915684943</v>
      </c>
      <c r="AE37" s="11" t="n">
        <v>3.23332656807627</v>
      </c>
      <c r="AF37" s="11" t="n">
        <v>3.26054388382444</v>
      </c>
      <c r="AG37" s="11" t="n">
        <v>3.28626641229211</v>
      </c>
      <c r="AH37" s="11" t="n">
        <v>3.31054740387438</v>
      </c>
      <c r="AI37" s="11" t="n">
        <v>3.33343802335163</v>
      </c>
      <c r="AJ37" s="11" t="n">
        <v>3.35498737814227</v>
      </c>
      <c r="AK37" s="11" t="n">
        <v>3.37524271243308</v>
      </c>
    </row>
    <row r="38" customFormat="false" ht="15" hidden="false" customHeight="false" outlineLevel="0" collapsed="false">
      <c r="A38" s="10" t="n">
        <v>-87</v>
      </c>
      <c r="B38" s="8" t="n">
        <v>41367</v>
      </c>
      <c r="C38" s="11" t="n">
        <v>1.46685104594475</v>
      </c>
      <c r="D38" s="11" t="n">
        <v>1.57731601882386</v>
      </c>
      <c r="E38" s="11" t="n">
        <v>1.68343639902823</v>
      </c>
      <c r="F38" s="11" t="n">
        <v>1.78506596444845</v>
      </c>
      <c r="G38" s="11" t="n">
        <v>1.88215669753841</v>
      </c>
      <c r="H38" s="11" t="n">
        <v>1.97473035026612</v>
      </c>
      <c r="I38" s="11" t="n">
        <v>2.06286230669763</v>
      </c>
      <c r="J38" s="11" t="n">
        <v>2.14666992384521</v>
      </c>
      <c r="K38" s="11" t="n">
        <v>2.22630378698278</v>
      </c>
      <c r="L38" s="11" t="n">
        <v>2.30193960395258</v>
      </c>
      <c r="M38" s="11" t="n">
        <v>2.37376285995474</v>
      </c>
      <c r="N38" s="11" t="n">
        <v>2.44195949763403</v>
      </c>
      <c r="O38" s="11" t="n">
        <v>2.50671540222702</v>
      </c>
      <c r="P38" s="11" t="n">
        <v>2.56821641146005</v>
      </c>
      <c r="Q38" s="11" t="n">
        <v>2.62664820518842</v>
      </c>
      <c r="R38" s="11" t="n">
        <v>2.68219177663753</v>
      </c>
      <c r="S38" s="11" t="n">
        <v>2.73501421871775</v>
      </c>
      <c r="T38" s="11" t="n">
        <v>2.78526795859621</v>
      </c>
      <c r="U38" s="11" t="n">
        <v>2.83309172116136</v>
      </c>
      <c r="V38" s="11" t="n">
        <v>2.87861220433481</v>
      </c>
      <c r="W38" s="11" t="n">
        <v>2.92194572911287</v>
      </c>
      <c r="X38" s="11" t="n">
        <v>2.9631988586551</v>
      </c>
      <c r="Y38" s="11" t="n">
        <v>3.00246790098009</v>
      </c>
      <c r="Z38" s="11" t="n">
        <v>3.03983978770854</v>
      </c>
      <c r="AA38" s="11" t="n">
        <v>3.07539333781233</v>
      </c>
      <c r="AB38" s="11" t="n">
        <v>3.10920045805397</v>
      </c>
      <c r="AC38" s="11" t="n">
        <v>3.14132701689166</v>
      </c>
      <c r="AD38" s="11" t="n">
        <v>3.17183354690884</v>
      </c>
      <c r="AE38" s="11" t="n">
        <v>3.20077593409031</v>
      </c>
      <c r="AF38" s="11" t="n">
        <v>3.22820657393591</v>
      </c>
      <c r="AG38" s="11" t="n">
        <v>3.25417523493553</v>
      </c>
      <c r="AH38" s="11" t="n">
        <v>3.27872937705862</v>
      </c>
      <c r="AI38" s="11" t="n">
        <v>3.30191446034885</v>
      </c>
      <c r="AJ38" s="11" t="n">
        <v>3.3237742003013</v>
      </c>
      <c r="AK38" s="11" t="n">
        <v>3.34435074548779</v>
      </c>
    </row>
    <row r="39" customFormat="false" ht="15" hidden="false" customHeight="false" outlineLevel="0" collapsed="false">
      <c r="A39" s="10" t="n">
        <v>-86</v>
      </c>
      <c r="B39" s="8" t="n">
        <v>41368</v>
      </c>
      <c r="C39" s="11" t="n">
        <v>1.42515117660202</v>
      </c>
      <c r="D39" s="11" t="n">
        <v>1.5335913788034</v>
      </c>
      <c r="E39" s="11" t="n">
        <v>1.63801296913424</v>
      </c>
      <c r="F39" s="11" t="n">
        <v>1.73822631802886</v>
      </c>
      <c r="G39" s="11" t="n">
        <v>1.83413880408836</v>
      </c>
      <c r="H39" s="11" t="n">
        <v>1.92573263813691</v>
      </c>
      <c r="I39" s="11" t="n">
        <v>2.01304792877215</v>
      </c>
      <c r="J39" s="11" t="n">
        <v>2.09617009589269</v>
      </c>
      <c r="K39" s="11" t="n">
        <v>2.17522043055604</v>
      </c>
      <c r="L39" s="11" t="n">
        <v>2.25034777994118</v>
      </c>
      <c r="M39" s="11" t="n">
        <v>2.32171515400776</v>
      </c>
      <c r="N39" s="11" t="n">
        <v>2.38949139050098</v>
      </c>
      <c r="O39" s="11" t="n">
        <v>2.45384979056861</v>
      </c>
      <c r="P39" s="11" t="n">
        <v>2.51496734920874</v>
      </c>
      <c r="Q39" s="11" t="n">
        <v>2.57302401355144</v>
      </c>
      <c r="R39" s="11" t="n">
        <v>2.62819746692997</v>
      </c>
      <c r="S39" s="11" t="n">
        <v>2.68065325253454</v>
      </c>
      <c r="T39" s="11" t="n">
        <v>2.73054351661697</v>
      </c>
      <c r="U39" s="11" t="n">
        <v>2.77800738300067</v>
      </c>
      <c r="V39" s="11" t="n">
        <v>2.82317244004423</v>
      </c>
      <c r="W39" s="11" t="n">
        <v>2.86615631634795</v>
      </c>
      <c r="X39" s="11" t="n">
        <v>2.90706703273647</v>
      </c>
      <c r="Y39" s="11" t="n">
        <v>2.94600203356234</v>
      </c>
      <c r="Z39" s="11" t="n">
        <v>2.98304900389001</v>
      </c>
      <c r="AA39" s="11" t="n">
        <v>3.01828722404168</v>
      </c>
      <c r="AB39" s="11" t="n">
        <v>3.05178889905469</v>
      </c>
      <c r="AC39" s="11" t="n">
        <v>3.08362007360346</v>
      </c>
      <c r="AD39" s="11" t="n">
        <v>3.11384134872998</v>
      </c>
      <c r="AE39" s="11" t="n">
        <v>3.14250858975247</v>
      </c>
      <c r="AF39" s="11" t="n">
        <v>3.16967413131836</v>
      </c>
      <c r="AG39" s="11" t="n">
        <v>3.19538766867763</v>
      </c>
      <c r="AH39" s="11" t="n">
        <v>3.21969657186964</v>
      </c>
      <c r="AI39" s="11" t="n">
        <v>3.2426461456893</v>
      </c>
      <c r="AJ39" s="11" t="n">
        <v>3.26427985363978</v>
      </c>
      <c r="AK39" s="11" t="n">
        <v>3.2846395028641</v>
      </c>
    </row>
    <row r="40" customFormat="false" ht="15" hidden="false" customHeight="false" outlineLevel="0" collapsed="false">
      <c r="A40" s="10" t="n">
        <v>-85</v>
      </c>
      <c r="B40" s="8" t="n">
        <v>41369</v>
      </c>
      <c r="C40" s="11" t="n">
        <v>1.35012048862714</v>
      </c>
      <c r="D40" s="11" t="n">
        <v>1.45550954593585</v>
      </c>
      <c r="E40" s="11" t="n">
        <v>1.55718400641832</v>
      </c>
      <c r="F40" s="11" t="n">
        <v>1.65489557588521</v>
      </c>
      <c r="G40" s="11" t="n">
        <v>1.74849698785966</v>
      </c>
      <c r="H40" s="11" t="n">
        <v>1.83792426121468</v>
      </c>
      <c r="I40" s="11" t="n">
        <v>1.92317812398495</v>
      </c>
      <c r="J40" s="11" t="n">
        <v>2.0043099461578</v>
      </c>
      <c r="K40" s="11" t="n">
        <v>2.08141118899609</v>
      </c>
      <c r="L40" s="11" t="n">
        <v>2.15460465391464</v>
      </c>
      <c r="M40" s="11" t="n">
        <v>2.22403348100577</v>
      </c>
      <c r="N40" s="11" t="n">
        <v>2.28985399568058</v>
      </c>
      <c r="O40" s="11" t="n">
        <v>2.35223317227479</v>
      </c>
      <c r="P40" s="11" t="n">
        <v>2.41134679802726</v>
      </c>
      <c r="Q40" s="11" t="n">
        <v>2.46737786659022</v>
      </c>
      <c r="R40" s="11" t="n">
        <v>2.52051059191264</v>
      </c>
      <c r="S40" s="11" t="n">
        <v>2.57092016022766</v>
      </c>
      <c r="T40" s="11" t="n">
        <v>2.61877045105289</v>
      </c>
      <c r="U40" s="11" t="n">
        <v>2.66421271612361</v>
      </c>
      <c r="V40" s="11" t="n">
        <v>2.7073867097326</v>
      </c>
      <c r="W40" s="11" t="n">
        <v>2.74842223931692</v>
      </c>
      <c r="X40" s="11" t="n">
        <v>2.78743887819124</v>
      </c>
      <c r="Y40" s="11" t="n">
        <v>2.8245437795086</v>
      </c>
      <c r="Z40" s="11" t="n">
        <v>2.85983244603711</v>
      </c>
      <c r="AA40" s="11" t="n">
        <v>2.89339024852022</v>
      </c>
      <c r="AB40" s="11" t="n">
        <v>2.92529380243065</v>
      </c>
      <c r="AC40" s="11" t="n">
        <v>2.95561204260701</v>
      </c>
      <c r="AD40" s="11" t="n">
        <v>2.98440711652588</v>
      </c>
      <c r="AE40" s="11" t="n">
        <v>3.01173524679417</v>
      </c>
      <c r="AF40" s="11" t="n">
        <v>3.03764805237214</v>
      </c>
      <c r="AG40" s="11" t="n">
        <v>3.06219352709089</v>
      </c>
      <c r="AH40" s="11" t="n">
        <v>3.08541647742008</v>
      </c>
      <c r="AI40" s="11" t="n">
        <v>3.10735903056284</v>
      </c>
      <c r="AJ40" s="11" t="n">
        <v>3.12806103426016</v>
      </c>
      <c r="AK40" s="11" t="n">
        <v>3.14756029201738</v>
      </c>
    </row>
    <row r="41" customFormat="false" ht="15" hidden="false" customHeight="false" outlineLevel="0" collapsed="false">
      <c r="A41" s="10" t="n">
        <v>-84</v>
      </c>
      <c r="B41" s="8" t="n">
        <v>41372</v>
      </c>
      <c r="C41" s="11" t="n">
        <v>1.41741878024573</v>
      </c>
      <c r="D41" s="11" t="n">
        <v>1.52339564640878</v>
      </c>
      <c r="E41" s="11" t="n">
        <v>1.62523695161938</v>
      </c>
      <c r="F41" s="11" t="n">
        <v>1.72274165965688</v>
      </c>
      <c r="G41" s="11" t="n">
        <v>1.81581667933589</v>
      </c>
      <c r="H41" s="11" t="n">
        <v>1.90444980513267</v>
      </c>
      <c r="I41" s="11" t="n">
        <v>1.98869126845187</v>
      </c>
      <c r="J41" s="11" t="n">
        <v>2.06864016438128</v>
      </c>
      <c r="K41" s="11" t="n">
        <v>2.14443427116697</v>
      </c>
      <c r="L41" s="11" t="n">
        <v>2.21624088853418</v>
      </c>
      <c r="M41" s="11" t="n">
        <v>2.28424162860034</v>
      </c>
      <c r="N41" s="11" t="n">
        <v>2.3486233527799</v>
      </c>
      <c r="O41" s="11" t="n">
        <v>2.4095768962529</v>
      </c>
      <c r="P41" s="11" t="n">
        <v>2.46729638283291</v>
      </c>
      <c r="Q41" s="11" t="n">
        <v>2.52197852092087</v>
      </c>
      <c r="R41" s="11" t="n">
        <v>2.57381684728641</v>
      </c>
      <c r="S41" s="11" t="n">
        <v>2.62299124175506</v>
      </c>
      <c r="T41" s="11" t="n">
        <v>2.66966665235018</v>
      </c>
      <c r="U41" s="11" t="n">
        <v>2.71399333965768</v>
      </c>
      <c r="V41" s="11" t="n">
        <v>2.75610854116466</v>
      </c>
      <c r="W41" s="11" t="n">
        <v>2.79613824524312</v>
      </c>
      <c r="X41" s="11" t="n">
        <v>2.83419749817087</v>
      </c>
      <c r="Y41" s="11" t="n">
        <v>2.87038924897866</v>
      </c>
      <c r="Z41" s="11" t="n">
        <v>2.90480530665538</v>
      </c>
      <c r="AA41" s="11" t="n">
        <v>2.93752786442324</v>
      </c>
      <c r="AB41" s="11" t="n">
        <v>2.96863095579087</v>
      </c>
      <c r="AC41" s="11" t="n">
        <v>2.99818149002303</v>
      </c>
      <c r="AD41" s="11" t="n">
        <v>3.02624008085312</v>
      </c>
      <c r="AE41" s="11" t="n">
        <v>3.05286184130149</v>
      </c>
      <c r="AF41" s="11" t="n">
        <v>3.07809756362393</v>
      </c>
      <c r="AG41" s="11" t="n">
        <v>3.10199459429792</v>
      </c>
      <c r="AH41" s="11" t="n">
        <v>3.12459722839013</v>
      </c>
      <c r="AI41" s="11" t="n">
        <v>3.14594706078801</v>
      </c>
      <c r="AJ41" s="11" t="n">
        <v>3.16608328540496</v>
      </c>
      <c r="AK41" s="11" t="n">
        <v>3.18504293661716</v>
      </c>
    </row>
    <row r="42" customFormat="false" ht="15" hidden="false" customHeight="false" outlineLevel="0" collapsed="false">
      <c r="A42" s="10" t="n">
        <v>-83</v>
      </c>
      <c r="B42" s="8" t="n">
        <v>41373</v>
      </c>
      <c r="C42" s="11" t="n">
        <v>1.45949052728727</v>
      </c>
      <c r="D42" s="11" t="n">
        <v>1.56721784675927</v>
      </c>
      <c r="E42" s="11" t="n">
        <v>1.67049234815051</v>
      </c>
      <c r="F42" s="11" t="n">
        <v>1.76914291783508</v>
      </c>
      <c r="G42" s="11" t="n">
        <v>1.86311175282047</v>
      </c>
      <c r="H42" s="11" t="n">
        <v>1.95241995860878</v>
      </c>
      <c r="I42" s="11" t="n">
        <v>2.03714923212803</v>
      </c>
      <c r="J42" s="11" t="n">
        <v>2.11742868968301</v>
      </c>
      <c r="K42" s="11" t="n">
        <v>2.19342498706152</v>
      </c>
      <c r="L42" s="11" t="n">
        <v>2.26533296481103</v>
      </c>
      <c r="M42" s="11" t="n">
        <v>2.3333580545723</v>
      </c>
      <c r="N42" s="11" t="n">
        <v>2.39770622535976</v>
      </c>
      <c r="O42" s="11" t="n">
        <v>2.45858346858331</v>
      </c>
      <c r="P42" s="11" t="n">
        <v>2.51619579418696</v>
      </c>
      <c r="Q42" s="11" t="n">
        <v>2.57074907383997</v>
      </c>
      <c r="R42" s="11" t="n">
        <v>2.62244391883965</v>
      </c>
      <c r="S42" s="11" t="n">
        <v>2.67146604737746</v>
      </c>
      <c r="T42" s="11" t="n">
        <v>2.71798531032797</v>
      </c>
      <c r="U42" s="11" t="n">
        <v>2.76215602874809</v>
      </c>
      <c r="V42" s="11" t="n">
        <v>2.80411877432355</v>
      </c>
      <c r="W42" s="11" t="n">
        <v>2.84400224361194</v>
      </c>
      <c r="X42" s="11" t="n">
        <v>2.88192365312685</v>
      </c>
      <c r="Y42" s="11" t="n">
        <v>2.9179876938223</v>
      </c>
      <c r="Z42" s="11" t="n">
        <v>2.95228756051278</v>
      </c>
      <c r="AA42" s="11" t="n">
        <v>2.98490653595765</v>
      </c>
      <c r="AB42" s="11" t="n">
        <v>3.01591951097212</v>
      </c>
      <c r="AC42" s="11" t="n">
        <v>3.04539405291666</v>
      </c>
      <c r="AD42" s="11" t="n">
        <v>3.07339125758827</v>
      </c>
      <c r="AE42" s="11" t="n">
        <v>3.0999665708877</v>
      </c>
      <c r="AF42" s="11" t="n">
        <v>3.12517102530398</v>
      </c>
      <c r="AG42" s="11" t="n">
        <v>3.14905214828918</v>
      </c>
      <c r="AH42" s="11" t="n">
        <v>3.17165435551534</v>
      </c>
      <c r="AI42" s="11" t="n">
        <v>3.19301924960882</v>
      </c>
      <c r="AJ42" s="11" t="n">
        <v>3.21318588938507</v>
      </c>
      <c r="AK42" s="11" t="n">
        <v>3.23219104324007</v>
      </c>
    </row>
    <row r="43" customFormat="false" ht="15" hidden="false" customHeight="false" outlineLevel="0" collapsed="false">
      <c r="A43" s="10" t="n">
        <v>-82</v>
      </c>
      <c r="B43" s="8" t="n">
        <v>41374</v>
      </c>
      <c r="C43" s="11" t="n">
        <v>1.50926231430316</v>
      </c>
      <c r="D43" s="11" t="n">
        <v>1.61764288247145</v>
      </c>
      <c r="E43" s="11" t="n">
        <v>1.72133356294327</v>
      </c>
      <c r="F43" s="11" t="n">
        <v>1.82020885118671</v>
      </c>
      <c r="G43" s="11" t="n">
        <v>1.91425540612025</v>
      </c>
      <c r="H43" s="11" t="n">
        <v>2.00353325787655</v>
      </c>
      <c r="I43" s="11" t="n">
        <v>2.08815851465573</v>
      </c>
      <c r="J43" s="11" t="n">
        <v>2.16829117184117</v>
      </c>
      <c r="K43" s="11" t="n">
        <v>2.24412596764209</v>
      </c>
      <c r="L43" s="11" t="n">
        <v>2.31588312565919</v>
      </c>
      <c r="M43" s="11" t="n">
        <v>2.38378845537268</v>
      </c>
      <c r="N43" s="11" t="n">
        <v>2.44806246605251</v>
      </c>
      <c r="O43" s="11" t="n">
        <v>2.50892081238911</v>
      </c>
      <c r="P43" s="11" t="n">
        <v>2.56657513148983</v>
      </c>
      <c r="Q43" s="11" t="n">
        <v>2.62123354552592</v>
      </c>
      <c r="R43" s="11" t="n">
        <v>2.67309576664146</v>
      </c>
      <c r="S43" s="11" t="n">
        <v>2.72234346355048</v>
      </c>
      <c r="T43" s="11" t="n">
        <v>2.76914027652664</v>
      </c>
      <c r="U43" s="11" t="n">
        <v>2.81363369631807</v>
      </c>
      <c r="V43" s="11" t="n">
        <v>2.85595720514889</v>
      </c>
      <c r="W43" s="11" t="n">
        <v>2.89623219918144</v>
      </c>
      <c r="X43" s="11" t="n">
        <v>2.93456882911288</v>
      </c>
      <c r="Y43" s="11" t="n">
        <v>2.97106582527112</v>
      </c>
      <c r="Z43" s="11" t="n">
        <v>3.00581159360259</v>
      </c>
      <c r="AA43" s="11" t="n">
        <v>3.03888559754243</v>
      </c>
      <c r="AB43" s="11" t="n">
        <v>3.0703596394757</v>
      </c>
      <c r="AC43" s="11" t="n">
        <v>3.10029881478421</v>
      </c>
      <c r="AD43" s="11" t="n">
        <v>3.12876229192317</v>
      </c>
      <c r="AE43" s="11" t="n">
        <v>3.1558040422788</v>
      </c>
      <c r="AF43" s="11" t="n">
        <v>3.18147380939454</v>
      </c>
      <c r="AG43" s="11" t="n">
        <v>3.20581784112243</v>
      </c>
      <c r="AH43" s="11" t="n">
        <v>3.22887927078507</v>
      </c>
      <c r="AI43" s="11" t="n">
        <v>3.25069840211942</v>
      </c>
      <c r="AJ43" s="11" t="n">
        <v>3.27131297066114</v>
      </c>
      <c r="AK43" s="11" t="n">
        <v>3.29075839907229</v>
      </c>
    </row>
    <row r="44" customFormat="false" ht="15" hidden="false" customHeight="false" outlineLevel="0" collapsed="false">
      <c r="A44" s="10" t="n">
        <v>-81</v>
      </c>
      <c r="B44" s="8" t="n">
        <v>41375</v>
      </c>
      <c r="C44" s="11" t="n">
        <v>1.4940136825044</v>
      </c>
      <c r="D44" s="11" t="n">
        <v>1.60223236536566</v>
      </c>
      <c r="E44" s="11" t="n">
        <v>1.70587000878561</v>
      </c>
      <c r="F44" s="11" t="n">
        <v>1.80483708045388</v>
      </c>
      <c r="G44" s="11" t="n">
        <v>1.89914709104686</v>
      </c>
      <c r="H44" s="11" t="n">
        <v>1.98887592925601</v>
      </c>
      <c r="I44" s="11" t="n">
        <v>2.07414687173052</v>
      </c>
      <c r="J44" s="11" t="n">
        <v>2.15512028134739</v>
      </c>
      <c r="K44" s="11" t="n">
        <v>2.23198587948284</v>
      </c>
      <c r="L44" s="11" t="n">
        <v>2.30495438273659</v>
      </c>
      <c r="M44" s="11" t="n">
        <v>2.37423751407235</v>
      </c>
      <c r="N44" s="11" t="n">
        <v>2.44003746362475</v>
      </c>
      <c r="O44" s="11" t="n">
        <v>2.50254807430334</v>
      </c>
      <c r="P44" s="11" t="n">
        <v>2.56195628096928</v>
      </c>
      <c r="Q44" s="11" t="n">
        <v>2.61844310847182</v>
      </c>
      <c r="R44" s="11" t="n">
        <v>2.67217972068287</v>
      </c>
      <c r="S44" s="11" t="n">
        <v>2.72331927346444</v>
      </c>
      <c r="T44" s="11" t="n">
        <v>2.7719980136332</v>
      </c>
      <c r="U44" s="11" t="n">
        <v>2.81833860207125</v>
      </c>
      <c r="V44" s="11" t="n">
        <v>2.86245223568668</v>
      </c>
      <c r="W44" s="11" t="n">
        <v>2.90444024043048</v>
      </c>
      <c r="X44" s="11" t="n">
        <v>2.94439540894446</v>
      </c>
      <c r="Y44" s="11" t="n">
        <v>2.9824031310664</v>
      </c>
      <c r="Z44" s="11" t="n">
        <v>3.0185423466603</v>
      </c>
      <c r="AA44" s="11" t="n">
        <v>3.05288642019543</v>
      </c>
      <c r="AB44" s="11" t="n">
        <v>3.0855039592856</v>
      </c>
      <c r="AC44" s="11" t="n">
        <v>3.11645941107889</v>
      </c>
      <c r="AD44" s="11" t="n">
        <v>3.14581354616576</v>
      </c>
      <c r="AE44" s="11" t="n">
        <v>3.17362391523597</v>
      </c>
      <c r="AF44" s="11" t="n">
        <v>3.19994547315153</v>
      </c>
      <c r="AG44" s="11" t="n">
        <v>3.22483104416838</v>
      </c>
      <c r="AH44" s="11" t="n">
        <v>3.24833148063339</v>
      </c>
      <c r="AI44" s="11" t="n">
        <v>3.27049533810369</v>
      </c>
      <c r="AJ44" s="11" t="n">
        <v>3.29136874679668</v>
      </c>
      <c r="AK44" s="11" t="n">
        <v>3.31099563467458</v>
      </c>
    </row>
    <row r="45" customFormat="false" ht="15" hidden="false" customHeight="false" outlineLevel="0" collapsed="false">
      <c r="A45" s="10" t="n">
        <v>-80</v>
      </c>
      <c r="B45" s="8" t="n">
        <v>41376</v>
      </c>
      <c r="C45" s="11" t="n">
        <v>1.45598847455254</v>
      </c>
      <c r="D45" s="11" t="n">
        <v>1.56369607357722</v>
      </c>
      <c r="E45" s="11" t="n">
        <v>1.66704457824432</v>
      </c>
      <c r="F45" s="11" t="n">
        <v>1.76593210871163</v>
      </c>
      <c r="G45" s="11" t="n">
        <v>1.86035749870419</v>
      </c>
      <c r="H45" s="11" t="n">
        <v>1.950380616465</v>
      </c>
      <c r="I45" s="11" t="n">
        <v>2.03610773997618</v>
      </c>
      <c r="J45" s="11" t="n">
        <v>2.11768146788522</v>
      </c>
      <c r="K45" s="11" t="n">
        <v>2.19527315083464</v>
      </c>
      <c r="L45" s="11" t="n">
        <v>2.26907472024266</v>
      </c>
      <c r="M45" s="11" t="n">
        <v>2.33927989129614</v>
      </c>
      <c r="N45" s="11" t="n">
        <v>2.40607454161263</v>
      </c>
      <c r="O45" s="11" t="n">
        <v>2.46963767238429</v>
      </c>
      <c r="P45" s="11" t="n">
        <v>2.53014259396849</v>
      </c>
      <c r="Q45" s="11" t="n">
        <v>2.58775771623843</v>
      </c>
      <c r="R45" s="11" t="n">
        <v>2.64264260501193</v>
      </c>
      <c r="S45" s="11" t="n">
        <v>2.69494034999898</v>
      </c>
      <c r="T45" s="11" t="n">
        <v>2.74477869051035</v>
      </c>
      <c r="U45" s="11" t="n">
        <v>2.79227315910958</v>
      </c>
      <c r="V45" s="11" t="n">
        <v>2.83752900919414</v>
      </c>
      <c r="W45" s="11" t="n">
        <v>2.88064264489852</v>
      </c>
      <c r="X45" s="11" t="n">
        <v>2.92170286977057</v>
      </c>
      <c r="Y45" s="11" t="n">
        <v>2.96079199188037</v>
      </c>
      <c r="Z45" s="11" t="n">
        <v>2.99798667826792</v>
      </c>
      <c r="AA45" s="11" t="n">
        <v>3.03335864111576</v>
      </c>
      <c r="AB45" s="11" t="n">
        <v>3.06697520476224</v>
      </c>
      <c r="AC45" s="11" t="n">
        <v>3.09889982030125</v>
      </c>
      <c r="AD45" s="11" t="n">
        <v>3.12919251594909</v>
      </c>
      <c r="AE45" s="11" t="n">
        <v>3.15791031536086</v>
      </c>
      <c r="AF45" s="11" t="n">
        <v>3.18510776396101</v>
      </c>
      <c r="AG45" s="11" t="n">
        <v>3.21083732595208</v>
      </c>
      <c r="AH45" s="11" t="n">
        <v>3.23514953694607</v>
      </c>
      <c r="AI45" s="11" t="n">
        <v>3.25809271392485</v>
      </c>
      <c r="AJ45" s="11" t="n">
        <v>3.27971285749921</v>
      </c>
      <c r="AK45" s="11" t="n">
        <v>3.30005386710562</v>
      </c>
    </row>
    <row r="46" customFormat="false" ht="15" hidden="false" customHeight="false" outlineLevel="0" collapsed="false">
      <c r="A46" s="10" t="n">
        <v>-79</v>
      </c>
      <c r="B46" s="8" t="n">
        <v>41379</v>
      </c>
      <c r="C46" s="11" t="n">
        <v>1.43636051234625</v>
      </c>
      <c r="D46" s="11" t="n">
        <v>1.54361662908878</v>
      </c>
      <c r="E46" s="11" t="n">
        <v>1.64662030038753</v>
      </c>
      <c r="F46" s="11" t="n">
        <v>1.74524709267021</v>
      </c>
      <c r="G46" s="11" t="n">
        <v>1.83947487739162</v>
      </c>
      <c r="H46" s="11" t="n">
        <v>1.92934533731616</v>
      </c>
      <c r="I46" s="11" t="n">
        <v>2.01494879684216</v>
      </c>
      <c r="J46" s="11" t="n">
        <v>2.0964136477336</v>
      </c>
      <c r="K46" s="11" t="n">
        <v>2.17389841656037</v>
      </c>
      <c r="L46" s="11" t="n">
        <v>2.2475835367154</v>
      </c>
      <c r="M46" s="11" t="n">
        <v>2.31765383675371</v>
      </c>
      <c r="N46" s="11" t="n">
        <v>2.38428949912346</v>
      </c>
      <c r="O46" s="11" t="n">
        <v>2.44766650887014</v>
      </c>
      <c r="P46" s="11" t="n">
        <v>2.50795737732666</v>
      </c>
      <c r="Q46" s="11" t="n">
        <v>2.5653315702419</v>
      </c>
      <c r="R46" s="11" t="n">
        <v>2.61995158058337</v>
      </c>
      <c r="S46" s="11" t="n">
        <v>2.67196568822277</v>
      </c>
      <c r="T46" s="11" t="n">
        <v>2.72150832085186</v>
      </c>
      <c r="U46" s="11" t="n">
        <v>2.76870184451156</v>
      </c>
      <c r="V46" s="11" t="n">
        <v>2.81365823756126</v>
      </c>
      <c r="W46" s="11" t="n">
        <v>2.85648052063093</v>
      </c>
      <c r="X46" s="11" t="n">
        <v>2.89726356985986</v>
      </c>
      <c r="Y46" s="11" t="n">
        <v>2.93609440827549</v>
      </c>
      <c r="Z46" s="11" t="n">
        <v>2.97305304948202</v>
      </c>
      <c r="AA46" s="11" t="n">
        <v>3.0082133836592</v>
      </c>
      <c r="AB46" s="11" t="n">
        <v>3.04164394438824</v>
      </c>
      <c r="AC46" s="11" t="n">
        <v>3.07340855046855</v>
      </c>
      <c r="AD46" s="11" t="n">
        <v>3.10356685418854</v>
      </c>
      <c r="AE46" s="11" t="n">
        <v>3.13217486057154</v>
      </c>
      <c r="AF46" s="11" t="n">
        <v>3.15928562849964</v>
      </c>
      <c r="AG46" s="11" t="n">
        <v>3.18494978483429</v>
      </c>
      <c r="AH46" s="11" t="n">
        <v>3.20921574966282</v>
      </c>
      <c r="AI46" s="11" t="n">
        <v>3.23212968851889</v>
      </c>
      <c r="AJ46" s="11" t="n">
        <v>3.25373556130621</v>
      </c>
      <c r="AK46" s="11" t="n">
        <v>3.27407533384328</v>
      </c>
    </row>
    <row r="47" customFormat="false" ht="15" hidden="false" customHeight="false" outlineLevel="0" collapsed="false">
      <c r="A47" s="10" t="n">
        <v>-78</v>
      </c>
      <c r="B47" s="8" t="n">
        <v>41380</v>
      </c>
      <c r="C47" s="11" t="n">
        <v>1.46307379638169</v>
      </c>
      <c r="D47" s="11" t="n">
        <v>1.57021227367673</v>
      </c>
      <c r="E47" s="11" t="n">
        <v>1.67301375623171</v>
      </c>
      <c r="F47" s="11" t="n">
        <v>1.77136753870093</v>
      </c>
      <c r="G47" s="11" t="n">
        <v>1.86526383406853</v>
      </c>
      <c r="H47" s="11" t="n">
        <v>1.95475541950465</v>
      </c>
      <c r="I47" s="11" t="n">
        <v>2.03994275252116</v>
      </c>
      <c r="J47" s="11" t="n">
        <v>2.12096360567994</v>
      </c>
      <c r="K47" s="11" t="n">
        <v>2.19798529052045</v>
      </c>
      <c r="L47" s="11" t="n">
        <v>2.27119647026059</v>
      </c>
      <c r="M47" s="11" t="n">
        <v>2.34078947723429</v>
      </c>
      <c r="N47" s="11" t="n">
        <v>2.40695133442206</v>
      </c>
      <c r="O47" s="11" t="n">
        <v>2.46986432651729</v>
      </c>
      <c r="P47" s="11" t="n">
        <v>2.52970681687224</v>
      </c>
      <c r="Q47" s="11" t="n">
        <v>2.58665374094045</v>
      </c>
      <c r="R47" s="11" t="n">
        <v>2.64087256857696</v>
      </c>
      <c r="S47" s="11" t="n">
        <v>2.69251591586656</v>
      </c>
      <c r="T47" s="11" t="n">
        <v>2.74172185042601</v>
      </c>
      <c r="U47" s="11" t="n">
        <v>2.78861553838016</v>
      </c>
      <c r="V47" s="11" t="n">
        <v>2.83331098962842</v>
      </c>
      <c r="W47" s="11" t="n">
        <v>2.87591258887717</v>
      </c>
      <c r="X47" s="11" t="n">
        <v>2.91651583767373</v>
      </c>
      <c r="Y47" s="11" t="n">
        <v>2.95520743921232</v>
      </c>
      <c r="Z47" s="11" t="n">
        <v>2.99206620401104</v>
      </c>
      <c r="AA47" s="11" t="n">
        <v>3.02716408669007</v>
      </c>
      <c r="AB47" s="11" t="n">
        <v>3.06056711928199</v>
      </c>
      <c r="AC47" s="11" t="n">
        <v>3.09233613602316</v>
      </c>
      <c r="AD47" s="11" t="n">
        <v>3.12252737785202</v>
      </c>
      <c r="AE47" s="11" t="n">
        <v>3.15119308135385</v>
      </c>
      <c r="AF47" s="11" t="n">
        <v>3.17838235034546</v>
      </c>
      <c r="AG47" s="11" t="n">
        <v>3.20414177268916</v>
      </c>
      <c r="AH47" s="11" t="n">
        <v>3.22851569295323</v>
      </c>
      <c r="AI47" s="11" t="n">
        <v>3.25154639159079</v>
      </c>
      <c r="AJ47" s="11" t="n">
        <v>3.27327426043439</v>
      </c>
      <c r="AK47" s="11" t="n">
        <v>3.2937379898414</v>
      </c>
    </row>
    <row r="48" customFormat="false" ht="15" hidden="false" customHeight="false" outlineLevel="0" collapsed="false">
      <c r="A48" s="10" t="n">
        <v>-77</v>
      </c>
      <c r="B48" s="8" t="n">
        <v>41381</v>
      </c>
      <c r="C48" s="11" t="n">
        <v>1.41402604268726</v>
      </c>
      <c r="D48" s="11" t="n">
        <v>1.52023798531621</v>
      </c>
      <c r="E48" s="11" t="n">
        <v>1.62236649636409</v>
      </c>
      <c r="F48" s="11" t="n">
        <v>1.72027572213104</v>
      </c>
      <c r="G48" s="11" t="n">
        <v>1.81393132060331</v>
      </c>
      <c r="H48" s="11" t="n">
        <v>1.9033637213515</v>
      </c>
      <c r="I48" s="11" t="n">
        <v>1.98865282976337</v>
      </c>
      <c r="J48" s="11" t="n">
        <v>2.06991727143138</v>
      </c>
      <c r="K48" s="11" t="n">
        <v>2.14730632323577</v>
      </c>
      <c r="L48" s="11" t="n">
        <v>2.2209915885542</v>
      </c>
      <c r="M48" s="11" t="n">
        <v>2.29114981933058</v>
      </c>
      <c r="N48" s="11" t="n">
        <v>2.35795418061696</v>
      </c>
      <c r="O48" s="11" t="n">
        <v>2.42157454425023</v>
      </c>
      <c r="P48" s="11" t="n">
        <v>2.48217805664786</v>
      </c>
      <c r="Q48" s="11" t="n">
        <v>2.53992941894478</v>
      </c>
      <c r="R48" s="11" t="n">
        <v>2.59498639544317</v>
      </c>
      <c r="S48" s="11" t="n">
        <v>2.64749191096996</v>
      </c>
      <c r="T48" s="11" t="n">
        <v>2.69757454335169</v>
      </c>
      <c r="U48" s="11" t="n">
        <v>2.74535061678593</v>
      </c>
      <c r="V48" s="11" t="n">
        <v>2.79092594999927</v>
      </c>
      <c r="W48" s="11" t="n">
        <v>2.83439730226834</v>
      </c>
      <c r="X48" s="11" t="n">
        <v>2.87585320438705</v>
      </c>
      <c r="Y48" s="11" t="n">
        <v>2.91537428744376</v>
      </c>
      <c r="Z48" s="11" t="n">
        <v>2.95303414394747</v>
      </c>
      <c r="AA48" s="11" t="n">
        <v>2.98890026650781</v>
      </c>
      <c r="AB48" s="11" t="n">
        <v>3.02303490363739</v>
      </c>
      <c r="AC48" s="11" t="n">
        <v>3.05549570644052</v>
      </c>
      <c r="AD48" s="11" t="n">
        <v>3.08633626331784</v>
      </c>
      <c r="AE48" s="11" t="n">
        <v>3.11560664270218</v>
      </c>
      <c r="AF48" s="11" t="n">
        <v>3.14335429313208</v>
      </c>
      <c r="AG48" s="11" t="n">
        <v>3.16962465369979</v>
      </c>
      <c r="AH48" s="11" t="n">
        <v>3.19446138061325</v>
      </c>
      <c r="AI48" s="11" t="n">
        <v>3.21790651447053</v>
      </c>
      <c r="AJ48" s="11" t="n">
        <v>3.24000063337129</v>
      </c>
      <c r="AK48" s="11" t="n">
        <v>3.26078299860336</v>
      </c>
    </row>
    <row r="49" customFormat="false" ht="15" hidden="false" customHeight="false" outlineLevel="0" collapsed="false">
      <c r="A49" s="10" t="n">
        <v>-76</v>
      </c>
      <c r="B49" s="8" t="n">
        <v>41382</v>
      </c>
      <c r="C49" s="11" t="n">
        <v>1.38893457781508</v>
      </c>
      <c r="D49" s="11" t="n">
        <v>1.493948843469</v>
      </c>
      <c r="E49" s="11" t="n">
        <v>1.59511573781997</v>
      </c>
      <c r="F49" s="11" t="n">
        <v>1.69227889819041</v>
      </c>
      <c r="G49" s="11" t="n">
        <v>1.78537821610794</v>
      </c>
      <c r="H49" s="11" t="n">
        <v>1.87441839371452</v>
      </c>
      <c r="I49" s="11" t="n">
        <v>1.95945383129053</v>
      </c>
      <c r="J49" s="11" t="n">
        <v>2.04057782331167</v>
      </c>
      <c r="K49" s="11" t="n">
        <v>2.11791445360967</v>
      </c>
      <c r="L49" s="11" t="n">
        <v>2.19161071694332</v>
      </c>
      <c r="M49" s="11" t="n">
        <v>2.26182215483336</v>
      </c>
      <c r="N49" s="11" t="n">
        <v>2.32870532992735</v>
      </c>
      <c r="O49" s="11" t="n">
        <v>2.39241738384028</v>
      </c>
      <c r="P49" s="11" t="n">
        <v>2.45311593733257</v>
      </c>
      <c r="Q49" s="11" t="n">
        <v>2.51095885470052</v>
      </c>
      <c r="R49" s="11" t="n">
        <v>2.56609992521743</v>
      </c>
      <c r="S49" s="11" t="n">
        <v>2.61868170177397</v>
      </c>
      <c r="T49" s="11" t="n">
        <v>2.66883508624264</v>
      </c>
      <c r="U49" s="11" t="n">
        <v>2.716679889373</v>
      </c>
      <c r="V49" s="11" t="n">
        <v>2.7623261909784</v>
      </c>
      <c r="W49" s="11" t="n">
        <v>2.805875660345</v>
      </c>
      <c r="X49" s="11" t="n">
        <v>2.84742179367622</v>
      </c>
      <c r="Y49" s="11" t="n">
        <v>2.88704928667711</v>
      </c>
      <c r="Z49" s="11" t="n">
        <v>2.92483481850679</v>
      </c>
      <c r="AA49" s="11" t="n">
        <v>2.96084799814297</v>
      </c>
      <c r="AB49" s="11" t="n">
        <v>2.99515212466398</v>
      </c>
      <c r="AC49" s="11" t="n">
        <v>3.02780491831067</v>
      </c>
      <c r="AD49" s="11" t="n">
        <v>3.05885916920363</v>
      </c>
      <c r="AE49" s="11" t="n">
        <v>3.08836338511757</v>
      </c>
      <c r="AF49" s="11" t="n">
        <v>3.1163628090027</v>
      </c>
      <c r="AG49" s="11" t="n">
        <v>3.14290011639036</v>
      </c>
      <c r="AH49" s="11" t="n">
        <v>3.16801574699336</v>
      </c>
      <c r="AI49" s="11" t="n">
        <v>3.19174839738491</v>
      </c>
      <c r="AJ49" s="11" t="n">
        <v>3.21413536235968</v>
      </c>
      <c r="AK49" s="11" t="n">
        <v>3.23521268280528</v>
      </c>
    </row>
    <row r="50" customFormat="false" ht="15" hidden="false" customHeight="false" outlineLevel="0" collapsed="false">
      <c r="A50" s="10" t="n">
        <v>-75</v>
      </c>
      <c r="B50" s="8" t="n">
        <v>41383</v>
      </c>
      <c r="C50" s="11" t="n">
        <v>1.39479762751602</v>
      </c>
      <c r="D50" s="11" t="n">
        <v>1.49875038172305</v>
      </c>
      <c r="E50" s="11" t="n">
        <v>1.59906866223387</v>
      </c>
      <c r="F50" s="11" t="n">
        <v>1.69558033100975</v>
      </c>
      <c r="G50" s="11" t="n">
        <v>1.78820499782807</v>
      </c>
      <c r="H50" s="11" t="n">
        <v>1.87692718083108</v>
      </c>
      <c r="I50" s="11" t="n">
        <v>1.96178134832997</v>
      </c>
      <c r="J50" s="11" t="n">
        <v>2.04284106007252</v>
      </c>
      <c r="K50" s="11" t="n">
        <v>2.1202108210975</v>
      </c>
      <c r="L50" s="11" t="n">
        <v>2.19401838064968</v>
      </c>
      <c r="M50" s="11" t="n">
        <v>2.26440187636811</v>
      </c>
      <c r="N50" s="11" t="n">
        <v>2.33150308314407</v>
      </c>
      <c r="O50" s="11" t="n">
        <v>2.39546656457533</v>
      </c>
      <c r="P50" s="11" t="n">
        <v>2.45643919215463</v>
      </c>
      <c r="Q50" s="11" t="n">
        <v>2.51456960461541</v>
      </c>
      <c r="R50" s="11" t="n">
        <v>2.57000389707918</v>
      </c>
      <c r="S50" s="11" t="n">
        <v>2.62287893012012</v>
      </c>
      <c r="T50" s="11" t="n">
        <v>2.67332154922016</v>
      </c>
      <c r="U50" s="11" t="n">
        <v>2.72144849066258</v>
      </c>
      <c r="V50" s="11" t="n">
        <v>2.76736753302029</v>
      </c>
      <c r="W50" s="11" t="n">
        <v>2.81117870444158</v>
      </c>
      <c r="X50" s="11" t="n">
        <v>2.85297432987426</v>
      </c>
      <c r="Y50" s="11" t="n">
        <v>2.89283821804795</v>
      </c>
      <c r="Z50" s="11" t="n">
        <v>2.93084640175094</v>
      </c>
      <c r="AA50" s="11" t="n">
        <v>2.96706813263643</v>
      </c>
      <c r="AB50" s="11" t="n">
        <v>3.00156675074598</v>
      </c>
      <c r="AC50" s="11" t="n">
        <v>3.03440039632997</v>
      </c>
      <c r="AD50" s="11" t="n">
        <v>3.06562261459625</v>
      </c>
      <c r="AE50" s="11" t="n">
        <v>3.09528297840321</v>
      </c>
      <c r="AF50" s="11" t="n">
        <v>3.12342812554183</v>
      </c>
      <c r="AG50" s="11" t="n">
        <v>3.15010244123478</v>
      </c>
      <c r="AH50" s="11" t="n">
        <v>3.17534832952356</v>
      </c>
      <c r="AI50" s="11" t="n">
        <v>3.19920651080918</v>
      </c>
      <c r="AJ50" s="11" t="n">
        <v>3.22171624899917</v>
      </c>
      <c r="AK50" s="11" t="n">
        <v>3.24291549961599</v>
      </c>
    </row>
    <row r="51" customFormat="false" ht="15" hidden="false" customHeight="false" outlineLevel="0" collapsed="false">
      <c r="A51" s="10" t="n">
        <v>-74</v>
      </c>
      <c r="B51" s="8" t="n">
        <v>41386</v>
      </c>
      <c r="C51" s="11" t="n">
        <v>1.38602087220983</v>
      </c>
      <c r="D51" s="11" t="n">
        <v>1.48957451933653</v>
      </c>
      <c r="E51" s="11" t="n">
        <v>1.58954892343507</v>
      </c>
      <c r="F51" s="11" t="n">
        <v>1.68576886825468</v>
      </c>
      <c r="G51" s="11" t="n">
        <v>1.77814923660093</v>
      </c>
      <c r="H51" s="11" t="n">
        <v>1.86667005103939</v>
      </c>
      <c r="I51" s="11" t="n">
        <v>1.95136153001623</v>
      </c>
      <c r="J51" s="11" t="n">
        <v>2.03229317571025</v>
      </c>
      <c r="K51" s="11" t="n">
        <v>2.10956558777352</v>
      </c>
      <c r="L51" s="11" t="n">
        <v>2.18330280588372</v>
      </c>
      <c r="M51" s="11" t="n">
        <v>2.25363993911643</v>
      </c>
      <c r="N51" s="11" t="n">
        <v>2.32071664376607</v>
      </c>
      <c r="O51" s="11" t="n">
        <v>2.38467613056004</v>
      </c>
      <c r="P51" s="11" t="n">
        <v>2.44566455182542</v>
      </c>
      <c r="Q51" s="11" t="n">
        <v>2.5038303488769</v>
      </c>
      <c r="R51" s="11" t="n">
        <v>2.55931977874342</v>
      </c>
      <c r="S51" s="11" t="n">
        <v>2.61227010846652</v>
      </c>
      <c r="T51" s="11" t="n">
        <v>2.66280862568475</v>
      </c>
      <c r="U51" s="11" t="n">
        <v>2.71105224120461</v>
      </c>
      <c r="V51" s="11" t="n">
        <v>2.75710862773071</v>
      </c>
      <c r="W51" s="11" t="n">
        <v>2.80107745998459</v>
      </c>
      <c r="X51" s="11" t="n">
        <v>2.8430503527041</v>
      </c>
      <c r="Y51" s="11" t="n">
        <v>2.88310985905975</v>
      </c>
      <c r="Z51" s="11" t="n">
        <v>2.92133024488423</v>
      </c>
      <c r="AA51" s="11" t="n">
        <v>2.95777865216475</v>
      </c>
      <c r="AB51" s="11" t="n">
        <v>2.99251619593171</v>
      </c>
      <c r="AC51" s="11" t="n">
        <v>3.02559872434939</v>
      </c>
      <c r="AD51" s="11" t="n">
        <v>3.05707743137412</v>
      </c>
      <c r="AE51" s="11" t="n">
        <v>3.08699951244903</v>
      </c>
      <c r="AF51" s="11" t="n">
        <v>3.11540934980741</v>
      </c>
      <c r="AG51" s="11" t="n">
        <v>3.14234926485491</v>
      </c>
      <c r="AH51" s="11" t="n">
        <v>3.16785978327686</v>
      </c>
      <c r="AI51" s="11" t="n">
        <v>3.1919799745919</v>
      </c>
      <c r="AJ51" s="11" t="n">
        <v>3.21474769221624</v>
      </c>
      <c r="AK51" s="11" t="n">
        <v>3.23619969906018</v>
      </c>
    </row>
    <row r="52" customFormat="false" ht="15" hidden="false" customHeight="false" outlineLevel="0" collapsed="false">
      <c r="A52" s="10" t="n">
        <v>-73</v>
      </c>
      <c r="B52" s="8" t="n">
        <v>41387</v>
      </c>
      <c r="C52" s="11" t="n">
        <v>1.44911695945555</v>
      </c>
      <c r="D52" s="11" t="n">
        <v>1.5533589645648</v>
      </c>
      <c r="E52" s="11" t="n">
        <v>1.6537374285411</v>
      </c>
      <c r="F52" s="11" t="n">
        <v>1.75011625352313</v>
      </c>
      <c r="G52" s="11" t="n">
        <v>1.84245146736504</v>
      </c>
      <c r="H52" s="11" t="n">
        <v>1.93076174276</v>
      </c>
      <c r="I52" s="11" t="n">
        <v>2.01511386577998</v>
      </c>
      <c r="J52" s="11" t="n">
        <v>2.09561227644557</v>
      </c>
      <c r="K52" s="11" t="n">
        <v>2.17239122071284</v>
      </c>
      <c r="L52" s="11" t="n">
        <v>2.24560664820108</v>
      </c>
      <c r="M52" s="11" t="n">
        <v>2.31542049468781</v>
      </c>
      <c r="N52" s="11" t="n">
        <v>2.38199308621147</v>
      </c>
      <c r="O52" s="11" t="n">
        <v>2.44548316946268</v>
      </c>
      <c r="P52" s="11" t="n">
        <v>2.50604818408561</v>
      </c>
      <c r="Q52" s="11" t="n">
        <v>2.56384429186441</v>
      </c>
      <c r="R52" s="11" t="n">
        <v>2.61902191011199</v>
      </c>
      <c r="S52" s="11" t="n">
        <v>2.67171859456048</v>
      </c>
      <c r="T52" s="11" t="n">
        <v>2.72205902224992</v>
      </c>
      <c r="U52" s="11" t="n">
        <v>2.77015595649993</v>
      </c>
      <c r="V52" s="11" t="n">
        <v>2.81611178029711</v>
      </c>
      <c r="W52" s="11" t="n">
        <v>2.86001990883041</v>
      </c>
      <c r="X52" s="11" t="n">
        <v>2.90196523699873</v>
      </c>
      <c r="Y52" s="11" t="n">
        <v>2.94202389783642</v>
      </c>
      <c r="Z52" s="11" t="n">
        <v>2.98026413951879</v>
      </c>
      <c r="AA52" s="11" t="n">
        <v>3.01674755280854</v>
      </c>
      <c r="AB52" s="11" t="n">
        <v>3.05153030815652</v>
      </c>
      <c r="AC52" s="11" t="n">
        <v>3.08466387927592</v>
      </c>
      <c r="AD52" s="11" t="n">
        <v>3.11619558960855</v>
      </c>
      <c r="AE52" s="11" t="n">
        <v>3.14616923149824</v>
      </c>
      <c r="AF52" s="11" t="n">
        <v>3.17462630859049</v>
      </c>
      <c r="AG52" s="11" t="n">
        <v>3.20160679079171</v>
      </c>
      <c r="AH52" s="11" t="n">
        <v>3.22714932197262</v>
      </c>
      <c r="AI52" s="11" t="n">
        <v>3.25129148827487</v>
      </c>
      <c r="AJ52" s="11" t="n">
        <v>3.27407000319667</v>
      </c>
      <c r="AK52" s="11" t="n">
        <v>3.29552079815429</v>
      </c>
    </row>
    <row r="53" customFormat="false" ht="15" hidden="false" customHeight="false" outlineLevel="0" collapsed="false">
      <c r="A53" s="10" t="n">
        <v>-72</v>
      </c>
      <c r="B53" s="8" t="n">
        <v>41388</v>
      </c>
      <c r="C53" s="11" t="n">
        <v>1.42245287209487</v>
      </c>
      <c r="D53" s="11" t="n">
        <v>1.52682681867294</v>
      </c>
      <c r="E53" s="11" t="n">
        <v>1.62735107938846</v>
      </c>
      <c r="F53" s="11" t="n">
        <v>1.72389375203511</v>
      </c>
      <c r="G53" s="11" t="n">
        <v>1.81641509947592</v>
      </c>
      <c r="H53" s="11" t="n">
        <v>1.9049370274344</v>
      </c>
      <c r="I53" s="11" t="n">
        <v>1.9895287485948</v>
      </c>
      <c r="J53" s="11" t="n">
        <v>2.07029649848018</v>
      </c>
      <c r="K53" s="11" t="n">
        <v>2.147375818342</v>
      </c>
      <c r="L53" s="11" t="n">
        <v>2.22092336419037</v>
      </c>
      <c r="M53" s="11" t="n">
        <v>2.2911004604846</v>
      </c>
      <c r="N53" s="11" t="n">
        <v>2.35806535830966</v>
      </c>
      <c r="O53" s="11" t="n">
        <v>2.42197351709411</v>
      </c>
      <c r="P53" s="11" t="n">
        <v>2.48297808593015</v>
      </c>
      <c r="Q53" s="11" t="n">
        <v>2.54123009690039</v>
      </c>
      <c r="R53" s="11" t="n">
        <v>2.59687415301943</v>
      </c>
      <c r="S53" s="11" t="n">
        <v>2.65004155586157</v>
      </c>
      <c r="T53" s="11" t="n">
        <v>2.70085064659334</v>
      </c>
      <c r="U53" s="11" t="n">
        <v>2.74940822094963</v>
      </c>
      <c r="V53" s="11" t="n">
        <v>2.79581109089775</v>
      </c>
      <c r="W53" s="11" t="n">
        <v>2.84014745322563</v>
      </c>
      <c r="X53" s="11" t="n">
        <v>2.88249758960468</v>
      </c>
      <c r="Y53" s="11" t="n">
        <v>2.92293409050948</v>
      </c>
      <c r="Z53" s="11" t="n">
        <v>2.9615226994272</v>
      </c>
      <c r="AA53" s="11" t="n">
        <v>2.99832340708283</v>
      </c>
      <c r="AB53" s="11" t="n">
        <v>3.0333915666475</v>
      </c>
      <c r="AC53" s="11" t="n">
        <v>3.06677852094073</v>
      </c>
      <c r="AD53" s="11" t="n">
        <v>3.09853206907387</v>
      </c>
      <c r="AE53" s="11" t="n">
        <v>3.12869700967202</v>
      </c>
      <c r="AF53" s="11" t="n">
        <v>3.15731627243488</v>
      </c>
      <c r="AG53" s="11" t="n">
        <v>3.18443159086716</v>
      </c>
      <c r="AH53" s="11" t="n">
        <v>3.21008364628482</v>
      </c>
      <c r="AI53" s="11" t="n">
        <v>3.23431215994136</v>
      </c>
      <c r="AJ53" s="11" t="n">
        <v>3.25715598075892</v>
      </c>
      <c r="AK53" s="11" t="n">
        <v>3.27865317213264</v>
      </c>
    </row>
    <row r="54" customFormat="false" ht="15" hidden="false" customHeight="false" outlineLevel="0" collapsed="false">
      <c r="A54" s="10" t="n">
        <v>-71</v>
      </c>
      <c r="B54" s="8" t="n">
        <v>41389</v>
      </c>
      <c r="C54" s="11" t="n">
        <v>1.46420496175575</v>
      </c>
      <c r="D54" s="11" t="n">
        <v>1.56901487040599</v>
      </c>
      <c r="E54" s="11" t="n">
        <v>1.6697390888032</v>
      </c>
      <c r="F54" s="11" t="n">
        <v>1.76625759299291</v>
      </c>
      <c r="G54" s="11" t="n">
        <v>1.85854458371594</v>
      </c>
      <c r="H54" s="11" t="n">
        <v>1.94663761872454</v>
      </c>
      <c r="I54" s="11" t="n">
        <v>2.03062290236357</v>
      </c>
      <c r="J54" s="11" t="n">
        <v>2.11062471022426</v>
      </c>
      <c r="K54" s="11" t="n">
        <v>2.18679745305586</v>
      </c>
      <c r="L54" s="11" t="n">
        <v>2.25931717280449</v>
      </c>
      <c r="M54" s="11" t="n">
        <v>2.3283643984845</v>
      </c>
      <c r="N54" s="11" t="n">
        <v>2.39411619192003</v>
      </c>
      <c r="O54" s="11" t="n">
        <v>2.45674649576803</v>
      </c>
      <c r="P54" s="11" t="n">
        <v>2.51642667130568</v>
      </c>
      <c r="Q54" s="11" t="n">
        <v>2.57332572728878</v>
      </c>
      <c r="R54" s="11" t="n">
        <v>2.62760590930449</v>
      </c>
      <c r="S54" s="11" t="n">
        <v>2.67941571867079</v>
      </c>
      <c r="T54" s="11" t="n">
        <v>2.72888966625637</v>
      </c>
      <c r="U54" s="11" t="n">
        <v>2.7761487435898</v>
      </c>
      <c r="V54" s="11" t="n">
        <v>2.82130207389387</v>
      </c>
      <c r="W54" s="11" t="n">
        <v>2.8644485214283</v>
      </c>
      <c r="X54" s="11" t="n">
        <v>2.90567709762457</v>
      </c>
      <c r="Y54" s="11" t="n">
        <v>2.94506655168869</v>
      </c>
      <c r="Z54" s="11" t="n">
        <v>2.98268638985685</v>
      </c>
      <c r="AA54" s="11" t="n">
        <v>3.01859839876569</v>
      </c>
      <c r="AB54" s="11" t="n">
        <v>3.05285821807183</v>
      </c>
      <c r="AC54" s="11" t="n">
        <v>3.08551618525834</v>
      </c>
      <c r="AD54" s="11" t="n">
        <v>3.11661795261156</v>
      </c>
      <c r="AE54" s="11" t="n">
        <v>3.14620519578594</v>
      </c>
      <c r="AF54" s="11" t="n">
        <v>3.17431704211539</v>
      </c>
      <c r="AG54" s="11" t="n">
        <v>3.20099092110998</v>
      </c>
      <c r="AH54" s="11" t="n">
        <v>3.226262818209</v>
      </c>
      <c r="AI54" s="11" t="n">
        <v>3.25016770012916</v>
      </c>
      <c r="AJ54" s="11" t="n">
        <v>3.27273977788795</v>
      </c>
      <c r="AK54" s="11" t="n">
        <v>3.29401258890853</v>
      </c>
    </row>
    <row r="55" customFormat="false" ht="15" hidden="false" customHeight="false" outlineLevel="0" collapsed="false">
      <c r="A55" s="10" t="n">
        <v>-70</v>
      </c>
      <c r="B55" s="8" t="n">
        <v>41390</v>
      </c>
      <c r="C55" s="11" t="n">
        <v>1.4191035854576</v>
      </c>
      <c r="D55" s="11" t="n">
        <v>1.52251681346842</v>
      </c>
      <c r="E55" s="11" t="n">
        <v>1.62208697935331</v>
      </c>
      <c r="F55" s="11" t="n">
        <v>1.71768472023305</v>
      </c>
      <c r="G55" s="11" t="n">
        <v>1.80927106534691</v>
      </c>
      <c r="H55" s="11" t="n">
        <v>1.89686856149561</v>
      </c>
      <c r="I55" s="11" t="n">
        <v>1.98054703427795</v>
      </c>
      <c r="J55" s="11" t="n">
        <v>2.06041331009123</v>
      </c>
      <c r="K55" s="11" t="n">
        <v>2.1366035020828</v>
      </c>
      <c r="L55" s="11" t="n">
        <v>2.20927468896584</v>
      </c>
      <c r="M55" s="11" t="n">
        <v>2.27858849742079</v>
      </c>
      <c r="N55" s="11" t="n">
        <v>2.34470370630131</v>
      </c>
      <c r="O55" s="11" t="n">
        <v>2.4077765206252</v>
      </c>
      <c r="P55" s="11" t="n">
        <v>2.46796101533919</v>
      </c>
      <c r="Q55" s="11" t="n">
        <v>2.52540925304397</v>
      </c>
      <c r="R55" s="11" t="n">
        <v>2.5802662906657</v>
      </c>
      <c r="S55" s="11" t="n">
        <v>2.63266270912532</v>
      </c>
      <c r="T55" s="11" t="n">
        <v>2.68271540330971</v>
      </c>
      <c r="U55" s="11" t="n">
        <v>2.73052963639878</v>
      </c>
      <c r="V55" s="11" t="n">
        <v>2.77620070890824</v>
      </c>
      <c r="W55" s="11" t="n">
        <v>2.81981533057801</v>
      </c>
      <c r="X55" s="11" t="n">
        <v>2.86145249848645</v>
      </c>
      <c r="Y55" s="11" t="n">
        <v>2.90118403719409</v>
      </c>
      <c r="Z55" s="11" t="n">
        <v>2.93907544418959</v>
      </c>
      <c r="AA55" s="11" t="n">
        <v>2.97518688904609</v>
      </c>
      <c r="AB55" s="11" t="n">
        <v>3.00957420739142</v>
      </c>
      <c r="AC55" s="11" t="n">
        <v>3.04228947594248</v>
      </c>
      <c r="AD55" s="11" t="n">
        <v>3.07338144987985</v>
      </c>
      <c r="AE55" s="11" t="n">
        <v>3.10289605948681</v>
      </c>
      <c r="AF55" s="11" t="n">
        <v>3.13087736386478</v>
      </c>
      <c r="AG55" s="11" t="n">
        <v>3.15736811306618</v>
      </c>
      <c r="AH55" s="11" t="n">
        <v>3.18240989643337</v>
      </c>
      <c r="AI55" s="11" t="n">
        <v>3.20604323723429</v>
      </c>
      <c r="AJ55" s="11" t="n">
        <v>3.22830768678384</v>
      </c>
      <c r="AK55" s="11" t="n">
        <v>3.24924192107203</v>
      </c>
    </row>
    <row r="56" customFormat="false" ht="15" hidden="false" customHeight="false" outlineLevel="0" collapsed="false">
      <c r="A56" s="10" t="n">
        <v>-69</v>
      </c>
      <c r="B56" s="8" t="n">
        <v>41393</v>
      </c>
      <c r="C56" s="11" t="n">
        <v>1.38764608650752</v>
      </c>
      <c r="D56" s="11" t="n">
        <v>1.49027235353736</v>
      </c>
      <c r="E56" s="11" t="n">
        <v>1.58928858934894</v>
      </c>
      <c r="F56" s="11" t="n">
        <v>1.68455170467506</v>
      </c>
      <c r="G56" s="11" t="n">
        <v>1.77600549542043</v>
      </c>
      <c r="H56" s="11" t="n">
        <v>1.86365398520664</v>
      </c>
      <c r="I56" s="11" t="n">
        <v>1.9475475319437</v>
      </c>
      <c r="J56" s="11" t="n">
        <v>2.02777275515868</v>
      </c>
      <c r="K56" s="11" t="n">
        <v>2.10444497619797</v>
      </c>
      <c r="L56" s="11" t="n">
        <v>2.17770027004671</v>
      </c>
      <c r="M56" s="11" t="n">
        <v>2.24768052860924</v>
      </c>
      <c r="N56" s="11" t="n">
        <v>2.31452666142281</v>
      </c>
      <c r="O56" s="11" t="n">
        <v>2.37837857050816</v>
      </c>
      <c r="P56" s="11" t="n">
        <v>2.43937532407923</v>
      </c>
      <c r="Q56" s="11" t="n">
        <v>2.4976550619791</v>
      </c>
      <c r="R56" s="11" t="n">
        <v>2.55335001321722</v>
      </c>
      <c r="S56" s="11" t="n">
        <v>2.60657926408781</v>
      </c>
      <c r="T56" s="11" t="n">
        <v>2.65744969312542</v>
      </c>
      <c r="U56" s="11" t="n">
        <v>2.70605822954171</v>
      </c>
      <c r="V56" s="11" t="n">
        <v>2.75249335227335</v>
      </c>
      <c r="W56" s="11" t="n">
        <v>2.79683626003958</v>
      </c>
      <c r="X56" s="11" t="n">
        <v>2.83916176868538</v>
      </c>
      <c r="Y56" s="11" t="n">
        <v>2.87953900763015</v>
      </c>
      <c r="Z56" s="11" t="n">
        <v>2.91803212755263</v>
      </c>
      <c r="AA56" s="11" t="n">
        <v>2.95470100022887</v>
      </c>
      <c r="AB56" s="11" t="n">
        <v>2.98960186688023</v>
      </c>
      <c r="AC56" s="11" t="n">
        <v>3.02278779179705</v>
      </c>
      <c r="AD56" s="11" t="n">
        <v>3.05430903194101</v>
      </c>
      <c r="AE56" s="11" t="n">
        <v>3.08421344324966</v>
      </c>
      <c r="AF56" s="11" t="n">
        <v>3.11254720947835</v>
      </c>
      <c r="AG56" s="11" t="n">
        <v>3.13935527988195</v>
      </c>
      <c r="AH56" s="11" t="n">
        <v>3.1646814847593</v>
      </c>
      <c r="AI56" s="11" t="n">
        <v>3.18856851739094</v>
      </c>
      <c r="AJ56" s="11" t="n">
        <v>3.21105797583187</v>
      </c>
      <c r="AK56" s="11" t="n">
        <v>3.23219046962067</v>
      </c>
    </row>
    <row r="57" customFormat="false" ht="15" hidden="false" customHeight="false" outlineLevel="0" collapsed="false">
      <c r="A57" s="10" t="n">
        <v>-68</v>
      </c>
      <c r="B57" s="8" t="n">
        <v>41394</v>
      </c>
      <c r="C57" s="11" t="n">
        <v>1.40348499568736</v>
      </c>
      <c r="D57" s="11" t="n">
        <v>1.50637494734483</v>
      </c>
      <c r="E57" s="11" t="n">
        <v>1.60554516716862</v>
      </c>
      <c r="F57" s="11" t="n">
        <v>1.70084944716251</v>
      </c>
      <c r="G57" s="11" t="n">
        <v>1.79222967344896</v>
      </c>
      <c r="H57" s="11" t="n">
        <v>1.87968950533912</v>
      </c>
      <c r="I57" s="11" t="n">
        <v>1.96328015543671</v>
      </c>
      <c r="J57" s="11" t="n">
        <v>2.04309005196575</v>
      </c>
      <c r="K57" s="11" t="n">
        <v>2.11923708048366</v>
      </c>
      <c r="L57" s="11" t="n">
        <v>2.19186071843902</v>
      </c>
      <c r="M57" s="11" t="n">
        <v>2.26110823122674</v>
      </c>
      <c r="N57" s="11" t="n">
        <v>2.32712824494024</v>
      </c>
      <c r="O57" s="11" t="n">
        <v>2.39007033227898</v>
      </c>
      <c r="P57" s="11" t="n">
        <v>2.45008484934053</v>
      </c>
      <c r="Q57" s="11" t="n">
        <v>2.50732259116036</v>
      </c>
      <c r="R57" s="11" t="n">
        <v>2.56193011089435</v>
      </c>
      <c r="S57" s="11" t="n">
        <v>2.61404309551348</v>
      </c>
      <c r="T57" s="11" t="n">
        <v>2.66378601021457</v>
      </c>
      <c r="U57" s="11" t="n">
        <v>2.7112724307411</v>
      </c>
      <c r="V57" s="11" t="n">
        <v>2.75660638193342</v>
      </c>
      <c r="W57" s="11" t="n">
        <v>2.79988362466895</v>
      </c>
      <c r="X57" s="11" t="n">
        <v>2.84119186889732</v>
      </c>
      <c r="Y57" s="11" t="n">
        <v>2.88061035214946</v>
      </c>
      <c r="Z57" s="11" t="n">
        <v>2.91821067933198</v>
      </c>
      <c r="AA57" s="11" t="n">
        <v>2.95405789980905</v>
      </c>
      <c r="AB57" s="11" t="n">
        <v>2.98821150574978</v>
      </c>
      <c r="AC57" s="11" t="n">
        <v>3.02072612688649</v>
      </c>
      <c r="AD57" s="11" t="n">
        <v>3.05165209616006</v>
      </c>
      <c r="AE57" s="11" t="n">
        <v>3.08103604049651</v>
      </c>
      <c r="AF57" s="11" t="n">
        <v>3.10892182765306</v>
      </c>
      <c r="AG57" s="11" t="n">
        <v>3.13535115903707</v>
      </c>
      <c r="AH57" s="11" t="n">
        <v>3.16036383274</v>
      </c>
      <c r="AI57" s="11" t="n">
        <v>3.18399805391761</v>
      </c>
      <c r="AJ57" s="11" t="n">
        <v>3.20629065841549</v>
      </c>
      <c r="AK57" s="11" t="n">
        <v>3.22727725196813</v>
      </c>
    </row>
    <row r="58" customFormat="false" ht="15" hidden="false" customHeight="false" outlineLevel="0" collapsed="false">
      <c r="A58" s="10" t="n">
        <v>-67</v>
      </c>
      <c r="B58" s="8" t="n">
        <v>41395</v>
      </c>
      <c r="C58" s="11" t="n">
        <v>1.40002968174212</v>
      </c>
      <c r="D58" s="11" t="n">
        <v>1.50274743559083</v>
      </c>
      <c r="E58" s="11" t="n">
        <v>1.60163563479448</v>
      </c>
      <c r="F58" s="11" t="n">
        <v>1.69655620550752</v>
      </c>
      <c r="G58" s="11" t="n">
        <v>1.78745906837645</v>
      </c>
      <c r="H58" s="11" t="n">
        <v>1.87435659832031</v>
      </c>
      <c r="I58" s="11" t="n">
        <v>1.95730927806298</v>
      </c>
      <c r="J58" s="11" t="n">
        <v>2.0364152399148</v>
      </c>
      <c r="K58" s="11" t="n">
        <v>2.11180241648122</v>
      </c>
      <c r="L58" s="11" t="n">
        <v>2.18362050167297</v>
      </c>
      <c r="M58" s="11" t="n">
        <v>2.2520267405322</v>
      </c>
      <c r="N58" s="11" t="n">
        <v>2.31717941507259</v>
      </c>
      <c r="O58" s="11" t="n">
        <v>2.37923748717888</v>
      </c>
      <c r="P58" s="11" t="n">
        <v>2.43836048138773</v>
      </c>
      <c r="Q58" s="11" t="n">
        <v>2.49470814057661</v>
      </c>
      <c r="R58" s="11" t="n">
        <v>2.54843509439343</v>
      </c>
      <c r="S58" s="11" t="n">
        <v>2.59968339564463</v>
      </c>
      <c r="T58" s="11" t="n">
        <v>2.64858239637068</v>
      </c>
      <c r="U58" s="11" t="n">
        <v>2.69524949065918</v>
      </c>
      <c r="V58" s="11" t="n">
        <v>2.73979164028278</v>
      </c>
      <c r="W58" s="11" t="n">
        <v>2.78230678257405</v>
      </c>
      <c r="X58" s="11" t="n">
        <v>2.82288412918913</v>
      </c>
      <c r="Y58" s="11" t="n">
        <v>2.86160382350671</v>
      </c>
      <c r="Z58" s="11" t="n">
        <v>2.89853786383625</v>
      </c>
      <c r="AA58" s="11" t="n">
        <v>2.9337513548446</v>
      </c>
      <c r="AB58" s="11" t="n">
        <v>2.96730372043524</v>
      </c>
      <c r="AC58" s="11" t="n">
        <v>2.99924944125721</v>
      </c>
      <c r="AD58" s="11" t="n">
        <v>3.02963862979873</v>
      </c>
      <c r="AE58" s="11" t="n">
        <v>3.0585176333891</v>
      </c>
      <c r="AF58" s="11" t="n">
        <v>3.08593000138966</v>
      </c>
      <c r="AG58" s="11" t="n">
        <v>3.11191708614669</v>
      </c>
      <c r="AH58" s="11" t="n">
        <v>3.13651829841733</v>
      </c>
      <c r="AI58" s="11" t="n">
        <v>3.15977136494358</v>
      </c>
      <c r="AJ58" s="11" t="n">
        <v>3.18171253006979</v>
      </c>
      <c r="AK58" s="11" t="n">
        <v>3.20237670506555</v>
      </c>
    </row>
    <row r="59" customFormat="false" ht="15" hidden="false" customHeight="false" outlineLevel="0" collapsed="false">
      <c r="A59" s="10" t="n">
        <v>-66</v>
      </c>
      <c r="B59" s="8" t="n">
        <v>41396</v>
      </c>
      <c r="C59" s="11" t="n">
        <v>1.34784955410564</v>
      </c>
      <c r="D59" s="11" t="n">
        <v>1.44947323535188</v>
      </c>
      <c r="E59" s="11" t="n">
        <v>1.54750300847483</v>
      </c>
      <c r="F59" s="11" t="n">
        <v>1.64177600616144</v>
      </c>
      <c r="G59" s="11" t="n">
        <v>1.73221821385277</v>
      </c>
      <c r="H59" s="11" t="n">
        <v>1.81881935334956</v>
      </c>
      <c r="I59" s="11" t="n">
        <v>1.90161826763414</v>
      </c>
      <c r="J59" s="11" t="n">
        <v>1.98069224235267</v>
      </c>
      <c r="K59" s="11" t="n">
        <v>2.05614899153522</v>
      </c>
      <c r="L59" s="11" t="n">
        <v>2.12811869347364</v>
      </c>
      <c r="M59" s="11" t="n">
        <v>2.19674073619775</v>
      </c>
      <c r="N59" s="11" t="n">
        <v>2.26215750763158</v>
      </c>
      <c r="O59" s="11" t="n">
        <v>2.32451371171065</v>
      </c>
      <c r="P59" s="11" t="n">
        <v>2.38395596906968</v>
      </c>
      <c r="Q59" s="11" t="n">
        <v>2.44063225404002</v>
      </c>
      <c r="R59" s="11" t="n">
        <v>2.4946866255496</v>
      </c>
      <c r="S59" s="11" t="n">
        <v>2.54625205865147</v>
      </c>
      <c r="T59" s="11" t="n">
        <v>2.59545035194181</v>
      </c>
      <c r="U59" s="11" t="n">
        <v>2.6423929149752</v>
      </c>
      <c r="V59" s="11" t="n">
        <v>2.68718211539737</v>
      </c>
      <c r="W59" s="11" t="n">
        <v>2.72991250138781</v>
      </c>
      <c r="X59" s="11" t="n">
        <v>2.7706711238118</v>
      </c>
      <c r="Y59" s="11" t="n">
        <v>2.80953734769216</v>
      </c>
      <c r="Z59" s="11" t="n">
        <v>2.84658364908456</v>
      </c>
      <c r="AA59" s="11" t="n">
        <v>2.8818766011993</v>
      </c>
      <c r="AB59" s="11" t="n">
        <v>2.91547779139455</v>
      </c>
      <c r="AC59" s="11" t="n">
        <v>2.94744444670074</v>
      </c>
      <c r="AD59" s="11" t="n">
        <v>2.97782994103419</v>
      </c>
      <c r="AE59" s="11" t="n">
        <v>3.00668430574674</v>
      </c>
      <c r="AF59" s="11" t="n">
        <v>3.03405497006334</v>
      </c>
      <c r="AG59" s="11" t="n">
        <v>3.05998724101273</v>
      </c>
      <c r="AH59" s="11" t="n">
        <v>3.08452449985281</v>
      </c>
      <c r="AI59" s="11" t="n">
        <v>3.10770821875912</v>
      </c>
      <c r="AJ59" s="11" t="n">
        <v>3.12957805782439</v>
      </c>
      <c r="AK59" s="11" t="n">
        <v>3.15017204278269</v>
      </c>
    </row>
    <row r="60" customFormat="false" ht="15" hidden="false" customHeight="false" outlineLevel="0" collapsed="false">
      <c r="A60" s="10" t="n">
        <v>-65</v>
      </c>
      <c r="B60" s="8" t="n">
        <v>41397</v>
      </c>
      <c r="C60" s="11" t="n">
        <v>1.46689252724979</v>
      </c>
      <c r="D60" s="11" t="n">
        <v>1.56945431292153</v>
      </c>
      <c r="E60" s="11" t="n">
        <v>1.66801155339762</v>
      </c>
      <c r="F60" s="11" t="n">
        <v>1.76246168264752</v>
      </c>
      <c r="G60" s="11" t="n">
        <v>1.85279071722275</v>
      </c>
      <c r="H60" s="11" t="n">
        <v>1.9390427453656</v>
      </c>
      <c r="I60" s="11" t="n">
        <v>2.02130644409625</v>
      </c>
      <c r="J60" s="11" t="n">
        <v>2.09970538600014</v>
      </c>
      <c r="K60" s="11" t="n">
        <v>2.17439075938234</v>
      </c>
      <c r="L60" s="11" t="n">
        <v>2.2455330728691</v>
      </c>
      <c r="M60" s="11" t="n">
        <v>2.31330595738301</v>
      </c>
      <c r="N60" s="11" t="n">
        <v>2.37787959268109</v>
      </c>
      <c r="O60" s="11" t="n">
        <v>2.43942114281693</v>
      </c>
      <c r="P60" s="11" t="n">
        <v>2.49809527608957</v>
      </c>
      <c r="Q60" s="11" t="n">
        <v>2.55406430189113</v>
      </c>
      <c r="R60" s="11" t="n">
        <v>2.60748318470156</v>
      </c>
      <c r="S60" s="11" t="n">
        <v>2.6584928024583</v>
      </c>
      <c r="T60" s="11" t="n">
        <v>2.70722020523897</v>
      </c>
      <c r="U60" s="11" t="n">
        <v>2.7537795993876</v>
      </c>
      <c r="V60" s="11" t="n">
        <v>2.79827402368806</v>
      </c>
      <c r="W60" s="11" t="n">
        <v>2.84079686115162</v>
      </c>
      <c r="X60" s="11" t="n">
        <v>2.88143234293288</v>
      </c>
      <c r="Y60" s="11" t="n">
        <v>2.92025553136177</v>
      </c>
      <c r="Z60" s="11" t="n">
        <v>2.95733332351434</v>
      </c>
      <c r="AA60" s="11" t="n">
        <v>2.99272584626486</v>
      </c>
      <c r="AB60" s="11" t="n">
        <v>3.02648784393225</v>
      </c>
      <c r="AC60" s="11" t="n">
        <v>3.0586694051201</v>
      </c>
      <c r="AD60" s="11" t="n">
        <v>3.089316504591</v>
      </c>
      <c r="AE60" s="11" t="n">
        <v>3.11847162576894</v>
      </c>
      <c r="AF60" s="11" t="n">
        <v>3.14617489330352</v>
      </c>
      <c r="AG60" s="11" t="n">
        <v>3.17246470854634</v>
      </c>
      <c r="AH60" s="11" t="n">
        <v>3.19737795022203</v>
      </c>
      <c r="AI60" s="11" t="n">
        <v>3.22095015605529</v>
      </c>
      <c r="AJ60" s="11" t="n">
        <v>3.24321567127148</v>
      </c>
      <c r="AK60" s="11" t="n">
        <v>3.26420776822828</v>
      </c>
    </row>
    <row r="61" customFormat="false" ht="15" hidden="false" customHeight="false" outlineLevel="0" collapsed="false">
      <c r="A61" s="10" t="n">
        <v>-64</v>
      </c>
      <c r="B61" s="8" t="n">
        <v>41401</v>
      </c>
      <c r="C61" s="11" t="n">
        <v>1.5341846868505</v>
      </c>
      <c r="D61" s="11" t="n">
        <v>1.63760181610747</v>
      </c>
      <c r="E61" s="11" t="n">
        <v>1.7367200994644</v>
      </c>
      <c r="F61" s="11" t="n">
        <v>1.83147509094764</v>
      </c>
      <c r="G61" s="11" t="n">
        <v>1.92188894309297</v>
      </c>
      <c r="H61" s="11" t="n">
        <v>2.00803786618653</v>
      </c>
      <c r="I61" s="11" t="n">
        <v>2.09003949024393</v>
      </c>
      <c r="J61" s="11" t="n">
        <v>2.16804386072121</v>
      </c>
      <c r="K61" s="11" t="n">
        <v>2.24222667354317</v>
      </c>
      <c r="L61" s="11" t="n">
        <v>2.31278103368019</v>
      </c>
      <c r="M61" s="11" t="n">
        <v>2.37990028737454</v>
      </c>
      <c r="N61" s="11" t="n">
        <v>2.44377142005181</v>
      </c>
      <c r="O61" s="11" t="n">
        <v>2.50457599874713</v>
      </c>
      <c r="P61" s="11" t="n">
        <v>2.56249110631044</v>
      </c>
      <c r="Q61" s="11" t="n">
        <v>2.61768982104582</v>
      </c>
      <c r="R61" s="11" t="n">
        <v>2.67033681004321</v>
      </c>
      <c r="S61" s="11" t="n">
        <v>2.72058227847164</v>
      </c>
      <c r="T61" s="11" t="n">
        <v>2.76856195031154</v>
      </c>
      <c r="U61" s="11" t="n">
        <v>2.81439752783314</v>
      </c>
      <c r="V61" s="11" t="n">
        <v>2.8581984457553</v>
      </c>
      <c r="W61" s="11" t="n">
        <v>2.90006352251464</v>
      </c>
      <c r="X61" s="11" t="n">
        <v>2.94008134311259</v>
      </c>
      <c r="Y61" s="11" t="n">
        <v>2.97833002107546</v>
      </c>
      <c r="Z61" s="11" t="n">
        <v>3.01487831949165</v>
      </c>
      <c r="AA61" s="11" t="n">
        <v>3.04978725910234</v>
      </c>
      <c r="AB61" s="11" t="n">
        <v>3.08311171405425</v>
      </c>
      <c r="AC61" s="11" t="n">
        <v>3.11490124197844</v>
      </c>
      <c r="AD61" s="11" t="n">
        <v>3.14520070276769</v>
      </c>
      <c r="AE61" s="11" t="n">
        <v>3.17405095951742</v>
      </c>
      <c r="AF61" s="11" t="n">
        <v>3.20149011436092</v>
      </c>
      <c r="AG61" s="11" t="n">
        <v>3.22755420687676</v>
      </c>
      <c r="AH61" s="11" t="n">
        <v>3.25227747812775</v>
      </c>
      <c r="AI61" s="11" t="n">
        <v>3.27569270759206</v>
      </c>
      <c r="AJ61" s="11" t="n">
        <v>3.29783143718474</v>
      </c>
      <c r="AK61" s="11" t="n">
        <v>3.31872409741199</v>
      </c>
    </row>
    <row r="62" customFormat="false" ht="15" hidden="false" customHeight="false" outlineLevel="0" collapsed="false">
      <c r="A62" s="10" t="n">
        <v>-63</v>
      </c>
      <c r="B62" s="8" t="n">
        <v>41402</v>
      </c>
      <c r="C62" s="11" t="n">
        <v>1.50680823853705</v>
      </c>
      <c r="D62" s="11" t="n">
        <v>1.6096501804321</v>
      </c>
      <c r="E62" s="11" t="n">
        <v>1.70831963298486</v>
      </c>
      <c r="F62" s="11" t="n">
        <v>1.80274958149741</v>
      </c>
      <c r="G62" s="11" t="n">
        <v>1.8929585832155</v>
      </c>
      <c r="H62" s="11" t="n">
        <v>1.97901848841282</v>
      </c>
      <c r="I62" s="11" t="n">
        <v>2.06104198456524</v>
      </c>
      <c r="J62" s="11" t="n">
        <v>2.1391737186981</v>
      </c>
      <c r="K62" s="11" t="n">
        <v>2.21358362604351</v>
      </c>
      <c r="L62" s="11" t="n">
        <v>2.28445857875439</v>
      </c>
      <c r="M62" s="11" t="n">
        <v>2.35198469646873</v>
      </c>
      <c r="N62" s="11" t="n">
        <v>2.41634072040924</v>
      </c>
      <c r="O62" s="11" t="n">
        <v>2.4776991358063</v>
      </c>
      <c r="P62" s="11" t="n">
        <v>2.53622725051734</v>
      </c>
      <c r="Q62" s="11" t="n">
        <v>2.59208775746372</v>
      </c>
      <c r="R62" s="11" t="n">
        <v>2.64543391266739</v>
      </c>
      <c r="S62" s="11" t="n">
        <v>2.6964030408646</v>
      </c>
      <c r="T62" s="11" t="n">
        <v>2.74511749696307</v>
      </c>
      <c r="U62" s="11" t="n">
        <v>2.79168642864891</v>
      </c>
      <c r="V62" s="11" t="n">
        <v>2.83620759872486</v>
      </c>
      <c r="W62" s="11" t="n">
        <v>2.87876894609614</v>
      </c>
      <c r="X62" s="11" t="n">
        <v>2.91944951522479</v>
      </c>
      <c r="Y62" s="11" t="n">
        <v>2.95832003384897</v>
      </c>
      <c r="Z62" s="11" t="n">
        <v>2.995443911565</v>
      </c>
      <c r="AA62" s="11" t="n">
        <v>3.0308785816844</v>
      </c>
      <c r="AB62" s="11" t="n">
        <v>3.06467685580705</v>
      </c>
      <c r="AC62" s="11" t="n">
        <v>3.09688756711291</v>
      </c>
      <c r="AD62" s="11" t="n">
        <v>3.12755603349923</v>
      </c>
      <c r="AE62" s="11" t="n">
        <v>3.15672460326135</v>
      </c>
      <c r="AF62" s="11" t="n">
        <v>3.18443366839223</v>
      </c>
      <c r="AG62" s="11" t="n">
        <v>3.21072221668192</v>
      </c>
      <c r="AH62" s="11" t="n">
        <v>3.23562796674307</v>
      </c>
      <c r="AI62" s="11" t="n">
        <v>3.2591873835478</v>
      </c>
      <c r="AJ62" s="11" t="n">
        <v>3.28143574865157</v>
      </c>
      <c r="AK62" s="11" t="n">
        <v>3.3024072767269</v>
      </c>
    </row>
    <row r="63" customFormat="false" ht="15" hidden="false" customHeight="false" outlineLevel="0" collapsed="false">
      <c r="A63" s="10" t="n">
        <v>-62</v>
      </c>
      <c r="B63" s="8" t="n">
        <v>41403</v>
      </c>
      <c r="C63" s="11" t="n">
        <v>1.52456514127923</v>
      </c>
      <c r="D63" s="11" t="n">
        <v>1.62812998122718</v>
      </c>
      <c r="E63" s="11" t="n">
        <v>1.72750910605678</v>
      </c>
      <c r="F63" s="11" t="n">
        <v>1.82264987644255</v>
      </c>
      <c r="G63" s="11" t="n">
        <v>1.91358366480034</v>
      </c>
      <c r="H63" s="11" t="n">
        <v>2.00039255085194</v>
      </c>
      <c r="I63" s="11" t="n">
        <v>2.08319742367062</v>
      </c>
      <c r="J63" s="11" t="n">
        <v>2.16214954486566</v>
      </c>
      <c r="K63" s="11" t="n">
        <v>2.23742420554942</v>
      </c>
      <c r="L63" s="11" t="n">
        <v>2.30921223551188</v>
      </c>
      <c r="M63" s="11" t="n">
        <v>2.37770108542675</v>
      </c>
      <c r="N63" s="11" t="n">
        <v>2.44306807583496</v>
      </c>
      <c r="O63" s="11" t="n">
        <v>2.50548199805189</v>
      </c>
      <c r="P63" s="11" t="n">
        <v>2.56510458472352</v>
      </c>
      <c r="Q63" s="11" t="n">
        <v>2.62209137696814</v>
      </c>
      <c r="R63" s="11" t="n">
        <v>2.67658709735089</v>
      </c>
      <c r="S63" s="11" t="n">
        <v>2.7287194149759</v>
      </c>
      <c r="T63" s="11" t="n">
        <v>2.77860070844608</v>
      </c>
      <c r="U63" s="11" t="n">
        <v>2.8263307588046</v>
      </c>
      <c r="V63" s="11" t="n">
        <v>2.87199861361999</v>
      </c>
      <c r="W63" s="11" t="n">
        <v>2.91568408007186</v>
      </c>
      <c r="X63" s="11" t="n">
        <v>2.95745901796936</v>
      </c>
      <c r="Y63" s="11" t="n">
        <v>2.99738845064168</v>
      </c>
      <c r="Z63" s="11" t="n">
        <v>3.03553147336864</v>
      </c>
      <c r="AA63" s="11" t="n">
        <v>3.07194241278656</v>
      </c>
      <c r="AB63" s="11" t="n">
        <v>3.10667201406132</v>
      </c>
      <c r="AC63" s="11" t="n">
        <v>3.13976795604866</v>
      </c>
      <c r="AD63" s="11" t="n">
        <v>3.17127520839324</v>
      </c>
      <c r="AE63" s="11" t="n">
        <v>3.2012364863046</v>
      </c>
      <c r="AF63" s="11" t="n">
        <v>3.22969317831888</v>
      </c>
      <c r="AG63" s="11" t="n">
        <v>3.25668582275757</v>
      </c>
      <c r="AH63" s="11" t="n">
        <v>3.28225414876508</v>
      </c>
      <c r="AI63" s="11" t="n">
        <v>3.3064368868558</v>
      </c>
      <c r="AJ63" s="11" t="n">
        <v>3.32927173706902</v>
      </c>
      <c r="AK63" s="11" t="n">
        <v>3.35079546791695</v>
      </c>
    </row>
    <row r="64" customFormat="false" ht="15" hidden="false" customHeight="false" outlineLevel="0" collapsed="false">
      <c r="A64" s="10" t="n">
        <v>-61</v>
      </c>
      <c r="B64" s="8" t="n">
        <v>41404</v>
      </c>
      <c r="C64" s="11" t="n">
        <v>1.62722431071238</v>
      </c>
      <c r="D64" s="11" t="n">
        <v>1.73314195355535</v>
      </c>
      <c r="E64" s="11" t="n">
        <v>1.83428767099242</v>
      </c>
      <c r="F64" s="11" t="n">
        <v>1.93064468833209</v>
      </c>
      <c r="G64" s="11" t="n">
        <v>2.02228593194798</v>
      </c>
      <c r="H64" s="11" t="n">
        <v>2.10933764306211</v>
      </c>
      <c r="I64" s="11" t="n">
        <v>2.19196687063625</v>
      </c>
      <c r="J64" s="11" t="n">
        <v>2.27037260012406</v>
      </c>
      <c r="K64" s="11" t="n">
        <v>2.34477907789519</v>
      </c>
      <c r="L64" s="11" t="n">
        <v>2.41542618797126</v>
      </c>
      <c r="M64" s="11" t="n">
        <v>2.48254746777528</v>
      </c>
      <c r="N64" s="11" t="n">
        <v>2.54636281108802</v>
      </c>
      <c r="O64" s="11" t="n">
        <v>2.60708068137007</v>
      </c>
      <c r="P64" s="11" t="n">
        <v>2.66490008250675</v>
      </c>
      <c r="Q64" s="11" t="n">
        <v>2.72001179775379</v>
      </c>
      <c r="R64" s="11" t="n">
        <v>2.7725939006786</v>
      </c>
      <c r="S64" s="11" t="n">
        <v>2.82280577301051</v>
      </c>
      <c r="T64" s="11" t="n">
        <v>2.87078900938639</v>
      </c>
      <c r="U64" s="11" t="n">
        <v>2.91666886248672</v>
      </c>
      <c r="V64" s="11" t="n">
        <v>2.96055641537277</v>
      </c>
      <c r="W64" s="11" t="n">
        <v>3.00255050400639</v>
      </c>
      <c r="X64" s="11" t="n">
        <v>3.04273854162475</v>
      </c>
      <c r="Y64" s="11" t="n">
        <v>3.08119684309991</v>
      </c>
      <c r="Z64" s="11" t="n">
        <v>3.11799191342658</v>
      </c>
      <c r="AA64" s="11" t="n">
        <v>3.1531822866911</v>
      </c>
      <c r="AB64" s="11" t="n">
        <v>3.18682035389689</v>
      </c>
      <c r="AC64" s="11" t="n">
        <v>3.21895321437347</v>
      </c>
      <c r="AD64" s="11" t="n">
        <v>3.24962329197931</v>
      </c>
      <c r="AE64" s="11" t="n">
        <v>3.27886907724433</v>
      </c>
      <c r="AF64" s="11" t="n">
        <v>3.30672649753299</v>
      </c>
      <c r="AG64" s="11" t="n">
        <v>3.3332296373991</v>
      </c>
      <c r="AH64" s="11" t="n">
        <v>3.35841096855283</v>
      </c>
      <c r="AI64" s="11" t="n">
        <v>3.38230161091349</v>
      </c>
      <c r="AJ64" s="11" t="n">
        <v>3.40493151438088</v>
      </c>
      <c r="AK64" s="11" t="n">
        <v>3.42632957709361</v>
      </c>
    </row>
    <row r="65" customFormat="false" ht="15" hidden="false" customHeight="false" outlineLevel="0" collapsed="false">
      <c r="A65" s="10" t="n">
        <v>-60</v>
      </c>
      <c r="B65" s="8" t="n">
        <v>41407</v>
      </c>
      <c r="C65" s="11" t="n">
        <v>1.6239882901226</v>
      </c>
      <c r="D65" s="11" t="n">
        <v>1.73041104212226</v>
      </c>
      <c r="E65" s="11" t="n">
        <v>1.83199045774949</v>
      </c>
      <c r="F65" s="11" t="n">
        <v>1.92870345307751</v>
      </c>
      <c r="G65" s="11" t="n">
        <v>2.02061865607157</v>
      </c>
      <c r="H65" s="11" t="n">
        <v>2.10786091939745</v>
      </c>
      <c r="I65" s="11" t="n">
        <v>2.1905981970345</v>
      </c>
      <c r="J65" s="11" t="n">
        <v>2.26903217442486</v>
      </c>
      <c r="K65" s="11" t="n">
        <v>2.34339121757138</v>
      </c>
      <c r="L65" s="11" t="n">
        <v>2.41392040469345</v>
      </c>
      <c r="M65" s="11" t="n">
        <v>2.48085933779043</v>
      </c>
      <c r="N65" s="11" t="n">
        <v>2.54443478838971</v>
      </c>
      <c r="O65" s="11" t="n">
        <v>2.60486277348473</v>
      </c>
      <c r="P65" s="11" t="n">
        <v>2.66235040976497</v>
      </c>
      <c r="Q65" s="11" t="n">
        <v>2.71709702776008</v>
      </c>
      <c r="R65" s="11" t="n">
        <v>2.76928918208006</v>
      </c>
      <c r="S65" s="11" t="n">
        <v>2.81909418773718</v>
      </c>
      <c r="T65" s="11" t="n">
        <v>2.86666096103811</v>
      </c>
      <c r="U65" s="11" t="n">
        <v>2.91212143565102</v>
      </c>
      <c r="V65" s="11" t="n">
        <v>2.95559281257535</v>
      </c>
      <c r="W65" s="11" t="n">
        <v>2.99717955140767</v>
      </c>
      <c r="X65" s="11" t="n">
        <v>3.03697410677038</v>
      </c>
      <c r="Y65" s="11" t="n">
        <v>3.0750571263461</v>
      </c>
      <c r="Z65" s="11" t="n">
        <v>3.1114987978519</v>
      </c>
      <c r="AA65" s="11" t="n">
        <v>3.14636065018101</v>
      </c>
      <c r="AB65" s="11" t="n">
        <v>3.17969729062195</v>
      </c>
      <c r="AC65" s="11" t="n">
        <v>3.21155732306798</v>
      </c>
      <c r="AD65" s="11" t="n">
        <v>3.24198404689717</v>
      </c>
      <c r="AE65" s="11" t="n">
        <v>3.27101624440814</v>
      </c>
      <c r="AF65" s="11" t="n">
        <v>3.29868948895319</v>
      </c>
      <c r="AG65" s="11" t="n">
        <v>3.32503687099165</v>
      </c>
      <c r="AH65" s="11" t="n">
        <v>3.3500893353149</v>
      </c>
      <c r="AI65" s="11" t="n">
        <v>3.37387617563943</v>
      </c>
      <c r="AJ65" s="11" t="n">
        <v>3.39642532924169</v>
      </c>
      <c r="AK65" s="11" t="n">
        <v>3.41776351613673</v>
      </c>
    </row>
    <row r="66" customFormat="false" ht="15" hidden="false" customHeight="false" outlineLevel="0" collapsed="false">
      <c r="A66" s="10" t="n">
        <v>-59</v>
      </c>
      <c r="B66" s="8" t="n">
        <v>41408</v>
      </c>
      <c r="C66" s="11" t="n">
        <v>1.63992234405441</v>
      </c>
      <c r="D66" s="11" t="n">
        <v>1.74659026095104</v>
      </c>
      <c r="E66" s="11" t="n">
        <v>1.84836202008268</v>
      </c>
      <c r="F66" s="11" t="n">
        <v>1.94521670610176</v>
      </c>
      <c r="G66" s="11" t="n">
        <v>2.03722427479435</v>
      </c>
      <c r="H66" s="11" t="n">
        <v>2.12451115744237</v>
      </c>
      <c r="I66" s="11" t="n">
        <v>2.20724711151693</v>
      </c>
      <c r="J66" s="11" t="n">
        <v>2.2856358019416</v>
      </c>
      <c r="K66" s="11" t="n">
        <v>2.35990771245277</v>
      </c>
      <c r="L66" s="11" t="n">
        <v>2.43031015627009</v>
      </c>
      <c r="M66" s="11" t="n">
        <v>2.49708534437091</v>
      </c>
      <c r="N66" s="11" t="n">
        <v>2.56046318538125</v>
      </c>
      <c r="O66" s="11" t="n">
        <v>2.62066327783313</v>
      </c>
      <c r="P66" s="11" t="n">
        <v>2.67789668776701</v>
      </c>
      <c r="Q66" s="11" t="n">
        <v>2.73236699775436</v>
      </c>
      <c r="R66" s="11" t="n">
        <v>2.78426531564824</v>
      </c>
      <c r="S66" s="11" t="n">
        <v>2.83376391111599</v>
      </c>
      <c r="T66" s="11" t="n">
        <v>2.8810167863501</v>
      </c>
      <c r="U66" s="11" t="n">
        <v>2.92616075451502</v>
      </c>
      <c r="V66" s="11" t="n">
        <v>2.96931767892445</v>
      </c>
      <c r="W66" s="11" t="n">
        <v>3.01059648121325</v>
      </c>
      <c r="X66" s="11" t="n">
        <v>3.05009368892951</v>
      </c>
      <c r="Y66" s="11" t="n">
        <v>3.08789340209659</v>
      </c>
      <c r="Z66" s="11" t="n">
        <v>3.12406867945377</v>
      </c>
      <c r="AA66" s="11" t="n">
        <v>3.15868333757952</v>
      </c>
      <c r="AB66" s="11" t="n">
        <v>3.19179364932824</v>
      </c>
      <c r="AC66" s="11" t="n">
        <v>3.22344931974655</v>
      </c>
      <c r="AD66" s="11" t="n">
        <v>3.25369425057447</v>
      </c>
      <c r="AE66" s="11" t="n">
        <v>3.28256737561657</v>
      </c>
      <c r="AF66" s="11" t="n">
        <v>3.31010397048656</v>
      </c>
      <c r="AG66" s="11" t="n">
        <v>3.33633640067795</v>
      </c>
      <c r="AH66" s="11" t="n">
        <v>3.36129453313356</v>
      </c>
      <c r="AI66" s="11" t="n">
        <v>3.38500639200592</v>
      </c>
      <c r="AJ66" s="11" t="n">
        <v>3.40749852852167</v>
      </c>
      <c r="AK66" s="11" t="n">
        <v>3.42879617325292</v>
      </c>
    </row>
    <row r="67" customFormat="false" ht="15" hidden="false" customHeight="false" outlineLevel="0" collapsed="false">
      <c r="A67" s="10" t="n">
        <v>-58</v>
      </c>
      <c r="B67" s="8" t="n">
        <v>41409</v>
      </c>
      <c r="C67" s="11" t="n">
        <v>1.67088202192928</v>
      </c>
      <c r="D67" s="11" t="n">
        <v>1.77807690794538</v>
      </c>
      <c r="E67" s="11" t="n">
        <v>1.88031659785728</v>
      </c>
      <c r="F67" s="11" t="n">
        <v>1.97757716992593</v>
      </c>
      <c r="G67" s="11" t="n">
        <v>2.06992657862413</v>
      </c>
      <c r="H67" s="11" t="n">
        <v>2.15749082482746</v>
      </c>
      <c r="I67" s="11" t="n">
        <v>2.24044047749613</v>
      </c>
      <c r="J67" s="11" t="n">
        <v>2.31898098496092</v>
      </c>
      <c r="K67" s="11" t="n">
        <v>2.3933453818509</v>
      </c>
      <c r="L67" s="11" t="n">
        <v>2.46378400027009</v>
      </c>
      <c r="M67" s="11" t="n">
        <v>2.53054211385597</v>
      </c>
      <c r="N67" s="11" t="n">
        <v>2.59385268485085</v>
      </c>
      <c r="O67" s="11" t="n">
        <v>2.65393836168844</v>
      </c>
      <c r="P67" s="11" t="n">
        <v>2.71101325723671</v>
      </c>
      <c r="Q67" s="11" t="n">
        <v>2.76528396727175</v>
      </c>
      <c r="R67" s="11" t="n">
        <v>2.8169441870579</v>
      </c>
      <c r="S67" s="11" t="n">
        <v>2.86616801004694</v>
      </c>
      <c r="T67" s="11" t="n">
        <v>2.91311093045637</v>
      </c>
      <c r="U67" s="11" t="n">
        <v>2.95791146325114</v>
      </c>
      <c r="V67" s="11" t="n">
        <v>3.0006934218766</v>
      </c>
      <c r="W67" s="11" t="n">
        <v>3.04156790073532</v>
      </c>
      <c r="X67" s="11" t="n">
        <v>3.08063396609504</v>
      </c>
      <c r="Y67" s="11" t="n">
        <v>3.11797883166334</v>
      </c>
      <c r="Z67" s="11" t="n">
        <v>3.15367920588338</v>
      </c>
      <c r="AA67" s="11" t="n">
        <v>3.18780295170602</v>
      </c>
      <c r="AB67" s="11" t="n">
        <v>3.22041063235928</v>
      </c>
      <c r="AC67" s="11" t="n">
        <v>3.25155644307301</v>
      </c>
      <c r="AD67" s="11" t="n">
        <v>3.28128895223011</v>
      </c>
      <c r="AE67" s="11" t="n">
        <v>3.30965188486158</v>
      </c>
      <c r="AF67" s="11" t="n">
        <v>3.33668527315688</v>
      </c>
      <c r="AG67" s="11" t="n">
        <v>3.36242613742662</v>
      </c>
      <c r="AH67" s="11" t="n">
        <v>3.3869088420953</v>
      </c>
      <c r="AI67" s="11" t="n">
        <v>3.41016549084206</v>
      </c>
      <c r="AJ67" s="11" t="n">
        <v>3.43222621110087</v>
      </c>
      <c r="AK67" s="11" t="n">
        <v>3.45311935312479</v>
      </c>
    </row>
    <row r="68" customFormat="false" ht="15" hidden="false" customHeight="false" outlineLevel="0" collapsed="false">
      <c r="A68" s="10" t="n">
        <v>-57</v>
      </c>
      <c r="B68" s="8" t="n">
        <v>41410</v>
      </c>
      <c r="C68" s="11" t="n">
        <v>1.61283530245629</v>
      </c>
      <c r="D68" s="11" t="n">
        <v>1.71952022942577</v>
      </c>
      <c r="E68" s="11" t="n">
        <v>1.82149069818567</v>
      </c>
      <c r="F68" s="11" t="n">
        <v>1.9187120860404</v>
      </c>
      <c r="G68" s="11" t="n">
        <v>2.01123782433298</v>
      </c>
      <c r="H68" s="11" t="n">
        <v>2.09917684862371</v>
      </c>
      <c r="I68" s="11" t="n">
        <v>2.18268071429745</v>
      </c>
      <c r="J68" s="11" t="n">
        <v>2.26193433138439</v>
      </c>
      <c r="K68" s="11" t="n">
        <v>2.33714898846369</v>
      </c>
      <c r="L68" s="11" t="n">
        <v>2.4085523966774</v>
      </c>
      <c r="M68" s="11" t="n">
        <v>2.47636711317103</v>
      </c>
      <c r="N68" s="11" t="n">
        <v>2.54080366543977</v>
      </c>
      <c r="O68" s="11" t="n">
        <v>2.60206251198148</v>
      </c>
      <c r="P68" s="11" t="n">
        <v>2.66033577833065</v>
      </c>
      <c r="Q68" s="11" t="n">
        <v>2.71580825636987</v>
      </c>
      <c r="R68" s="11" t="n">
        <v>2.76865234129039</v>
      </c>
      <c r="S68" s="11" t="n">
        <v>2.81902186122003</v>
      </c>
      <c r="T68" s="11" t="n">
        <v>2.86705388076543</v>
      </c>
      <c r="U68" s="11" t="n">
        <v>2.91287120891425</v>
      </c>
      <c r="V68" s="11" t="n">
        <v>2.95658444115525</v>
      </c>
      <c r="W68" s="11" t="n">
        <v>2.99829364536427</v>
      </c>
      <c r="X68" s="11" t="n">
        <v>3.03808960700306</v>
      </c>
      <c r="Y68" s="11" t="n">
        <v>3.07605481046333</v>
      </c>
      <c r="Z68" s="11" t="n">
        <v>3.11226448058545</v>
      </c>
      <c r="AA68" s="11" t="n">
        <v>3.14678765077064</v>
      </c>
      <c r="AB68" s="11" t="n">
        <v>3.17968813192977</v>
      </c>
      <c r="AC68" s="11" t="n">
        <v>3.21102516250575</v>
      </c>
      <c r="AD68" s="11" t="n">
        <v>3.24085394046501</v>
      </c>
      <c r="AE68" s="11" t="n">
        <v>3.26922614452759</v>
      </c>
      <c r="AF68" s="11" t="n">
        <v>3.29619058554249</v>
      </c>
      <c r="AG68" s="11" t="n">
        <v>3.32179363510179</v>
      </c>
      <c r="AH68" s="11" t="n">
        <v>3.34607939343364</v>
      </c>
      <c r="AI68" s="11" t="n">
        <v>3.36908953097232</v>
      </c>
      <c r="AJ68" s="11" t="n">
        <v>3.39086335906729</v>
      </c>
      <c r="AK68" s="11" t="n">
        <v>3.41143806125932</v>
      </c>
    </row>
    <row r="69" customFormat="false" ht="15" hidden="false" customHeight="false" outlineLevel="0" collapsed="false">
      <c r="A69" s="10" t="n">
        <v>-56</v>
      </c>
      <c r="B69" s="8" t="n">
        <v>41411</v>
      </c>
      <c r="C69" s="11" t="n">
        <v>1.62809237163369</v>
      </c>
      <c r="D69" s="11" t="n">
        <v>1.73517809023671</v>
      </c>
      <c r="E69" s="11" t="n">
        <v>1.83763160358148</v>
      </c>
      <c r="F69" s="11" t="n">
        <v>1.93540239736988</v>
      </c>
      <c r="G69" s="11" t="n">
        <v>2.02853081952788</v>
      </c>
      <c r="H69" s="11" t="n">
        <v>2.11711488487881</v>
      </c>
      <c r="I69" s="11" t="n">
        <v>2.20129691784673</v>
      </c>
      <c r="J69" s="11" t="n">
        <v>2.28125391993457</v>
      </c>
      <c r="K69" s="11" t="n">
        <v>2.35719031344528</v>
      </c>
      <c r="L69" s="11" t="n">
        <v>2.42932763565817</v>
      </c>
      <c r="M69" s="11" t="n">
        <v>2.49788301292764</v>
      </c>
      <c r="N69" s="11" t="n">
        <v>2.56306250610443</v>
      </c>
      <c r="O69" s="11" t="n">
        <v>2.62506292027732</v>
      </c>
      <c r="P69" s="11" t="n">
        <v>2.68407340059413</v>
      </c>
      <c r="Q69" s="11" t="n">
        <v>2.74027628523608</v>
      </c>
      <c r="R69" s="11" t="n">
        <v>2.79384175760719</v>
      </c>
      <c r="S69" s="11" t="n">
        <v>2.84492167378617</v>
      </c>
      <c r="T69" s="11" t="n">
        <v>2.89365138187077</v>
      </c>
      <c r="U69" s="11" t="n">
        <v>2.94015219353906</v>
      </c>
      <c r="V69" s="11" t="n">
        <v>2.98453339475521</v>
      </c>
      <c r="W69" s="11" t="n">
        <v>3.02689390499365</v>
      </c>
      <c r="X69" s="11" t="n">
        <v>3.06732350054211</v>
      </c>
      <c r="Y69" s="11" t="n">
        <v>3.10590378582497</v>
      </c>
      <c r="Z69" s="11" t="n">
        <v>3.14270922452125</v>
      </c>
      <c r="AA69" s="11" t="n">
        <v>3.17780824249239</v>
      </c>
      <c r="AB69" s="11" t="n">
        <v>3.21126423424254</v>
      </c>
      <c r="AC69" s="11" t="n">
        <v>3.24313619606795</v>
      </c>
      <c r="AD69" s="11" t="n">
        <v>3.2734792379534</v>
      </c>
      <c r="AE69" s="11" t="n">
        <v>3.30234510963738</v>
      </c>
      <c r="AF69" s="11" t="n">
        <v>3.32978291413587</v>
      </c>
      <c r="AG69" s="11" t="n">
        <v>3.35583954259207</v>
      </c>
      <c r="AH69" s="11" t="n">
        <v>3.38055979926527</v>
      </c>
      <c r="AI69" s="11" t="n">
        <v>3.4039861622527</v>
      </c>
      <c r="AJ69" s="11" t="n">
        <v>3.42615882336257</v>
      </c>
      <c r="AK69" s="11" t="n">
        <v>3.4471159119368</v>
      </c>
    </row>
    <row r="70" customFormat="false" ht="15" hidden="false" customHeight="false" outlineLevel="0" collapsed="false">
      <c r="A70" s="10" t="n">
        <v>-55</v>
      </c>
      <c r="B70" s="8" t="n">
        <v>41414</v>
      </c>
      <c r="C70" s="11" t="n">
        <v>1.65561985330613</v>
      </c>
      <c r="D70" s="11" t="n">
        <v>1.76391722529719</v>
      </c>
      <c r="E70" s="11" t="n">
        <v>1.86749857434476</v>
      </c>
      <c r="F70" s="11" t="n">
        <v>1.96627550538225</v>
      </c>
      <c r="G70" s="11" t="n">
        <v>2.06026008689825</v>
      </c>
      <c r="H70" s="11" t="n">
        <v>2.14953269456066</v>
      </c>
      <c r="I70" s="11" t="n">
        <v>2.23422631256194</v>
      </c>
      <c r="J70" s="11" t="n">
        <v>2.31451509698325</v>
      </c>
      <c r="K70" s="11" t="n">
        <v>2.39060576645376</v>
      </c>
      <c r="L70" s="11" t="n">
        <v>2.46272646737662</v>
      </c>
      <c r="M70" s="11" t="n">
        <v>2.53110540202939</v>
      </c>
      <c r="N70" s="11" t="n">
        <v>2.59596383625694</v>
      </c>
      <c r="O70" s="11" t="n">
        <v>2.65751718659926</v>
      </c>
      <c r="P70" s="11" t="n">
        <v>2.71597602879226</v>
      </c>
      <c r="Q70" s="11" t="n">
        <v>2.7715463835136</v>
      </c>
      <c r="R70" s="11" t="n">
        <v>2.82442266037473</v>
      </c>
      <c r="S70" s="11" t="n">
        <v>2.87477979498183</v>
      </c>
      <c r="T70" s="11" t="n">
        <v>2.92277450774602</v>
      </c>
      <c r="U70" s="11" t="n">
        <v>2.96854732425558</v>
      </c>
      <c r="V70" s="11" t="n">
        <v>3.0122248077907</v>
      </c>
      <c r="W70" s="11" t="n">
        <v>3.05392143627783</v>
      </c>
      <c r="X70" s="11" t="n">
        <v>3.09374024946932</v>
      </c>
      <c r="Y70" s="11" t="n">
        <v>3.13177308259527</v>
      </c>
      <c r="Z70" s="11" t="n">
        <v>3.16810185709896</v>
      </c>
      <c r="AA70" s="11" t="n">
        <v>3.20280006742756</v>
      </c>
      <c r="AB70" s="11" t="n">
        <v>3.23593412292216</v>
      </c>
      <c r="AC70" s="11" t="n">
        <v>3.26756423044613</v>
      </c>
      <c r="AD70" s="11" t="n">
        <v>3.29774511626899</v>
      </c>
      <c r="AE70" s="11" t="n">
        <v>3.32652676198377</v>
      </c>
      <c r="AF70" s="11" t="n">
        <v>3.35395538138421</v>
      </c>
      <c r="AG70" s="11" t="n">
        <v>3.38007402293293</v>
      </c>
      <c r="AH70" s="11" t="n">
        <v>3.40492289449506</v>
      </c>
      <c r="AI70" s="11" t="n">
        <v>3.42853959343545</v>
      </c>
      <c r="AJ70" s="11" t="n">
        <v>3.45095934488788</v>
      </c>
      <c r="AK70" s="11" t="n">
        <v>3.47221523831047</v>
      </c>
    </row>
    <row r="71" customFormat="false" ht="15" hidden="false" customHeight="false" outlineLevel="0" collapsed="false">
      <c r="A71" s="10" t="n">
        <v>-54</v>
      </c>
      <c r="B71" s="8" t="n">
        <v>41415</v>
      </c>
      <c r="C71" s="11" t="n">
        <v>1.67375217011372</v>
      </c>
      <c r="D71" s="11" t="n">
        <v>1.78297842149167</v>
      </c>
      <c r="E71" s="11" t="n">
        <v>1.88736822171616</v>
      </c>
      <c r="F71" s="11" t="n">
        <v>1.98682491332883</v>
      </c>
      <c r="G71" s="11" t="n">
        <v>2.0813563054754</v>
      </c>
      <c r="H71" s="11" t="n">
        <v>2.17104197663817</v>
      </c>
      <c r="I71" s="11" t="n">
        <v>2.25601680163008</v>
      </c>
      <c r="J71" s="11" t="n">
        <v>2.33645893065322</v>
      </c>
      <c r="K71" s="11" t="n">
        <v>2.41258074057012</v>
      </c>
      <c r="L71" s="11" t="n">
        <v>2.48461739083252</v>
      </c>
      <c r="M71" s="11" t="n">
        <v>2.55280550348207</v>
      </c>
      <c r="N71" s="11" t="n">
        <v>2.61737612081537</v>
      </c>
      <c r="O71" s="11" t="n">
        <v>2.67855555847209</v>
      </c>
      <c r="P71" s="11" t="n">
        <v>2.73656622037589</v>
      </c>
      <c r="Q71" s="11" t="n">
        <v>2.79162671454432</v>
      </c>
      <c r="R71" s="11" t="n">
        <v>2.84394458631355</v>
      </c>
      <c r="S71" s="11" t="n">
        <v>2.89370833121637</v>
      </c>
      <c r="T71" s="11" t="n">
        <v>2.94108794196487</v>
      </c>
      <c r="U71" s="11" t="n">
        <v>2.9862361533418</v>
      </c>
      <c r="V71" s="11" t="n">
        <v>3.02929072861897</v>
      </c>
      <c r="W71" s="11" t="n">
        <v>3.07037643928344</v>
      </c>
      <c r="X71" s="11" t="n">
        <v>3.1096052699193</v>
      </c>
      <c r="Y71" s="11" t="n">
        <v>3.14707612481732</v>
      </c>
      <c r="Z71" s="11" t="n">
        <v>3.18287627453144</v>
      </c>
      <c r="AA71" s="11" t="n">
        <v>3.21708307228261</v>
      </c>
      <c r="AB71" s="11" t="n">
        <v>3.24976549220637</v>
      </c>
      <c r="AC71" s="11" t="n">
        <v>3.2809851672372</v>
      </c>
      <c r="AD71" s="11" t="n">
        <v>3.31079724351688</v>
      </c>
      <c r="AE71" s="11" t="n">
        <v>3.3392512447972</v>
      </c>
      <c r="AF71" s="11" t="n">
        <v>3.36639219639551</v>
      </c>
      <c r="AG71" s="11" t="n">
        <v>3.39226132602121</v>
      </c>
      <c r="AH71" s="11" t="n">
        <v>3.41689650280029</v>
      </c>
      <c r="AI71" s="11" t="n">
        <v>3.44033270444745</v>
      </c>
      <c r="AJ71" s="11" t="n">
        <v>3.46260236181383</v>
      </c>
      <c r="AK71" s="11" t="n">
        <v>3.48373561472089</v>
      </c>
    </row>
    <row r="72" customFormat="false" ht="15" hidden="false" customHeight="false" outlineLevel="0" collapsed="false">
      <c r="A72" s="10" t="n">
        <v>-53</v>
      </c>
      <c r="B72" s="8" t="n">
        <v>41416</v>
      </c>
      <c r="C72" s="11" t="n">
        <v>1.63631595921921</v>
      </c>
      <c r="D72" s="11" t="n">
        <v>1.74537367570585</v>
      </c>
      <c r="E72" s="11" t="n">
        <v>1.84972954211298</v>
      </c>
      <c r="F72" s="11" t="n">
        <v>1.94927414726118</v>
      </c>
      <c r="G72" s="11" t="n">
        <v>2.0440020250849</v>
      </c>
      <c r="H72" s="11" t="n">
        <v>2.13397955948846</v>
      </c>
      <c r="I72" s="11" t="n">
        <v>2.21932850645445</v>
      </c>
      <c r="J72" s="11" t="n">
        <v>2.30021395663539</v>
      </c>
      <c r="K72" s="11" t="n">
        <v>2.37683527393731</v>
      </c>
      <c r="L72" s="11" t="n">
        <v>2.44941477800979</v>
      </c>
      <c r="M72" s="11" t="n">
        <v>2.51817710611922</v>
      </c>
      <c r="N72" s="11" t="n">
        <v>2.58334237796479</v>
      </c>
      <c r="O72" s="11" t="n">
        <v>2.64512687023475</v>
      </c>
      <c r="P72" s="11" t="n">
        <v>2.70374367919451</v>
      </c>
      <c r="Q72" s="11" t="n">
        <v>2.75940270122738</v>
      </c>
      <c r="R72" s="11" t="n">
        <v>2.81230321082757</v>
      </c>
      <c r="S72" s="11" t="n">
        <v>2.8626258697593</v>
      </c>
      <c r="T72" s="11" t="n">
        <v>2.91053357580656</v>
      </c>
      <c r="U72" s="11" t="n">
        <v>2.95617304018225</v>
      </c>
      <c r="V72" s="11" t="n">
        <v>2.99967697627084</v>
      </c>
      <c r="W72" s="11" t="n">
        <v>3.04116596067254</v>
      </c>
      <c r="X72" s="11" t="n">
        <v>3.0807488024105</v>
      </c>
      <c r="Y72" s="11" t="n">
        <v>3.11852249124573</v>
      </c>
      <c r="Z72" s="11" t="n">
        <v>3.15457352776219</v>
      </c>
      <c r="AA72" s="11" t="n">
        <v>3.18897941919127</v>
      </c>
      <c r="AB72" s="11" t="n">
        <v>3.2218100050189</v>
      </c>
      <c r="AC72" s="11" t="n">
        <v>3.25312839749345</v>
      </c>
      <c r="AD72" s="11" t="n">
        <v>3.2829917645332</v>
      </c>
      <c r="AE72" s="11" t="n">
        <v>3.31145211022735</v>
      </c>
      <c r="AF72" s="11" t="n">
        <v>3.33855725510382</v>
      </c>
      <c r="AG72" s="11" t="n">
        <v>3.36435146106954</v>
      </c>
      <c r="AH72" s="11" t="n">
        <v>3.38887580653133</v>
      </c>
      <c r="AI72" s="11" t="n">
        <v>3.41216848970968</v>
      </c>
      <c r="AJ72" s="11" t="n">
        <v>3.4342651107391</v>
      </c>
      <c r="AK72" s="11" t="n">
        <v>3.45519893120997</v>
      </c>
    </row>
    <row r="73" customFormat="false" ht="15" hidden="false" customHeight="false" outlineLevel="0" collapsed="false">
      <c r="A73" s="10" t="n">
        <v>-52</v>
      </c>
      <c r="B73" s="8" t="n">
        <v>41417</v>
      </c>
      <c r="C73" s="11" t="n">
        <v>1.65745525727282</v>
      </c>
      <c r="D73" s="11" t="n">
        <v>1.76617298232478</v>
      </c>
      <c r="E73" s="11" t="n">
        <v>1.87005229895891</v>
      </c>
      <c r="F73" s="11" t="n">
        <v>1.96898438461966</v>
      </c>
      <c r="G73" s="11" t="n">
        <v>2.0629667208228</v>
      </c>
      <c r="H73" s="11" t="n">
        <v>2.15207168621492</v>
      </c>
      <c r="I73" s="11" t="n">
        <v>2.23642941428382</v>
      </c>
      <c r="J73" s="11" t="n">
        <v>2.31621523795823</v>
      </c>
      <c r="K73" s="11" t="n">
        <v>2.39164023893739</v>
      </c>
      <c r="L73" s="11" t="n">
        <v>2.46293971029019</v>
      </c>
      <c r="M73" s="11" t="n">
        <v>2.53035275813071</v>
      </c>
      <c r="N73" s="11" t="n">
        <v>2.59411545591614</v>
      </c>
      <c r="O73" s="11" t="n">
        <v>2.65446126255313</v>
      </c>
      <c r="P73" s="11" t="n">
        <v>2.71162147318235</v>
      </c>
      <c r="Q73" s="11" t="n">
        <v>2.76582498105254</v>
      </c>
      <c r="R73" s="11" t="n">
        <v>2.81729016247602</v>
      </c>
      <c r="S73" s="11" t="n">
        <v>2.86621623762379</v>
      </c>
      <c r="T73" s="11" t="n">
        <v>2.91278312532523</v>
      </c>
      <c r="U73" s="11" t="n">
        <v>2.95715201364918</v>
      </c>
      <c r="V73" s="11" t="n">
        <v>2.99946776887735</v>
      </c>
      <c r="W73" s="11" t="n">
        <v>3.03986105953372</v>
      </c>
      <c r="X73" s="11" t="n">
        <v>3.07844812734191</v>
      </c>
      <c r="Y73" s="11" t="n">
        <v>3.11533001373139</v>
      </c>
      <c r="Z73" s="11" t="n">
        <v>3.15059421315388</v>
      </c>
      <c r="AA73" s="11" t="n">
        <v>3.18431680017313</v>
      </c>
      <c r="AB73" s="11" t="n">
        <v>3.21656435319428</v>
      </c>
      <c r="AC73" s="11" t="n">
        <v>3.24739514823119</v>
      </c>
      <c r="AD73" s="11" t="n">
        <v>3.27686012574209</v>
      </c>
      <c r="AE73" s="11" t="n">
        <v>3.30500394076331</v>
      </c>
      <c r="AF73" s="11" t="n">
        <v>3.33186648857813</v>
      </c>
      <c r="AG73" s="11" t="n">
        <v>3.35748376508608</v>
      </c>
      <c r="AH73" s="11" t="n">
        <v>3.38188840175732</v>
      </c>
      <c r="AI73" s="11" t="n">
        <v>3.40511044363608</v>
      </c>
      <c r="AJ73" s="11" t="n">
        <v>3.42717778928624</v>
      </c>
      <c r="AK73" s="11" t="n">
        <v>3.44811640932162</v>
      </c>
    </row>
    <row r="74" customFormat="false" ht="15" hidden="false" customHeight="false" outlineLevel="0" collapsed="false">
      <c r="A74" s="10" t="n">
        <v>-51</v>
      </c>
      <c r="B74" s="8" t="n">
        <v>41418</v>
      </c>
      <c r="C74" s="11" t="n">
        <v>1.64066159205571</v>
      </c>
      <c r="D74" s="11" t="n">
        <v>1.7477171491148</v>
      </c>
      <c r="E74" s="11" t="n">
        <v>1.8501557585454</v>
      </c>
      <c r="F74" s="11" t="n">
        <v>1.94784872834573</v>
      </c>
      <c r="G74" s="11" t="n">
        <v>2.04077123211008</v>
      </c>
      <c r="H74" s="11" t="n">
        <v>2.12897346818946</v>
      </c>
      <c r="I74" s="11" t="n">
        <v>2.21256353475704</v>
      </c>
      <c r="J74" s="11" t="n">
        <v>2.29169484289034</v>
      </c>
      <c r="K74" s="11" t="n">
        <v>2.36655664093237</v>
      </c>
      <c r="L74" s="11" t="n">
        <v>2.43736293145594</v>
      </c>
      <c r="M74" s="11" t="n">
        <v>2.50433437661787</v>
      </c>
      <c r="N74" s="11" t="n">
        <v>2.5676921162533</v>
      </c>
      <c r="O74" s="11" t="n">
        <v>2.62765759305433</v>
      </c>
      <c r="P74" s="11" t="n">
        <v>2.68445250035339</v>
      </c>
      <c r="Q74" s="11" t="n">
        <v>2.73829807541854</v>
      </c>
      <c r="R74" s="11" t="n">
        <v>2.78940634863883</v>
      </c>
      <c r="S74" s="11" t="n">
        <v>2.83797139881286</v>
      </c>
      <c r="T74" s="11" t="n">
        <v>2.88416911796354</v>
      </c>
      <c r="U74" s="11" t="n">
        <v>2.92815773701056</v>
      </c>
      <c r="V74" s="11" t="n">
        <v>2.97008011084963</v>
      </c>
      <c r="W74" s="11" t="n">
        <v>3.01006569459083</v>
      </c>
      <c r="X74" s="11" t="n">
        <v>3.04823011822711</v>
      </c>
      <c r="Y74" s="11" t="n">
        <v>3.08467435378808</v>
      </c>
      <c r="Z74" s="11" t="n">
        <v>3.11948632539462</v>
      </c>
      <c r="AA74" s="11" t="n">
        <v>3.15274301296996</v>
      </c>
      <c r="AB74" s="11" t="n">
        <v>3.18451233867272</v>
      </c>
      <c r="AC74" s="11" t="n">
        <v>3.21485430706922</v>
      </c>
      <c r="AD74" s="11" t="n">
        <v>3.24382192737904</v>
      </c>
      <c r="AE74" s="11" t="n">
        <v>3.27146221293433</v>
      </c>
      <c r="AF74" s="11" t="n">
        <v>3.29781758875225</v>
      </c>
      <c r="AG74" s="11" t="n">
        <v>3.32292668271304</v>
      </c>
      <c r="AH74" s="11" t="n">
        <v>3.34682480239226</v>
      </c>
      <c r="AI74" s="11" t="n">
        <v>3.36954452254097</v>
      </c>
      <c r="AJ74" s="11" t="n">
        <v>3.3911160586245</v>
      </c>
      <c r="AK74" s="11" t="n">
        <v>3.4115675046359</v>
      </c>
    </row>
    <row r="75" customFormat="false" ht="15" hidden="false" customHeight="false" outlineLevel="0" collapsed="false">
      <c r="A75" s="10" t="n">
        <v>-50</v>
      </c>
      <c r="B75" s="8" t="n">
        <v>41422</v>
      </c>
      <c r="C75" s="11" t="n">
        <v>1.70276315561402</v>
      </c>
      <c r="D75" s="11" t="n">
        <v>1.81083430980326</v>
      </c>
      <c r="E75" s="11" t="n">
        <v>1.91398549633216</v>
      </c>
      <c r="F75" s="11" t="n">
        <v>2.01211985127475</v>
      </c>
      <c r="G75" s="11" t="n">
        <v>2.10524746071411</v>
      </c>
      <c r="H75" s="11" t="n">
        <v>2.19345218336774</v>
      </c>
      <c r="I75" s="11" t="n">
        <v>2.27687475010437</v>
      </c>
      <c r="J75" s="11" t="n">
        <v>2.35570040043285</v>
      </c>
      <c r="K75" s="11" t="n">
        <v>2.43014956243638</v>
      </c>
      <c r="L75" s="11" t="n">
        <v>2.50046576432006</v>
      </c>
      <c r="M75" s="11" t="n">
        <v>2.56689421397228</v>
      </c>
      <c r="N75" s="11" t="n">
        <v>2.6296752648897</v>
      </c>
      <c r="O75" s="11" t="n">
        <v>2.68904517347005</v>
      </c>
      <c r="P75" s="11" t="n">
        <v>2.74523680540846</v>
      </c>
      <c r="Q75" s="11" t="n">
        <v>2.79847949257998</v>
      </c>
      <c r="R75" s="11" t="n">
        <v>2.84899035992638</v>
      </c>
      <c r="S75" s="11" t="n">
        <v>2.89696573542648</v>
      </c>
      <c r="T75" s="11" t="n">
        <v>2.94258185571879</v>
      </c>
      <c r="U75" s="11" t="n">
        <v>2.98599630272077</v>
      </c>
      <c r="V75" s="11" t="n">
        <v>3.02735050305991</v>
      </c>
      <c r="W75" s="11" t="n">
        <v>3.06677183891845</v>
      </c>
      <c r="X75" s="11" t="n">
        <v>3.10437371133887</v>
      </c>
      <c r="Y75" s="11" t="n">
        <v>3.14025522994184</v>
      </c>
      <c r="Z75" s="11" t="n">
        <v>3.17450284836783</v>
      </c>
      <c r="AA75" s="11" t="n">
        <v>3.20719256182307</v>
      </c>
      <c r="AB75" s="11" t="n">
        <v>3.23839189243734</v>
      </c>
      <c r="AC75" s="11" t="n">
        <v>3.26816097635722</v>
      </c>
      <c r="AD75" s="11" t="n">
        <v>3.29655342441745</v>
      </c>
      <c r="AE75" s="11" t="n">
        <v>3.32361729019763</v>
      </c>
      <c r="AF75" s="11" t="n">
        <v>3.34939649797149</v>
      </c>
      <c r="AG75" s="11" t="n">
        <v>3.37393160675765</v>
      </c>
      <c r="AH75" s="11" t="n">
        <v>3.39726017591858</v>
      </c>
      <c r="AI75" s="11" t="n">
        <v>3.41941708263414</v>
      </c>
      <c r="AJ75" s="11" t="n">
        <v>3.44043479753258</v>
      </c>
      <c r="AK75" s="11" t="n">
        <v>3.46034362538325</v>
      </c>
    </row>
    <row r="76" customFormat="false" ht="15" hidden="false" customHeight="false" outlineLevel="0" collapsed="false">
      <c r="A76" s="10" t="n">
        <v>-49</v>
      </c>
      <c r="B76" s="8" t="n">
        <v>41423</v>
      </c>
      <c r="C76" s="11" t="n">
        <v>1.74714984208267</v>
      </c>
      <c r="D76" s="11" t="n">
        <v>1.85563186266901</v>
      </c>
      <c r="E76" s="11" t="n">
        <v>1.95912983351215</v>
      </c>
      <c r="F76" s="11" t="n">
        <v>2.05755489321736</v>
      </c>
      <c r="G76" s="11" t="n">
        <v>2.15092189630353</v>
      </c>
      <c r="H76" s="11" t="n">
        <v>2.23931808025636</v>
      </c>
      <c r="I76" s="11" t="n">
        <v>2.32288650264479</v>
      </c>
      <c r="J76" s="11" t="n">
        <v>2.40181390632033</v>
      </c>
      <c r="K76" s="11" t="n">
        <v>2.47632157018639</v>
      </c>
      <c r="L76" s="11" t="n">
        <v>2.54665345848591</v>
      </c>
      <c r="M76" s="11" t="n">
        <v>2.61305545445116</v>
      </c>
      <c r="N76" s="11" t="n">
        <v>2.67576906692272</v>
      </c>
      <c r="O76" s="11" t="n">
        <v>2.73503210977375</v>
      </c>
      <c r="P76" s="11" t="n">
        <v>2.79107933897325</v>
      </c>
      <c r="Q76" s="11" t="n">
        <v>2.84414221782309</v>
      </c>
      <c r="R76" s="11" t="n">
        <v>2.89443989332926</v>
      </c>
      <c r="S76" s="11" t="n">
        <v>2.94217040750273</v>
      </c>
      <c r="T76" s="11" t="n">
        <v>2.98751155794669</v>
      </c>
      <c r="U76" s="11" t="n">
        <v>3.03062250440027</v>
      </c>
      <c r="V76" s="11" t="n">
        <v>3.07164628411209</v>
      </c>
      <c r="W76" s="11" t="n">
        <v>3.11071192166232</v>
      </c>
      <c r="X76" s="11" t="n">
        <v>3.14793456660224</v>
      </c>
      <c r="Y76" s="11" t="n">
        <v>3.1834152857977</v>
      </c>
      <c r="Z76" s="11" t="n">
        <v>3.21724269292578</v>
      </c>
      <c r="AA76" s="11" t="n">
        <v>3.24949516606298</v>
      </c>
      <c r="AB76" s="11" t="n">
        <v>3.28024284916069</v>
      </c>
      <c r="AC76" s="11" t="n">
        <v>3.30954871420731</v>
      </c>
      <c r="AD76" s="11" t="n">
        <v>3.33746939698861</v>
      </c>
      <c r="AE76" s="11" t="n">
        <v>3.36405613228754</v>
      </c>
      <c r="AF76" s="11" t="n">
        <v>3.38935611382671</v>
      </c>
      <c r="AG76" s="11" t="n">
        <v>3.41341322497242</v>
      </c>
      <c r="AH76" s="11" t="n">
        <v>3.43626834932603</v>
      </c>
      <c r="AI76" s="11" t="n">
        <v>3.45795951754054</v>
      </c>
      <c r="AJ76" s="11" t="n">
        <v>3.47852213511373</v>
      </c>
      <c r="AK76" s="11" t="n">
        <v>3.49798924370779</v>
      </c>
    </row>
    <row r="77" customFormat="false" ht="15" hidden="false" customHeight="false" outlineLevel="0" collapsed="false">
      <c r="A77" s="10" t="n">
        <v>-48</v>
      </c>
      <c r="B77" s="8" t="n">
        <v>41424</v>
      </c>
      <c r="C77" s="11" t="n">
        <v>1.7088133532814</v>
      </c>
      <c r="D77" s="11" t="n">
        <v>1.81635744476301</v>
      </c>
      <c r="E77" s="11" t="n">
        <v>1.91917823929928</v>
      </c>
      <c r="F77" s="11" t="n">
        <v>2.0171763496855</v>
      </c>
      <c r="G77" s="11" t="n">
        <v>2.110349327936</v>
      </c>
      <c r="H77" s="11" t="n">
        <v>2.19876329866024</v>
      </c>
      <c r="I77" s="11" t="n">
        <v>2.28253728769022</v>
      </c>
      <c r="J77" s="11" t="n">
        <v>2.36183172181477</v>
      </c>
      <c r="K77" s="11" t="n">
        <v>2.43683975977349</v>
      </c>
      <c r="L77" s="11" t="n">
        <v>2.5077764035445</v>
      </c>
      <c r="M77" s="11" t="n">
        <v>2.57486007385521</v>
      </c>
      <c r="N77" s="11" t="n">
        <v>2.63830689207391</v>
      </c>
      <c r="O77" s="11" t="n">
        <v>2.69833100608636</v>
      </c>
      <c r="P77" s="11" t="n">
        <v>2.75514493055144</v>
      </c>
      <c r="Q77" s="11" t="n">
        <v>2.80895913387768</v>
      </c>
      <c r="R77" s="11" t="n">
        <v>2.85997371797162</v>
      </c>
      <c r="S77" s="11" t="n">
        <v>2.90837048016926</v>
      </c>
      <c r="T77" s="11" t="n">
        <v>2.95431396352372</v>
      </c>
      <c r="U77" s="11" t="n">
        <v>2.9979531749833</v>
      </c>
      <c r="V77" s="11" t="n">
        <v>3.03942371820737</v>
      </c>
      <c r="W77" s="11" t="n">
        <v>3.07884956070004</v>
      </c>
      <c r="X77" s="11" t="n">
        <v>3.11634334625677</v>
      </c>
      <c r="Y77" s="11" t="n">
        <v>3.15200644323445</v>
      </c>
      <c r="Z77" s="11" t="n">
        <v>3.18593025619966</v>
      </c>
      <c r="AA77" s="11" t="n">
        <v>3.21819778127673</v>
      </c>
      <c r="AB77" s="11" t="n">
        <v>3.2488849805169</v>
      </c>
      <c r="AC77" s="11" t="n">
        <v>3.27806165665534</v>
      </c>
      <c r="AD77" s="11" t="n">
        <v>3.30579217021134</v>
      </c>
      <c r="AE77" s="11" t="n">
        <v>3.3321361610212</v>
      </c>
      <c r="AF77" s="11" t="n">
        <v>3.35714943211284</v>
      </c>
      <c r="AG77" s="11" t="n">
        <v>3.38088450163777</v>
      </c>
      <c r="AH77" s="11" t="n">
        <v>3.40339079256802</v>
      </c>
      <c r="AI77" s="11" t="n">
        <v>3.42471439229466</v>
      </c>
      <c r="AJ77" s="11" t="n">
        <v>3.44489818051177</v>
      </c>
      <c r="AK77" s="11" t="n">
        <v>3.46398214607963</v>
      </c>
    </row>
    <row r="78" customFormat="false" ht="15" hidden="false" customHeight="false" outlineLevel="0" collapsed="false">
      <c r="A78" s="10" t="n">
        <v>-47</v>
      </c>
      <c r="B78" s="8" t="n">
        <v>41425</v>
      </c>
      <c r="C78" s="11" t="n">
        <v>1.75737469298458</v>
      </c>
      <c r="D78" s="11" t="n">
        <v>1.86635855739256</v>
      </c>
      <c r="E78" s="11" t="n">
        <v>1.97040172410726</v>
      </c>
      <c r="F78" s="11" t="n">
        <v>2.06941276294798</v>
      </c>
      <c r="G78" s="11" t="n">
        <v>2.16339710303921</v>
      </c>
      <c r="H78" s="11" t="n">
        <v>2.25242991942599</v>
      </c>
      <c r="I78" s="11" t="n">
        <v>2.33664022154548</v>
      </c>
      <c r="J78" s="11" t="n">
        <v>2.41619915009825</v>
      </c>
      <c r="K78" s="11" t="n">
        <v>2.49131114982901</v>
      </c>
      <c r="L78" s="11" t="n">
        <v>2.56220285183075</v>
      </c>
      <c r="M78" s="11" t="n">
        <v>2.62910476093203</v>
      </c>
      <c r="N78" s="11" t="n">
        <v>2.6922457021103</v>
      </c>
      <c r="O78" s="11" t="n">
        <v>2.75185304646069</v>
      </c>
      <c r="P78" s="11" t="n">
        <v>2.80815296186533</v>
      </c>
      <c r="Q78" s="11" t="n">
        <v>2.86136990524323</v>
      </c>
      <c r="R78" s="11" t="n">
        <v>2.91171838801916</v>
      </c>
      <c r="S78" s="11" t="n">
        <v>2.95939538331178</v>
      </c>
      <c r="T78" s="11" t="n">
        <v>3.00458051070075</v>
      </c>
      <c r="U78" s="11" t="n">
        <v>3.04743689296965</v>
      </c>
      <c r="V78" s="11" t="n">
        <v>3.08811334165795</v>
      </c>
      <c r="W78" s="11" t="n">
        <v>3.12674618950215</v>
      </c>
      <c r="X78" s="11" t="n">
        <v>3.16345900653776</v>
      </c>
      <c r="Y78" s="11" t="n">
        <v>3.19836210448013</v>
      </c>
      <c r="Z78" s="11" t="n">
        <v>3.2315540323153</v>
      </c>
      <c r="AA78" s="11" t="n">
        <v>3.2631233314684</v>
      </c>
      <c r="AB78" s="11" t="n">
        <v>3.29315006568385</v>
      </c>
      <c r="AC78" s="11" t="n">
        <v>3.32170686190911</v>
      </c>
      <c r="AD78" s="11" t="n">
        <v>3.3488597761829</v>
      </c>
      <c r="AE78" s="11" t="n">
        <v>3.37466915785785</v>
      </c>
      <c r="AF78" s="11" t="n">
        <v>3.39919067769613</v>
      </c>
      <c r="AG78" s="11" t="n">
        <v>3.42247597950955</v>
      </c>
      <c r="AH78" s="11" t="n">
        <v>3.44457302028585</v>
      </c>
      <c r="AI78" s="11" t="n">
        <v>3.46552615154613</v>
      </c>
      <c r="AJ78" s="11" t="n">
        <v>3.48537637717102</v>
      </c>
      <c r="AK78" s="11" t="n">
        <v>3.50416168630079</v>
      </c>
    </row>
    <row r="79" customFormat="false" ht="15" hidden="false" customHeight="false" outlineLevel="0" collapsed="false">
      <c r="A79" s="10" t="n">
        <v>-46</v>
      </c>
      <c r="B79" s="8" t="n">
        <v>41428</v>
      </c>
      <c r="C79" s="11" t="n">
        <v>1.74938937789836</v>
      </c>
      <c r="D79" s="11" t="n">
        <v>1.85818503079518</v>
      </c>
      <c r="E79" s="11" t="n">
        <v>1.96221291561187</v>
      </c>
      <c r="F79" s="11" t="n">
        <v>2.06139178889377</v>
      </c>
      <c r="G79" s="11" t="n">
        <v>2.15572701082434</v>
      </c>
      <c r="H79" s="11" t="n">
        <v>2.2452859095502</v>
      </c>
      <c r="I79" s="11" t="n">
        <v>2.33018363987664</v>
      </c>
      <c r="J79" s="11" t="n">
        <v>2.41057278616796</v>
      </c>
      <c r="K79" s="11" t="n">
        <v>2.48663551759507</v>
      </c>
      <c r="L79" s="11" t="n">
        <v>2.5585736160429</v>
      </c>
      <c r="M79" s="11" t="n">
        <v>2.62659208742436</v>
      </c>
      <c r="N79" s="11" t="n">
        <v>2.69089427468012</v>
      </c>
      <c r="O79" s="11" t="n">
        <v>2.75168209097079</v>
      </c>
      <c r="P79" s="11" t="n">
        <v>2.80915626619075</v>
      </c>
      <c r="Q79" s="11" t="n">
        <v>2.86351593570347</v>
      </c>
      <c r="R79" s="11" t="n">
        <v>2.91495170477668</v>
      </c>
      <c r="S79" s="11" t="n">
        <v>2.9636393834439</v>
      </c>
      <c r="T79" s="11" t="n">
        <v>3.00974068642446</v>
      </c>
      <c r="U79" s="11" t="n">
        <v>3.0534044501007</v>
      </c>
      <c r="V79" s="11" t="n">
        <v>3.0947683872162</v>
      </c>
      <c r="W79" s="11" t="n">
        <v>3.13396054100414</v>
      </c>
      <c r="X79" s="11" t="n">
        <v>3.17109945805216</v>
      </c>
      <c r="Y79" s="11" t="n">
        <v>3.20629420110512</v>
      </c>
      <c r="Z79" s="11" t="n">
        <v>3.2396454331834</v>
      </c>
      <c r="AA79" s="11" t="n">
        <v>3.27124641171043</v>
      </c>
      <c r="AB79" s="11" t="n">
        <v>3.30118383169189</v>
      </c>
      <c r="AC79" s="11" t="n">
        <v>3.32953860092217</v>
      </c>
      <c r="AD79" s="11" t="n">
        <v>3.35638651259796</v>
      </c>
      <c r="AE79" s="11" t="n">
        <v>3.38179879498934</v>
      </c>
      <c r="AF79" s="11" t="n">
        <v>3.40584251429399</v>
      </c>
      <c r="AG79" s="11" t="n">
        <v>3.42858098660791</v>
      </c>
      <c r="AH79" s="11" t="n">
        <v>3.45007390658015</v>
      </c>
      <c r="AI79" s="11" t="n">
        <v>3.47037683666087</v>
      </c>
      <c r="AJ79" s="11" t="n">
        <v>3.48954130983251</v>
      </c>
      <c r="AK79" s="11" t="n">
        <v>3.50761522730564</v>
      </c>
    </row>
    <row r="80" customFormat="false" ht="15" hidden="false" customHeight="false" outlineLevel="0" collapsed="false">
      <c r="A80" s="10" t="n">
        <v>-45</v>
      </c>
      <c r="B80" s="8" t="n">
        <v>41429</v>
      </c>
      <c r="C80" s="11" t="n">
        <v>1.79505003215299</v>
      </c>
      <c r="D80" s="11" t="n">
        <v>1.90441016439612</v>
      </c>
      <c r="E80" s="11" t="n">
        <v>2.00887918759011</v>
      </c>
      <c r="F80" s="11" t="n">
        <v>2.10838202819516</v>
      </c>
      <c r="G80" s="11" t="n">
        <v>2.20292804519895</v>
      </c>
      <c r="H80" s="11" t="n">
        <v>2.29258799076123</v>
      </c>
      <c r="I80" s="11" t="n">
        <v>2.37748001669462</v>
      </c>
      <c r="J80" s="11" t="n">
        <v>2.45775937019226</v>
      </c>
      <c r="K80" s="11" t="n">
        <v>2.53361062174058</v>
      </c>
      <c r="L80" s="11" t="n">
        <v>2.60523813205009</v>
      </c>
      <c r="M80" s="11" t="n">
        <v>2.67285097763257</v>
      </c>
      <c r="N80" s="11" t="n">
        <v>2.7366582939439</v>
      </c>
      <c r="O80" s="11" t="n">
        <v>2.7968692102467</v>
      </c>
      <c r="P80" s="11" t="n">
        <v>2.85369285067808</v>
      </c>
      <c r="Q80" s="11" t="n">
        <v>2.90733775689275</v>
      </c>
      <c r="R80" s="11" t="n">
        <v>2.95800525736118</v>
      </c>
      <c r="S80" s="11" t="n">
        <v>3.00588348982486</v>
      </c>
      <c r="T80" s="11" t="n">
        <v>3.05114698530471</v>
      </c>
      <c r="U80" s="11" t="n">
        <v>3.0939568379497</v>
      </c>
      <c r="V80" s="11" t="n">
        <v>3.13446244541099</v>
      </c>
      <c r="W80" s="11" t="n">
        <v>3.17280298447305</v>
      </c>
      <c r="X80" s="11" t="n">
        <v>3.20910696393205</v>
      </c>
      <c r="Y80" s="11" t="n">
        <v>3.24349165767606</v>
      </c>
      <c r="Z80" s="11" t="n">
        <v>3.27606433565503</v>
      </c>
      <c r="AA80" s="11" t="n">
        <v>3.30692339582981</v>
      </c>
      <c r="AB80" s="11" t="n">
        <v>3.33615932037663</v>
      </c>
      <c r="AC80" s="11" t="n">
        <v>3.36385560558081</v>
      </c>
      <c r="AD80" s="11" t="n">
        <v>3.39008957379459</v>
      </c>
      <c r="AE80" s="11" t="n">
        <v>3.41493304101832</v>
      </c>
      <c r="AF80" s="11" t="n">
        <v>3.43845281762734</v>
      </c>
      <c r="AG80" s="11" t="n">
        <v>3.46071121061452</v>
      </c>
      <c r="AH80" s="11" t="n">
        <v>3.48176628976442</v>
      </c>
      <c r="AI80" s="11" t="n">
        <v>3.5016716389886</v>
      </c>
      <c r="AJ80" s="11" t="n">
        <v>3.52047656932351</v>
      </c>
      <c r="AK80" s="11" t="n">
        <v>3.53822654230102</v>
      </c>
    </row>
    <row r="81" customFormat="false" ht="15" hidden="false" customHeight="false" outlineLevel="0" collapsed="false">
      <c r="A81" s="10" t="n">
        <v>-44</v>
      </c>
      <c r="B81" s="8" t="n">
        <v>41430</v>
      </c>
      <c r="C81" s="11" t="n">
        <v>1.76894895715784</v>
      </c>
      <c r="D81" s="11" t="n">
        <v>1.87800126961945</v>
      </c>
      <c r="E81" s="11" t="n">
        <v>1.98221602715274</v>
      </c>
      <c r="F81" s="11" t="n">
        <v>2.08152560324738</v>
      </c>
      <c r="G81" s="11" t="n">
        <v>2.1759446141768</v>
      </c>
      <c r="H81" s="11" t="n">
        <v>2.26554713313472</v>
      </c>
      <c r="I81" s="11" t="n">
        <v>2.35045313453653</v>
      </c>
      <c r="J81" s="11" t="n">
        <v>2.43081851549283</v>
      </c>
      <c r="K81" s="11" t="n">
        <v>2.50682756255425</v>
      </c>
      <c r="L81" s="11" t="n">
        <v>2.57868328028836</v>
      </c>
      <c r="M81" s="11" t="n">
        <v>2.64659168006781</v>
      </c>
      <c r="N81" s="11" t="n">
        <v>2.71075720760086</v>
      </c>
      <c r="O81" s="11" t="n">
        <v>2.77138296625058</v>
      </c>
      <c r="P81" s="11" t="n">
        <v>2.82867094847374</v>
      </c>
      <c r="Q81" s="11" t="n">
        <v>2.88282161739589</v>
      </c>
      <c r="R81" s="11" t="n">
        <v>2.93402724674438</v>
      </c>
      <c r="S81" s="11" t="n">
        <v>2.98246604361865</v>
      </c>
      <c r="T81" s="11" t="n">
        <v>3.02830249128135</v>
      </c>
      <c r="U81" s="11" t="n">
        <v>3.07168820629501</v>
      </c>
      <c r="V81" s="11" t="n">
        <v>3.11276366477383</v>
      </c>
      <c r="W81" s="11" t="n">
        <v>3.15165964112217</v>
      </c>
      <c r="X81" s="11" t="n">
        <v>3.18849720777957</v>
      </c>
      <c r="Y81" s="11" t="n">
        <v>3.22338761524376</v>
      </c>
      <c r="Z81" s="11" t="n">
        <v>3.25643340311823</v>
      </c>
      <c r="AA81" s="11" t="n">
        <v>3.28772938320579</v>
      </c>
      <c r="AB81" s="11" t="n">
        <v>3.31736347106164</v>
      </c>
      <c r="AC81" s="11" t="n">
        <v>3.34541749615906</v>
      </c>
      <c r="AD81" s="11" t="n">
        <v>3.37196790913555</v>
      </c>
      <c r="AE81" s="11" t="n">
        <v>3.3970863525148</v>
      </c>
      <c r="AF81" s="11" t="n">
        <v>3.42084006428279</v>
      </c>
      <c r="AG81" s="11" t="n">
        <v>3.44329230788493</v>
      </c>
      <c r="AH81" s="11" t="n">
        <v>3.46450254222893</v>
      </c>
      <c r="AI81" s="11" t="n">
        <v>3.48452600893779</v>
      </c>
      <c r="AJ81" s="11" t="n">
        <v>3.50341387930674</v>
      </c>
      <c r="AK81" s="11" t="n">
        <v>3.52121365692901</v>
      </c>
    </row>
    <row r="82" customFormat="false" ht="15" hidden="false" customHeight="false" outlineLevel="0" collapsed="false">
      <c r="A82" s="10" t="n">
        <v>-43</v>
      </c>
      <c r="B82" s="8" t="n">
        <v>41431</v>
      </c>
      <c r="C82" s="11" t="n">
        <v>1.79057722800919</v>
      </c>
      <c r="D82" s="11" t="n">
        <v>1.89940514144319</v>
      </c>
      <c r="E82" s="11" t="n">
        <v>2.00328924435701</v>
      </c>
      <c r="F82" s="11" t="n">
        <v>2.10215552187778</v>
      </c>
      <c r="G82" s="11" t="n">
        <v>2.19601356808253</v>
      </c>
      <c r="H82" s="11" t="n">
        <v>2.28493579440067</v>
      </c>
      <c r="I82" s="11" t="n">
        <v>2.36904314218942</v>
      </c>
      <c r="J82" s="11" t="n">
        <v>2.44849453274947</v>
      </c>
      <c r="K82" s="11" t="n">
        <v>2.52347890886117</v>
      </c>
      <c r="L82" s="11" t="n">
        <v>2.59420562892779</v>
      </c>
      <c r="M82" s="11" t="n">
        <v>2.66088975648992</v>
      </c>
      <c r="N82" s="11" t="n">
        <v>2.72374747297209</v>
      </c>
      <c r="O82" s="11" t="n">
        <v>2.78299583005777</v>
      </c>
      <c r="P82" s="11" t="n">
        <v>2.83885259964467</v>
      </c>
      <c r="Q82" s="11" t="n">
        <v>2.89153547246682</v>
      </c>
      <c r="R82" s="11" t="n">
        <v>2.94125439953484</v>
      </c>
      <c r="S82" s="11" t="n">
        <v>2.98820488596135</v>
      </c>
      <c r="T82" s="11" t="n">
        <v>3.03256755389868</v>
      </c>
      <c r="U82" s="11" t="n">
        <v>3.07450838136704</v>
      </c>
      <c r="V82" s="11" t="n">
        <v>3.11418060936731</v>
      </c>
      <c r="W82" s="11" t="n">
        <v>3.15172633389916</v>
      </c>
      <c r="X82" s="11" t="n">
        <v>3.18727590828251</v>
      </c>
      <c r="Y82" s="11" t="n">
        <v>3.22094727433267</v>
      </c>
      <c r="Z82" s="11" t="n">
        <v>3.25284734102956</v>
      </c>
      <c r="AA82" s="11" t="n">
        <v>3.28307341869274</v>
      </c>
      <c r="AB82" s="11" t="n">
        <v>3.31171444658683</v>
      </c>
      <c r="AC82" s="11" t="n">
        <v>3.33885199495394</v>
      </c>
      <c r="AD82" s="11" t="n">
        <v>3.36456112190124</v>
      </c>
      <c r="AE82" s="11" t="n">
        <v>3.38891111560196</v>
      </c>
      <c r="AF82" s="11" t="n">
        <v>3.41196614235922</v>
      </c>
      <c r="AG82" s="11" t="n">
        <v>3.43378580368421</v>
      </c>
      <c r="AH82" s="11" t="n">
        <v>3.45442543993231</v>
      </c>
      <c r="AI82" s="11" t="n">
        <v>3.47393599746882</v>
      </c>
      <c r="AJ82" s="11" t="n">
        <v>3.49236427756154</v>
      </c>
      <c r="AK82" s="11" t="n">
        <v>3.5097533478772</v>
      </c>
    </row>
    <row r="83" customFormat="false" ht="15" hidden="false" customHeight="false" outlineLevel="0" collapsed="false">
      <c r="A83" s="10" t="n">
        <v>-42</v>
      </c>
      <c r="B83" s="8" t="n">
        <v>41432</v>
      </c>
      <c r="C83" s="11" t="n">
        <v>1.83241492124894</v>
      </c>
      <c r="D83" s="11" t="n">
        <v>1.94016637521548</v>
      </c>
      <c r="E83" s="11" t="n">
        <v>2.04294741713282</v>
      </c>
      <c r="F83" s="11" t="n">
        <v>2.14069937149156</v>
      </c>
      <c r="G83" s="11" t="n">
        <v>2.23344212035828</v>
      </c>
      <c r="H83" s="11" t="n">
        <v>2.3212547810204</v>
      </c>
      <c r="I83" s="11" t="n">
        <v>2.40426223646814</v>
      </c>
      <c r="J83" s="11" t="n">
        <v>2.48262518632865</v>
      </c>
      <c r="K83" s="11" t="n">
        <v>2.55653263896396</v>
      </c>
      <c r="L83" s="11" t="n">
        <v>2.62619296337268</v>
      </c>
      <c r="M83" s="11" t="n">
        <v>2.69182069349354</v>
      </c>
      <c r="N83" s="11" t="n">
        <v>2.75363240100285</v>
      </c>
      <c r="O83" s="11" t="n">
        <v>2.81184629443103</v>
      </c>
      <c r="P83" s="11" t="n">
        <v>2.86668193694642</v>
      </c>
      <c r="Q83" s="11" t="n">
        <v>2.91835931436257</v>
      </c>
      <c r="R83" s="11" t="n">
        <v>2.96709118894087</v>
      </c>
      <c r="S83" s="11" t="n">
        <v>3.01307661978368</v>
      </c>
      <c r="T83" s="11" t="n">
        <v>3.05649994582821</v>
      </c>
      <c r="U83" s="11" t="n">
        <v>3.09753054245649</v>
      </c>
      <c r="V83" s="11" t="n">
        <v>3.1363247413473</v>
      </c>
      <c r="W83" s="11" t="n">
        <v>3.17302741911373</v>
      </c>
      <c r="X83" s="11" t="n">
        <v>3.20777102095636</v>
      </c>
      <c r="Y83" s="11" t="n">
        <v>3.2406746334503</v>
      </c>
      <c r="Z83" s="11" t="n">
        <v>3.27184547051418</v>
      </c>
      <c r="AA83" s="11" t="n">
        <v>3.30138050472194</v>
      </c>
      <c r="AB83" s="11" t="n">
        <v>3.32936786336187</v>
      </c>
      <c r="AC83" s="11" t="n">
        <v>3.35588789492399</v>
      </c>
      <c r="AD83" s="11" t="n">
        <v>3.38101407407245</v>
      </c>
      <c r="AE83" s="11" t="n">
        <v>3.40481382011991</v>
      </c>
      <c r="AF83" s="11" t="n">
        <v>3.42734928432387</v>
      </c>
      <c r="AG83" s="11" t="n">
        <v>3.44867795888224</v>
      </c>
      <c r="AH83" s="11" t="n">
        <v>3.46885301851839</v>
      </c>
      <c r="AI83" s="11" t="n">
        <v>3.48792329881262</v>
      </c>
      <c r="AJ83" s="11" t="n">
        <v>3.50593358197158</v>
      </c>
      <c r="AK83" s="11" t="n">
        <v>3.52292499999625</v>
      </c>
    </row>
    <row r="84" customFormat="false" ht="15" hidden="false" customHeight="false" outlineLevel="0" collapsed="false">
      <c r="A84" s="10" t="n">
        <v>-41</v>
      </c>
      <c r="B84" s="8" t="n">
        <v>41435</v>
      </c>
      <c r="C84" s="11" t="n">
        <v>1.89706098614212</v>
      </c>
      <c r="D84" s="11" t="n">
        <v>2.00552117401676</v>
      </c>
      <c r="E84" s="11" t="n">
        <v>2.10878185984685</v>
      </c>
      <c r="F84" s="11" t="n">
        <v>2.20680350769136</v>
      </c>
      <c r="G84" s="11" t="n">
        <v>2.2996267226712</v>
      </c>
      <c r="H84" s="11" t="n">
        <v>2.38735135484494</v>
      </c>
      <c r="I84" s="11" t="n">
        <v>2.47012301371946</v>
      </c>
      <c r="J84" s="11" t="n">
        <v>2.54812312054383</v>
      </c>
      <c r="K84" s="11" t="n">
        <v>2.62156139065287</v>
      </c>
      <c r="L84" s="11" t="n">
        <v>2.69066624270666</v>
      </c>
      <c r="M84" s="11" t="n">
        <v>2.7556700111534</v>
      </c>
      <c r="N84" s="11" t="n">
        <v>2.81680473855125</v>
      </c>
      <c r="O84" s="11" t="n">
        <v>2.87430218587487</v>
      </c>
      <c r="P84" s="11" t="n">
        <v>2.92839388106435</v>
      </c>
      <c r="Q84" s="11" t="n">
        <v>2.97931038750607</v>
      </c>
      <c r="R84" s="11" t="n">
        <v>3.02727332406588</v>
      </c>
      <c r="S84" s="11" t="n">
        <v>3.07248871550141</v>
      </c>
      <c r="T84" s="11" t="n">
        <v>3.11514638163796</v>
      </c>
      <c r="U84" s="11" t="n">
        <v>3.15542008601197</v>
      </c>
      <c r="V84" s="11" t="n">
        <v>3.19346963072209</v>
      </c>
      <c r="W84" s="11" t="n">
        <v>3.22944257235923</v>
      </c>
      <c r="X84" s="11" t="n">
        <v>3.26347339089355</v>
      </c>
      <c r="Y84" s="11" t="n">
        <v>3.29568271635519</v>
      </c>
      <c r="Z84" s="11" t="n">
        <v>3.32617889045387</v>
      </c>
      <c r="AA84" s="11" t="n">
        <v>3.35505967521817</v>
      </c>
      <c r="AB84" s="11" t="n">
        <v>3.3824137136154</v>
      </c>
      <c r="AC84" s="11" t="n">
        <v>3.40832163052006</v>
      </c>
      <c r="AD84" s="11" t="n">
        <v>3.43285696548436</v>
      </c>
      <c r="AE84" s="11" t="n">
        <v>3.45608701195834</v>
      </c>
      <c r="AF84" s="11" t="n">
        <v>3.47807361438355</v>
      </c>
      <c r="AG84" s="11" t="n">
        <v>3.4988737928067</v>
      </c>
      <c r="AH84" s="11" t="n">
        <v>3.51854012209499</v>
      </c>
      <c r="AI84" s="11" t="n">
        <v>3.53712079009315</v>
      </c>
      <c r="AJ84" s="11" t="n">
        <v>3.55465991212888</v>
      </c>
      <c r="AK84" s="11" t="n">
        <v>3.57119793648004</v>
      </c>
    </row>
    <row r="85" customFormat="false" ht="15" hidden="false" customHeight="false" outlineLevel="0" collapsed="false">
      <c r="A85" s="10" t="n">
        <v>-40</v>
      </c>
      <c r="B85" s="8" t="n">
        <v>41436</v>
      </c>
      <c r="C85" s="11" t="n">
        <v>1.95509829625449</v>
      </c>
      <c r="D85" s="11" t="n">
        <v>2.05711493996086</v>
      </c>
      <c r="E85" s="11" t="n">
        <v>2.15428265225774</v>
      </c>
      <c r="F85" s="11" t="n">
        <v>2.24662930159147</v>
      </c>
      <c r="G85" s="11" t="n">
        <v>2.33422856408387</v>
      </c>
      <c r="H85" s="11" t="n">
        <v>2.41719035250518</v>
      </c>
      <c r="I85" s="11" t="n">
        <v>2.4956525959084</v>
      </c>
      <c r="J85" s="11" t="n">
        <v>2.56977514913306</v>
      </c>
      <c r="K85" s="11" t="n">
        <v>2.63973519769192</v>
      </c>
      <c r="L85" s="11" t="n">
        <v>2.70572196460958</v>
      </c>
      <c r="M85" s="11" t="n">
        <v>2.76792926090809</v>
      </c>
      <c r="N85" s="11" t="n">
        <v>2.82655305832934</v>
      </c>
      <c r="O85" s="11" t="n">
        <v>2.8817910851463</v>
      </c>
      <c r="P85" s="11" t="n">
        <v>2.93384252331286</v>
      </c>
      <c r="Q85" s="11" t="n">
        <v>2.98290715460478</v>
      </c>
      <c r="R85" s="11" t="n">
        <v>3.02917890697253</v>
      </c>
      <c r="S85" s="11" t="n">
        <v>3.07284047398074</v>
      </c>
      <c r="T85" s="11" t="n">
        <v>3.11406188873845</v>
      </c>
      <c r="U85" s="11" t="n">
        <v>3.15299986985935</v>
      </c>
      <c r="V85" s="11" t="n">
        <v>3.18979950311684</v>
      </c>
      <c r="W85" s="11" t="n">
        <v>3.22459562463414</v>
      </c>
      <c r="X85" s="11" t="n">
        <v>3.25751165742438</v>
      </c>
      <c r="Y85" s="11" t="n">
        <v>3.28865858673386</v>
      </c>
      <c r="Z85" s="11" t="n">
        <v>3.31813635891035</v>
      </c>
      <c r="AA85" s="11" t="n">
        <v>3.34603562019804</v>
      </c>
      <c r="AB85" s="11" t="n">
        <v>3.3724392010747</v>
      </c>
      <c r="AC85" s="11" t="n">
        <v>3.39742307777644</v>
      </c>
      <c r="AD85" s="11" t="n">
        <v>3.42105717015075</v>
      </c>
      <c r="AE85" s="11" t="n">
        <v>3.44340609436972</v>
      </c>
      <c r="AF85" s="11" t="n">
        <v>3.46452994487542</v>
      </c>
      <c r="AG85" s="11" t="n">
        <v>3.48448484584141</v>
      </c>
      <c r="AH85" s="11" t="n">
        <v>3.50332315699078</v>
      </c>
      <c r="AI85" s="11" t="n">
        <v>3.5210932195253</v>
      </c>
      <c r="AJ85" s="11" t="n">
        <v>3.53783955634456</v>
      </c>
      <c r="AK85" s="11" t="n">
        <v>3.5536032511493</v>
      </c>
    </row>
    <row r="86" customFormat="false" ht="15" hidden="false" customHeight="false" outlineLevel="0" collapsed="false">
      <c r="A86" s="10" t="n">
        <v>-39</v>
      </c>
      <c r="B86" s="8" t="n">
        <v>41437</v>
      </c>
      <c r="C86" s="11" t="n">
        <v>1.92977788506717</v>
      </c>
      <c r="D86" s="11" t="n">
        <v>2.03371691158603</v>
      </c>
      <c r="E86" s="11" t="n">
        <v>2.13247611059694</v>
      </c>
      <c r="F86" s="11" t="n">
        <v>2.22611774306328</v>
      </c>
      <c r="G86" s="11" t="n">
        <v>2.31475906750868</v>
      </c>
      <c r="H86" s="11" t="n">
        <v>2.39855395339184</v>
      </c>
      <c r="I86" s="11" t="n">
        <v>2.47768450301875</v>
      </c>
      <c r="J86" s="11" t="n">
        <v>2.55235491396725</v>
      </c>
      <c r="K86" s="11" t="n">
        <v>2.62278680244898</v>
      </c>
      <c r="L86" s="11" t="n">
        <v>2.68921093814361</v>
      </c>
      <c r="M86" s="11" t="n">
        <v>2.75185221482879</v>
      </c>
      <c r="N86" s="11" t="n">
        <v>2.81092671318937</v>
      </c>
      <c r="O86" s="11" t="n">
        <v>2.86664322927116</v>
      </c>
      <c r="P86" s="11" t="n">
        <v>2.91920453045318</v>
      </c>
      <c r="Q86" s="11" t="n">
        <v>2.96880765764532</v>
      </c>
      <c r="R86" s="11" t="n">
        <v>3.01563766088352</v>
      </c>
      <c r="S86" s="11" t="n">
        <v>3.05986268479578</v>
      </c>
      <c r="T86" s="11" t="n">
        <v>3.10163564781401</v>
      </c>
      <c r="U86" s="11" t="n">
        <v>3.14109618597178</v>
      </c>
      <c r="V86" s="11" t="n">
        <v>3.17837252492486</v>
      </c>
      <c r="W86" s="11" t="n">
        <v>3.21358301593003</v>
      </c>
      <c r="X86" s="11" t="n">
        <v>3.24683694379316</v>
      </c>
      <c r="Y86" s="11" t="n">
        <v>3.27823520417341</v>
      </c>
      <c r="Z86" s="11" t="n">
        <v>3.30787136667206</v>
      </c>
      <c r="AA86" s="11" t="n">
        <v>3.33583294523489</v>
      </c>
      <c r="AB86" s="11" t="n">
        <v>3.36220247853037</v>
      </c>
      <c r="AC86" s="11" t="n">
        <v>3.38705815210426</v>
      </c>
      <c r="AD86" s="11" t="n">
        <v>3.41047430423107</v>
      </c>
      <c r="AE86" s="11" t="n">
        <v>3.43252183910392</v>
      </c>
      <c r="AF86" s="11" t="n">
        <v>3.45326853760646</v>
      </c>
      <c r="AG86" s="11" t="n">
        <v>3.47277936732218</v>
      </c>
      <c r="AH86" s="11" t="n">
        <v>3.49111629683394</v>
      </c>
      <c r="AI86" s="11" t="n">
        <v>3.50833718543042</v>
      </c>
      <c r="AJ86" s="11" t="n">
        <v>3.52449574627454</v>
      </c>
      <c r="AK86" s="11" t="n">
        <v>3.53964195527062</v>
      </c>
    </row>
    <row r="87" customFormat="false" ht="15" hidden="false" customHeight="false" outlineLevel="0" collapsed="false">
      <c r="A87" s="10" t="n">
        <v>-38</v>
      </c>
      <c r="B87" s="8" t="n">
        <v>41438</v>
      </c>
      <c r="C87" s="11" t="n">
        <v>1.89484857038177</v>
      </c>
      <c r="D87" s="11" t="n">
        <v>1.9989450383819</v>
      </c>
      <c r="E87" s="11" t="n">
        <v>2.09814348463414</v>
      </c>
      <c r="F87" s="11" t="n">
        <v>2.19248233086046</v>
      </c>
      <c r="G87" s="11" t="n">
        <v>2.28205343303384</v>
      </c>
      <c r="H87" s="11" t="n">
        <v>2.3669844498152</v>
      </c>
      <c r="I87" s="11" t="n">
        <v>2.44743065402059</v>
      </c>
      <c r="J87" s="11" t="n">
        <v>2.52356892954404</v>
      </c>
      <c r="K87" s="11" t="n">
        <v>2.59559320286317</v>
      </c>
      <c r="L87" s="11" t="n">
        <v>2.66370685176457</v>
      </c>
      <c r="M87" s="11" t="n">
        <v>2.72810942541513</v>
      </c>
      <c r="N87" s="11" t="n">
        <v>2.78899392031705</v>
      </c>
      <c r="O87" s="11" t="n">
        <v>2.84654791303247</v>
      </c>
      <c r="P87" s="11" t="n">
        <v>2.90095449465588</v>
      </c>
      <c r="Q87" s="11" t="n">
        <v>2.95239239500562</v>
      </c>
      <c r="R87" s="11" t="n">
        <v>3.00103040817126</v>
      </c>
      <c r="S87" s="11" t="n">
        <v>3.0470231103672</v>
      </c>
      <c r="T87" s="11" t="n">
        <v>3.09051250626538</v>
      </c>
      <c r="U87" s="11" t="n">
        <v>3.13162985722395</v>
      </c>
      <c r="V87" s="11" t="n">
        <v>3.17049721430474</v>
      </c>
      <c r="W87" s="11" t="n">
        <v>3.20722866909925</v>
      </c>
      <c r="X87" s="11" t="n">
        <v>3.24193112798085</v>
      </c>
      <c r="Y87" s="11" t="n">
        <v>3.27470496585526</v>
      </c>
      <c r="Z87" s="11" t="n">
        <v>3.30564483116127</v>
      </c>
      <c r="AA87" s="11" t="n">
        <v>3.33484029169129</v>
      </c>
      <c r="AB87" s="11" t="n">
        <v>3.36237638751492</v>
      </c>
      <c r="AC87" s="11" t="n">
        <v>3.38833416426335</v>
      </c>
      <c r="AD87" s="11" t="n">
        <v>3.41279113615209</v>
      </c>
      <c r="AE87" s="11" t="n">
        <v>3.43582158388129</v>
      </c>
      <c r="AF87" s="11" t="n">
        <v>3.45749661276695</v>
      </c>
      <c r="AG87" s="11" t="n">
        <v>3.47788439481228</v>
      </c>
      <c r="AH87" s="11" t="n">
        <v>3.49704996747626</v>
      </c>
      <c r="AI87" s="11" t="n">
        <v>3.5150540759761</v>
      </c>
      <c r="AJ87" s="11" t="n">
        <v>3.5319531414117</v>
      </c>
      <c r="AK87" s="11" t="n">
        <v>3.54779968744359</v>
      </c>
    </row>
    <row r="88" customFormat="false" ht="15" hidden="false" customHeight="false" outlineLevel="0" collapsed="false">
      <c r="A88" s="10" t="n">
        <v>-37</v>
      </c>
      <c r="B88" s="8" t="n">
        <v>41439</v>
      </c>
      <c r="C88" s="11" t="n">
        <v>1.83631468630256</v>
      </c>
      <c r="D88" s="11" t="n">
        <v>1.94018589659584</v>
      </c>
      <c r="E88" s="11" t="n">
        <v>2.03947434871179</v>
      </c>
      <c r="F88" s="11" t="n">
        <v>2.13420068095857</v>
      </c>
      <c r="G88" s="11" t="n">
        <v>2.22443436549026</v>
      </c>
      <c r="H88" s="11" t="n">
        <v>2.31027680978107</v>
      </c>
      <c r="I88" s="11" t="n">
        <v>2.39185404851077</v>
      </c>
      <c r="J88" s="11" t="n">
        <v>2.46931138982435</v>
      </c>
      <c r="K88" s="11" t="n">
        <v>2.54280934091007</v>
      </c>
      <c r="L88" s="11" t="n">
        <v>2.61251714211978</v>
      </c>
      <c r="M88" s="11" t="n">
        <v>2.6786020458345</v>
      </c>
      <c r="N88" s="11" t="n">
        <v>2.74122707887783</v>
      </c>
      <c r="O88" s="11" t="n">
        <v>2.80055177143682</v>
      </c>
      <c r="P88" s="11" t="n">
        <v>2.85673275992967</v>
      </c>
      <c r="Q88" s="11" t="n">
        <v>2.90992382190621</v>
      </c>
      <c r="R88" s="11" t="n">
        <v>2.96027203887208</v>
      </c>
      <c r="S88" s="11" t="n">
        <v>3.00791497533027</v>
      </c>
      <c r="T88" s="11" t="n">
        <v>3.05298167253462</v>
      </c>
      <c r="U88" s="11" t="n">
        <v>3.09559377251989</v>
      </c>
      <c r="V88" s="11" t="n">
        <v>3.13586656467417</v>
      </c>
      <c r="W88" s="11" t="n">
        <v>3.17390986343386</v>
      </c>
      <c r="X88" s="11" t="n">
        <v>3.20982870139401</v>
      </c>
      <c r="Y88" s="11" t="n">
        <v>3.24372391484539</v>
      </c>
      <c r="Z88" s="11" t="n">
        <v>3.27569263021721</v>
      </c>
      <c r="AA88" s="11" t="n">
        <v>3.30582825324948</v>
      </c>
      <c r="AB88" s="11" t="n">
        <v>3.33422048661329</v>
      </c>
      <c r="AC88" s="11" t="n">
        <v>3.36095573503799</v>
      </c>
      <c r="AD88" s="11" t="n">
        <v>3.38611748516216</v>
      </c>
      <c r="AE88" s="11" t="n">
        <v>3.40978640009871</v>
      </c>
      <c r="AF88" s="11" t="n">
        <v>3.43203996844731</v>
      </c>
      <c r="AG88" s="11" t="n">
        <v>3.45295263635541</v>
      </c>
      <c r="AH88" s="11" t="n">
        <v>3.47259552013146</v>
      </c>
      <c r="AI88" s="11" t="n">
        <v>3.49103505427003</v>
      </c>
      <c r="AJ88" s="11" t="n">
        <v>3.50833295159076</v>
      </c>
      <c r="AK88" s="11" t="n">
        <v>3.52454666967615</v>
      </c>
    </row>
    <row r="89" customFormat="false" ht="15" hidden="false" customHeight="false" outlineLevel="0" collapsed="false">
      <c r="A89" s="10" t="n">
        <v>-36</v>
      </c>
      <c r="B89" s="8" t="n">
        <v>41442</v>
      </c>
      <c r="C89" s="11" t="n">
        <v>1.85102582499853</v>
      </c>
      <c r="D89" s="11" t="n">
        <v>1.95503421932281</v>
      </c>
      <c r="E89" s="11" t="n">
        <v>2.0544800976193</v>
      </c>
      <c r="F89" s="11" t="n">
        <v>2.14939679947513</v>
      </c>
      <c r="G89" s="11" t="n">
        <v>2.23986403500561</v>
      </c>
      <c r="H89" s="11" t="n">
        <v>2.32599105524393</v>
      </c>
      <c r="I89" s="11" t="n">
        <v>2.40790988517453</v>
      </c>
      <c r="J89" s="11" t="n">
        <v>2.48577037287424</v>
      </c>
      <c r="K89" s="11" t="n">
        <v>2.55973641133712</v>
      </c>
      <c r="L89" s="11" t="n">
        <v>2.62997946547533</v>
      </c>
      <c r="M89" s="11" t="n">
        <v>2.69666756661792</v>
      </c>
      <c r="N89" s="11" t="n">
        <v>2.75996323155961</v>
      </c>
      <c r="O89" s="11" t="n">
        <v>2.82002442147721</v>
      </c>
      <c r="P89" s="11" t="n">
        <v>2.87700532737979</v>
      </c>
      <c r="Q89" s="11" t="n">
        <v>2.93105654342072</v>
      </c>
      <c r="R89" s="11" t="n">
        <v>2.98232134290405</v>
      </c>
      <c r="S89" s="11" t="n">
        <v>3.03093300506562</v>
      </c>
      <c r="T89" s="11" t="n">
        <v>3.07701598305276</v>
      </c>
      <c r="U89" s="11" t="n">
        <v>3.12068715827706</v>
      </c>
      <c r="V89" s="11" t="n">
        <v>3.16205691862342</v>
      </c>
      <c r="W89" s="11" t="n">
        <v>3.20123006442919</v>
      </c>
      <c r="X89" s="11" t="n">
        <v>3.23830660442691</v>
      </c>
      <c r="Y89" s="11" t="n">
        <v>3.27338242392767</v>
      </c>
      <c r="Z89" s="11" t="n">
        <v>3.30654975857014</v>
      </c>
      <c r="AA89" s="11" t="n">
        <v>3.33789708469605</v>
      </c>
      <c r="AB89" s="11" t="n">
        <v>3.36750906397755</v>
      </c>
      <c r="AC89" s="11" t="n">
        <v>3.39546695614513</v>
      </c>
      <c r="AD89" s="11" t="n">
        <v>3.42184901090559</v>
      </c>
      <c r="AE89" s="11" t="n">
        <v>3.44673057816692</v>
      </c>
      <c r="AF89" s="11" t="n">
        <v>3.4701837882747</v>
      </c>
      <c r="AG89" s="11" t="n">
        <v>3.49227770021047</v>
      </c>
      <c r="AH89" s="11" t="n">
        <v>3.51307814599783</v>
      </c>
      <c r="AI89" s="11" t="n">
        <v>3.53264674346517</v>
      </c>
      <c r="AJ89" s="11" t="n">
        <v>3.55104092819426</v>
      </c>
      <c r="AK89" s="11" t="n">
        <v>3.56831436748296</v>
      </c>
    </row>
    <row r="90" customFormat="false" ht="15" hidden="false" customHeight="false" outlineLevel="0" collapsed="false">
      <c r="A90" s="10" t="n">
        <v>-35</v>
      </c>
      <c r="B90" s="8" t="n">
        <v>41443</v>
      </c>
      <c r="C90" s="11" t="n">
        <v>1.91009135198073</v>
      </c>
      <c r="D90" s="11" t="n">
        <v>2.01445126365157</v>
      </c>
      <c r="E90" s="11" t="n">
        <v>2.11393374067721</v>
      </c>
      <c r="F90" s="11" t="n">
        <v>2.20858184137215</v>
      </c>
      <c r="G90" s="11" t="n">
        <v>2.29848853013702</v>
      </c>
      <c r="H90" s="11" t="n">
        <v>2.38377959493501</v>
      </c>
      <c r="I90" s="11" t="n">
        <v>2.46460614129122</v>
      </c>
      <c r="J90" s="11" t="n">
        <v>2.54113908847489</v>
      </c>
      <c r="K90" s="11" t="n">
        <v>2.61356497598309</v>
      </c>
      <c r="L90" s="11" t="n">
        <v>2.68207924215179</v>
      </c>
      <c r="M90" s="11" t="n">
        <v>2.74687525367916</v>
      </c>
      <c r="N90" s="11" t="n">
        <v>2.8081420888222</v>
      </c>
      <c r="O90" s="11" t="n">
        <v>2.86606527933087</v>
      </c>
      <c r="P90" s="11" t="n">
        <v>2.92082742191275</v>
      </c>
      <c r="Q90" s="11" t="n">
        <v>2.97260815939951</v>
      </c>
      <c r="R90" s="11" t="n">
        <v>3.02157992633188</v>
      </c>
      <c r="S90" s="11" t="n">
        <v>3.06790476022607</v>
      </c>
      <c r="T90" s="11" t="n">
        <v>3.11173390185455</v>
      </c>
      <c r="U90" s="11" t="n">
        <v>3.15320791271193</v>
      </c>
      <c r="V90" s="11" t="n">
        <v>3.19245808559171</v>
      </c>
      <c r="W90" s="11" t="n">
        <v>3.22960759212118</v>
      </c>
      <c r="X90" s="11" t="n">
        <v>3.26477120869495</v>
      </c>
      <c r="Y90" s="11" t="n">
        <v>3.29805517066312</v>
      </c>
      <c r="Z90" s="11" t="n">
        <v>3.32955813658152</v>
      </c>
      <c r="AA90" s="11" t="n">
        <v>3.35937185320414</v>
      </c>
      <c r="AB90" s="11" t="n">
        <v>3.38758174525353</v>
      </c>
      <c r="AC90" s="11" t="n">
        <v>3.41426764797824</v>
      </c>
      <c r="AD90" s="11" t="n">
        <v>3.43950445506284</v>
      </c>
      <c r="AE90" s="11" t="n">
        <v>3.46336255522407</v>
      </c>
      <c r="AF90" s="11" t="n">
        <v>3.48590799108631</v>
      </c>
      <c r="AG90" s="11" t="n">
        <v>3.50720282415196</v>
      </c>
      <c r="AH90" s="11" t="n">
        <v>3.52730522587439</v>
      </c>
      <c r="AI90" s="11" t="n">
        <v>3.54626898106919</v>
      </c>
      <c r="AJ90" s="11" t="n">
        <v>3.56414366772874</v>
      </c>
      <c r="AK90" s="11" t="n">
        <v>3.58097507493273</v>
      </c>
    </row>
    <row r="91" customFormat="false" ht="15" hidden="false" customHeight="false" outlineLevel="0" collapsed="false">
      <c r="A91" s="10" t="n">
        <v>-34</v>
      </c>
      <c r="B91" s="8" t="n">
        <v>41444</v>
      </c>
      <c r="C91" s="11" t="n">
        <v>1.90059997277472</v>
      </c>
      <c r="D91" s="11" t="n">
        <v>2.00384865522403</v>
      </c>
      <c r="E91" s="11" t="n">
        <v>2.1022332606821</v>
      </c>
      <c r="F91" s="11" t="n">
        <v>2.19581372119788</v>
      </c>
      <c r="G91" s="11" t="n">
        <v>2.28469517105448</v>
      </c>
      <c r="H91" s="11" t="n">
        <v>2.36901257900393</v>
      </c>
      <c r="I91" s="11" t="n">
        <v>2.44892392837566</v>
      </c>
      <c r="J91" s="11" t="n">
        <v>2.52460521390754</v>
      </c>
      <c r="K91" s="11" t="n">
        <v>2.59624661839239</v>
      </c>
      <c r="L91" s="11" t="n">
        <v>2.66404589178346</v>
      </c>
      <c r="M91" s="11" t="n">
        <v>2.72819727897287</v>
      </c>
      <c r="N91" s="11" t="n">
        <v>2.78888950266105</v>
      </c>
      <c r="O91" s="11" t="n">
        <v>2.84630672586022</v>
      </c>
      <c r="P91" s="11" t="n">
        <v>2.90062933804381</v>
      </c>
      <c r="Q91" s="11" t="n">
        <v>2.95203397872091</v>
      </c>
      <c r="R91" s="11" t="n">
        <v>3.00068859172724</v>
      </c>
      <c r="S91" s="11" t="n">
        <v>3.04674888310083</v>
      </c>
      <c r="T91" s="11" t="n">
        <v>3.09035887031084</v>
      </c>
      <c r="U91" s="11" t="n">
        <v>3.13165177500258</v>
      </c>
      <c r="V91" s="11" t="n">
        <v>3.17075150167094</v>
      </c>
      <c r="W91" s="11" t="n">
        <v>3.20777383587261</v>
      </c>
      <c r="X91" s="11" t="n">
        <v>3.24282661566552</v>
      </c>
      <c r="Y91" s="11" t="n">
        <v>3.27600994336604</v>
      </c>
      <c r="Z91" s="11" t="n">
        <v>3.30741709703834</v>
      </c>
      <c r="AA91" s="11" t="n">
        <v>3.33713525352295</v>
      </c>
      <c r="AB91" s="11" t="n">
        <v>3.36524611722369</v>
      </c>
      <c r="AC91" s="11" t="n">
        <v>3.39182656259977</v>
      </c>
      <c r="AD91" s="11" t="n">
        <v>3.41694919432193</v>
      </c>
      <c r="AE91" s="11" t="n">
        <v>3.44068274478839</v>
      </c>
      <c r="AF91" s="11" t="n">
        <v>3.463092267576</v>
      </c>
      <c r="AG91" s="11" t="n">
        <v>3.48423946099183</v>
      </c>
      <c r="AH91" s="11" t="n">
        <v>3.50418263761384</v>
      </c>
      <c r="AI91" s="11" t="n">
        <v>3.52297603774501</v>
      </c>
      <c r="AJ91" s="11" t="n">
        <v>3.54066994028441</v>
      </c>
      <c r="AK91" s="11" t="n">
        <v>3.55731105582046</v>
      </c>
    </row>
    <row r="92" customFormat="false" ht="15" hidden="false" customHeight="false" outlineLevel="0" collapsed="false">
      <c r="A92" s="10" t="n">
        <v>-33</v>
      </c>
      <c r="B92" s="8" t="n">
        <v>41445</v>
      </c>
      <c r="C92" s="11" t="n">
        <v>2.0917630606745</v>
      </c>
      <c r="D92" s="11" t="n">
        <v>2.19023621576887</v>
      </c>
      <c r="E92" s="11" t="n">
        <v>2.28347055318294</v>
      </c>
      <c r="F92" s="11" t="n">
        <v>2.37169407009957</v>
      </c>
      <c r="G92" s="11" t="n">
        <v>2.45513702409359</v>
      </c>
      <c r="H92" s="11" t="n">
        <v>2.53402750845371</v>
      </c>
      <c r="I92" s="11" t="n">
        <v>2.60859191215181</v>
      </c>
      <c r="J92" s="11" t="n">
        <v>2.67905529034655</v>
      </c>
      <c r="K92" s="11" t="n">
        <v>2.74564157810708</v>
      </c>
      <c r="L92" s="11" t="n">
        <v>2.80857048681216</v>
      </c>
      <c r="M92" s="11" t="n">
        <v>2.86804996242298</v>
      </c>
      <c r="N92" s="11" t="n">
        <v>2.92427607804381</v>
      </c>
      <c r="O92" s="11" t="n">
        <v>2.97743513455877</v>
      </c>
      <c r="P92" s="11" t="n">
        <v>3.02770534549245</v>
      </c>
      <c r="Q92" s="11" t="n">
        <v>3.0752576432863</v>
      </c>
      <c r="R92" s="11" t="n">
        <v>3.12025196374714</v>
      </c>
      <c r="S92" s="11" t="n">
        <v>3.16283471896342</v>
      </c>
      <c r="T92" s="11" t="n">
        <v>3.20313992042108</v>
      </c>
      <c r="U92" s="11" t="n">
        <v>3.24129046950223</v>
      </c>
      <c r="V92" s="11" t="n">
        <v>3.27739970428022</v>
      </c>
      <c r="W92" s="11" t="n">
        <v>3.31157266939887</v>
      </c>
      <c r="X92" s="11" t="n">
        <v>3.3439066818357</v>
      </c>
      <c r="Y92" s="11" t="n">
        <v>3.37449185367378</v>
      </c>
      <c r="Z92" s="11" t="n">
        <v>3.40341200689567</v>
      </c>
      <c r="AA92" s="11" t="n">
        <v>3.43074573762274</v>
      </c>
      <c r="AB92" s="11" t="n">
        <v>3.4565672969497</v>
      </c>
      <c r="AC92" s="11" t="n">
        <v>3.48094712689135</v>
      </c>
      <c r="AD92" s="11" t="n">
        <v>3.50395230256507</v>
      </c>
      <c r="AE92" s="11" t="n">
        <v>3.52564687211281</v>
      </c>
      <c r="AF92" s="11" t="n">
        <v>3.54609207920797</v>
      </c>
      <c r="AG92" s="11" t="n">
        <v>3.56534662622323</v>
      </c>
      <c r="AH92" s="11" t="n">
        <v>3.58346645280357</v>
      </c>
      <c r="AI92" s="11" t="n">
        <v>3.60050371931564</v>
      </c>
      <c r="AJ92" s="11" t="n">
        <v>3.61650681499635</v>
      </c>
      <c r="AK92" s="11" t="n">
        <v>3.63152073141945</v>
      </c>
    </row>
    <row r="93" customFormat="false" ht="15" hidden="false" customHeight="false" outlineLevel="0" collapsed="false">
      <c r="A93" s="10" t="n">
        <v>-32</v>
      </c>
      <c r="B93" s="8" t="n">
        <v>41446</v>
      </c>
      <c r="C93" s="11" t="n">
        <v>2.1875180267434</v>
      </c>
      <c r="D93" s="11" t="n">
        <v>2.29058448254629</v>
      </c>
      <c r="E93" s="11" t="n">
        <v>2.38751995022011</v>
      </c>
      <c r="F93" s="11" t="n">
        <v>2.47857857368691</v>
      </c>
      <c r="G93" s="11" t="n">
        <v>2.56403695018674</v>
      </c>
      <c r="H93" s="11" t="n">
        <v>2.64418193500746</v>
      </c>
      <c r="I93" s="11" t="n">
        <v>2.71930826011523</v>
      </c>
      <c r="J93" s="11" t="n">
        <v>2.78971682183318</v>
      </c>
      <c r="K93" s="11" t="n">
        <v>2.85571325924804</v>
      </c>
      <c r="L93" s="11" t="n">
        <v>2.91760042947699</v>
      </c>
      <c r="M93" s="11" t="n">
        <v>2.97566303717496</v>
      </c>
      <c r="N93" s="11" t="n">
        <v>3.03016681000845</v>
      </c>
      <c r="O93" s="11" t="n">
        <v>3.08136185546521</v>
      </c>
      <c r="P93" s="11" t="n">
        <v>3.12948535396956</v>
      </c>
      <c r="Q93" s="11" t="n">
        <v>3.17476290121259</v>
      </c>
      <c r="R93" s="11" t="n">
        <v>3.21740337481117</v>
      </c>
      <c r="S93" s="11" t="n">
        <v>3.25759563051959</v>
      </c>
      <c r="T93" s="11" t="n">
        <v>3.29550986653873</v>
      </c>
      <c r="U93" s="11" t="n">
        <v>3.33129931310758</v>
      </c>
      <c r="V93" s="11" t="n">
        <v>3.36510258056193</v>
      </c>
      <c r="W93" s="11" t="n">
        <v>3.39704555559946</v>
      </c>
      <c r="X93" s="11" t="n">
        <v>3.42724190183427</v>
      </c>
      <c r="Y93" s="11" t="n">
        <v>3.45579362130651</v>
      </c>
      <c r="Z93" s="11" t="n">
        <v>3.48279254495776</v>
      </c>
      <c r="AA93" s="11" t="n">
        <v>3.50832225809603</v>
      </c>
      <c r="AB93" s="11" t="n">
        <v>3.53245965881384</v>
      </c>
      <c r="AC93" s="11" t="n">
        <v>3.5552757944392</v>
      </c>
      <c r="AD93" s="11" t="n">
        <v>3.57683654252589</v>
      </c>
      <c r="AE93" s="11" t="n">
        <v>3.59720323412609</v>
      </c>
      <c r="AF93" s="11" t="n">
        <v>3.61643325091723</v>
      </c>
      <c r="AG93" s="11" t="n">
        <v>3.63458047224724</v>
      </c>
      <c r="AH93" s="11" t="n">
        <v>3.6516952266247</v>
      </c>
      <c r="AI93" s="11" t="n">
        <v>3.66782358447108</v>
      </c>
      <c r="AJ93" s="11" t="n">
        <v>3.68300749275326</v>
      </c>
      <c r="AK93" s="11" t="n">
        <v>3.69728518472752</v>
      </c>
    </row>
    <row r="94" customFormat="false" ht="15" hidden="false" customHeight="false" outlineLevel="0" collapsed="false">
      <c r="A94" s="10" t="n">
        <v>-31</v>
      </c>
      <c r="B94" s="8" t="n">
        <v>41449</v>
      </c>
      <c r="C94" s="11" t="n">
        <v>2.35892164260246</v>
      </c>
      <c r="D94" s="11" t="n">
        <v>2.45914818324801</v>
      </c>
      <c r="E94" s="11" t="n">
        <v>2.55285365218261</v>
      </c>
      <c r="F94" s="11" t="n">
        <v>2.64038013976281</v>
      </c>
      <c r="G94" s="11" t="n">
        <v>2.72206878021611</v>
      </c>
      <c r="H94" s="11" t="n">
        <v>2.79825448145941</v>
      </c>
      <c r="I94" s="11" t="n">
        <v>2.86926730164238</v>
      </c>
      <c r="J94" s="11" t="n">
        <v>2.9354335034447</v>
      </c>
      <c r="K94" s="11" t="n">
        <v>2.99707623299496</v>
      </c>
      <c r="L94" s="11" t="n">
        <v>3.05451092825383</v>
      </c>
      <c r="M94" s="11" t="n">
        <v>3.10803434356212</v>
      </c>
      <c r="N94" s="11" t="n">
        <v>3.15792477344956</v>
      </c>
      <c r="O94" s="11" t="n">
        <v>3.20444532527424</v>
      </c>
      <c r="P94" s="11" t="n">
        <v>3.24784653768333</v>
      </c>
      <c r="Q94" s="11" t="n">
        <v>3.28836791207445</v>
      </c>
      <c r="R94" s="11" t="n">
        <v>3.32623491010862</v>
      </c>
      <c r="S94" s="11" t="n">
        <v>3.36165686927732</v>
      </c>
      <c r="T94" s="11" t="n">
        <v>3.39482587336881</v>
      </c>
      <c r="U94" s="11" t="n">
        <v>3.42591656274336</v>
      </c>
      <c r="V94" s="11" t="n">
        <v>3.4550884330714</v>
      </c>
      <c r="W94" s="11" t="n">
        <v>3.48248764208106</v>
      </c>
      <c r="X94" s="11" t="n">
        <v>3.50824616018813</v>
      </c>
      <c r="Y94" s="11" t="n">
        <v>3.5324813868616</v>
      </c>
      <c r="Z94" s="11" t="n">
        <v>3.55529791601487</v>
      </c>
      <c r="AA94" s="11" t="n">
        <v>3.57678968499618</v>
      </c>
      <c r="AB94" s="11" t="n">
        <v>3.59704173210583</v>
      </c>
      <c r="AC94" s="11" t="n">
        <v>3.61613128887893</v>
      </c>
      <c r="AD94" s="11" t="n">
        <v>3.63412868720711</v>
      </c>
      <c r="AE94" s="11" t="n">
        <v>3.6510981099616</v>
      </c>
      <c r="AF94" s="11" t="n">
        <v>3.66709818941086</v>
      </c>
      <c r="AG94" s="11" t="n">
        <v>3.6821825799419</v>
      </c>
      <c r="AH94" s="11" t="n">
        <v>3.6964001178498</v>
      </c>
      <c r="AI94" s="11" t="n">
        <v>3.70979439008223</v>
      </c>
      <c r="AJ94" s="11" t="n">
        <v>3.72240401345955</v>
      </c>
      <c r="AK94" s="11" t="n">
        <v>3.73426312954341</v>
      </c>
    </row>
    <row r="95" customFormat="false" ht="15" hidden="false" customHeight="false" outlineLevel="0" collapsed="false">
      <c r="A95" s="10" t="n">
        <v>-30</v>
      </c>
      <c r="B95" s="8" t="n">
        <v>41450</v>
      </c>
      <c r="C95" s="11" t="n">
        <v>2.31201778533485</v>
      </c>
      <c r="D95" s="11" t="n">
        <v>2.41615553579507</v>
      </c>
      <c r="E95" s="11" t="n">
        <v>2.51346038750084</v>
      </c>
      <c r="F95" s="11" t="n">
        <v>2.60426314795169</v>
      </c>
      <c r="G95" s="11" t="n">
        <v>2.68890877210169</v>
      </c>
      <c r="H95" s="11" t="n">
        <v>2.76774619703767</v>
      </c>
      <c r="I95" s="11" t="n">
        <v>2.84112739122239</v>
      </c>
      <c r="J95" s="11" t="n">
        <v>2.90940669549978</v>
      </c>
      <c r="K95" s="11" t="n">
        <v>2.9729401627406</v>
      </c>
      <c r="L95" s="11" t="n">
        <v>3.0320776653429</v>
      </c>
      <c r="M95" s="11" t="n">
        <v>3.08714626934957</v>
      </c>
      <c r="N95" s="11" t="n">
        <v>3.138449890488</v>
      </c>
      <c r="O95" s="11" t="n">
        <v>3.18627339591648</v>
      </c>
      <c r="P95" s="11" t="n">
        <v>3.23088588842467</v>
      </c>
      <c r="Q95" s="11" t="n">
        <v>3.27254241703991</v>
      </c>
      <c r="R95" s="11" t="n">
        <v>3.31147857802629</v>
      </c>
      <c r="S95" s="11" t="n">
        <v>3.34790726111589</v>
      </c>
      <c r="T95" s="11" t="n">
        <v>3.38202062164983</v>
      </c>
      <c r="U95" s="11" t="n">
        <v>3.41399227575688</v>
      </c>
      <c r="V95" s="11" t="n">
        <v>3.44397988932281</v>
      </c>
      <c r="W95" s="11" t="n">
        <v>3.47212723478041</v>
      </c>
      <c r="X95" s="11" t="n">
        <v>3.49856467334663</v>
      </c>
      <c r="Y95" s="11" t="n">
        <v>3.52340974967045</v>
      </c>
      <c r="Z95" s="11" t="n">
        <v>3.54676880685445</v>
      </c>
      <c r="AA95" s="11" t="n">
        <v>3.56873887281531</v>
      </c>
      <c r="AB95" s="11" t="n">
        <v>3.58940919750463</v>
      </c>
      <c r="AC95" s="11" t="n">
        <v>3.60886220717939</v>
      </c>
      <c r="AD95" s="11" t="n">
        <v>3.62717429548688</v>
      </c>
      <c r="AE95" s="11" t="n">
        <v>3.64441638890095</v>
      </c>
      <c r="AF95" s="11" t="n">
        <v>3.66065425328082</v>
      </c>
      <c r="AG95" s="11" t="n">
        <v>3.67594896121317</v>
      </c>
      <c r="AH95" s="11" t="n">
        <v>3.69035681159947</v>
      </c>
      <c r="AI95" s="11" t="n">
        <v>3.70392838297867</v>
      </c>
      <c r="AJ95" s="11" t="n">
        <v>3.71670872557537</v>
      </c>
      <c r="AK95" s="11" t="n">
        <v>3.72873791097674</v>
      </c>
    </row>
    <row r="96" customFormat="false" ht="15" hidden="false" customHeight="false" outlineLevel="0" collapsed="false">
      <c r="A96" s="10" t="n">
        <v>-29</v>
      </c>
      <c r="B96" s="8" t="n">
        <v>41451</v>
      </c>
      <c r="C96" s="11" t="n">
        <v>2.22245611033603</v>
      </c>
      <c r="D96" s="11" t="n">
        <v>2.3299613371674</v>
      </c>
      <c r="E96" s="11" t="n">
        <v>2.43052650630542</v>
      </c>
      <c r="F96" s="11" t="n">
        <v>2.52447362593154</v>
      </c>
      <c r="G96" s="11" t="n">
        <v>2.61214537224056</v>
      </c>
      <c r="H96" s="11" t="n">
        <v>2.69389127058606</v>
      </c>
      <c r="I96" s="11" t="n">
        <v>2.77006608137347</v>
      </c>
      <c r="J96" s="11" t="n">
        <v>2.84102866200536</v>
      </c>
      <c r="K96" s="11" t="n">
        <v>2.90714092180115</v>
      </c>
      <c r="L96" s="11" t="n">
        <v>2.96875872560437</v>
      </c>
      <c r="M96" s="11" t="n">
        <v>3.02621327933094</v>
      </c>
      <c r="N96" s="11" t="n">
        <v>3.07981069209056</v>
      </c>
      <c r="O96" s="11" t="n">
        <v>3.12983642381591</v>
      </c>
      <c r="P96" s="11" t="n">
        <v>3.17655884542789</v>
      </c>
      <c r="Q96" s="11" t="n">
        <v>3.22023131606023</v>
      </c>
      <c r="R96" s="11" t="n">
        <v>3.26108825543633</v>
      </c>
      <c r="S96" s="11" t="n">
        <v>3.29934290150586</v>
      </c>
      <c r="T96" s="11" t="n">
        <v>3.33518890642483</v>
      </c>
      <c r="U96" s="11" t="n">
        <v>3.36880218945412</v>
      </c>
      <c r="V96" s="11" t="n">
        <v>3.40034339986131</v>
      </c>
      <c r="W96" s="11" t="n">
        <v>3.4299598876806</v>
      </c>
      <c r="X96" s="11" t="n">
        <v>3.45778620013137</v>
      </c>
      <c r="Y96" s="11" t="n">
        <v>3.48394468839657</v>
      </c>
      <c r="Z96" s="11" t="n">
        <v>3.50854698428929</v>
      </c>
      <c r="AA96" s="11" t="n">
        <v>3.53169525232578</v>
      </c>
      <c r="AB96" s="11" t="n">
        <v>3.5534832726361</v>
      </c>
      <c r="AC96" s="11" t="n">
        <v>3.57399743413293</v>
      </c>
      <c r="AD96" s="11" t="n">
        <v>3.59331758865046</v>
      </c>
      <c r="AE96" s="11" t="n">
        <v>3.61151753180589</v>
      </c>
      <c r="AF96" s="11" t="n">
        <v>3.62866502754432</v>
      </c>
      <c r="AG96" s="11" t="n">
        <v>3.64482227905422</v>
      </c>
      <c r="AH96" s="11" t="n">
        <v>3.66004602039868</v>
      </c>
      <c r="AI96" s="11" t="n">
        <v>3.67438685826254</v>
      </c>
      <c r="AJ96" s="11" t="n">
        <v>3.68788956843476</v>
      </c>
      <c r="AK96" s="11" t="n">
        <v>3.7005936763488</v>
      </c>
    </row>
    <row r="97" customFormat="false" ht="15" hidden="false" customHeight="false" outlineLevel="0" collapsed="false">
      <c r="A97" s="10" t="n">
        <v>-28</v>
      </c>
      <c r="B97" s="8" t="n">
        <v>41452</v>
      </c>
      <c r="C97" s="11" t="n">
        <v>2.20245819534071</v>
      </c>
      <c r="D97" s="11" t="n">
        <v>2.3093646764157</v>
      </c>
      <c r="E97" s="11" t="n">
        <v>2.40936839963779</v>
      </c>
      <c r="F97" s="11" t="n">
        <v>2.50279113020998</v>
      </c>
      <c r="G97" s="11" t="n">
        <v>2.5899783268713</v>
      </c>
      <c r="H97" s="11" t="n">
        <v>2.67128364507599</v>
      </c>
      <c r="I97" s="11" t="n">
        <v>2.74706701298807</v>
      </c>
      <c r="J97" s="11" t="n">
        <v>2.81769326784882</v>
      </c>
      <c r="K97" s="11" t="n">
        <v>2.8835309190877</v>
      </c>
      <c r="L97" s="11" t="n">
        <v>2.94494216285544</v>
      </c>
      <c r="M97" s="11" t="n">
        <v>3.00226280077551</v>
      </c>
      <c r="N97" s="11" t="n">
        <v>3.05580180968378</v>
      </c>
      <c r="O97" s="11" t="n">
        <v>3.10584609712886</v>
      </c>
      <c r="P97" s="11" t="n">
        <v>3.15266430637352</v>
      </c>
      <c r="Q97" s="11" t="n">
        <v>3.19650906813629</v>
      </c>
      <c r="R97" s="11" t="n">
        <v>3.23761315676175</v>
      </c>
      <c r="S97" s="11" t="n">
        <v>3.27618739203041</v>
      </c>
      <c r="T97" s="11" t="n">
        <v>3.31242239289463</v>
      </c>
      <c r="U97" s="11" t="n">
        <v>3.34649056091929</v>
      </c>
      <c r="V97" s="11" t="n">
        <v>3.37854861627864</v>
      </c>
      <c r="W97" s="11" t="n">
        <v>3.40873961910977</v>
      </c>
      <c r="X97" s="11" t="n">
        <v>3.43719347857764</v>
      </c>
      <c r="Y97" s="11" t="n">
        <v>3.46402758870171</v>
      </c>
      <c r="Z97" s="11" t="n">
        <v>3.48934833668594</v>
      </c>
      <c r="AA97" s="11" t="n">
        <v>3.51325231405734</v>
      </c>
      <c r="AB97" s="11" t="n">
        <v>3.53582737853707</v>
      </c>
      <c r="AC97" s="11" t="n">
        <v>3.55715368472131</v>
      </c>
      <c r="AD97" s="11" t="n">
        <v>3.57730457480269</v>
      </c>
      <c r="AE97" s="11" t="n">
        <v>3.59634711262434</v>
      </c>
      <c r="AF97" s="11" t="n">
        <v>3.61434219443851</v>
      </c>
      <c r="AG97" s="11" t="n">
        <v>3.6313450560253</v>
      </c>
      <c r="AH97" s="11" t="n">
        <v>3.6474055221182</v>
      </c>
      <c r="AI97" s="11" t="n">
        <v>3.66256771480592</v>
      </c>
      <c r="AJ97" s="11" t="n">
        <v>3.67687040943325</v>
      </c>
      <c r="AK97" s="11" t="n">
        <v>3.69034756758939</v>
      </c>
    </row>
    <row r="98" customFormat="false" ht="15" hidden="false" customHeight="false" outlineLevel="0" collapsed="false">
      <c r="A98" s="10" t="n">
        <v>-27</v>
      </c>
      <c r="B98" s="8" t="n">
        <v>41453</v>
      </c>
      <c r="C98" s="11" t="n">
        <v>2.22019610464022</v>
      </c>
      <c r="D98" s="11" t="n">
        <v>2.33025092570113</v>
      </c>
      <c r="E98" s="11" t="n">
        <v>2.43284064924513</v>
      </c>
      <c r="F98" s="11" t="n">
        <v>2.52831703948364</v>
      </c>
      <c r="G98" s="11" t="n">
        <v>2.61706518983774</v>
      </c>
      <c r="H98" s="11" t="n">
        <v>2.69948312398917</v>
      </c>
      <c r="I98" s="11" t="n">
        <v>2.77597878909791</v>
      </c>
      <c r="J98" s="11" t="n">
        <v>2.8469678985243</v>
      </c>
      <c r="K98" s="11" t="n">
        <v>2.91287202414899</v>
      </c>
      <c r="L98" s="11" t="n">
        <v>2.97410580859594</v>
      </c>
      <c r="M98" s="11" t="n">
        <v>3.03105252764738</v>
      </c>
      <c r="N98" s="11" t="n">
        <v>3.08406371350677</v>
      </c>
      <c r="O98" s="11" t="n">
        <v>3.13346478775977</v>
      </c>
      <c r="P98" s="11" t="n">
        <v>3.17955956310294</v>
      </c>
      <c r="Q98" s="11" t="n">
        <v>3.22263289780548</v>
      </c>
      <c r="R98" s="11" t="n">
        <v>3.26294641165005</v>
      </c>
      <c r="S98" s="11" t="n">
        <v>3.30073629530188</v>
      </c>
      <c r="T98" s="11" t="n">
        <v>3.33621480021907</v>
      </c>
      <c r="U98" s="11" t="n">
        <v>3.3695722110497</v>
      </c>
      <c r="V98" s="11" t="n">
        <v>3.40097988470147</v>
      </c>
      <c r="W98" s="11" t="n">
        <v>3.43059262784144</v>
      </c>
      <c r="X98" s="11" t="n">
        <v>3.45854888363886</v>
      </c>
      <c r="Y98" s="11" t="n">
        <v>3.4849712657229</v>
      </c>
      <c r="Z98" s="11" t="n">
        <v>3.50996846427964</v>
      </c>
      <c r="AA98" s="11" t="n">
        <v>3.53363686012611</v>
      </c>
      <c r="AB98" s="11" t="n">
        <v>3.55606192762256</v>
      </c>
      <c r="AC98" s="11" t="n">
        <v>3.57731952669099</v>
      </c>
      <c r="AD98" s="11" t="n">
        <v>3.59747701689985</v>
      </c>
      <c r="AE98" s="11" t="n">
        <v>3.61659405093146</v>
      </c>
      <c r="AF98" s="11" t="n">
        <v>3.63472302465569</v>
      </c>
      <c r="AG98" s="11" t="n">
        <v>3.65190975954034</v>
      </c>
      <c r="AH98" s="11" t="n">
        <v>3.66819408562109</v>
      </c>
      <c r="AI98" s="11" t="n">
        <v>3.68361019431049</v>
      </c>
      <c r="AJ98" s="11" t="n">
        <v>3.69818714484561</v>
      </c>
      <c r="AK98" s="11" t="n">
        <v>3.7119493770494</v>
      </c>
    </row>
    <row r="99" customFormat="false" ht="15" hidden="false" customHeight="false" outlineLevel="0" collapsed="false">
      <c r="A99" s="10" t="n">
        <v>-26</v>
      </c>
      <c r="B99" s="8" t="n">
        <v>41456</v>
      </c>
      <c r="C99" s="11" t="n">
        <v>2.20328177273842</v>
      </c>
      <c r="D99" s="11" t="n">
        <v>2.31231564884731</v>
      </c>
      <c r="E99" s="11" t="n">
        <v>2.41390874925088</v>
      </c>
      <c r="F99" s="11" t="n">
        <v>2.50842353962592</v>
      </c>
      <c r="G99" s="11" t="n">
        <v>2.59625057415831</v>
      </c>
      <c r="H99" s="11" t="n">
        <v>2.67778988305756</v>
      </c>
      <c r="I99" s="11" t="n">
        <v>2.7534487565714</v>
      </c>
      <c r="J99" s="11" t="n">
        <v>2.82364016671659</v>
      </c>
      <c r="K99" s="11" t="n">
        <v>2.88878129730479</v>
      </c>
      <c r="L99" s="11" t="n">
        <v>2.94928150005597</v>
      </c>
      <c r="M99" s="11" t="n">
        <v>3.00551925358262</v>
      </c>
      <c r="N99" s="11" t="n">
        <v>3.0578420664765</v>
      </c>
      <c r="O99" s="11" t="n">
        <v>3.10657197568232</v>
      </c>
      <c r="P99" s="11" t="n">
        <v>3.15200993804351</v>
      </c>
      <c r="Q99" s="11" t="n">
        <v>3.19443842337509</v>
      </c>
      <c r="R99" s="11" t="n">
        <v>3.23411736865716</v>
      </c>
      <c r="S99" s="11" t="n">
        <v>3.27128216429401</v>
      </c>
      <c r="T99" s="11" t="n">
        <v>3.30614495642419</v>
      </c>
      <c r="U99" s="11" t="n">
        <v>3.3388964759042</v>
      </c>
      <c r="V99" s="11" t="n">
        <v>3.36970899768812</v>
      </c>
      <c r="W99" s="11" t="n">
        <v>3.39873863595589</v>
      </c>
      <c r="X99" s="11" t="n">
        <v>3.42612537377218</v>
      </c>
      <c r="Y99" s="11" t="n">
        <v>3.45199350417331</v>
      </c>
      <c r="Z99" s="11" t="n">
        <v>3.47645350626501</v>
      </c>
      <c r="AA99" s="11" t="n">
        <v>3.49960356982528</v>
      </c>
      <c r="AB99" s="11" t="n">
        <v>3.52153093872596</v>
      </c>
      <c r="AC99" s="11" t="n">
        <v>3.54231320412067</v>
      </c>
      <c r="AD99" s="11" t="n">
        <v>3.56201942197315</v>
      </c>
      <c r="AE99" s="11" t="n">
        <v>3.58071087102254</v>
      </c>
      <c r="AF99" s="11" t="n">
        <v>3.59844142384858</v>
      </c>
      <c r="AG99" s="11" t="n">
        <v>3.61525822380762</v>
      </c>
      <c r="AH99" s="11" t="n">
        <v>3.63120223642141</v>
      </c>
      <c r="AI99" s="11" t="n">
        <v>3.64630851390894</v>
      </c>
      <c r="AJ99" s="11" t="n">
        <v>3.66060670356512</v>
      </c>
      <c r="AK99" s="11" t="n">
        <v>3.67412158764955</v>
      </c>
    </row>
    <row r="100" customFormat="false" ht="15" hidden="false" customHeight="false" outlineLevel="0" collapsed="false">
      <c r="A100" s="10" t="n">
        <v>-25</v>
      </c>
      <c r="B100" s="8" t="n">
        <v>41457</v>
      </c>
      <c r="C100" s="11" t="n">
        <v>2.16959943942322</v>
      </c>
      <c r="D100" s="11" t="n">
        <v>2.27823487320387</v>
      </c>
      <c r="E100" s="11" t="n">
        <v>2.37956443754306</v>
      </c>
      <c r="F100" s="11" t="n">
        <v>2.47396789372616</v>
      </c>
      <c r="G100" s="11" t="n">
        <v>2.56184833090355</v>
      </c>
      <c r="H100" s="11" t="n">
        <v>2.64361372871209</v>
      </c>
      <c r="I100" s="11" t="n">
        <v>2.71967578139052</v>
      </c>
      <c r="J100" s="11" t="n">
        <v>2.79044909025732</v>
      </c>
      <c r="K100" s="11" t="n">
        <v>2.8563502374342</v>
      </c>
      <c r="L100" s="11" t="n">
        <v>2.91778514272521</v>
      </c>
      <c r="M100" s="11" t="n">
        <v>2.97512460306388</v>
      </c>
      <c r="N100" s="11" t="n">
        <v>3.02870460047292</v>
      </c>
      <c r="O100" s="11" t="n">
        <v>3.07883248639226</v>
      </c>
      <c r="P100" s="11" t="n">
        <v>3.12579191782672</v>
      </c>
      <c r="Q100" s="11" t="n">
        <v>3.16984574323689</v>
      </c>
      <c r="R100" s="11" t="n">
        <v>3.21123136063773</v>
      </c>
      <c r="S100" s="11" t="n">
        <v>3.25015879716227</v>
      </c>
      <c r="T100" s="11" t="n">
        <v>3.28681468127167</v>
      </c>
      <c r="U100" s="11" t="n">
        <v>3.32136582187182</v>
      </c>
      <c r="V100" s="11" t="n">
        <v>3.35396204820937</v>
      </c>
      <c r="W100" s="11" t="n">
        <v>3.38473851377207</v>
      </c>
      <c r="X100" s="11" t="n">
        <v>3.41381724919737</v>
      </c>
      <c r="Y100" s="11" t="n">
        <v>3.44130855708881</v>
      </c>
      <c r="Z100" s="11" t="n">
        <v>3.46731246113982</v>
      </c>
      <c r="AA100" s="11" t="n">
        <v>3.49191973382872</v>
      </c>
      <c r="AB100" s="11" t="n">
        <v>3.51521282941308</v>
      </c>
      <c r="AC100" s="11" t="n">
        <v>3.53726686196708</v>
      </c>
      <c r="AD100" s="11" t="n">
        <v>3.55815045248374</v>
      </c>
      <c r="AE100" s="11" t="n">
        <v>3.57792619535019</v>
      </c>
      <c r="AF100" s="11" t="n">
        <v>3.59665070436256</v>
      </c>
      <c r="AG100" s="11" t="n">
        <v>3.61437509959894</v>
      </c>
      <c r="AH100" s="11" t="n">
        <v>3.6311452522655</v>
      </c>
      <c r="AI100" s="11" t="n">
        <v>3.64700155697485</v>
      </c>
      <c r="AJ100" s="11" t="n">
        <v>3.66197929895757</v>
      </c>
      <c r="AK100" s="11" t="n">
        <v>3.67610916383301</v>
      </c>
    </row>
    <row r="101" customFormat="false" ht="15" hidden="false" customHeight="false" outlineLevel="0" collapsed="false">
      <c r="A101" s="10" t="n">
        <v>-24</v>
      </c>
      <c r="B101" s="8" t="n">
        <v>41458</v>
      </c>
      <c r="C101" s="11" t="n">
        <v>2.18279750009652</v>
      </c>
      <c r="D101" s="11" t="n">
        <v>2.28974862931424</v>
      </c>
      <c r="E101" s="11" t="n">
        <v>2.38970800504449</v>
      </c>
      <c r="F101" s="11" t="n">
        <v>2.48302637364617</v>
      </c>
      <c r="G101" s="11" t="n">
        <v>2.57007575092951</v>
      </c>
      <c r="H101" s="11" t="n">
        <v>2.6512330213434</v>
      </c>
      <c r="I101" s="11" t="n">
        <v>2.72687877731579</v>
      </c>
      <c r="J101" s="11" t="n">
        <v>2.79739651317134</v>
      </c>
      <c r="K101" s="11" t="n">
        <v>2.86317172711213</v>
      </c>
      <c r="L101" s="11" t="n">
        <v>2.92458057634328</v>
      </c>
      <c r="M101" s="11" t="n">
        <v>2.98196827119623</v>
      </c>
      <c r="N101" s="11" t="n">
        <v>3.03564940883662</v>
      </c>
      <c r="O101" s="11" t="n">
        <v>3.08591341273331</v>
      </c>
      <c r="P101" s="11" t="n">
        <v>3.13302887278076</v>
      </c>
      <c r="Q101" s="11" t="n">
        <v>3.17724604722124</v>
      </c>
      <c r="R101" s="11" t="n">
        <v>3.21879262790412</v>
      </c>
      <c r="S101" s="11" t="n">
        <v>3.25787198620671</v>
      </c>
      <c r="T101" s="11" t="n">
        <v>3.29466639828857</v>
      </c>
      <c r="U101" s="11" t="n">
        <v>3.32934003879862</v>
      </c>
      <c r="V101" s="11" t="n">
        <v>3.36204156020489</v>
      </c>
      <c r="W101" s="11" t="n">
        <v>3.39290615726188</v>
      </c>
      <c r="X101" s="11" t="n">
        <v>3.42205667333614</v>
      </c>
      <c r="Y101" s="11" t="n">
        <v>3.44960468275878</v>
      </c>
      <c r="Z101" s="11" t="n">
        <v>3.47565184680503</v>
      </c>
      <c r="AA101" s="11" t="n">
        <v>3.50029073638261</v>
      </c>
      <c r="AB101" s="11" t="n">
        <v>3.52360562826975</v>
      </c>
      <c r="AC101" s="11" t="n">
        <v>3.54567347328452</v>
      </c>
      <c r="AD101" s="11" t="n">
        <v>3.56656474037478</v>
      </c>
      <c r="AE101" s="11" t="n">
        <v>3.58634383231503</v>
      </c>
      <c r="AF101" s="11" t="n">
        <v>3.6050690313737</v>
      </c>
      <c r="AG101" s="11" t="n">
        <v>3.62279297741002</v>
      </c>
      <c r="AH101" s="11" t="n">
        <v>3.63956292385937</v>
      </c>
      <c r="AI101" s="11" t="n">
        <v>3.65542052346112</v>
      </c>
      <c r="AJ101" s="11" t="n">
        <v>3.67040221044122</v>
      </c>
      <c r="AK101" s="11" t="n">
        <v>3.68453972125818</v>
      </c>
    </row>
    <row r="102" customFormat="false" ht="15" hidden="false" customHeight="false" outlineLevel="0" collapsed="false">
      <c r="A102" s="10" t="n">
        <v>-23</v>
      </c>
      <c r="B102" s="8" t="n">
        <v>41459</v>
      </c>
      <c r="C102" s="11" t="n">
        <v>2.17001175663033</v>
      </c>
      <c r="D102" s="11" t="n">
        <v>2.28086493830964</v>
      </c>
      <c r="E102" s="11" t="n">
        <v>2.38436885521897</v>
      </c>
      <c r="F102" s="11" t="n">
        <v>2.48086630554152</v>
      </c>
      <c r="G102" s="11" t="n">
        <v>2.57073436162314</v>
      </c>
      <c r="H102" s="11" t="n">
        <v>2.65436287047102</v>
      </c>
      <c r="I102" s="11" t="n">
        <v>2.73215148959301</v>
      </c>
      <c r="J102" s="11" t="n">
        <v>2.80450755428009</v>
      </c>
      <c r="K102" s="11" t="n">
        <v>2.87184413588398</v>
      </c>
      <c r="L102" s="11" t="n">
        <v>2.93456643202449</v>
      </c>
      <c r="M102" s="11" t="n">
        <v>2.99304695565615</v>
      </c>
      <c r="N102" s="11" t="n">
        <v>3.04762559713276</v>
      </c>
      <c r="O102" s="11" t="n">
        <v>3.09861542086234</v>
      </c>
      <c r="P102" s="11" t="n">
        <v>3.14630729027337</v>
      </c>
      <c r="Q102" s="11" t="n">
        <v>3.19097259931142</v>
      </c>
      <c r="R102" s="11" t="n">
        <v>3.23285933976897</v>
      </c>
      <c r="S102" s="11" t="n">
        <v>3.27219051517153</v>
      </c>
      <c r="T102" s="11" t="n">
        <v>3.30916666035065</v>
      </c>
      <c r="U102" s="11" t="n">
        <v>3.34396843670125</v>
      </c>
      <c r="V102" s="11" t="n">
        <v>3.37675942891933</v>
      </c>
      <c r="W102" s="11" t="n">
        <v>3.40768834945182</v>
      </c>
      <c r="X102" s="11" t="n">
        <v>3.43688976368714</v>
      </c>
      <c r="Y102" s="11" t="n">
        <v>3.46448498407504</v>
      </c>
      <c r="Z102" s="11" t="n">
        <v>3.49058364385716</v>
      </c>
      <c r="AA102" s="11" t="n">
        <v>3.51528466490305</v>
      </c>
      <c r="AB102" s="11" t="n">
        <v>3.53867719929934</v>
      </c>
      <c r="AC102" s="11" t="n">
        <v>3.56084177035972</v>
      </c>
      <c r="AD102" s="11" t="n">
        <v>3.58185126772065</v>
      </c>
      <c r="AE102" s="11" t="n">
        <v>3.60177148216728</v>
      </c>
      <c r="AF102" s="11" t="n">
        <v>3.62066114857337</v>
      </c>
      <c r="AG102" s="11" t="n">
        <v>3.63857252532275</v>
      </c>
      <c r="AH102" s="11" t="n">
        <v>3.65555180818902</v>
      </c>
      <c r="AI102" s="11" t="n">
        <v>3.67163915022844</v>
      </c>
      <c r="AJ102" s="11" t="n">
        <v>3.68686913101396</v>
      </c>
      <c r="AK102" s="11" t="n">
        <v>3.70127131315951</v>
      </c>
    </row>
    <row r="103" customFormat="false" ht="15" hidden="false" customHeight="false" outlineLevel="0" collapsed="false">
      <c r="A103" s="10" t="n">
        <v>-22</v>
      </c>
      <c r="B103" s="8" t="n">
        <v>41460</v>
      </c>
      <c r="C103" s="11" t="n">
        <v>2.27288929312841</v>
      </c>
      <c r="D103" s="11" t="n">
        <v>2.38602797821052</v>
      </c>
      <c r="E103" s="11" t="n">
        <v>2.49108361502895</v>
      </c>
      <c r="F103" s="11" t="n">
        <v>2.58844600342448</v>
      </c>
      <c r="G103" s="11" t="n">
        <v>2.67854509222938</v>
      </c>
      <c r="H103" s="11" t="n">
        <v>2.76182734840083</v>
      </c>
      <c r="I103" s="11" t="n">
        <v>2.83875194738021</v>
      </c>
      <c r="J103" s="11" t="n">
        <v>2.90978801037911</v>
      </c>
      <c r="K103" s="11" t="n">
        <v>2.97541210275888</v>
      </c>
      <c r="L103" s="11" t="n">
        <v>3.03609215403941</v>
      </c>
      <c r="M103" s="11" t="n">
        <v>3.09225940599563</v>
      </c>
      <c r="N103" s="11" t="n">
        <v>3.1443087122554</v>
      </c>
      <c r="O103" s="11" t="n">
        <v>3.19260500908742</v>
      </c>
      <c r="P103" s="11" t="n">
        <v>3.23748847315987</v>
      </c>
      <c r="Q103" s="11" t="n">
        <v>3.27927731318031</v>
      </c>
      <c r="R103" s="11" t="n">
        <v>3.31826198946327</v>
      </c>
      <c r="S103" s="11" t="n">
        <v>3.35470278399919</v>
      </c>
      <c r="T103" s="11" t="n">
        <v>3.38883213846407</v>
      </c>
      <c r="U103" s="11" t="n">
        <v>3.42085742349331</v>
      </c>
      <c r="V103" s="11" t="n">
        <v>3.45096444522846</v>
      </c>
      <c r="W103" s="11" t="n">
        <v>3.47932011651283</v>
      </c>
      <c r="X103" s="11" t="n">
        <v>3.50607263244194</v>
      </c>
      <c r="Y103" s="11" t="n">
        <v>3.53135220589025</v>
      </c>
      <c r="Z103" s="11" t="n">
        <v>3.55527327020439</v>
      </c>
      <c r="AA103" s="11" t="n">
        <v>3.57793644340783</v>
      </c>
      <c r="AB103" s="11" t="n">
        <v>3.59943020710733</v>
      </c>
      <c r="AC103" s="11" t="n">
        <v>3.61983235096663</v>
      </c>
      <c r="AD103" s="11" t="n">
        <v>3.6392112116409</v>
      </c>
      <c r="AE103" s="11" t="n">
        <v>3.65762658510668</v>
      </c>
      <c r="AF103" s="11" t="n">
        <v>3.67513032578289</v>
      </c>
      <c r="AG103" s="11" t="n">
        <v>3.69176712564917</v>
      </c>
      <c r="AH103" s="11" t="n">
        <v>3.70757517647451</v>
      </c>
      <c r="AI103" s="11" t="n">
        <v>3.72258663326559</v>
      </c>
      <c r="AJ103" s="11" t="n">
        <v>3.73682818080277</v>
      </c>
      <c r="AK103" s="11" t="n">
        <v>3.75032158042092</v>
      </c>
    </row>
    <row r="104" customFormat="false" ht="15" hidden="false" customHeight="false" outlineLevel="0" collapsed="false">
      <c r="A104" s="10" t="n">
        <v>-21</v>
      </c>
      <c r="B104" s="8" t="n">
        <v>41463</v>
      </c>
      <c r="C104" s="11" t="n">
        <v>2.26507858982252</v>
      </c>
      <c r="D104" s="11" t="n">
        <v>2.37985360422308</v>
      </c>
      <c r="E104" s="11" t="n">
        <v>2.48644808295038</v>
      </c>
      <c r="F104" s="11" t="n">
        <v>2.58526408875971</v>
      </c>
      <c r="G104" s="11" t="n">
        <v>2.67674387772167</v>
      </c>
      <c r="H104" s="11" t="n">
        <v>2.76134517018887</v>
      </c>
      <c r="I104" s="11" t="n">
        <v>2.83953757929675</v>
      </c>
      <c r="J104" s="11" t="n">
        <v>2.91180002557596</v>
      </c>
      <c r="K104" s="11" t="n">
        <v>2.97861832631338</v>
      </c>
      <c r="L104" s="11" t="n">
        <v>3.04046815992171</v>
      </c>
      <c r="M104" s="11" t="n">
        <v>3.09778552032697</v>
      </c>
      <c r="N104" s="11" t="n">
        <v>3.15096727415984</v>
      </c>
      <c r="O104" s="11" t="n">
        <v>3.20037812079629</v>
      </c>
      <c r="P104" s="11" t="n">
        <v>3.24635613795542</v>
      </c>
      <c r="Q104" s="11" t="n">
        <v>3.28921582542925</v>
      </c>
      <c r="R104" s="11" t="n">
        <v>3.32924231988344</v>
      </c>
      <c r="S104" s="11" t="n">
        <v>3.36668923999768</v>
      </c>
      <c r="T104" s="11" t="n">
        <v>3.40178214927166</v>
      </c>
      <c r="U104" s="11" t="n">
        <v>3.43472201619736</v>
      </c>
      <c r="V104" s="11" t="n">
        <v>3.46568869078642</v>
      </c>
      <c r="W104" s="11" t="n">
        <v>3.49484361064336</v>
      </c>
      <c r="X104" s="11" t="n">
        <v>3.52233064691332</v>
      </c>
      <c r="Y104" s="11" t="n">
        <v>3.54827723676051</v>
      </c>
      <c r="Z104" s="11" t="n">
        <v>3.57279641375632</v>
      </c>
      <c r="AA104" s="11" t="n">
        <v>3.59598854860513</v>
      </c>
      <c r="AB104" s="11" t="n">
        <v>3.61794285120169</v>
      </c>
      <c r="AC104" s="11" t="n">
        <v>3.6387386969212</v>
      </c>
      <c r="AD104" s="11" t="n">
        <v>3.65844676464495</v>
      </c>
      <c r="AE104" s="11" t="n">
        <v>3.67712982261764</v>
      </c>
      <c r="AF104" s="11" t="n">
        <v>3.69484317534181</v>
      </c>
      <c r="AG104" s="11" t="n">
        <v>3.71163536946794</v>
      </c>
      <c r="AH104" s="11" t="n">
        <v>3.72754868851659</v>
      </c>
      <c r="AI104" s="11" t="n">
        <v>3.74261932988917</v>
      </c>
      <c r="AJ104" s="11" t="n">
        <v>3.75687791731391</v>
      </c>
      <c r="AK104" s="11" t="n">
        <v>3.77035005770654</v>
      </c>
    </row>
    <row r="105" customFormat="false" ht="15" hidden="false" customHeight="false" outlineLevel="0" collapsed="false">
      <c r="A105" s="10" t="n">
        <v>-20</v>
      </c>
      <c r="B105" s="8" t="n">
        <v>41464</v>
      </c>
      <c r="C105" s="11" t="n">
        <v>2.2065688337578</v>
      </c>
      <c r="D105" s="11" t="n">
        <v>2.32308588612388</v>
      </c>
      <c r="E105" s="11" t="n">
        <v>2.43151546952291</v>
      </c>
      <c r="F105" s="11" t="n">
        <v>2.53222736434178</v>
      </c>
      <c r="G105" s="11" t="n">
        <v>2.62563737598989</v>
      </c>
      <c r="H105" s="11" t="n">
        <v>2.71218164989969</v>
      </c>
      <c r="I105" s="11" t="n">
        <v>2.7923119962891</v>
      </c>
      <c r="J105" s="11" t="n">
        <v>2.86649248477338</v>
      </c>
      <c r="K105" s="11" t="n">
        <v>2.93519640240552</v>
      </c>
      <c r="L105" s="11" t="n">
        <v>2.99888857493974</v>
      </c>
      <c r="M105" s="11" t="n">
        <v>3.05799552408562</v>
      </c>
      <c r="N105" s="11" t="n">
        <v>3.1129058657696</v>
      </c>
      <c r="O105" s="11" t="n">
        <v>3.16397705373287</v>
      </c>
      <c r="P105" s="11" t="n">
        <v>3.21154075174738</v>
      </c>
      <c r="Q105" s="11" t="n">
        <v>3.25590565343194</v>
      </c>
      <c r="R105" s="11" t="n">
        <v>3.29735116052833</v>
      </c>
      <c r="S105" s="11" t="n">
        <v>3.33612512071602</v>
      </c>
      <c r="T105" s="11" t="n">
        <v>3.37244815831037</v>
      </c>
      <c r="U105" s="11" t="n">
        <v>3.40651761908379</v>
      </c>
      <c r="V105" s="11" t="n">
        <v>3.43851089252764</v>
      </c>
      <c r="W105" s="11" t="n">
        <v>3.4685880157036</v>
      </c>
      <c r="X105" s="11" t="n">
        <v>3.49689282195792</v>
      </c>
      <c r="Y105" s="11" t="n">
        <v>3.52355422445749</v>
      </c>
      <c r="Z105" s="11" t="n">
        <v>3.54868802315777</v>
      </c>
      <c r="AA105" s="11" t="n">
        <v>3.57239814078829</v>
      </c>
      <c r="AB105" s="11" t="n">
        <v>3.59477778984451</v>
      </c>
      <c r="AC105" s="11" t="n">
        <v>3.61591073203711</v>
      </c>
      <c r="AD105" s="11" t="n">
        <v>3.63587236861261</v>
      </c>
      <c r="AE105" s="11" t="n">
        <v>3.65473038227823</v>
      </c>
      <c r="AF105" s="11" t="n">
        <v>3.67254494497929</v>
      </c>
      <c r="AG105" s="11" t="n">
        <v>3.68936937947814</v>
      </c>
      <c r="AH105" s="11" t="n">
        <v>3.70525061903566</v>
      </c>
      <c r="AI105" s="11" t="n">
        <v>3.72022930981922</v>
      </c>
      <c r="AJ105" s="11" t="n">
        <v>3.73434032552585</v>
      </c>
      <c r="AK105" s="11" t="n">
        <v>3.74761334406455</v>
      </c>
    </row>
    <row r="106" customFormat="false" ht="15" hidden="false" customHeight="false" outlineLevel="0" collapsed="false">
      <c r="A106" s="10" t="n">
        <v>-19</v>
      </c>
      <c r="B106" s="8" t="n">
        <v>41465</v>
      </c>
      <c r="C106" s="11" t="n">
        <v>2.18868094671089</v>
      </c>
      <c r="D106" s="11" t="n">
        <v>2.30414309513422</v>
      </c>
      <c r="E106" s="11" t="n">
        <v>2.41183476771538</v>
      </c>
      <c r="F106" s="11" t="n">
        <v>2.51202593764704</v>
      </c>
      <c r="G106" s="11" t="n">
        <v>2.60505882475087</v>
      </c>
      <c r="H106" s="11" t="n">
        <v>2.69132815741948</v>
      </c>
      <c r="I106" s="11" t="n">
        <v>2.7712614397045</v>
      </c>
      <c r="J106" s="11" t="n">
        <v>2.8452965161978</v>
      </c>
      <c r="K106" s="11" t="n">
        <v>2.91387582726272</v>
      </c>
      <c r="L106" s="11" t="n">
        <v>2.97743370736427</v>
      </c>
      <c r="M106" s="11" t="n">
        <v>3.03637483439355</v>
      </c>
      <c r="N106" s="11" t="n">
        <v>3.09107487142687</v>
      </c>
      <c r="O106" s="11" t="n">
        <v>3.14188563053344</v>
      </c>
      <c r="P106" s="11" t="n">
        <v>3.18913918418098</v>
      </c>
      <c r="Q106" s="11" t="n">
        <v>3.23314923483199</v>
      </c>
      <c r="R106" s="11" t="n">
        <v>3.27420124458348</v>
      </c>
      <c r="S106" s="11" t="n">
        <v>3.31254827612787</v>
      </c>
      <c r="T106" s="11" t="n">
        <v>3.34841587056165</v>
      </c>
      <c r="U106" s="11" t="n">
        <v>3.38200638288475</v>
      </c>
      <c r="V106" s="11" t="n">
        <v>3.41350230966332</v>
      </c>
      <c r="W106" s="11" t="n">
        <v>3.4430687603004</v>
      </c>
      <c r="X106" s="11" t="n">
        <v>3.47085379244951</v>
      </c>
      <c r="Y106" s="11" t="n">
        <v>3.49698924389344</v>
      </c>
      <c r="Z106" s="11" t="n">
        <v>3.52159269616908</v>
      </c>
      <c r="AA106" s="11" t="n">
        <v>3.54476900093169</v>
      </c>
      <c r="AB106" s="11" t="n">
        <v>3.56661165602109</v>
      </c>
      <c r="AC106" s="11" t="n">
        <v>3.58720414751934</v>
      </c>
      <c r="AD106" s="11" t="n">
        <v>3.60662110679486</v>
      </c>
      <c r="AE106" s="11" t="n">
        <v>3.62492906790529</v>
      </c>
      <c r="AF106" s="11" t="n">
        <v>3.64218684891751</v>
      </c>
      <c r="AG106" s="11" t="n">
        <v>3.65844627108271</v>
      </c>
      <c r="AH106" s="11" t="n">
        <v>3.67375277675172</v>
      </c>
      <c r="AI106" s="11" t="n">
        <v>3.68814583271792</v>
      </c>
      <c r="AJ106" s="11" t="n">
        <v>3.70165948190692</v>
      </c>
      <c r="AK106" s="11" t="n">
        <v>3.71432288551713</v>
      </c>
    </row>
    <row r="107" customFormat="false" ht="15" hidden="false" customHeight="false" outlineLevel="0" collapsed="false">
      <c r="A107" s="10" t="n">
        <v>-18</v>
      </c>
      <c r="B107" s="8" t="n">
        <v>41466</v>
      </c>
      <c r="C107" s="11" t="n">
        <v>2.15516622525774</v>
      </c>
      <c r="D107" s="11" t="n">
        <v>2.27018613920064</v>
      </c>
      <c r="E107" s="11" t="n">
        <v>2.37757935955876</v>
      </c>
      <c r="F107" s="11" t="n">
        <v>2.47759244416624</v>
      </c>
      <c r="G107" s="11" t="n">
        <v>2.57054422152617</v>
      </c>
      <c r="H107" s="11" t="n">
        <v>2.65680648632609</v>
      </c>
      <c r="I107" s="11" t="n">
        <v>2.73678492080037</v>
      </c>
      <c r="J107" s="11" t="n">
        <v>2.81089807150196</v>
      </c>
      <c r="K107" s="11" t="n">
        <v>2.8795714776016</v>
      </c>
      <c r="L107" s="11" t="n">
        <v>2.9432251350813</v>
      </c>
      <c r="M107" s="11" t="n">
        <v>3.00225298010626</v>
      </c>
      <c r="N107" s="11" t="n">
        <v>3.05702324635675</v>
      </c>
      <c r="O107" s="11" t="n">
        <v>3.10788303953344</v>
      </c>
      <c r="P107" s="11" t="n">
        <v>3.15516197921149</v>
      </c>
      <c r="Q107" s="11" t="n">
        <v>3.19917326236859</v>
      </c>
      <c r="R107" s="11" t="n">
        <v>3.24020412293895</v>
      </c>
      <c r="S107" s="11" t="n">
        <v>3.27851167591029</v>
      </c>
      <c r="T107" s="11" t="n">
        <v>3.31432632785744</v>
      </c>
      <c r="U107" s="11" t="n">
        <v>3.3478552093142</v>
      </c>
      <c r="V107" s="11" t="n">
        <v>3.37928547370543</v>
      </c>
      <c r="W107" s="11" t="n">
        <v>3.40878665997659</v>
      </c>
      <c r="X107" s="11" t="n">
        <v>3.43651022244512</v>
      </c>
      <c r="Y107" s="11" t="n">
        <v>3.4625899361956</v>
      </c>
      <c r="Z107" s="11" t="n">
        <v>3.4871440343814</v>
      </c>
      <c r="AA107" s="11" t="n">
        <v>3.51027700732528</v>
      </c>
      <c r="AB107" s="11" t="n">
        <v>3.53208118056976</v>
      </c>
      <c r="AC107" s="11" t="n">
        <v>3.55263815783865</v>
      </c>
      <c r="AD107" s="11" t="n">
        <v>3.57202006415824</v>
      </c>
      <c r="AE107" s="11" t="n">
        <v>3.59029049985685</v>
      </c>
      <c r="AF107" s="11" t="n">
        <v>3.60750523434284</v>
      </c>
      <c r="AG107" s="11" t="n">
        <v>3.62371300232248</v>
      </c>
      <c r="AH107" s="11" t="n">
        <v>3.63895628313658</v>
      </c>
      <c r="AI107" s="11" t="n">
        <v>3.65327201626582</v>
      </c>
      <c r="AJ107" s="11" t="n">
        <v>3.66669218064123</v>
      </c>
      <c r="AK107" s="11" t="n">
        <v>3.67924429075576</v>
      </c>
    </row>
    <row r="108" customFormat="false" ht="15" hidden="false" customHeight="false" outlineLevel="0" collapsed="false">
      <c r="A108" s="10" t="n">
        <v>-17</v>
      </c>
      <c r="B108" s="8" t="n">
        <v>41467</v>
      </c>
      <c r="C108" s="11" t="n">
        <v>2.09694727283898</v>
      </c>
      <c r="D108" s="11" t="n">
        <v>2.21051331284939</v>
      </c>
      <c r="E108" s="11" t="n">
        <v>2.31682013122712</v>
      </c>
      <c r="F108" s="11" t="n">
        <v>2.41608523025831</v>
      </c>
      <c r="G108" s="11" t="n">
        <v>2.50859709156273</v>
      </c>
      <c r="H108" s="11" t="n">
        <v>2.59469714819527</v>
      </c>
      <c r="I108" s="11" t="n">
        <v>2.6747610703598</v>
      </c>
      <c r="J108" s="11" t="n">
        <v>2.7491788235551</v>
      </c>
      <c r="K108" s="11" t="n">
        <v>2.81834880893496</v>
      </c>
      <c r="L108" s="11" t="n">
        <v>2.88266476247587</v>
      </c>
      <c r="M108" s="11" t="n">
        <v>2.94249531927086</v>
      </c>
      <c r="N108" s="11" t="n">
        <v>2.99818442241141</v>
      </c>
      <c r="O108" s="11" t="n">
        <v>3.0500557200034</v>
      </c>
      <c r="P108" s="11" t="n">
        <v>3.09841606299344</v>
      </c>
      <c r="Q108" s="11" t="n">
        <v>3.14355633034706</v>
      </c>
      <c r="R108" s="11" t="n">
        <v>3.18574155772331</v>
      </c>
      <c r="S108" s="11" t="n">
        <v>3.22520709295348</v>
      </c>
      <c r="T108" s="11" t="n">
        <v>3.26216334595595</v>
      </c>
      <c r="U108" s="11" t="n">
        <v>3.29679987313242</v>
      </c>
      <c r="V108" s="11" t="n">
        <v>3.32928837708753</v>
      </c>
      <c r="W108" s="11" t="n">
        <v>3.35978491928596</v>
      </c>
      <c r="X108" s="11" t="n">
        <v>3.3884302655571</v>
      </c>
      <c r="Y108" s="11" t="n">
        <v>3.415350717259</v>
      </c>
      <c r="Z108" s="11" t="n">
        <v>3.44065985076162</v>
      </c>
      <c r="AA108" s="11" t="n">
        <v>3.46445975953287</v>
      </c>
      <c r="AB108" s="11" t="n">
        <v>3.48684222531158</v>
      </c>
      <c r="AC108" s="11" t="n">
        <v>3.50788993411515</v>
      </c>
      <c r="AD108" s="11" t="n">
        <v>3.527677526481</v>
      </c>
      <c r="AE108" s="11" t="n">
        <v>3.54627227530465</v>
      </c>
      <c r="AF108" s="11" t="n">
        <v>3.56373443532064</v>
      </c>
      <c r="AG108" s="11" t="n">
        <v>3.58011790242428</v>
      </c>
      <c r="AH108" s="11" t="n">
        <v>3.59547075781427</v>
      </c>
      <c r="AI108" s="11" t="n">
        <v>3.60983561301627</v>
      </c>
      <c r="AJ108" s="11" t="n">
        <v>3.62325011310968</v>
      </c>
      <c r="AK108" s="11" t="n">
        <v>3.6357474331822</v>
      </c>
    </row>
    <row r="109" customFormat="false" ht="15" hidden="false" customHeight="false" outlineLevel="0" collapsed="false">
      <c r="A109" s="10" t="n">
        <v>-16</v>
      </c>
      <c r="B109" s="8" t="n">
        <v>41470</v>
      </c>
      <c r="C109" s="11" t="n">
        <v>2.11786190792264</v>
      </c>
      <c r="D109" s="11" t="n">
        <v>2.23170210916114</v>
      </c>
      <c r="E109" s="11" t="n">
        <v>2.33821908704195</v>
      </c>
      <c r="F109" s="11" t="n">
        <v>2.43763079202865</v>
      </c>
      <c r="G109" s="11" t="n">
        <v>2.53022915968112</v>
      </c>
      <c r="H109" s="11" t="n">
        <v>2.61636143471299</v>
      </c>
      <c r="I109" s="11" t="n">
        <v>2.69641079091925</v>
      </c>
      <c r="J109" s="11" t="n">
        <v>2.77077593113416</v>
      </c>
      <c r="K109" s="11" t="n">
        <v>2.83986494808369</v>
      </c>
      <c r="L109" s="11" t="n">
        <v>2.90408117757614</v>
      </c>
      <c r="M109" s="11" t="n">
        <v>2.96380145637497</v>
      </c>
      <c r="N109" s="11" t="n">
        <v>3.01937658828734</v>
      </c>
      <c r="O109" s="11" t="n">
        <v>3.07113598076105</v>
      </c>
      <c r="P109" s="11" t="n">
        <v>3.11939133230106</v>
      </c>
      <c r="Q109" s="11" t="n">
        <v>3.16443737731351</v>
      </c>
      <c r="R109" s="11" t="n">
        <v>3.20654091017208</v>
      </c>
      <c r="S109" s="11" t="n">
        <v>3.24593668945862</v>
      </c>
      <c r="T109" s="11" t="n">
        <v>3.28283331309696</v>
      </c>
      <c r="U109" s="11" t="n">
        <v>3.31741798908703</v>
      </c>
      <c r="V109" s="11" t="n">
        <v>3.34985963625945</v>
      </c>
      <c r="W109" s="11" t="n">
        <v>3.38031122638788</v>
      </c>
      <c r="X109" s="11" t="n">
        <v>3.40891064681151</v>
      </c>
      <c r="Y109" s="11" t="n">
        <v>3.4357818319793</v>
      </c>
      <c r="Z109" s="11" t="n">
        <v>3.4610364686058</v>
      </c>
      <c r="AA109" s="11" t="n">
        <v>3.48477526911777</v>
      </c>
      <c r="AB109" s="11" t="n">
        <v>3.50708914266546</v>
      </c>
      <c r="AC109" s="11" t="n">
        <v>3.52806035388139</v>
      </c>
      <c r="AD109" s="11" t="n">
        <v>3.54776352009062</v>
      </c>
      <c r="AE109" s="11" t="n">
        <v>3.56626623141483</v>
      </c>
      <c r="AF109" s="11" t="n">
        <v>3.58362934361152</v>
      </c>
      <c r="AG109" s="11" t="n">
        <v>3.59990760147162</v>
      </c>
      <c r="AH109" s="11" t="n">
        <v>3.61515008243838</v>
      </c>
      <c r="AI109" s="11" t="n">
        <v>3.62940038471151</v>
      </c>
      <c r="AJ109" s="11" t="n">
        <v>3.64269710278012</v>
      </c>
      <c r="AK109" s="11" t="n">
        <v>3.65507432751941</v>
      </c>
    </row>
    <row r="110" customFormat="false" ht="15" hidden="false" customHeight="false" outlineLevel="0" collapsed="false">
      <c r="A110" s="10" t="n">
        <v>-15</v>
      </c>
      <c r="B110" s="8" t="n">
        <v>41471</v>
      </c>
      <c r="C110" s="11" t="n">
        <v>2.04731822631321</v>
      </c>
      <c r="D110" s="11" t="n">
        <v>2.16229091589766</v>
      </c>
      <c r="E110" s="11" t="n">
        <v>2.27011959494881</v>
      </c>
      <c r="F110" s="11" t="n">
        <v>2.37100062107503</v>
      </c>
      <c r="G110" s="11" t="n">
        <v>2.46520810782312</v>
      </c>
      <c r="H110" s="11" t="n">
        <v>2.55307406105978</v>
      </c>
      <c r="I110" s="11" t="n">
        <v>2.63496698428643</v>
      </c>
      <c r="J110" s="11" t="n">
        <v>2.71126889919601</v>
      </c>
      <c r="K110" s="11" t="n">
        <v>2.7823691936707</v>
      </c>
      <c r="L110" s="11" t="n">
        <v>2.84865142305652</v>
      </c>
      <c r="M110" s="11" t="n">
        <v>2.91047304075897</v>
      </c>
      <c r="N110" s="11" t="n">
        <v>2.96816609626335</v>
      </c>
      <c r="O110" s="11" t="n">
        <v>3.02204176087597</v>
      </c>
      <c r="P110" s="11" t="n">
        <v>3.07239392582007</v>
      </c>
      <c r="Q110" s="11" t="n">
        <v>3.11950009785041</v>
      </c>
      <c r="R110" s="11" t="n">
        <v>3.16361188757647</v>
      </c>
      <c r="S110" s="11" t="n">
        <v>3.20495169362854</v>
      </c>
      <c r="T110" s="11" t="n">
        <v>3.24371831513613</v>
      </c>
      <c r="U110" s="11" t="n">
        <v>3.28009140256766</v>
      </c>
      <c r="V110" s="11" t="n">
        <v>3.3142342402003</v>
      </c>
      <c r="W110" s="11" t="n">
        <v>3.34629585885757</v>
      </c>
      <c r="X110" s="11" t="n">
        <v>3.37641193082402</v>
      </c>
      <c r="Y110" s="11" t="n">
        <v>3.40470585477186</v>
      </c>
      <c r="Z110" s="11" t="n">
        <v>3.43129019385241</v>
      </c>
      <c r="AA110" s="11" t="n">
        <v>3.4562673879389</v>
      </c>
      <c r="AB110" s="11" t="n">
        <v>3.47973057589187</v>
      </c>
      <c r="AC110" s="11" t="n">
        <v>3.50176468275416</v>
      </c>
      <c r="AD110" s="11" t="n">
        <v>3.52244736415957</v>
      </c>
      <c r="AE110" s="11" t="n">
        <v>3.54184950576307</v>
      </c>
      <c r="AF110" s="11" t="n">
        <v>3.56003534284041</v>
      </c>
      <c r="AG110" s="11" t="n">
        <v>3.57706304587512</v>
      </c>
      <c r="AH110" s="11" t="n">
        <v>3.59298515599193</v>
      </c>
      <c r="AI110" s="11" t="n">
        <v>3.60784876778422</v>
      </c>
      <c r="AJ110" s="11" t="n">
        <v>3.62169600237284</v>
      </c>
      <c r="AK110" s="11" t="n">
        <v>3.63456450449626</v>
      </c>
    </row>
    <row r="111" customFormat="false" ht="15" hidden="false" customHeight="false" outlineLevel="0" collapsed="false">
      <c r="A111" s="10" t="n">
        <v>-14</v>
      </c>
      <c r="B111" s="8" t="n">
        <v>41472</v>
      </c>
      <c r="C111" s="11" t="n">
        <v>2.0653384592804</v>
      </c>
      <c r="D111" s="11" t="n">
        <v>2.18308023900351</v>
      </c>
      <c r="E111" s="11" t="n">
        <v>2.29327574449963</v>
      </c>
      <c r="F111" s="11" t="n">
        <v>2.39613708315883</v>
      </c>
      <c r="G111" s="11" t="n">
        <v>2.49196245378022</v>
      </c>
      <c r="H111" s="11" t="n">
        <v>2.58111333456475</v>
      </c>
      <c r="I111" s="11" t="n">
        <v>2.66399042862492</v>
      </c>
      <c r="J111" s="11" t="n">
        <v>2.74100768493884</v>
      </c>
      <c r="K111" s="11" t="n">
        <v>2.81258574302016</v>
      </c>
      <c r="L111" s="11" t="n">
        <v>2.87913802219578</v>
      </c>
      <c r="M111" s="11" t="n">
        <v>2.94104944943382</v>
      </c>
      <c r="N111" s="11" t="n">
        <v>2.99867741462959</v>
      </c>
      <c r="O111" s="11" t="n">
        <v>3.05235667742999</v>
      </c>
      <c r="P111" s="11" t="n">
        <v>3.1024032671198</v>
      </c>
      <c r="Q111" s="11" t="n">
        <v>3.14911545995104</v>
      </c>
      <c r="R111" s="11" t="n">
        <v>3.19276369586291</v>
      </c>
      <c r="S111" s="11" t="n">
        <v>3.2335871249524</v>
      </c>
      <c r="T111" s="11" t="n">
        <v>3.27179924702055</v>
      </c>
      <c r="U111" s="11" t="n">
        <v>3.30759247914892</v>
      </c>
      <c r="V111" s="11" t="n">
        <v>3.34114120482303</v>
      </c>
      <c r="W111" s="11" t="n">
        <v>3.37260404653224</v>
      </c>
      <c r="X111" s="11" t="n">
        <v>3.40212452463633</v>
      </c>
      <c r="Y111" s="11" t="n">
        <v>3.42983209625974</v>
      </c>
      <c r="Z111" s="11" t="n">
        <v>3.45584381816577</v>
      </c>
      <c r="AA111" s="11" t="n">
        <v>3.48026531498614</v>
      </c>
      <c r="AB111" s="11" t="n">
        <v>3.50319180431638</v>
      </c>
      <c r="AC111" s="11" t="n">
        <v>3.52470931801819</v>
      </c>
      <c r="AD111" s="11" t="n">
        <v>3.54489576144807</v>
      </c>
      <c r="AE111" s="11" t="n">
        <v>3.56382157135704</v>
      </c>
      <c r="AF111" s="11" t="n">
        <v>3.58155003759707</v>
      </c>
      <c r="AG111" s="11" t="n">
        <v>3.59813797239909</v>
      </c>
      <c r="AH111" s="11" t="n">
        <v>3.61363627272229</v>
      </c>
      <c r="AI111" s="11" t="n">
        <v>3.62809029560255</v>
      </c>
      <c r="AJ111" s="11" t="n">
        <v>3.64154037476561</v>
      </c>
      <c r="AK111" s="11" t="n">
        <v>3.65402232281484</v>
      </c>
    </row>
    <row r="112" customFormat="false" ht="15" hidden="false" customHeight="false" outlineLevel="0" collapsed="false">
      <c r="A112" s="10" t="n">
        <v>-13</v>
      </c>
      <c r="B112" s="8" t="n">
        <v>41473</v>
      </c>
      <c r="C112" s="11" t="n">
        <v>2.02992176156036</v>
      </c>
      <c r="D112" s="11" t="n">
        <v>2.14873424280213</v>
      </c>
      <c r="E112" s="11" t="n">
        <v>2.2600905660994</v>
      </c>
      <c r="F112" s="11" t="n">
        <v>2.36417835787047</v>
      </c>
      <c r="G112" s="11" t="n">
        <v>2.46127530913495</v>
      </c>
      <c r="H112" s="11" t="n">
        <v>2.55172553865321</v>
      </c>
      <c r="I112" s="11" t="n">
        <v>2.6359153783379</v>
      </c>
      <c r="J112" s="11" t="n">
        <v>2.7142479439627</v>
      </c>
      <c r="K112" s="11" t="n">
        <v>2.78713609469968</v>
      </c>
      <c r="L112" s="11" t="n">
        <v>2.85498764469157</v>
      </c>
      <c r="M112" s="11" t="n">
        <v>2.91818346677653</v>
      </c>
      <c r="N112" s="11" t="n">
        <v>2.97707818122406</v>
      </c>
      <c r="O112" s="11" t="n">
        <v>3.03200483384891</v>
      </c>
      <c r="P112" s="11" t="n">
        <v>3.0832786135824</v>
      </c>
      <c r="Q112" s="11" t="n">
        <v>3.13119756965135</v>
      </c>
      <c r="R112" s="11" t="n">
        <v>3.17603193201799</v>
      </c>
      <c r="S112" s="11" t="n">
        <v>3.21802043387775</v>
      </c>
      <c r="T112" s="11" t="n">
        <v>3.25737588466805</v>
      </c>
      <c r="U112" s="11" t="n">
        <v>3.29428970922395</v>
      </c>
      <c r="V112" s="11" t="n">
        <v>3.32893503613428</v>
      </c>
      <c r="W112" s="11" t="n">
        <v>3.36146900308518</v>
      </c>
      <c r="X112" s="11" t="n">
        <v>3.39203344458602</v>
      </c>
      <c r="Y112" s="11" t="n">
        <v>3.42075596722855</v>
      </c>
      <c r="Z112" s="11" t="n">
        <v>3.44775167338197</v>
      </c>
      <c r="AA112" s="11" t="n">
        <v>3.47312438580362</v>
      </c>
      <c r="AB112" s="11" t="n">
        <v>3.49696781108902</v>
      </c>
      <c r="AC112" s="11" t="n">
        <v>3.51936673403399</v>
      </c>
      <c r="AD112" s="11" t="n">
        <v>3.54039804871008</v>
      </c>
      <c r="AE112" s="11" t="n">
        <v>3.56013146950043</v>
      </c>
      <c r="AF112" s="11" t="n">
        <v>3.57862997792017</v>
      </c>
      <c r="AG112" s="11" t="n">
        <v>3.59595047988156</v>
      </c>
      <c r="AH112" s="11" t="n">
        <v>3.61214432985203</v>
      </c>
      <c r="AI112" s="11" t="n">
        <v>3.62725767960561</v>
      </c>
      <c r="AJ112" s="11" t="n">
        <v>3.6413319633425</v>
      </c>
      <c r="AK112" s="11" t="n">
        <v>3.65440436931929</v>
      </c>
    </row>
    <row r="113" customFormat="false" ht="15" hidden="false" customHeight="false" outlineLevel="0" collapsed="false">
      <c r="A113" s="10" t="n">
        <v>-12</v>
      </c>
      <c r="B113" s="8" t="n">
        <v>41474</v>
      </c>
      <c r="C113" s="11" t="n">
        <v>2.06560066586485</v>
      </c>
      <c r="D113" s="11" t="n">
        <v>2.1830582397762</v>
      </c>
      <c r="E113" s="11" t="n">
        <v>2.29326858926805</v>
      </c>
      <c r="F113" s="11" t="n">
        <v>2.39639727669947</v>
      </c>
      <c r="G113" s="11" t="n">
        <v>2.49269664365765</v>
      </c>
      <c r="H113" s="11" t="n">
        <v>2.58248317714656</v>
      </c>
      <c r="I113" s="11" t="n">
        <v>2.66611523462627</v>
      </c>
      <c r="J113" s="11" t="n">
        <v>2.74397070944376</v>
      </c>
      <c r="K113" s="11" t="n">
        <v>2.8164400825441</v>
      </c>
      <c r="L113" s="11" t="n">
        <v>2.88391170434867</v>
      </c>
      <c r="M113" s="11" t="n">
        <v>2.94675124511551</v>
      </c>
      <c r="N113" s="11" t="n">
        <v>3.00530211434043</v>
      </c>
      <c r="O113" s="11" t="n">
        <v>3.05988942873952</v>
      </c>
      <c r="P113" s="11" t="n">
        <v>3.11082316347573</v>
      </c>
      <c r="Q113" s="11" t="n">
        <v>3.15839847274647</v>
      </c>
      <c r="R113" s="11" t="n">
        <v>3.20288551885597</v>
      </c>
      <c r="S113" s="11" t="n">
        <v>3.24452596321735</v>
      </c>
      <c r="T113" s="11" t="n">
        <v>3.2835369271802</v>
      </c>
      <c r="U113" s="11" t="n">
        <v>3.32011457622459</v>
      </c>
      <c r="V113" s="11" t="n">
        <v>3.35443711221121</v>
      </c>
      <c r="W113" s="11" t="n">
        <v>3.38666687871355</v>
      </c>
      <c r="X113" s="11" t="n">
        <v>3.4169501727111</v>
      </c>
      <c r="Y113" s="11" t="n">
        <v>3.44541792358435</v>
      </c>
      <c r="Z113" s="11" t="n">
        <v>3.47218753835503</v>
      </c>
      <c r="AA113" s="11" t="n">
        <v>3.49736424080271</v>
      </c>
      <c r="AB113" s="11" t="n">
        <v>3.52104234489618</v>
      </c>
      <c r="AC113" s="11" t="n">
        <v>3.54330654418305</v>
      </c>
      <c r="AD113" s="11" t="n">
        <v>3.56423302417468</v>
      </c>
      <c r="AE113" s="11" t="n">
        <v>3.58389025706392</v>
      </c>
      <c r="AF113" s="11" t="n">
        <v>3.60233954501625</v>
      </c>
      <c r="AG113" s="11" t="n">
        <v>3.61963573865654</v>
      </c>
      <c r="AH113" s="11" t="n">
        <v>3.6358279094974</v>
      </c>
      <c r="AI113" s="11" t="n">
        <v>3.65095992695935</v>
      </c>
      <c r="AJ113" s="11" t="n">
        <v>3.66507098441931</v>
      </c>
      <c r="AK113" s="11" t="n">
        <v>3.67819606680387</v>
      </c>
    </row>
    <row r="114" customFormat="false" ht="15" hidden="false" customHeight="false" outlineLevel="0" collapsed="false">
      <c r="A114" s="10" t="n">
        <v>-11</v>
      </c>
      <c r="B114" s="8" t="n">
        <v>41477</v>
      </c>
      <c r="C114" s="11" t="n">
        <v>2.04333083221536</v>
      </c>
      <c r="D114" s="11" t="n">
        <v>2.15973657156665</v>
      </c>
      <c r="E114" s="11" t="n">
        <v>2.26912940989116</v>
      </c>
      <c r="F114" s="11" t="n">
        <v>2.37165062188219</v>
      </c>
      <c r="G114" s="11" t="n">
        <v>2.46752498617739</v>
      </c>
      <c r="H114" s="11" t="n">
        <v>2.55703924551926</v>
      </c>
      <c r="I114" s="11" t="n">
        <v>2.64052138046985</v>
      </c>
      <c r="J114" s="11" t="n">
        <v>2.71832035909942</v>
      </c>
      <c r="K114" s="11" t="n">
        <v>2.79079930299743</v>
      </c>
      <c r="L114" s="11" t="n">
        <v>2.85832160103911</v>
      </c>
      <c r="M114" s="11" t="n">
        <v>2.92123209234492</v>
      </c>
      <c r="N114" s="11" t="n">
        <v>2.97985716348963</v>
      </c>
      <c r="O114" s="11" t="n">
        <v>3.03450803769081</v>
      </c>
      <c r="P114" s="11" t="n">
        <v>3.08548338654594</v>
      </c>
      <c r="Q114" s="11" t="n">
        <v>3.13306943394956</v>
      </c>
      <c r="R114" s="11" t="n">
        <v>3.17753078790021</v>
      </c>
      <c r="S114" s="11" t="n">
        <v>3.21910716186136</v>
      </c>
      <c r="T114" s="11" t="n">
        <v>3.25801604542428</v>
      </c>
      <c r="U114" s="11" t="n">
        <v>3.29445548301034</v>
      </c>
      <c r="V114" s="11" t="n">
        <v>3.32860683032316</v>
      </c>
      <c r="W114" s="11" t="n">
        <v>3.36063660007058</v>
      </c>
      <c r="X114" s="11" t="n">
        <v>3.39069568271907</v>
      </c>
      <c r="Y114" s="11" t="n">
        <v>3.4189197112276</v>
      </c>
      <c r="Z114" s="11" t="n">
        <v>3.44543083252195</v>
      </c>
      <c r="AA114" s="11" t="n">
        <v>3.47033876141925</v>
      </c>
      <c r="AB114" s="11" t="n">
        <v>3.49374191928026</v>
      </c>
      <c r="AC114" s="11" t="n">
        <v>3.51572876208373</v>
      </c>
      <c r="AD114" s="11" t="n">
        <v>3.53637892853508</v>
      </c>
      <c r="AE114" s="11" t="n">
        <v>3.55576395552757</v>
      </c>
      <c r="AF114" s="11" t="n">
        <v>3.57394766232663</v>
      </c>
      <c r="AG114" s="11" t="n">
        <v>3.59098689164675</v>
      </c>
      <c r="AH114" s="11" t="n">
        <v>3.60693225454578</v>
      </c>
      <c r="AI114" s="11" t="n">
        <v>3.62182878480607</v>
      </c>
      <c r="AJ114" s="11" t="n">
        <v>3.63571650903485</v>
      </c>
      <c r="AK114" s="11" t="n">
        <v>3.64863094738391</v>
      </c>
    </row>
    <row r="115" customFormat="false" ht="15" hidden="false" customHeight="false" outlineLevel="0" collapsed="false">
      <c r="A115" s="10" t="n">
        <v>-10</v>
      </c>
      <c r="B115" s="8" t="n">
        <v>41478</v>
      </c>
      <c r="C115" s="11" t="n">
        <v>2.08323326426137</v>
      </c>
      <c r="D115" s="11" t="n">
        <v>2.1991380843016</v>
      </c>
      <c r="E115" s="11" t="n">
        <v>2.30810965821067</v>
      </c>
      <c r="F115" s="11" t="n">
        <v>2.41030621903116</v>
      </c>
      <c r="G115" s="11" t="n">
        <v>2.50596091792661</v>
      </c>
      <c r="H115" s="11" t="n">
        <v>2.59536251886348</v>
      </c>
      <c r="I115" s="11" t="n">
        <v>2.67883695203766</v>
      </c>
      <c r="J115" s="11" t="n">
        <v>2.75672948719403</v>
      </c>
      <c r="K115" s="11" t="n">
        <v>2.82939852934503</v>
      </c>
      <c r="L115" s="11" t="n">
        <v>2.89720186922759</v>
      </c>
      <c r="M115" s="11" t="n">
        <v>2.96047814689656</v>
      </c>
      <c r="N115" s="11" t="n">
        <v>3.01954712616894</v>
      </c>
      <c r="O115" s="11" t="n">
        <v>3.07471305997065</v>
      </c>
      <c r="P115" s="11" t="n">
        <v>3.12626736166785</v>
      </c>
      <c r="Q115" s="11" t="n">
        <v>3.17448867439794</v>
      </c>
      <c r="R115" s="11" t="n">
        <v>3.21963345451829</v>
      </c>
      <c r="S115" s="11" t="n">
        <v>3.26193277679735</v>
      </c>
      <c r="T115" s="11" t="n">
        <v>3.30159559785234</v>
      </c>
      <c r="U115" s="11" t="n">
        <v>3.33881182725944</v>
      </c>
      <c r="V115" s="11" t="n">
        <v>3.37375504047451</v>
      </c>
      <c r="W115" s="11" t="n">
        <v>3.40658433040275</v>
      </c>
      <c r="X115" s="11" t="n">
        <v>3.43744383931579</v>
      </c>
      <c r="Y115" s="11" t="n">
        <v>3.46646327122331</v>
      </c>
      <c r="Z115" s="11" t="n">
        <v>3.49375956014564</v>
      </c>
      <c r="AA115" s="11" t="n">
        <v>3.51943778675265</v>
      </c>
      <c r="AB115" s="11" t="n">
        <v>3.5435922227393</v>
      </c>
      <c r="AC115" s="11" t="n">
        <v>3.56630760053174</v>
      </c>
      <c r="AD115" s="11" t="n">
        <v>3.58766021124771</v>
      </c>
      <c r="AE115" s="11" t="n">
        <v>3.60771856753147</v>
      </c>
      <c r="AF115" s="11" t="n">
        <v>3.62654374038149</v>
      </c>
      <c r="AG115" s="11" t="n">
        <v>3.6441900725877</v>
      </c>
      <c r="AH115" s="11" t="n">
        <v>3.66070597927406</v>
      </c>
      <c r="AI115" s="11" t="n">
        <v>3.67613471589628</v>
      </c>
      <c r="AJ115" s="11" t="n">
        <v>3.69051493274827</v>
      </c>
      <c r="AK115" s="11" t="n">
        <v>3.70388113553582</v>
      </c>
    </row>
    <row r="116" customFormat="false" ht="15" hidden="false" customHeight="false" outlineLevel="0" collapsed="false">
      <c r="A116" s="10" t="n">
        <v>-9</v>
      </c>
      <c r="B116" s="8" t="n">
        <v>41479</v>
      </c>
      <c r="C116" s="11" t="n">
        <v>2.16956138354919</v>
      </c>
      <c r="D116" s="11" t="n">
        <v>2.28696053654835</v>
      </c>
      <c r="E116" s="11" t="n">
        <v>2.39686936831281</v>
      </c>
      <c r="F116" s="11" t="n">
        <v>2.4994808564903</v>
      </c>
      <c r="G116" s="11" t="n">
        <v>2.59506769793012</v>
      </c>
      <c r="H116" s="11" t="n">
        <v>2.68396139106789</v>
      </c>
      <c r="I116" s="11" t="n">
        <v>2.76653246648004</v>
      </c>
      <c r="J116" s="11" t="n">
        <v>2.84317137982096</v>
      </c>
      <c r="K116" s="11" t="n">
        <v>2.91428201222071</v>
      </c>
      <c r="L116" s="11" t="n">
        <v>2.98026700854005</v>
      </c>
      <c r="M116" s="11" t="n">
        <v>3.04150816800798</v>
      </c>
      <c r="N116" s="11" t="n">
        <v>3.0983668719543</v>
      </c>
      <c r="O116" s="11" t="n">
        <v>3.15118772457138</v>
      </c>
      <c r="P116" s="11" t="n">
        <v>3.20030144207462</v>
      </c>
      <c r="Q116" s="11" t="n">
        <v>3.24602492618127</v>
      </c>
      <c r="R116" s="11" t="n">
        <v>3.28865124431529</v>
      </c>
      <c r="S116" s="11" t="n">
        <v>3.32844601633358</v>
      </c>
      <c r="T116" s="11" t="n">
        <v>3.36564923006887</v>
      </c>
      <c r="U116" s="11" t="n">
        <v>3.40047782102921</v>
      </c>
      <c r="V116" s="11" t="n">
        <v>3.43312891578933</v>
      </c>
      <c r="W116" s="11" t="n">
        <v>3.46378187170969</v>
      </c>
      <c r="X116" s="11" t="n">
        <v>3.4925965991983</v>
      </c>
      <c r="Y116" s="11" t="n">
        <v>3.51971370296458</v>
      </c>
      <c r="Z116" s="11" t="n">
        <v>3.54525676635346</v>
      </c>
      <c r="AA116" s="11" t="n">
        <v>3.56933398957387</v>
      </c>
      <c r="AB116" s="11" t="n">
        <v>3.59203978023778</v>
      </c>
      <c r="AC116" s="11" t="n">
        <v>3.61345638342115</v>
      </c>
      <c r="AD116" s="11" t="n">
        <v>3.63365528884527</v>
      </c>
      <c r="AE116" s="11" t="n">
        <v>3.65269827079692</v>
      </c>
      <c r="AF116" s="11" t="n">
        <v>3.67063814714825</v>
      </c>
      <c r="AG116" s="11" t="n">
        <v>3.68751970915682</v>
      </c>
      <c r="AH116" s="11" t="n">
        <v>3.70338096930225</v>
      </c>
      <c r="AI116" s="11" t="n">
        <v>3.71825455703443</v>
      </c>
      <c r="AJ116" s="11" t="n">
        <v>3.73216839460444</v>
      </c>
      <c r="AK116" s="11" t="n">
        <v>3.74514616802772</v>
      </c>
    </row>
    <row r="117" customFormat="false" ht="15" hidden="false" customHeight="false" outlineLevel="0" collapsed="false">
      <c r="A117" s="10" t="n">
        <v>-8</v>
      </c>
      <c r="B117" s="8" t="n">
        <v>41480</v>
      </c>
      <c r="C117" s="11" t="n">
        <v>2.1673300014879</v>
      </c>
      <c r="D117" s="11" t="n">
        <v>2.28538702547571</v>
      </c>
      <c r="E117" s="11" t="n">
        <v>2.39569811819575</v>
      </c>
      <c r="F117" s="11" t="n">
        <v>2.49846179774726</v>
      </c>
      <c r="G117" s="11" t="n">
        <v>2.59396393052439</v>
      </c>
      <c r="H117" s="11" t="n">
        <v>2.68255485814386</v>
      </c>
      <c r="I117" s="11" t="n">
        <v>2.76462864348729</v>
      </c>
      <c r="J117" s="11" t="n">
        <v>2.84060357119945</v>
      </c>
      <c r="K117" s="11" t="n">
        <v>2.9109147840575</v>
      </c>
      <c r="L117" s="11" t="n">
        <v>2.97599681839495</v>
      </c>
      <c r="M117" s="11" t="n">
        <v>3.03626064441586</v>
      </c>
      <c r="N117" s="11" t="n">
        <v>3.09209409507533</v>
      </c>
      <c r="O117" s="11" t="n">
        <v>3.14386599208525</v>
      </c>
      <c r="P117" s="11" t="n">
        <v>3.19192941901545</v>
      </c>
      <c r="Q117" s="11" t="n">
        <v>3.23662150276939</v>
      </c>
      <c r="R117" s="11" t="n">
        <v>3.27825067599141</v>
      </c>
      <c r="S117" s="11" t="n">
        <v>3.3170923584885</v>
      </c>
      <c r="T117" s="11" t="n">
        <v>3.35339253652769</v>
      </c>
      <c r="U117" s="11" t="n">
        <v>3.38737147403372</v>
      </c>
      <c r="V117" s="11" t="n">
        <v>3.41922736146167</v>
      </c>
      <c r="W117" s="11" t="n">
        <v>3.44913872878403</v>
      </c>
      <c r="X117" s="11" t="n">
        <v>3.47726341289725</v>
      </c>
      <c r="Y117" s="11" t="n">
        <v>3.50373911993126</v>
      </c>
      <c r="Z117" s="11" t="n">
        <v>3.52868590180784</v>
      </c>
      <c r="AA117" s="11" t="n">
        <v>3.55220828865723</v>
      </c>
      <c r="AB117" s="11" t="n">
        <v>3.57439713886971</v>
      </c>
      <c r="AC117" s="11" t="n">
        <v>3.59533126493025</v>
      </c>
      <c r="AD117" s="11" t="n">
        <v>3.61507883231922</v>
      </c>
      <c r="AE117" s="11" t="n">
        <v>3.63369852427096</v>
      </c>
      <c r="AF117" s="11" t="n">
        <v>3.65124051696546</v>
      </c>
      <c r="AG117" s="11" t="n">
        <v>3.66774740475991</v>
      </c>
      <c r="AH117" s="11" t="n">
        <v>3.68325537788745</v>
      </c>
      <c r="AI117" s="11" t="n">
        <v>3.69779553130273</v>
      </c>
      <c r="AJ117" s="11" t="n">
        <v>3.71139450073039</v>
      </c>
      <c r="AK117" s="11" t="n">
        <v>3.72407490879698</v>
      </c>
    </row>
    <row r="118" customFormat="false" ht="15" hidden="false" customHeight="false" outlineLevel="0" collapsed="false">
      <c r="A118" s="10" t="n">
        <v>-7</v>
      </c>
      <c r="B118" s="8" t="n">
        <v>41481</v>
      </c>
      <c r="C118" s="11" t="n">
        <v>2.1030257855976</v>
      </c>
      <c r="D118" s="11" t="n">
        <v>2.22190206759699</v>
      </c>
      <c r="E118" s="11" t="n">
        <v>2.33328949730176</v>
      </c>
      <c r="F118" s="11" t="n">
        <v>2.43736850105303</v>
      </c>
      <c r="G118" s="11" t="n">
        <v>2.5344065321201</v>
      </c>
      <c r="H118" s="11" t="n">
        <v>2.624735367155</v>
      </c>
      <c r="I118" s="11" t="n">
        <v>2.70872907009604</v>
      </c>
      <c r="J118" s="11" t="n">
        <v>2.78678307585565</v>
      </c>
      <c r="K118" s="11" t="n">
        <v>2.85930716842439</v>
      </c>
      <c r="L118" s="11" t="n">
        <v>2.92670845583773</v>
      </c>
      <c r="M118" s="11" t="n">
        <v>2.98936952701655</v>
      </c>
      <c r="N118" s="11" t="n">
        <v>3.04764933828958</v>
      </c>
      <c r="O118" s="11" t="n">
        <v>3.10188742932327</v>
      </c>
      <c r="P118" s="11" t="n">
        <v>3.15240726519504</v>
      </c>
      <c r="Q118" s="11" t="n">
        <v>3.19951614339855</v>
      </c>
      <c r="R118" s="11" t="n">
        <v>3.24349348022149</v>
      </c>
      <c r="S118" s="11" t="n">
        <v>3.28458755113161</v>
      </c>
      <c r="T118" s="11" t="n">
        <v>3.3230206902088</v>
      </c>
      <c r="U118" s="11" t="n">
        <v>3.35899352787835</v>
      </c>
      <c r="V118" s="11" t="n">
        <v>3.39268810688854</v>
      </c>
      <c r="W118" s="11" t="n">
        <v>3.42427010343445</v>
      </c>
      <c r="X118" s="11" t="n">
        <v>3.45388908590478</v>
      </c>
      <c r="Y118" s="11" t="n">
        <v>3.48167953110236</v>
      </c>
      <c r="Z118" s="11" t="n">
        <v>3.50776263539057</v>
      </c>
      <c r="AA118" s="11" t="n">
        <v>3.53224754979598</v>
      </c>
      <c r="AB118" s="11" t="n">
        <v>3.55523261275667</v>
      </c>
      <c r="AC118" s="11" t="n">
        <v>3.57680662823444</v>
      </c>
      <c r="AD118" s="11" t="n">
        <v>3.59704996185747</v>
      </c>
      <c r="AE118" s="11" t="n">
        <v>3.6160352021336</v>
      </c>
      <c r="AF118" s="11" t="n">
        <v>3.63382752581645</v>
      </c>
      <c r="AG118" s="11" t="n">
        <v>3.65048540996323</v>
      </c>
      <c r="AH118" s="11" t="n">
        <v>3.66606119004601</v>
      </c>
      <c r="AI118" s="11" t="n">
        <v>3.6806014420469</v>
      </c>
      <c r="AJ118" s="11" t="n">
        <v>3.69414752546455</v>
      </c>
      <c r="AK118" s="11" t="n">
        <v>3.70673610489739</v>
      </c>
    </row>
    <row r="119" customFormat="false" ht="15" hidden="false" customHeight="false" outlineLevel="0" collapsed="false">
      <c r="A119" s="10" t="n">
        <v>-6</v>
      </c>
      <c r="B119" s="8" t="n">
        <v>41484</v>
      </c>
      <c r="C119" s="11" t="n">
        <v>2.09950866702119</v>
      </c>
      <c r="D119" s="11" t="n">
        <v>2.21812200136832</v>
      </c>
      <c r="E119" s="11" t="n">
        <v>2.32942233267131</v>
      </c>
      <c r="F119" s="11" t="n">
        <v>2.43355624897448</v>
      </c>
      <c r="G119" s="11" t="n">
        <v>2.53075757321101</v>
      </c>
      <c r="H119" s="11" t="n">
        <v>2.6213253375133</v>
      </c>
      <c r="I119" s="11" t="n">
        <v>2.70560296913943</v>
      </c>
      <c r="J119" s="11" t="n">
        <v>2.78395927806328</v>
      </c>
      <c r="K119" s="11" t="n">
        <v>2.85678102761391</v>
      </c>
      <c r="L119" s="11" t="n">
        <v>2.92445588366389</v>
      </c>
      <c r="M119" s="11" t="n">
        <v>2.98735123414034</v>
      </c>
      <c r="N119" s="11" t="n">
        <v>3.04581455946505</v>
      </c>
      <c r="O119" s="11" t="n">
        <v>3.10017698389596</v>
      </c>
      <c r="P119" s="11" t="n">
        <v>3.15075608974269</v>
      </c>
      <c r="Q119" s="11" t="n">
        <v>3.19785549112758</v>
      </c>
      <c r="R119" s="11" t="n">
        <v>3.24175341650597</v>
      </c>
      <c r="S119" s="11" t="n">
        <v>3.28269939784277</v>
      </c>
      <c r="T119" s="11" t="n">
        <v>3.32091857771045</v>
      </c>
      <c r="U119" s="11" t="n">
        <v>3.35661541834959</v>
      </c>
      <c r="V119" s="11" t="n">
        <v>3.38997665981762</v>
      </c>
      <c r="W119" s="11" t="n">
        <v>3.42117336435814</v>
      </c>
      <c r="X119" s="11" t="n">
        <v>3.45036080726983</v>
      </c>
      <c r="Y119" s="11" t="n">
        <v>3.47767931071086</v>
      </c>
      <c r="Z119" s="11" t="n">
        <v>3.50325601849241</v>
      </c>
      <c r="AA119" s="11" t="n">
        <v>3.52720605078735</v>
      </c>
      <c r="AB119" s="11" t="n">
        <v>3.54963369992028</v>
      </c>
      <c r="AC119" s="11" t="n">
        <v>3.57063370918438</v>
      </c>
      <c r="AD119" s="11" t="n">
        <v>3.59029236838497</v>
      </c>
      <c r="AE119" s="11" t="n">
        <v>3.60868812922484</v>
      </c>
      <c r="AF119" s="11" t="n">
        <v>3.62589190469557</v>
      </c>
      <c r="AG119" s="11" t="n">
        <v>3.64196777759254</v>
      </c>
      <c r="AH119" s="11" t="n">
        <v>3.6569734357529</v>
      </c>
      <c r="AI119" s="11" t="n">
        <v>3.67096035828498</v>
      </c>
      <c r="AJ119" s="11" t="n">
        <v>3.68397436702712</v>
      </c>
      <c r="AK119" s="11" t="n">
        <v>3.69605619216347</v>
      </c>
    </row>
    <row r="120" customFormat="false" ht="15" hidden="false" customHeight="false" outlineLevel="0" collapsed="false">
      <c r="A120" s="10" t="n">
        <v>-5</v>
      </c>
      <c r="B120" s="8" t="n">
        <v>41485</v>
      </c>
      <c r="C120" s="11" t="n">
        <v>2.08556724513843</v>
      </c>
      <c r="D120" s="11" t="n">
        <v>2.20403320956993</v>
      </c>
      <c r="E120" s="11" t="n">
        <v>2.31533149647239</v>
      </c>
      <c r="F120" s="11" t="n">
        <v>2.41959274419124</v>
      </c>
      <c r="G120" s="11" t="n">
        <v>2.51703439739021</v>
      </c>
      <c r="H120" s="11" t="n">
        <v>2.60793909988094</v>
      </c>
      <c r="I120" s="11" t="n">
        <v>2.69263401885394</v>
      </c>
      <c r="J120" s="11" t="n">
        <v>2.77147212569839</v>
      </c>
      <c r="K120" s="11" t="n">
        <v>2.84482475781682</v>
      </c>
      <c r="L120" s="11" t="n">
        <v>2.91306487861015</v>
      </c>
      <c r="M120" s="11" t="n">
        <v>2.97654661481396</v>
      </c>
      <c r="N120" s="11" t="n">
        <v>3.03560554413633</v>
      </c>
      <c r="O120" s="11" t="n">
        <v>3.09056200447534</v>
      </c>
      <c r="P120" s="11" t="n">
        <v>3.14172371555548</v>
      </c>
      <c r="Q120" s="11" t="n">
        <v>3.18938531853464</v>
      </c>
      <c r="R120" s="11" t="n">
        <v>3.23381760579233</v>
      </c>
      <c r="S120" s="11" t="n">
        <v>3.27526445023963</v>
      </c>
      <c r="T120" s="11" t="n">
        <v>3.31394673100846</v>
      </c>
      <c r="U120" s="11" t="n">
        <v>3.350065763022</v>
      </c>
      <c r="V120" s="11" t="n">
        <v>3.38380609284726</v>
      </c>
      <c r="W120" s="11" t="n">
        <v>3.41533741040642</v>
      </c>
      <c r="X120" s="11" t="n">
        <v>3.44481435892942</v>
      </c>
      <c r="Y120" s="11" t="n">
        <v>3.47237730277391</v>
      </c>
      <c r="Z120" s="11" t="n">
        <v>3.49815400502318</v>
      </c>
      <c r="AA120" s="11" t="n">
        <v>3.52226065011733</v>
      </c>
      <c r="AB120" s="11" t="n">
        <v>3.54480295609361</v>
      </c>
      <c r="AC120" s="11" t="n">
        <v>3.56587740949823</v>
      </c>
      <c r="AD120" s="11" t="n">
        <v>3.58557232199726</v>
      </c>
      <c r="AE120" s="11" t="n">
        <v>3.60396837494293</v>
      </c>
      <c r="AF120" s="11" t="n">
        <v>3.62113883845783</v>
      </c>
      <c r="AG120" s="11" t="n">
        <v>3.63715025520965</v>
      </c>
      <c r="AH120" s="11" t="n">
        <v>3.65206281238331</v>
      </c>
      <c r="AI120" s="11" t="n">
        <v>3.66593044432431</v>
      </c>
      <c r="AJ120" s="11" t="n">
        <v>3.67880137625092</v>
      </c>
      <c r="AK120" s="11" t="n">
        <v>3.6907186950485</v>
      </c>
    </row>
    <row r="121" customFormat="false" ht="15" hidden="false" customHeight="false" outlineLevel="0" collapsed="false">
      <c r="A121" s="10" t="n">
        <v>-4</v>
      </c>
      <c r="B121" s="8" t="n">
        <v>41486</v>
      </c>
      <c r="C121" s="11" t="n">
        <v>2.12173646519224</v>
      </c>
      <c r="D121" s="11" t="n">
        <v>2.24204847511571</v>
      </c>
      <c r="E121" s="11" t="n">
        <v>2.35477284397496</v>
      </c>
      <c r="F121" s="11" t="n">
        <v>2.46005321522176</v>
      </c>
      <c r="G121" s="11" t="n">
        <v>2.55812745783033</v>
      </c>
      <c r="H121" s="11" t="n">
        <v>2.64930421353446</v>
      </c>
      <c r="I121" s="11" t="n">
        <v>2.73394052014143</v>
      </c>
      <c r="J121" s="11" t="n">
        <v>2.81242169615294</v>
      </c>
      <c r="K121" s="11" t="n">
        <v>2.88515323545843</v>
      </c>
      <c r="L121" s="11" t="n">
        <v>2.95254221337746</v>
      </c>
      <c r="M121" s="11" t="n">
        <v>3.01497479913033</v>
      </c>
      <c r="N121" s="11" t="n">
        <v>3.07281665379513</v>
      </c>
      <c r="O121" s="11" t="n">
        <v>3.12641658937672</v>
      </c>
      <c r="P121" s="11" t="n">
        <v>3.176109466568</v>
      </c>
      <c r="Q121" s="11" t="n">
        <v>3.22221556734525</v>
      </c>
      <c r="R121" s="11" t="n">
        <v>3.26502831552443</v>
      </c>
      <c r="S121" s="11" t="n">
        <v>3.30481080342195</v>
      </c>
      <c r="T121" s="11" t="n">
        <v>3.341800011457</v>
      </c>
      <c r="U121" s="11" t="n">
        <v>3.3762105901993</v>
      </c>
      <c r="V121" s="11" t="n">
        <v>3.4082380472798</v>
      </c>
      <c r="W121" s="11" t="n">
        <v>3.43806091041458</v>
      </c>
      <c r="X121" s="11" t="n">
        <v>3.46584044709888</v>
      </c>
      <c r="Y121" s="11" t="n">
        <v>3.49172153298188</v>
      </c>
      <c r="Z121" s="11" t="n">
        <v>3.51583472137546</v>
      </c>
      <c r="AA121" s="11" t="n">
        <v>3.53829813708443</v>
      </c>
      <c r="AB121" s="11" t="n">
        <v>3.55921904758194</v>
      </c>
      <c r="AC121" s="11" t="n">
        <v>3.57869515755991</v>
      </c>
      <c r="AD121" s="11" t="n">
        <v>3.59681571366996</v>
      </c>
      <c r="AE121" s="11" t="n">
        <v>3.6136623040718</v>
      </c>
      <c r="AF121" s="11" t="n">
        <v>3.62930944822983</v>
      </c>
      <c r="AG121" s="11" t="n">
        <v>3.64382530310202</v>
      </c>
      <c r="AH121" s="11" t="n">
        <v>3.65727192922381</v>
      </c>
      <c r="AI121" s="11" t="n">
        <v>3.66970526502295</v>
      </c>
      <c r="AJ121" s="11" t="n">
        <v>3.68117564167295</v>
      </c>
      <c r="AK121" s="11" t="n">
        <v>3.69172834369094</v>
      </c>
    </row>
    <row r="122" customFormat="false" ht="15" hidden="false" customHeight="false" outlineLevel="0" collapsed="false">
      <c r="A122" s="10" t="n">
        <v>-3</v>
      </c>
      <c r="B122" s="8" t="n">
        <v>41487</v>
      </c>
      <c r="C122" s="11" t="n">
        <v>2.17217989693718</v>
      </c>
      <c r="D122" s="11" t="n">
        <v>2.29382856901809</v>
      </c>
      <c r="E122" s="11" t="n">
        <v>2.4073149208914</v>
      </c>
      <c r="F122" s="11" t="n">
        <v>2.51280532778845</v>
      </c>
      <c r="G122" s="11" t="n">
        <v>2.61057078221178</v>
      </c>
      <c r="H122" s="11" t="n">
        <v>2.70096091269396</v>
      </c>
      <c r="I122" s="11" t="n">
        <v>2.78437996015063</v>
      </c>
      <c r="J122" s="11" t="n">
        <v>2.86126563670596</v>
      </c>
      <c r="K122" s="11" t="n">
        <v>2.93207990708709</v>
      </c>
      <c r="L122" s="11" t="n">
        <v>2.99728776075587</v>
      </c>
      <c r="M122" s="11" t="n">
        <v>3.05733197300917</v>
      </c>
      <c r="N122" s="11" t="n">
        <v>3.11263341283491</v>
      </c>
      <c r="O122" s="11" t="n">
        <v>3.16359495164169</v>
      </c>
      <c r="P122" s="11" t="n">
        <v>3.21060455712809</v>
      </c>
      <c r="Q122" s="11" t="n">
        <v>3.25403426613182</v>
      </c>
      <c r="R122" s="11" t="n">
        <v>3.29422559388593</v>
      </c>
      <c r="S122" s="11" t="n">
        <v>3.3314849589464</v>
      </c>
      <c r="T122" s="11" t="n">
        <v>3.36608630514654</v>
      </c>
      <c r="U122" s="11" t="n">
        <v>3.3982746239638</v>
      </c>
      <c r="V122" s="11" t="n">
        <v>3.42827004475398</v>
      </c>
      <c r="W122" s="11" t="n">
        <v>3.45627035002088</v>
      </c>
      <c r="X122" s="11" t="n">
        <v>3.48244919152451</v>
      </c>
      <c r="Y122" s="11" t="n">
        <v>3.50695668012292</v>
      </c>
      <c r="Z122" s="11" t="n">
        <v>3.52992246105103</v>
      </c>
      <c r="AA122" s="11" t="n">
        <v>3.55145903469018</v>
      </c>
      <c r="AB122" s="11" t="n">
        <v>3.57166425128855</v>
      </c>
      <c r="AC122" s="11" t="n">
        <v>3.59062306935648</v>
      </c>
      <c r="AD122" s="11" t="n">
        <v>3.60840906558709</v>
      </c>
      <c r="AE122" s="11" t="n">
        <v>3.62508596739048</v>
      </c>
      <c r="AF122" s="11" t="n">
        <v>3.64070912912353</v>
      </c>
      <c r="AG122" s="11" t="n">
        <v>3.65532651811718</v>
      </c>
      <c r="AH122" s="11" t="n">
        <v>3.66897978310564</v>
      </c>
      <c r="AI122" s="11" t="n">
        <v>3.68170536145101</v>
      </c>
      <c r="AJ122" s="11" t="n">
        <v>3.6935350845164</v>
      </c>
      <c r="AK122" s="11" t="n">
        <v>3.70449663834475</v>
      </c>
    </row>
    <row r="123" customFormat="false" ht="15" hidden="false" customHeight="false" outlineLevel="0" collapsed="false">
      <c r="A123" s="10" t="n">
        <v>-2</v>
      </c>
      <c r="B123" s="8" t="n">
        <v>41488</v>
      </c>
      <c r="C123" s="11" t="n">
        <v>2.20136276535007</v>
      </c>
      <c r="D123" s="11" t="n">
        <v>2.32119147018056</v>
      </c>
      <c r="E123" s="11" t="n">
        <v>2.4330675489007</v>
      </c>
      <c r="F123" s="11" t="n">
        <v>2.53715516558362</v>
      </c>
      <c r="G123" s="11" t="n">
        <v>2.63370918473636</v>
      </c>
      <c r="H123" s="11" t="n">
        <v>2.72305354305812</v>
      </c>
      <c r="I123" s="11" t="n">
        <v>2.80556219262008</v>
      </c>
      <c r="J123" s="11" t="n">
        <v>2.88164334577243</v>
      </c>
      <c r="K123" s="11" t="n">
        <v>2.95173080706586</v>
      </c>
      <c r="L123" s="11" t="n">
        <v>3.01626345989854</v>
      </c>
      <c r="M123" s="11" t="n">
        <v>3.07566192936313</v>
      </c>
      <c r="N123" s="11" t="n">
        <v>3.13032865826608</v>
      </c>
      <c r="O123" s="11" t="n">
        <v>3.18065115192165</v>
      </c>
      <c r="P123" s="11" t="n">
        <v>3.22700454232179</v>
      </c>
      <c r="Q123" s="11" t="n">
        <v>3.26975002397273</v>
      </c>
      <c r="R123" s="11" t="n">
        <v>3.30922009541492</v>
      </c>
      <c r="S123" s="11" t="n">
        <v>3.34571417872013</v>
      </c>
      <c r="T123" s="11" t="n">
        <v>3.37950147945579</v>
      </c>
      <c r="U123" s="11" t="n">
        <v>3.41082448058118</v>
      </c>
      <c r="V123" s="11" t="n">
        <v>3.43990272636248</v>
      </c>
      <c r="W123" s="11" t="n">
        <v>3.46693506009957</v>
      </c>
      <c r="X123" s="11" t="n">
        <v>3.49209776255762</v>
      </c>
      <c r="Y123" s="11" t="n">
        <v>3.51554510242451</v>
      </c>
      <c r="Z123" s="11" t="n">
        <v>3.53741214018673</v>
      </c>
      <c r="AA123" s="11" t="n">
        <v>3.55781744175477</v>
      </c>
      <c r="AB123" s="11" t="n">
        <v>3.57686524966478</v>
      </c>
      <c r="AC123" s="11" t="n">
        <v>3.5946471935599</v>
      </c>
      <c r="AD123" s="11" t="n">
        <v>3.61124375993361</v>
      </c>
      <c r="AE123" s="11" t="n">
        <v>3.62672562327851</v>
      </c>
      <c r="AF123" s="11" t="n">
        <v>3.64115483624714</v>
      </c>
      <c r="AG123" s="11" t="n">
        <v>3.65458578930397</v>
      </c>
      <c r="AH123" s="11" t="n">
        <v>3.6670661639715</v>
      </c>
      <c r="AI123" s="11" t="n">
        <v>3.6786378434342</v>
      </c>
      <c r="AJ123" s="11" t="n">
        <v>3.68933753745491</v>
      </c>
      <c r="AK123" s="11" t="n">
        <v>3.69919729974462</v>
      </c>
    </row>
    <row r="124" customFormat="false" ht="15" hidden="false" customHeight="false" outlineLevel="0" collapsed="false">
      <c r="A124" s="10" t="n">
        <v>-1</v>
      </c>
      <c r="B124" s="8" t="n">
        <v>41491</v>
      </c>
      <c r="C124" s="11" t="n">
        <v>2.25348396305497</v>
      </c>
      <c r="D124" s="11" t="n">
        <v>2.37229522900312</v>
      </c>
      <c r="E124" s="11" t="n">
        <v>2.48336481979529</v>
      </c>
      <c r="F124" s="11" t="n">
        <v>2.58683852855163</v>
      </c>
      <c r="G124" s="11" t="n">
        <v>2.68294199839321</v>
      </c>
      <c r="H124" s="11" t="n">
        <v>2.77196245204168</v>
      </c>
      <c r="I124" s="11" t="n">
        <v>2.85423420738574</v>
      </c>
      <c r="J124" s="11" t="n">
        <v>2.93012773640112</v>
      </c>
      <c r="K124" s="11" t="n">
        <v>3.00004130294507</v>
      </c>
      <c r="L124" s="11" t="n">
        <v>3.06438178576702</v>
      </c>
      <c r="M124" s="11" t="n">
        <v>3.12354347636755</v>
      </c>
      <c r="N124" s="11" t="n">
        <v>3.17790756252459</v>
      </c>
      <c r="O124" s="11" t="n">
        <v>3.22784446665064</v>
      </c>
      <c r="P124" s="11" t="n">
        <v>3.27371569055062</v>
      </c>
      <c r="Q124" s="11" t="n">
        <v>3.3158718472719</v>
      </c>
      <c r="R124" s="11" t="n">
        <v>3.35463843534321</v>
      </c>
      <c r="S124" s="11" t="n">
        <v>3.39031151030402</v>
      </c>
      <c r="T124" s="11" t="n">
        <v>3.42316007036772</v>
      </c>
      <c r="U124" s="11" t="n">
        <v>3.45342912281249</v>
      </c>
      <c r="V124" s="11" t="n">
        <v>3.48134307939895</v>
      </c>
      <c r="W124" s="11" t="n">
        <v>3.50710768238527</v>
      </c>
      <c r="X124" s="11" t="n">
        <v>3.53090799884055</v>
      </c>
      <c r="Y124" s="11" t="n">
        <v>3.55290881842011</v>
      </c>
      <c r="Z124" s="11" t="n">
        <v>3.57325713661353</v>
      </c>
      <c r="AA124" s="11" t="n">
        <v>3.59208419641426</v>
      </c>
      <c r="AB124" s="11" t="n">
        <v>3.60950731721037</v>
      </c>
      <c r="AC124" s="11" t="n">
        <v>3.62563154935289</v>
      </c>
      <c r="AD124" s="11" t="n">
        <v>3.64055108652631</v>
      </c>
      <c r="AE124" s="11" t="n">
        <v>3.65435020920791</v>
      </c>
      <c r="AF124" s="11" t="n">
        <v>3.66710394438278</v>
      </c>
      <c r="AG124" s="11" t="n">
        <v>3.67887899123072</v>
      </c>
      <c r="AH124" s="11" t="n">
        <v>3.6897343777418</v>
      </c>
      <c r="AI124" s="11" t="n">
        <v>3.69972191245731</v>
      </c>
      <c r="AJ124" s="11" t="n">
        <v>3.70888686738898</v>
      </c>
      <c r="AK124" s="11" t="n">
        <v>3.71726863163117</v>
      </c>
    </row>
    <row r="125" customFormat="false" ht="15" hidden="false" customHeight="false" outlineLevel="0" collapsed="false">
      <c r="A125" s="10" t="n">
        <v>0</v>
      </c>
      <c r="B125" s="8" t="n">
        <v>41492</v>
      </c>
      <c r="C125" s="11" t="n">
        <v>2.26198329219074</v>
      </c>
      <c r="D125" s="11" t="n">
        <v>2.37967631063276</v>
      </c>
      <c r="E125" s="11" t="n">
        <v>2.48961892141178</v>
      </c>
      <c r="F125" s="11" t="n">
        <v>2.59199908475188</v>
      </c>
      <c r="G125" s="11" t="n">
        <v>2.68707169719455</v>
      </c>
      <c r="H125" s="11" t="n">
        <v>2.77514332650114</v>
      </c>
      <c r="I125" s="11" t="n">
        <v>2.85655920416669</v>
      </c>
      <c r="J125" s="11" t="n">
        <v>2.93169302588682</v>
      </c>
      <c r="K125" s="11" t="n">
        <v>3.00094007291106</v>
      </c>
      <c r="L125" s="11" t="n">
        <v>3.06470020793419</v>
      </c>
      <c r="M125" s="11" t="n">
        <v>3.12335900253631</v>
      </c>
      <c r="N125" s="11" t="n">
        <v>3.17728780046823</v>
      </c>
      <c r="O125" s="11" t="n">
        <v>3.22684625703133</v>
      </c>
      <c r="P125" s="11" t="n">
        <v>3.27238434365938</v>
      </c>
      <c r="Q125" s="11" t="n">
        <v>3.31424088352973</v>
      </c>
      <c r="R125" s="11" t="n">
        <v>3.35273130229513</v>
      </c>
      <c r="S125" s="11" t="n">
        <v>3.38814397470488</v>
      </c>
      <c r="T125" s="11" t="n">
        <v>3.42074188297076</v>
      </c>
      <c r="U125" s="11" t="n">
        <v>3.450765251175</v>
      </c>
      <c r="V125" s="11" t="n">
        <v>3.47843475914452</v>
      </c>
      <c r="W125" s="11" t="n">
        <v>3.50395331309221</v>
      </c>
      <c r="X125" s="11" t="n">
        <v>3.52750393602578</v>
      </c>
      <c r="Y125" s="11" t="n">
        <v>3.54925009789828</v>
      </c>
      <c r="Z125" s="11" t="n">
        <v>3.56933809471347</v>
      </c>
      <c r="AA125" s="11" t="n">
        <v>3.58789894884604</v>
      </c>
      <c r="AB125" s="11" t="n">
        <v>3.60505014882513</v>
      </c>
      <c r="AC125" s="11" t="n">
        <v>3.62089725658737</v>
      </c>
      <c r="AD125" s="11" t="n">
        <v>3.63553527742991</v>
      </c>
      <c r="AE125" s="11" t="n">
        <v>3.64904952292192</v>
      </c>
      <c r="AF125" s="11" t="n">
        <v>3.66151618163883</v>
      </c>
      <c r="AG125" s="11" t="n">
        <v>3.67300321686727</v>
      </c>
      <c r="AH125" s="11" t="n">
        <v>3.6835709201222</v>
      </c>
      <c r="AI125" s="11" t="n">
        <v>3.69327222908107</v>
      </c>
      <c r="AJ125" s="11" t="n">
        <v>3.70215340456404</v>
      </c>
      <c r="AK125" s="11" t="n">
        <v>3.71025469816898</v>
      </c>
    </row>
    <row r="126" customFormat="false" ht="15" hidden="false" customHeight="false" outlineLevel="0" collapsed="false">
      <c r="A126" s="10" t="n">
        <v>1</v>
      </c>
      <c r="B126" s="8" t="n">
        <v>41493</v>
      </c>
      <c r="C126" s="11" t="n">
        <v>2.27013991160563</v>
      </c>
      <c r="D126" s="11" t="n">
        <v>2.38627683292642</v>
      </c>
      <c r="E126" s="11" t="n">
        <v>2.49484102124837</v>
      </c>
      <c r="F126" s="11" t="n">
        <v>2.59604138468488</v>
      </c>
      <c r="G126" s="11" t="n">
        <v>2.69013764127345</v>
      </c>
      <c r="H126" s="11" t="n">
        <v>2.77742932815564</v>
      </c>
      <c r="I126" s="11" t="n">
        <v>2.85824681298626</v>
      </c>
      <c r="J126" s="11" t="n">
        <v>2.93294467685351</v>
      </c>
      <c r="K126" s="11" t="n">
        <v>3.00189606707551</v>
      </c>
      <c r="L126" s="11" t="n">
        <v>3.06547789088203</v>
      </c>
      <c r="M126" s="11" t="n">
        <v>3.1240545482359</v>
      </c>
      <c r="N126" s="11" t="n">
        <v>3.17797804848562</v>
      </c>
      <c r="O126" s="11" t="n">
        <v>3.22759022197702</v>
      </c>
      <c r="P126" s="11" t="n">
        <v>3.27322446507891</v>
      </c>
      <c r="Q126" s="11" t="n">
        <v>3.31520441674041</v>
      </c>
      <c r="R126" s="11" t="n">
        <v>3.35383324657786</v>
      </c>
      <c r="S126" s="11" t="n">
        <v>3.38939035345519</v>
      </c>
      <c r="T126" s="11" t="n">
        <v>3.42213204455452</v>
      </c>
      <c r="U126" s="11" t="n">
        <v>3.45229359398899</v>
      </c>
      <c r="V126" s="11" t="n">
        <v>3.48009220339506</v>
      </c>
      <c r="W126" s="11" t="n">
        <v>3.50572852336503</v>
      </c>
      <c r="X126" s="11" t="n">
        <v>3.52938422898652</v>
      </c>
      <c r="Y126" s="11" t="n">
        <v>3.55122218296765</v>
      </c>
      <c r="Z126" s="11" t="n">
        <v>3.57138866458668</v>
      </c>
      <c r="AA126" s="11" t="n">
        <v>3.5900149437086</v>
      </c>
      <c r="AB126" s="11" t="n">
        <v>3.60721886546734</v>
      </c>
      <c r="AC126" s="11" t="n">
        <v>3.62310644077832</v>
      </c>
      <c r="AD126" s="11" t="n">
        <v>3.63777320133235</v>
      </c>
      <c r="AE126" s="11" t="n">
        <v>3.65130497731156</v>
      </c>
      <c r="AF126" s="11" t="n">
        <v>3.66377836149917</v>
      </c>
      <c r="AG126" s="11" t="n">
        <v>3.67526160667701</v>
      </c>
      <c r="AH126" s="11" t="n">
        <v>3.68581524398798</v>
      </c>
      <c r="AI126" s="11" t="n">
        <v>3.69549248966742</v>
      </c>
      <c r="AJ126" s="11" t="n">
        <v>3.7043399316763</v>
      </c>
      <c r="AK126" s="11" t="n">
        <v>3.71239819249116</v>
      </c>
    </row>
    <row r="127" customFormat="false" ht="15" hidden="false" customHeight="false" outlineLevel="0" collapsed="false">
      <c r="A127" s="10" t="n">
        <v>2</v>
      </c>
      <c r="B127" s="8" t="n">
        <v>41494</v>
      </c>
      <c r="C127" s="11" t="n">
        <v>2.27183948039163</v>
      </c>
      <c r="D127" s="11" t="n">
        <v>2.38901994793509</v>
      </c>
      <c r="E127" s="11" t="n">
        <v>2.49844319223798</v>
      </c>
      <c r="F127" s="11" t="n">
        <v>2.60036172079914</v>
      </c>
      <c r="G127" s="11" t="n">
        <v>2.69507664576231</v>
      </c>
      <c r="H127" s="11" t="n">
        <v>2.78292638825681</v>
      </c>
      <c r="I127" s="11" t="n">
        <v>2.86427540064656</v>
      </c>
      <c r="J127" s="11" t="n">
        <v>2.93950462979132</v>
      </c>
      <c r="K127" s="11" t="n">
        <v>3.00900686014758</v>
      </c>
      <c r="L127" s="11" t="n">
        <v>3.0731723269398</v>
      </c>
      <c r="M127" s="11" t="n">
        <v>3.13237256510936</v>
      </c>
      <c r="N127" s="11" t="n">
        <v>3.18696155175463</v>
      </c>
      <c r="O127" s="11" t="n">
        <v>3.23727884051736</v>
      </c>
      <c r="P127" s="11" t="n">
        <v>3.28365203742138</v>
      </c>
      <c r="Q127" s="11" t="n">
        <v>3.32639594482437</v>
      </c>
      <c r="R127" s="11" t="n">
        <v>3.36580198336812</v>
      </c>
      <c r="S127" s="11" t="n">
        <v>3.40213569224256</v>
      </c>
      <c r="T127" s="11" t="n">
        <v>3.43563977627403</v>
      </c>
      <c r="U127" s="11" t="n">
        <v>3.46653712788306</v>
      </c>
      <c r="V127" s="11" t="n">
        <v>3.49503364509808</v>
      </c>
      <c r="W127" s="11" t="n">
        <v>3.52131990781306</v>
      </c>
      <c r="X127" s="11" t="n">
        <v>3.54557006649828</v>
      </c>
      <c r="Y127" s="11" t="n">
        <v>3.56794242993309</v>
      </c>
      <c r="Z127" s="11" t="n">
        <v>3.58858125043385</v>
      </c>
      <c r="AA127" s="11" t="n">
        <v>3.60761758509333</v>
      </c>
      <c r="AB127" s="11" t="n">
        <v>3.62517046905099</v>
      </c>
      <c r="AC127" s="11" t="n">
        <v>3.64134833336866</v>
      </c>
      <c r="AD127" s="11" t="n">
        <v>3.65625020636187</v>
      </c>
      <c r="AE127" s="11" t="n">
        <v>3.66996617228947</v>
      </c>
      <c r="AF127" s="11" t="n">
        <v>3.68257746981584</v>
      </c>
      <c r="AG127" s="11" t="n">
        <v>3.69415729820478</v>
      </c>
      <c r="AH127" s="11" t="n">
        <v>3.70477125616657</v>
      </c>
      <c r="AI127" s="11" t="n">
        <v>3.71447752511041</v>
      </c>
      <c r="AJ127" s="11" t="n">
        <v>3.72332753583683</v>
      </c>
      <c r="AK127" s="11" t="n">
        <v>3.73136664354732</v>
      </c>
    </row>
    <row r="128" customFormat="false" ht="15" hidden="false" customHeight="false" outlineLevel="0" collapsed="false">
      <c r="A128" s="10" t="n">
        <v>3</v>
      </c>
      <c r="B128" s="8" t="n">
        <v>41495</v>
      </c>
      <c r="C128" s="11" t="n">
        <v>2.25130486536104</v>
      </c>
      <c r="D128" s="11" t="n">
        <v>2.36885859805342</v>
      </c>
      <c r="E128" s="11" t="n">
        <v>2.47870191718009</v>
      </c>
      <c r="F128" s="11" t="n">
        <v>2.58108944626859</v>
      </c>
      <c r="G128" s="11" t="n">
        <v>2.67632330015979</v>
      </c>
      <c r="H128" s="11" t="n">
        <v>2.76474147113196</v>
      </c>
      <c r="I128" s="11" t="n">
        <v>2.84670609668868</v>
      </c>
      <c r="J128" s="11" t="n">
        <v>2.92259342737112</v>
      </c>
      <c r="K128" s="11" t="n">
        <v>2.99278953817694</v>
      </c>
      <c r="L128" s="11" t="n">
        <v>3.05767647519603</v>
      </c>
      <c r="M128" s="11" t="n">
        <v>3.11761715054701</v>
      </c>
      <c r="N128" s="11" t="n">
        <v>3.17295676685042</v>
      </c>
      <c r="O128" s="11" t="n">
        <v>3.22402597903734</v>
      </c>
      <c r="P128" s="11" t="n">
        <v>3.27114339001251</v>
      </c>
      <c r="Q128" s="11" t="n">
        <v>3.31461475331725</v>
      </c>
      <c r="R128" s="11" t="n">
        <v>3.35472308192327</v>
      </c>
      <c r="S128" s="11" t="n">
        <v>3.39172668645711</v>
      </c>
      <c r="T128" s="11" t="n">
        <v>3.42586258398095</v>
      </c>
      <c r="U128" s="11" t="n">
        <v>3.45734954403213</v>
      </c>
      <c r="V128" s="11" t="n">
        <v>3.48639069062684</v>
      </c>
      <c r="W128" s="11" t="n">
        <v>3.51317505166896</v>
      </c>
      <c r="X128" s="11" t="n">
        <v>3.53787668005726</v>
      </c>
      <c r="Y128" s="11" t="n">
        <v>3.56065529557966</v>
      </c>
      <c r="Z128" s="11" t="n">
        <v>3.58165783768208</v>
      </c>
      <c r="AA128" s="11" t="n">
        <v>3.60101898608868</v>
      </c>
      <c r="AB128" s="11" t="n">
        <v>3.6188621506318</v>
      </c>
      <c r="AC128" s="11" t="n">
        <v>3.63530079848012</v>
      </c>
      <c r="AD128" s="11" t="n">
        <v>3.65043957158215</v>
      </c>
      <c r="AE128" s="11" t="n">
        <v>3.66437458555974</v>
      </c>
      <c r="AF128" s="11" t="n">
        <v>3.67719337996602</v>
      </c>
      <c r="AG128" s="11" t="n">
        <v>3.68897567002507</v>
      </c>
      <c r="AH128" s="11" t="n">
        <v>3.69979348989279</v>
      </c>
      <c r="AI128" s="11" t="n">
        <v>3.7097110212339</v>
      </c>
      <c r="AJ128" s="11" t="n">
        <v>3.71878525667969</v>
      </c>
      <c r="AK128" s="11" t="n">
        <v>3.72706671867444</v>
      </c>
    </row>
    <row r="129" customFormat="false" ht="15" hidden="false" customHeight="false" outlineLevel="0" collapsed="false">
      <c r="A129" s="10" t="n">
        <v>4</v>
      </c>
      <c r="B129" s="8" t="n">
        <v>41498</v>
      </c>
      <c r="C129" s="11" t="n">
        <v>2.25865471073691</v>
      </c>
      <c r="D129" s="11" t="n">
        <v>2.37508671221449</v>
      </c>
      <c r="E129" s="11" t="n">
        <v>2.48394083768197</v>
      </c>
      <c r="F129" s="11" t="n">
        <v>2.58546765361241</v>
      </c>
      <c r="G129" s="11" t="n">
        <v>2.67996072852257</v>
      </c>
      <c r="H129" s="11" t="n">
        <v>2.76774600445084</v>
      </c>
      <c r="I129" s="11" t="n">
        <v>2.84917140069667</v>
      </c>
      <c r="J129" s="11" t="n">
        <v>2.92459802257846</v>
      </c>
      <c r="K129" s="11" t="n">
        <v>2.99439623340531</v>
      </c>
      <c r="L129" s="11" t="n">
        <v>3.05893305821448</v>
      </c>
      <c r="M129" s="11" t="n">
        <v>3.11855864430659</v>
      </c>
      <c r="N129" s="11" t="n">
        <v>3.17360752227881</v>
      </c>
      <c r="O129" s="11" t="n">
        <v>3.22440139425665</v>
      </c>
      <c r="P129" s="11" t="n">
        <v>3.27125133360678</v>
      </c>
      <c r="Q129" s="11" t="n">
        <v>3.31445698189719</v>
      </c>
      <c r="R129" s="11" t="n">
        <v>3.35429756225847</v>
      </c>
      <c r="S129" s="11" t="n">
        <v>3.39102998672544</v>
      </c>
      <c r="T129" s="11" t="n">
        <v>3.42489129700189</v>
      </c>
      <c r="U129" s="11" t="n">
        <v>3.4561012159697</v>
      </c>
      <c r="V129" s="11" t="n">
        <v>3.48486460875962</v>
      </c>
      <c r="W129" s="11" t="n">
        <v>3.51137283374597</v>
      </c>
      <c r="X129" s="11" t="n">
        <v>3.53580242955243</v>
      </c>
      <c r="Y129" s="11" t="n">
        <v>3.55831558535811</v>
      </c>
      <c r="Z129" s="11" t="n">
        <v>3.57906165248518</v>
      </c>
      <c r="AA129" s="11" t="n">
        <v>3.59817751457224</v>
      </c>
      <c r="AB129" s="11" t="n">
        <v>3.61578853582037</v>
      </c>
      <c r="AC129" s="11" t="n">
        <v>3.63200991638542</v>
      </c>
      <c r="AD129" s="11" t="n">
        <v>3.64694783008917</v>
      </c>
      <c r="AE129" s="11" t="n">
        <v>3.66069966106905</v>
      </c>
      <c r="AF129" s="11" t="n">
        <v>3.67335387606106</v>
      </c>
      <c r="AG129" s="11" t="n">
        <v>3.68499079843016</v>
      </c>
      <c r="AH129" s="11" t="n">
        <v>3.69568276590093</v>
      </c>
      <c r="AI129" s="11" t="n">
        <v>3.70549397528904</v>
      </c>
      <c r="AJ129" s="11" t="n">
        <v>3.7144811752186</v>
      </c>
      <c r="AK129" s="11" t="n">
        <v>3.72269441089047</v>
      </c>
    </row>
    <row r="130" customFormat="false" ht="15" hidden="false" customHeight="false" outlineLevel="0" collapsed="false">
      <c r="A130" s="10" t="n">
        <v>5</v>
      </c>
      <c r="B130" s="8" t="n">
        <v>41499</v>
      </c>
      <c r="C130" s="11" t="n">
        <v>2.39169819633965</v>
      </c>
      <c r="D130" s="11" t="n">
        <v>2.50943262735888</v>
      </c>
      <c r="E130" s="11" t="n">
        <v>2.61917677677737</v>
      </c>
      <c r="F130" s="11" t="n">
        <v>2.7211871860846</v>
      </c>
      <c r="G130" s="11" t="n">
        <v>2.81576381986076</v>
      </c>
      <c r="H130" s="11" t="n">
        <v>2.90323964159233</v>
      </c>
      <c r="I130" s="11" t="n">
        <v>2.98397225081813</v>
      </c>
      <c r="J130" s="11" t="n">
        <v>3.05833740098488</v>
      </c>
      <c r="K130" s="11" t="n">
        <v>3.12672441962231</v>
      </c>
      <c r="L130" s="11" t="n">
        <v>3.18952294577204</v>
      </c>
      <c r="M130" s="11" t="n">
        <v>3.24710911388993</v>
      </c>
      <c r="N130" s="11" t="n">
        <v>3.29984627273447</v>
      </c>
      <c r="O130" s="11" t="n">
        <v>3.34808726813841</v>
      </c>
      <c r="P130" s="11" t="n">
        <v>3.39217624033636</v>
      </c>
      <c r="Q130" s="11" t="n">
        <v>3.43244732927385</v>
      </c>
      <c r="R130" s="11" t="n">
        <v>3.46921488941777</v>
      </c>
      <c r="S130" s="11" t="n">
        <v>3.50277089681103</v>
      </c>
      <c r="T130" s="11" t="n">
        <v>3.53338568802688</v>
      </c>
      <c r="U130" s="11" t="n">
        <v>3.56131000216087</v>
      </c>
      <c r="V130" s="11" t="n">
        <v>3.58677774533266</v>
      </c>
      <c r="W130" s="11" t="n">
        <v>3.61000725618166</v>
      </c>
      <c r="X130" s="11" t="n">
        <v>3.63119875010258</v>
      </c>
      <c r="Y130" s="11" t="n">
        <v>3.6505345338706</v>
      </c>
      <c r="Z130" s="11" t="n">
        <v>3.66818091262049</v>
      </c>
      <c r="AA130" s="11" t="n">
        <v>3.68428879101994</v>
      </c>
      <c r="AB130" s="11" t="n">
        <v>3.69899491079953</v>
      </c>
      <c r="AC130" s="11" t="n">
        <v>3.71242351934472</v>
      </c>
      <c r="AD130" s="11" t="n">
        <v>3.72468776998022</v>
      </c>
      <c r="AE130" s="11" t="n">
        <v>3.73589006050396</v>
      </c>
      <c r="AF130" s="11" t="n">
        <v>3.74612195298825</v>
      </c>
      <c r="AG130" s="11" t="n">
        <v>3.75546514125006</v>
      </c>
      <c r="AH130" s="11" t="n">
        <v>3.76399191533647</v>
      </c>
      <c r="AI130" s="11" t="n">
        <v>3.77176533539561</v>
      </c>
      <c r="AJ130" s="11" t="n">
        <v>3.7788400625194</v>
      </c>
      <c r="AK130" s="11" t="n">
        <v>3.78526319861295</v>
      </c>
    </row>
    <row r="131" customFormat="false" ht="15" hidden="false" customHeight="false" outlineLevel="0" collapsed="false">
      <c r="A131" s="10" t="n">
        <v>6</v>
      </c>
      <c r="B131" s="8" t="n">
        <v>41500</v>
      </c>
      <c r="C131" s="11" t="n">
        <v>2.43599519600378</v>
      </c>
      <c r="D131" s="11" t="n">
        <v>2.55313693830011</v>
      </c>
      <c r="E131" s="11" t="n">
        <v>2.66234465696272</v>
      </c>
      <c r="F131" s="11" t="n">
        <v>2.76389692901957</v>
      </c>
      <c r="G131" s="11" t="n">
        <v>2.85810644390261</v>
      </c>
      <c r="H131" s="11" t="n">
        <v>2.94531179288449</v>
      </c>
      <c r="I131" s="11" t="n">
        <v>3.02587084628622</v>
      </c>
      <c r="J131" s="11" t="n">
        <v>3.10015561319398</v>
      </c>
      <c r="K131" s="11" t="n">
        <v>3.1685485371388</v>
      </c>
      <c r="L131" s="11" t="n">
        <v>3.23143027208148</v>
      </c>
      <c r="M131" s="11" t="n">
        <v>3.28916696303177</v>
      </c>
      <c r="N131" s="11" t="n">
        <v>3.34211126561602</v>
      </c>
      <c r="O131" s="11" t="n">
        <v>3.39060475457978</v>
      </c>
      <c r="P131" s="11" t="n">
        <v>3.43497982096251</v>
      </c>
      <c r="Q131" s="11" t="n">
        <v>3.47555862050501</v>
      </c>
      <c r="R131" s="11" t="n">
        <v>3.51264414750437</v>
      </c>
      <c r="S131" s="11" t="n">
        <v>3.54651804267622</v>
      </c>
      <c r="T131" s="11" t="n">
        <v>3.57744153420254</v>
      </c>
      <c r="U131" s="11" t="n">
        <v>3.60565746674051</v>
      </c>
      <c r="V131" s="11" t="n">
        <v>3.63139289766055</v>
      </c>
      <c r="W131" s="11" t="n">
        <v>3.65486028340992</v>
      </c>
      <c r="X131" s="11" t="n">
        <v>3.6762551389632</v>
      </c>
      <c r="Y131" s="11" t="n">
        <v>3.6957562822039</v>
      </c>
      <c r="Z131" s="11" t="n">
        <v>3.71352760416068</v>
      </c>
      <c r="AA131" s="11" t="n">
        <v>3.72971860545608</v>
      </c>
      <c r="AB131" s="11" t="n">
        <v>3.74446554992123</v>
      </c>
      <c r="AC131" s="11" t="n">
        <v>3.75789302437881</v>
      </c>
      <c r="AD131" s="11" t="n">
        <v>3.77011524550414</v>
      </c>
      <c r="AE131" s="11" t="n">
        <v>3.78123636043726</v>
      </c>
      <c r="AF131" s="11" t="n">
        <v>3.79135036611884</v>
      </c>
      <c r="AG131" s="11" t="n">
        <v>3.80054200601007</v>
      </c>
      <c r="AH131" s="11" t="n">
        <v>3.80888702286293</v>
      </c>
      <c r="AI131" s="11" t="n">
        <v>3.81645210114879</v>
      </c>
      <c r="AJ131" s="11" t="n">
        <v>3.82329565629722</v>
      </c>
      <c r="AK131" s="11" t="n">
        <v>3.8294686615612</v>
      </c>
    </row>
    <row r="132" customFormat="false" ht="15" hidden="false" customHeight="false" outlineLevel="0" collapsed="false">
      <c r="A132" s="10" t="n">
        <v>7</v>
      </c>
      <c r="B132" s="8" t="n">
        <v>41501</v>
      </c>
      <c r="C132" s="11" t="n">
        <v>2.48953067510651</v>
      </c>
      <c r="D132" s="11" t="n">
        <v>2.60501429302731</v>
      </c>
      <c r="E132" s="11" t="n">
        <v>2.71248717758848</v>
      </c>
      <c r="F132" s="11" t="n">
        <v>2.81228655460431</v>
      </c>
      <c r="G132" s="11" t="n">
        <v>2.90476523628589</v>
      </c>
      <c r="H132" s="11" t="n">
        <v>2.99028773640798</v>
      </c>
      <c r="I132" s="11" t="n">
        <v>3.06922710976202</v>
      </c>
      <c r="J132" s="11" t="n">
        <v>3.14196245687566</v>
      </c>
      <c r="K132" s="11" t="n">
        <v>3.20887701373421</v>
      </c>
      <c r="L132" s="11" t="n">
        <v>3.27034841231039</v>
      </c>
      <c r="M132" s="11" t="n">
        <v>3.32673840952637</v>
      </c>
      <c r="N132" s="11" t="n">
        <v>3.3783944000788</v>
      </c>
      <c r="O132" s="11" t="n">
        <v>3.42565198088869</v>
      </c>
      <c r="P132" s="11" t="n">
        <v>3.46883697297657</v>
      </c>
      <c r="Q132" s="11" t="n">
        <v>3.5082647871031</v>
      </c>
      <c r="R132" s="11" t="n">
        <v>3.54423295272744</v>
      </c>
      <c r="S132" s="11" t="n">
        <v>3.57701929675948</v>
      </c>
      <c r="T132" s="11" t="n">
        <v>3.60688224132465</v>
      </c>
      <c r="U132" s="11" t="n">
        <v>3.63406251398961</v>
      </c>
      <c r="V132" s="11" t="n">
        <v>3.65878564139029</v>
      </c>
      <c r="W132" s="11" t="n">
        <v>3.68126301381756</v>
      </c>
      <c r="X132" s="11" t="n">
        <v>3.7016893689824</v>
      </c>
      <c r="Y132" s="11" t="n">
        <v>3.72024297090147</v>
      </c>
      <c r="Z132" s="11" t="n">
        <v>3.7370873161436</v>
      </c>
      <c r="AA132" s="11" t="n">
        <v>3.75237151912236</v>
      </c>
      <c r="AB132" s="11" t="n">
        <v>3.76623141337021</v>
      </c>
      <c r="AC132" s="11" t="n">
        <v>3.77879111560374</v>
      </c>
      <c r="AD132" s="11" t="n">
        <v>3.79016433612686</v>
      </c>
      <c r="AE132" s="11" t="n">
        <v>3.80045468078096</v>
      </c>
      <c r="AF132" s="11" t="n">
        <v>3.80975558466596</v>
      </c>
      <c r="AG132" s="11" t="n">
        <v>3.81815121811595</v>
      </c>
      <c r="AH132" s="11" t="n">
        <v>3.82571680758634</v>
      </c>
      <c r="AI132" s="11" t="n">
        <v>3.8325186739249</v>
      </c>
      <c r="AJ132" s="11" t="n">
        <v>3.8386150216234</v>
      </c>
      <c r="AK132" s="11" t="n">
        <v>3.84405675042289</v>
      </c>
    </row>
    <row r="133" customFormat="false" ht="15" hidden="false" customHeight="false" outlineLevel="0" collapsed="false">
      <c r="A133" s="10" t="n">
        <v>8</v>
      </c>
      <c r="B133" s="8" t="n">
        <v>41502</v>
      </c>
      <c r="C133" s="11" t="n">
        <v>2.50972938610633</v>
      </c>
      <c r="D133" s="11" t="n">
        <v>2.62608742011694</v>
      </c>
      <c r="E133" s="11" t="n">
        <v>2.7341550200692</v>
      </c>
      <c r="F133" s="11" t="n">
        <v>2.83427459352689</v>
      </c>
      <c r="G133" s="11" t="n">
        <v>2.9268086046787</v>
      </c>
      <c r="H133" s="11" t="n">
        <v>3.012134360302</v>
      </c>
      <c r="I133" s="11" t="n">
        <v>3.09064091102725</v>
      </c>
      <c r="J133" s="11" t="n">
        <v>3.16272683595019</v>
      </c>
      <c r="K133" s="11" t="n">
        <v>3.22879764352256</v>
      </c>
      <c r="L133" s="11" t="n">
        <v>3.28925467492989</v>
      </c>
      <c r="M133" s="11" t="n">
        <v>3.34448397568581</v>
      </c>
      <c r="N133" s="11" t="n">
        <v>3.39485769401478</v>
      </c>
      <c r="O133" s="11" t="n">
        <v>3.44073656236697</v>
      </c>
      <c r="P133" s="11" t="n">
        <v>3.48247184937172</v>
      </c>
      <c r="Q133" s="11" t="n">
        <v>3.5204042951075</v>
      </c>
      <c r="R133" s="11" t="n">
        <v>3.55485554593879</v>
      </c>
      <c r="S133" s="11" t="n">
        <v>3.58612589959893</v>
      </c>
      <c r="T133" s="11" t="n">
        <v>3.61449376830037</v>
      </c>
      <c r="U133" s="11" t="n">
        <v>3.64021733359871</v>
      </c>
      <c r="V133" s="11" t="n">
        <v>3.66353739189777</v>
      </c>
      <c r="W133" s="11" t="n">
        <v>3.68467840514527</v>
      </c>
      <c r="X133" s="11" t="n">
        <v>3.70384516723574</v>
      </c>
      <c r="Y133" s="11" t="n">
        <v>3.72122296394335</v>
      </c>
      <c r="Z133" s="11" t="n">
        <v>3.73697967096154</v>
      </c>
      <c r="AA133" s="11" t="n">
        <v>3.75126656483071</v>
      </c>
      <c r="AB133" s="11" t="n">
        <v>3.7642197591663</v>
      </c>
      <c r="AC133" s="11" t="n">
        <v>3.7759619955134</v>
      </c>
      <c r="AD133" s="11" t="n">
        <v>3.7866041486855</v>
      </c>
      <c r="AE133" s="11" t="n">
        <v>3.79624577989211</v>
      </c>
      <c r="AF133" s="11" t="n">
        <v>3.80497535773308</v>
      </c>
      <c r="AG133" s="11" t="n">
        <v>3.81287130342698</v>
      </c>
      <c r="AH133" s="11" t="n">
        <v>3.82000262699916</v>
      </c>
      <c r="AI133" s="11" t="n">
        <v>3.82642934657995</v>
      </c>
      <c r="AJ133" s="11" t="n">
        <v>3.8322033341818</v>
      </c>
      <c r="AK133" s="11" t="n">
        <v>3.83736913029916</v>
      </c>
    </row>
    <row r="134" customFormat="false" ht="15" hidden="false" customHeight="false" outlineLevel="0" collapsed="false">
      <c r="A134" s="10" t="n">
        <v>9</v>
      </c>
      <c r="B134" s="8" t="n">
        <v>41505</v>
      </c>
      <c r="C134" s="11" t="n">
        <v>2.5545610084711</v>
      </c>
      <c r="D134" s="11" t="n">
        <v>2.67098610215256</v>
      </c>
      <c r="E134" s="11" t="n">
        <v>2.77873880883629</v>
      </c>
      <c r="F134" s="11" t="n">
        <v>2.87819307626825</v>
      </c>
      <c r="G134" s="11" t="n">
        <v>2.9697429615309</v>
      </c>
      <c r="H134" s="11" t="n">
        <v>3.05379741540723</v>
      </c>
      <c r="I134" s="11" t="n">
        <v>3.13077813041116</v>
      </c>
      <c r="J134" s="11" t="n">
        <v>3.20111826872</v>
      </c>
      <c r="K134" s="11" t="n">
        <v>3.26525948992039</v>
      </c>
      <c r="L134" s="11" t="n">
        <v>3.32363916338268</v>
      </c>
      <c r="M134" s="11" t="n">
        <v>3.37667773317965</v>
      </c>
      <c r="N134" s="11" t="n">
        <v>3.42478025846792</v>
      </c>
      <c r="O134" s="11" t="n">
        <v>3.46833916066088</v>
      </c>
      <c r="P134" s="11" t="n">
        <v>3.50773638129927</v>
      </c>
      <c r="Q134" s="11" t="n">
        <v>3.5433418554856</v>
      </c>
      <c r="R134" s="11" t="n">
        <v>3.57550290099754</v>
      </c>
      <c r="S134" s="11" t="n">
        <v>3.60454153307175</v>
      </c>
      <c r="T134" s="11" t="n">
        <v>3.63075422069963</v>
      </c>
      <c r="U134" s="11" t="n">
        <v>3.65441397773662</v>
      </c>
      <c r="V134" s="11" t="n">
        <v>3.6757736661263</v>
      </c>
      <c r="W134" s="11" t="n">
        <v>3.69506723369775</v>
      </c>
      <c r="X134" s="11" t="n">
        <v>3.71250601219724</v>
      </c>
      <c r="Y134" s="11" t="n">
        <v>3.72827898473265</v>
      </c>
      <c r="Z134" s="11" t="n">
        <v>3.74255528461349</v>
      </c>
      <c r="AA134" s="11" t="n">
        <v>3.75548549491197</v>
      </c>
      <c r="AB134" s="11" t="n">
        <v>3.76720340794344</v>
      </c>
      <c r="AC134" s="11" t="n">
        <v>3.77782801227068</v>
      </c>
      <c r="AD134" s="11" t="n">
        <v>3.78746516992208</v>
      </c>
      <c r="AE134" s="11" t="n">
        <v>3.79620841177402</v>
      </c>
      <c r="AF134" s="11" t="n">
        <v>3.80413941147001</v>
      </c>
      <c r="AG134" s="11" t="n">
        <v>3.81132915131935</v>
      </c>
      <c r="AH134" s="11" t="n">
        <v>3.81783891401353</v>
      </c>
      <c r="AI134" s="11" t="n">
        <v>3.82372110639128</v>
      </c>
      <c r="AJ134" s="11" t="n">
        <v>3.82902014162177</v>
      </c>
      <c r="AK134" s="11" t="n">
        <v>3.83377323856825</v>
      </c>
    </row>
    <row r="135" customFormat="false" ht="15" hidden="false" customHeight="false" outlineLevel="0" collapsed="false">
      <c r="A135" s="10" t="n">
        <v>10</v>
      </c>
      <c r="B135" s="8" t="n">
        <v>41506</v>
      </c>
      <c r="C135" s="11" t="n">
        <v>2.48544348880832</v>
      </c>
      <c r="D135" s="11" t="n">
        <v>2.60298777069867</v>
      </c>
      <c r="E135" s="11" t="n">
        <v>2.71183926256359</v>
      </c>
      <c r="F135" s="11" t="n">
        <v>2.81237962569103</v>
      </c>
      <c r="G135" s="11" t="n">
        <v>2.90501125865711</v>
      </c>
      <c r="H135" s="11" t="n">
        <v>2.99015149200709</v>
      </c>
      <c r="I135" s="11" t="n">
        <v>3.06822839830162</v>
      </c>
      <c r="J135" s="11" t="n">
        <v>3.13967750105043</v>
      </c>
      <c r="K135" s="11" t="n">
        <v>3.20493934786797</v>
      </c>
      <c r="L135" s="11" t="n">
        <v>3.26444757544341</v>
      </c>
      <c r="M135" s="11" t="n">
        <v>3.31861712782546</v>
      </c>
      <c r="N135" s="11" t="n">
        <v>3.36784618872966</v>
      </c>
      <c r="O135" s="11" t="n">
        <v>3.4125191743492</v>
      </c>
      <c r="P135" s="11" t="n">
        <v>3.45300908613852</v>
      </c>
      <c r="Q135" s="11" t="n">
        <v>3.48967629263597</v>
      </c>
      <c r="R135" s="11" t="n">
        <v>3.52285876187353</v>
      </c>
      <c r="S135" s="11" t="n">
        <v>3.55286985286232</v>
      </c>
      <c r="T135" s="11" t="n">
        <v>3.5799985794524</v>
      </c>
      <c r="U135" s="11" t="n">
        <v>3.6045117951625</v>
      </c>
      <c r="V135" s="11" t="n">
        <v>3.62665731873727</v>
      </c>
      <c r="W135" s="11" t="n">
        <v>3.64666512297942</v>
      </c>
      <c r="X135" s="11" t="n">
        <v>3.66474399124126</v>
      </c>
      <c r="Y135" s="11" t="n">
        <v>3.68108184451901</v>
      </c>
      <c r="Z135" s="11" t="n">
        <v>3.69584799897927</v>
      </c>
      <c r="AA135" s="11" t="n">
        <v>3.70919409904647</v>
      </c>
      <c r="AB135" s="11" t="n">
        <v>3.72125568727638</v>
      </c>
      <c r="AC135" s="11" t="n">
        <v>3.73215410773337</v>
      </c>
      <c r="AD135" s="11" t="n">
        <v>3.74199810736655</v>
      </c>
      <c r="AE135" s="11" t="n">
        <v>3.75088449863757</v>
      </c>
      <c r="AF135" s="11" t="n">
        <v>3.7588985076867</v>
      </c>
      <c r="AG135" s="11" t="n">
        <v>3.76611489772475</v>
      </c>
      <c r="AH135" s="11" t="n">
        <v>3.7725988690453</v>
      </c>
      <c r="AI135" s="11" t="n">
        <v>3.77840678542444</v>
      </c>
      <c r="AJ135" s="11" t="n">
        <v>3.78358704232045</v>
      </c>
      <c r="AK135" s="11" t="n">
        <v>3.78818086370152</v>
      </c>
    </row>
    <row r="138" customFormat="false" ht="52.2" hidden="false" customHeight="false" outlineLevel="0" collapsed="false">
      <c r="A138" s="3" t="s">
        <v>85</v>
      </c>
      <c r="B138" s="3" t="s">
        <v>72</v>
      </c>
      <c r="C138" s="3" t="s">
        <v>121</v>
      </c>
      <c r="D138" s="3" t="s">
        <v>122</v>
      </c>
      <c r="E138" s="3" t="s">
        <v>123</v>
      </c>
      <c r="F138" s="3" t="s">
        <v>124</v>
      </c>
      <c r="G138" s="3" t="s">
        <v>125</v>
      </c>
      <c r="H138" s="3" t="s">
        <v>126</v>
      </c>
      <c r="I138" s="3" t="s">
        <v>127</v>
      </c>
      <c r="J138" s="3" t="s">
        <v>128</v>
      </c>
      <c r="K138" s="3" t="s">
        <v>129</v>
      </c>
      <c r="L138" s="3" t="s">
        <v>130</v>
      </c>
      <c r="M138" s="3" t="s">
        <v>131</v>
      </c>
      <c r="N138" s="3" t="s">
        <v>132</v>
      </c>
      <c r="O138" s="3" t="s">
        <v>133</v>
      </c>
      <c r="P138" s="3" t="s">
        <v>134</v>
      </c>
      <c r="Q138" s="3" t="s">
        <v>135</v>
      </c>
      <c r="R138" s="3" t="s">
        <v>136</v>
      </c>
      <c r="S138" s="3" t="s">
        <v>137</v>
      </c>
      <c r="T138" s="3" t="s">
        <v>138</v>
      </c>
      <c r="U138" s="3" t="s">
        <v>139</v>
      </c>
      <c r="V138" s="3" t="s">
        <v>140</v>
      </c>
      <c r="W138" s="3" t="s">
        <v>141</v>
      </c>
      <c r="X138" s="3" t="s">
        <v>142</v>
      </c>
      <c r="Y138" s="3" t="s">
        <v>143</v>
      </c>
      <c r="Z138" s="3" t="s">
        <v>144</v>
      </c>
      <c r="AA138" s="3" t="s">
        <v>145</v>
      </c>
      <c r="AB138" s="3" t="s">
        <v>146</v>
      </c>
      <c r="AC138" s="3" t="s">
        <v>147</v>
      </c>
      <c r="AD138" s="3" t="s">
        <v>148</v>
      </c>
      <c r="AE138" s="3" t="s">
        <v>149</v>
      </c>
      <c r="AF138" s="3" t="s">
        <v>150</v>
      </c>
      <c r="AG138" s="3" t="s">
        <v>151</v>
      </c>
      <c r="AH138" s="3" t="s">
        <v>152</v>
      </c>
      <c r="AI138" s="3" t="s">
        <v>153</v>
      </c>
      <c r="AJ138" s="3" t="s">
        <v>154</v>
      </c>
      <c r="AK138" s="3" t="s">
        <v>155</v>
      </c>
      <c r="AL138" s="3" t="s">
        <v>156</v>
      </c>
    </row>
    <row r="139" customFormat="false" ht="15" hidden="false" customHeight="false" outlineLevel="0" collapsed="false">
      <c r="A139" s="20" t="n">
        <f aca="false">A5</f>
        <v>-120</v>
      </c>
      <c r="B139" s="21" t="n">
        <f aca="false">B5</f>
        <v>41318</v>
      </c>
      <c r="C139" s="22" t="n">
        <f aca="false">100*(C5-C4)</f>
        <v>10.2468381591838</v>
      </c>
      <c r="D139" s="22" t="n">
        <f aca="false">100*(D5-D4)</f>
        <v>10.566041455224</v>
      </c>
      <c r="E139" s="22" t="n">
        <f aca="false">100*(E5-E4)</f>
        <v>10.8275504674504</v>
      </c>
      <c r="F139" s="22" t="n">
        <f aca="false">100*(F5-F4)</f>
        <v>11.0330663302313</v>
      </c>
      <c r="G139" s="22" t="n">
        <f aca="false">100*(G5-G4)</f>
        <v>11.1858933698853</v>
      </c>
      <c r="H139" s="22" t="n">
        <f aca="false">100*(H5-H4)</f>
        <v>11.2897057102276</v>
      </c>
      <c r="I139" s="22" t="n">
        <f aca="false">100*(I5-I4)</f>
        <v>11.3483567031834</v>
      </c>
      <c r="J139" s="22" t="n">
        <f aca="false">100*(J5-J4)</f>
        <v>11.3658399683592</v>
      </c>
      <c r="K139" s="22" t="n">
        <f aca="false">100*(K5-K4)</f>
        <v>11.3462601706088</v>
      </c>
      <c r="L139" s="22" t="n">
        <f aca="false">100*(L5-L4)</f>
        <v>11.293794213788</v>
      </c>
      <c r="M139" s="22" t="n">
        <f aca="false">100*(M5-M4)</f>
        <v>11.2124459763431</v>
      </c>
      <c r="N139" s="22" t="n">
        <f aca="false">100*(N5-N4)</f>
        <v>11.1058086134571</v>
      </c>
      <c r="O139" s="22" t="n">
        <f aca="false">100*(O5-O4)</f>
        <v>10.9771080165027</v>
      </c>
      <c r="P139" s="22" t="n">
        <f aca="false">100*(P5-P4)</f>
        <v>10.8292661371405</v>
      </c>
      <c r="Q139" s="22" t="n">
        <f aca="false">100*(Q5-Q4)</f>
        <v>10.664951695811</v>
      </c>
      <c r="R139" s="22" t="n">
        <f aca="false">100*(R5-R4)</f>
        <v>10.4866369734861</v>
      </c>
      <c r="S139" s="22" t="n">
        <f aca="false">100*(S5-S4)</f>
        <v>10.2967008138982</v>
      </c>
      <c r="T139" s="22" t="n">
        <f aca="false">100*(T5-T4)</f>
        <v>10.0974582170715</v>
      </c>
      <c r="U139" s="22" t="n">
        <f aca="false">100*(U5-U4)</f>
        <v>9.89108692947061</v>
      </c>
      <c r="V139" s="22" t="n">
        <f aca="false">100*(V5-V4)</f>
        <v>9.67960818232738</v>
      </c>
      <c r="W139" s="22" t="n">
        <f aca="false">100*(W5-W4)</f>
        <v>9.46490730942973</v>
      </c>
      <c r="X139" s="22" t="n">
        <f aca="false">100*(X5-X4)</f>
        <v>9.2487416260127</v>
      </c>
      <c r="Y139" s="22" t="n">
        <f aca="false">100*(Y5-Y4)</f>
        <v>9.03270868896691</v>
      </c>
      <c r="Z139" s="22" t="n">
        <f aca="false">100*(Z5-Z4)</f>
        <v>8.81824293210389</v>
      </c>
      <c r="AA139" s="22" t="n">
        <f aca="false">100*(AA5-AA4)</f>
        <v>8.60663508776831</v>
      </c>
      <c r="AB139" s="22" t="n">
        <f aca="false">100*(AB5-AB4)</f>
        <v>8.39904683071731</v>
      </c>
      <c r="AC139" s="22" t="n">
        <f aca="false">100*(AC5-AC4)</f>
        <v>8.19652405799043</v>
      </c>
      <c r="AD139" s="22" t="n">
        <f aca="false">100*(AD5-AD4)</f>
        <v>8.0000102562189</v>
      </c>
      <c r="AE139" s="22" t="n">
        <f aca="false">100*(AE5-AE4)</f>
        <v>7.81035716898959</v>
      </c>
      <c r="AF139" s="22" t="n">
        <f aca="false">100*(AF5-AF4)</f>
        <v>7.6283169657033</v>
      </c>
      <c r="AG139" s="22" t="n">
        <f aca="false">100*(AG5-AG4)</f>
        <v>7.45452724498752</v>
      </c>
      <c r="AH139" s="22" t="n">
        <f aca="false">100*(AH5-AH4)</f>
        <v>7.28951867838581</v>
      </c>
      <c r="AI139" s="22" t="n">
        <f aca="false">100*(AI5-AI4)</f>
        <v>7.13371394131133</v>
      </c>
      <c r="AJ139" s="22" t="n">
        <f aca="false">100*(AJ5-AJ4)</f>
        <v>6.98742376303669</v>
      </c>
      <c r="AK139" s="22" t="n">
        <f aca="false">100*(AK5-AK4)</f>
        <v>6.85085636320113</v>
      </c>
      <c r="AL139" s="22" t="n">
        <f aca="false">AVERAGE(C139:AK139)</f>
        <v>9.61902711481353</v>
      </c>
    </row>
    <row r="140" customFormat="false" ht="15" hidden="false" customHeight="false" outlineLevel="0" collapsed="false">
      <c r="A140" s="20" t="n">
        <f aca="false">A6</f>
        <v>-119</v>
      </c>
      <c r="B140" s="21" t="n">
        <f aca="false">B6</f>
        <v>41319</v>
      </c>
      <c r="C140" s="22" t="n">
        <f aca="false">100*(C6-C5)</f>
        <v>-0.904012295194989</v>
      </c>
      <c r="D140" s="22" t="n">
        <f aca="false">100*(D6-D5)</f>
        <v>-0.672856405745081</v>
      </c>
      <c r="E140" s="22" t="n">
        <f aca="false">100*(E6-E5)</f>
        <v>-0.485404578689019</v>
      </c>
      <c r="F140" s="22" t="n">
        <f aca="false">100*(F6-F5)</f>
        <v>-0.33879662730798</v>
      </c>
      <c r="G140" s="22" t="n">
        <f aca="false">100*(G6-G5)</f>
        <v>-0.229828075721894</v>
      </c>
      <c r="H140" s="22" t="n">
        <f aca="false">100*(H6-H5)</f>
        <v>-0.155335946598401</v>
      </c>
      <c r="I140" s="22" t="n">
        <f aca="false">100*(I6-I5)</f>
        <v>-0.112215910049285</v>
      </c>
      <c r="J140" s="22" t="n">
        <f aca="false">100*(J6-J5)</f>
        <v>-0.0974095188777113</v>
      </c>
      <c r="K140" s="22" t="n">
        <f aca="false">100*(K6-K5)</f>
        <v>-0.107894649684281</v>
      </c>
      <c r="L140" s="22" t="n">
        <f aca="false">100*(L6-L5)</f>
        <v>-0.140689826818496</v>
      </c>
      <c r="M140" s="22" t="n">
        <f aca="false">100*(M6-M5)</f>
        <v>-0.192991619659511</v>
      </c>
      <c r="N140" s="22" t="n">
        <f aca="false">100*(N6-N5)</f>
        <v>-0.262295461818196</v>
      </c>
      <c r="O140" s="22" t="n">
        <f aca="false">100*(O6-O5)</f>
        <v>-0.346356714798901</v>
      </c>
      <c r="P140" s="22" t="n">
        <f aca="false">100*(P6-P5)</f>
        <v>-0.443145847046011</v>
      </c>
      <c r="Q140" s="22" t="n">
        <f aca="false">100*(Q6-Q5)</f>
        <v>-0.550812712171478</v>
      </c>
      <c r="R140" s="22" t="n">
        <f aca="false">100*(R6-R5)</f>
        <v>-0.667675769966314</v>
      </c>
      <c r="S140" s="22" t="n">
        <f aca="false">100*(S6-S5)</f>
        <v>-0.792262143867095</v>
      </c>
      <c r="T140" s="22" t="n">
        <f aca="false">100*(T6-T5)</f>
        <v>-0.923291125684678</v>
      </c>
      <c r="U140" s="22" t="n">
        <f aca="false">100*(U6-U5)</f>
        <v>-1.0596039309084</v>
      </c>
      <c r="V140" s="22" t="n">
        <f aca="false">100*(V6-V5)</f>
        <v>-1.20012870303339</v>
      </c>
      <c r="W140" s="22" t="n">
        <f aca="false">100*(W6-W5)</f>
        <v>-1.34386800290951</v>
      </c>
      <c r="X140" s="22" t="n">
        <f aca="false">100*(X6-X5)</f>
        <v>-1.48988159016881</v>
      </c>
      <c r="Y140" s="22" t="n">
        <f aca="false">100*(Y6-Y5)</f>
        <v>-1.63725203511911</v>
      </c>
      <c r="Z140" s="22" t="n">
        <f aca="false">100*(Z6-Z5)</f>
        <v>-1.78507104051611</v>
      </c>
      <c r="AA140" s="22" t="n">
        <f aca="false">100*(AA6-AA5)</f>
        <v>-1.93244590892028</v>
      </c>
      <c r="AB140" s="22" t="n">
        <f aca="false">100*(AB6-AB5)</f>
        <v>-2.0785318126352</v>
      </c>
      <c r="AC140" s="22" t="n">
        <f aca="false">100*(AC6-AC5)</f>
        <v>-2.22254204370351</v>
      </c>
      <c r="AD140" s="22" t="n">
        <f aca="false">100*(AD6-AD5)</f>
        <v>-2.36374170484628</v>
      </c>
      <c r="AE140" s="22" t="n">
        <f aca="false">100*(AE6-AE5)</f>
        <v>-2.5014432918772</v>
      </c>
      <c r="AF140" s="22" t="n">
        <f aca="false">100*(AF6-AF5)</f>
        <v>-2.63502722130373</v>
      </c>
      <c r="AG140" s="22" t="n">
        <f aca="false">100*(AG6-AG5)</f>
        <v>-2.76397010112102</v>
      </c>
      <c r="AH140" s="22" t="n">
        <f aca="false">100*(AH6-AH5)</f>
        <v>-2.8878399430317</v>
      </c>
      <c r="AI140" s="22" t="n">
        <f aca="false">100*(AI6-AI5)</f>
        <v>-3.00629326555462</v>
      </c>
      <c r="AJ140" s="22" t="n">
        <f aca="false">100*(AJ6-AJ5)</f>
        <v>-3.1190731963227</v>
      </c>
      <c r="AK140" s="22" t="n">
        <f aca="false">100*(AK6-AK5)</f>
        <v>-3.2260014723466</v>
      </c>
      <c r="AL140" s="22" t="n">
        <f aca="false">AVERAGE(C140:AK140)</f>
        <v>-1.27645687125764</v>
      </c>
    </row>
    <row r="141" customFormat="false" ht="15" hidden="false" customHeight="false" outlineLevel="0" collapsed="false">
      <c r="A141" s="20" t="n">
        <f aca="false">A7</f>
        <v>-118</v>
      </c>
      <c r="B141" s="21" t="n">
        <f aca="false">B7</f>
        <v>41320</v>
      </c>
      <c r="C141" s="22" t="n">
        <f aca="false">100*(C7-C6)</f>
        <v>-0.0767171989352944</v>
      </c>
      <c r="D141" s="22" t="n">
        <f aca="false">100*(D7-D6)</f>
        <v>-0.170875124184722</v>
      </c>
      <c r="E141" s="22" t="n">
        <f aca="false">100*(E7-E6)</f>
        <v>-0.244896353076562</v>
      </c>
      <c r="F141" s="22" t="n">
        <f aca="false">100*(F7-F6)</f>
        <v>-0.298713649369597</v>
      </c>
      <c r="G141" s="22" t="n">
        <f aca="false">100*(G7-G6)</f>
        <v>-0.333850693604587</v>
      </c>
      <c r="H141" s="22" t="n">
        <f aca="false">100*(H7-H6)</f>
        <v>-0.352322485756096</v>
      </c>
      <c r="I141" s="22" t="n">
        <f aca="false">100*(I7-I6)</f>
        <v>-0.356376171725392</v>
      </c>
      <c r="J141" s="22" t="n">
        <f aca="false">100*(J7-J6)</f>
        <v>-0.348440519579496</v>
      </c>
      <c r="K141" s="22" t="n">
        <f aca="false">100*(K7-K6)</f>
        <v>-0.331088081600406</v>
      </c>
      <c r="L141" s="22" t="n">
        <f aca="false">100*(L7-L6)</f>
        <v>-0.306998925289204</v>
      </c>
      <c r="M141" s="22" t="n">
        <f aca="false">100*(M7-M6)</f>
        <v>-0.278720887139983</v>
      </c>
      <c r="N141" s="22" t="n">
        <f aca="false">100*(N7-N6)</f>
        <v>-0.248330935655128</v>
      </c>
      <c r="O141" s="22" t="n">
        <f aca="false">100*(O7-O6)</f>
        <v>-0.21746100775859</v>
      </c>
      <c r="P141" s="22" t="n">
        <f aca="false">100*(P7-P6)</f>
        <v>-0.187374712857702</v>
      </c>
      <c r="Q141" s="22" t="n">
        <f aca="false">100*(Q7-Q6)</f>
        <v>-0.159028585941412</v>
      </c>
      <c r="R141" s="22" t="n">
        <f aca="false">100*(R7-R6)</f>
        <v>-0.133083238772214</v>
      </c>
      <c r="S141" s="22" t="n">
        <f aca="false">100*(S7-S6)</f>
        <v>-0.109779906545082</v>
      </c>
      <c r="T141" s="22" t="n">
        <f aca="false">100*(T7-T6)</f>
        <v>-0.0889566578360146</v>
      </c>
      <c r="U141" s="22" t="n">
        <f aca="false">100*(U7-U6)</f>
        <v>-0.0702416864363009</v>
      </c>
      <c r="V141" s="22" t="n">
        <f aca="false">100*(V7-V6)</f>
        <v>-0.0531449213730273</v>
      </c>
      <c r="W141" s="22" t="n">
        <f aca="false">100*(W7-W6)</f>
        <v>-0.0370761709735046</v>
      </c>
      <c r="X141" s="22" t="n">
        <f aca="false">100*(X7-X6)</f>
        <v>-0.021380701518936</v>
      </c>
      <c r="Y141" s="22" t="n">
        <f aca="false">100*(Y7-Y6)</f>
        <v>-0.00544739981722664</v>
      </c>
      <c r="Z141" s="22" t="n">
        <f aca="false">100*(Z7-Z6)</f>
        <v>0.0112490089775097</v>
      </c>
      <c r="AA141" s="22" t="n">
        <f aca="false">100*(AA7-AA6)</f>
        <v>0.0291516111385004</v>
      </c>
      <c r="AB141" s="22" t="n">
        <f aca="false">100*(AB7-AB6)</f>
        <v>0.0486046839335952</v>
      </c>
      <c r="AC141" s="22" t="n">
        <f aca="false">100*(AC7-AC6)</f>
        <v>0.0698523534564899</v>
      </c>
      <c r="AD141" s="22" t="n">
        <f aca="false">100*(AD7-AD6)</f>
        <v>0.09304984246441</v>
      </c>
      <c r="AE141" s="22" t="n">
        <f aca="false">100*(AE7-AE6)</f>
        <v>0.118273423511006</v>
      </c>
      <c r="AF141" s="22" t="n">
        <f aca="false">100*(AF7-AF6)</f>
        <v>0.145524888181825</v>
      </c>
      <c r="AG141" s="22" t="n">
        <f aca="false">100*(AG7-AG6)</f>
        <v>0.174732309888892</v>
      </c>
      <c r="AH141" s="22" t="n">
        <f aca="false">100*(AH7-AH6)</f>
        <v>0.205757094865211</v>
      </c>
      <c r="AI141" s="22" t="n">
        <f aca="false">100*(AI7-AI6)</f>
        <v>0.238413680737493</v>
      </c>
      <c r="AJ141" s="22" t="n">
        <f aca="false">100*(AJ7-AJ6)</f>
        <v>0.272496121855115</v>
      </c>
      <c r="AK141" s="22" t="n">
        <f aca="false">100*(AK7-AK6)</f>
        <v>0.307783775072501</v>
      </c>
      <c r="AL141" s="22" t="n">
        <f aca="false">AVERAGE(C141:AK141)</f>
        <v>-0.077583349190398</v>
      </c>
    </row>
    <row r="142" customFormat="false" ht="15" hidden="false" customHeight="false" outlineLevel="0" collapsed="false">
      <c r="A142" s="20" t="n">
        <f aca="false">A8</f>
        <v>-117</v>
      </c>
      <c r="B142" s="21" t="n">
        <f aca="false">B8</f>
        <v>41323</v>
      </c>
      <c r="C142" s="22" t="n">
        <f aca="false">100*(C8-C7)</f>
        <v>-0.0683377998698109</v>
      </c>
      <c r="D142" s="22" t="n">
        <f aca="false">100*(D8-D7)</f>
        <v>-0.0590713201878756</v>
      </c>
      <c r="E142" s="22" t="n">
        <f aca="false">100*(E8-E7)</f>
        <v>-0.0427843988327403</v>
      </c>
      <c r="F142" s="22" t="n">
        <f aca="false">100*(F8-F7)</f>
        <v>-0.020013385920814</v>
      </c>
      <c r="G142" s="22" t="n">
        <f aca="false">100*(G8-G7)</f>
        <v>0.00873572588639959</v>
      </c>
      <c r="H142" s="22" t="n">
        <f aca="false">100*(H8-H7)</f>
        <v>0.0430100018646851</v>
      </c>
      <c r="I142" s="22" t="n">
        <f aca="false">100*(I8-I7)</f>
        <v>0.0824161932274858</v>
      </c>
      <c r="J142" s="22" t="n">
        <f aca="false">100*(J8-J7)</f>
        <v>0.126607772923393</v>
      </c>
      <c r="K142" s="22" t="n">
        <f aca="false">100*(K8-K7)</f>
        <v>0.175275201941094</v>
      </c>
      <c r="L142" s="22" t="n">
        <f aca="false">100*(L8-L7)</f>
        <v>0.228131813844312</v>
      </c>
      <c r="M142" s="22" t="n">
        <f aca="false">100*(M8-M7)</f>
        <v>0.284844844826493</v>
      </c>
      <c r="N142" s="22" t="n">
        <f aca="false">100*(N8-N7)</f>
        <v>0.344993733159216</v>
      </c>
      <c r="O142" s="22" t="n">
        <f aca="false">100*(O8-O7)</f>
        <v>0.408084068403181</v>
      </c>
      <c r="P142" s="22" t="n">
        <f aca="false">100*(P8-P7)</f>
        <v>0.473560328163103</v>
      </c>
      <c r="Q142" s="22" t="n">
        <f aca="false">100*(Q8-Q7)</f>
        <v>0.540815931601912</v>
      </c>
      <c r="R142" s="22" t="n">
        <f aca="false">100*(R8-R7)</f>
        <v>0.609185497146525</v>
      </c>
      <c r="S142" s="22" t="n">
        <f aca="false">100*(S8-S7)</f>
        <v>0.677898372593999</v>
      </c>
      <c r="T142" s="22" t="n">
        <f aca="false">100*(T8-T7)</f>
        <v>0.746098756648417</v>
      </c>
      <c r="U142" s="22" t="n">
        <f aca="false">100*(U8-U7)</f>
        <v>0.812954027456225</v>
      </c>
      <c r="V142" s="22" t="n">
        <f aca="false">100*(V8-V7)</f>
        <v>0.877691112370416</v>
      </c>
      <c r="W142" s="22" t="n">
        <f aca="false">100*(W8-W7)</f>
        <v>0.939589210432379</v>
      </c>
      <c r="X142" s="22" t="n">
        <f aca="false">100*(X8-X7)</f>
        <v>0.997989605599337</v>
      </c>
      <c r="Y142" s="22" t="n">
        <f aca="false">100*(Y8-Y7)</f>
        <v>1.05235249911093</v>
      </c>
      <c r="Z142" s="22" t="n">
        <f aca="false">100*(Z8-Z7)</f>
        <v>1.10226882620559</v>
      </c>
      <c r="AA142" s="22" t="n">
        <f aca="false">100*(AA8-AA7)</f>
        <v>1.14744452383269</v>
      </c>
      <c r="AB142" s="22" t="n">
        <f aca="false">100*(AB8-AB7)</f>
        <v>1.18768545694641</v>
      </c>
      <c r="AC142" s="22" t="n">
        <f aca="false">100*(AC8-AC7)</f>
        <v>1.22288466581799</v>
      </c>
      <c r="AD142" s="22" t="n">
        <f aca="false">100*(AD8-AD7)</f>
        <v>1.2530121898402</v>
      </c>
      <c r="AE142" s="22" t="n">
        <f aca="false">100*(AE8-AE7)</f>
        <v>1.27810652310041</v>
      </c>
      <c r="AF142" s="22" t="n">
        <f aca="false">100*(AF8-AF7)</f>
        <v>1.29826965130651</v>
      </c>
      <c r="AG142" s="22" t="n">
        <f aca="false">100*(AG8-AG7)</f>
        <v>1.31366302801301</v>
      </c>
      <c r="AH142" s="22" t="n">
        <f aca="false">100*(AH8-AH7)</f>
        <v>1.324500893451</v>
      </c>
      <c r="AI142" s="22" t="n">
        <f aca="false">100*(AI8-AI7)</f>
        <v>1.33103663954111</v>
      </c>
      <c r="AJ142" s="22" t="n">
        <f aca="false">100*(AJ8-AJ7)</f>
        <v>1.33354999094899</v>
      </c>
      <c r="AK142" s="22" t="n">
        <f aca="false">100*(AK8-AK7)</f>
        <v>1.33234351265918</v>
      </c>
      <c r="AL142" s="22" t="n">
        <f aca="false">AVERAGE(C142:AK142)</f>
        <v>0.696136962687181</v>
      </c>
    </row>
    <row r="143" customFormat="false" ht="15" hidden="false" customHeight="false" outlineLevel="0" collapsed="false">
      <c r="A143" s="20" t="n">
        <f aca="false">A9</f>
        <v>-116</v>
      </c>
      <c r="B143" s="21" t="n">
        <f aca="false">B9</f>
        <v>41324</v>
      </c>
      <c r="C143" s="22" t="n">
        <f aca="false">100*(C9-C8)</f>
        <v>-0.76093607999741</v>
      </c>
      <c r="D143" s="22" t="n">
        <f aca="false">100*(D9-D8)</f>
        <v>-0.716020544317209</v>
      </c>
      <c r="E143" s="22" t="n">
        <f aca="false">100*(E9-E8)</f>
        <v>-0.688747495431263</v>
      </c>
      <c r="F143" s="22" t="n">
        <f aca="false">100*(F9-F8)</f>
        <v>-0.675763451377787</v>
      </c>
      <c r="G143" s="22" t="n">
        <f aca="false">100*(G9-G8)</f>
        <v>-0.673371517986388</v>
      </c>
      <c r="H143" s="22" t="n">
        <f aca="false">100*(H9-H8)</f>
        <v>-0.678358612056007</v>
      </c>
      <c r="I143" s="22" t="n">
        <f aca="false">100*(I9-I8)</f>
        <v>-0.68795977650451</v>
      </c>
      <c r="J143" s="22" t="n">
        <f aca="false">100*(J9-J8)</f>
        <v>-0.699760757073609</v>
      </c>
      <c r="K143" s="22" t="n">
        <f aca="false">100*(K9-K8)</f>
        <v>-0.711624939240707</v>
      </c>
      <c r="L143" s="22" t="n">
        <f aca="false">100*(L9-L8)</f>
        <v>-0.721654383905301</v>
      </c>
      <c r="M143" s="22" t="n">
        <f aca="false">100*(M9-M8)</f>
        <v>-0.728346009017011</v>
      </c>
      <c r="N143" s="22" t="n">
        <f aca="false">100*(N9-N8)</f>
        <v>-0.730731384413197</v>
      </c>
      <c r="O143" s="22" t="n">
        <f aca="false">100*(O9-O8)</f>
        <v>-0.728301719915692</v>
      </c>
      <c r="P143" s="22" t="n">
        <f aca="false">100*(P9-P8)</f>
        <v>-0.720928614512317</v>
      </c>
      <c r="Q143" s="22" t="n">
        <f aca="false">100*(Q9-Q8)</f>
        <v>-0.708800571818902</v>
      </c>
      <c r="R143" s="22" t="n">
        <f aca="false">100*(R9-R8)</f>
        <v>-0.69235456359471</v>
      </c>
      <c r="S143" s="22" t="n">
        <f aca="false">100*(S9-S8)</f>
        <v>-0.672166197158397</v>
      </c>
      <c r="T143" s="22" t="n">
        <f aca="false">100*(T9-T8)</f>
        <v>-0.648884852250031</v>
      </c>
      <c r="U143" s="22" t="n">
        <f aca="false">100*(U9-U8)</f>
        <v>-0.623176153674043</v>
      </c>
      <c r="V143" s="22" t="n">
        <f aca="false">100*(V9-V8)</f>
        <v>-0.595701734400711</v>
      </c>
      <c r="W143" s="22" t="n">
        <f aca="false">100*(W9-W8)</f>
        <v>-0.567119314304776</v>
      </c>
      <c r="X143" s="22" t="n">
        <f aca="false">100*(X9-X8)</f>
        <v>-0.538065355341821</v>
      </c>
      <c r="Y143" s="22" t="n">
        <f aca="false">100*(Y9-Y8)</f>
        <v>-0.509090679433211</v>
      </c>
      <c r="Z143" s="22" t="n">
        <f aca="false">100*(Z9-Z8)</f>
        <v>-0.480644127030283</v>
      </c>
      <c r="AA143" s="22" t="n">
        <f aca="false">100*(AA9-AA8)</f>
        <v>-0.453083933700604</v>
      </c>
      <c r="AB143" s="22" t="n">
        <f aca="false">100*(AB9-AB8)</f>
        <v>-0.426686774792007</v>
      </c>
      <c r="AC143" s="22" t="n">
        <f aca="false">100*(AC9-AC8)</f>
        <v>-0.401657039792669</v>
      </c>
      <c r="AD143" s="22" t="n">
        <f aca="false">100*(AD9-AD8)</f>
        <v>-0.37813524645931</v>
      </c>
      <c r="AE143" s="22" t="n">
        <f aca="false">100*(AE9-AE8)</f>
        <v>-0.356205345918514</v>
      </c>
      <c r="AF143" s="22" t="n">
        <f aca="false">100*(AF9-AF8)</f>
        <v>-0.335902343390826</v>
      </c>
      <c r="AG143" s="22" t="n">
        <f aca="false">100*(AG9-AG8)</f>
        <v>-0.317219847755101</v>
      </c>
      <c r="AH143" s="22" t="n">
        <f aca="false">100*(AH9-AH8)</f>
        <v>-0.300115407145718</v>
      </c>
      <c r="AI143" s="22" t="n">
        <f aca="false">100*(AI9-AI8)</f>
        <v>-0.284521088181799</v>
      </c>
      <c r="AJ143" s="22" t="n">
        <f aca="false">100*(AJ9-AJ8)</f>
        <v>-0.270353018214609</v>
      </c>
      <c r="AK143" s="22" t="n">
        <f aca="false">100*(AK9-AK8)</f>
        <v>-0.257513576570201</v>
      </c>
      <c r="AL143" s="22" t="n">
        <f aca="false">AVERAGE(C143:AK143)</f>
        <v>-0.563997213047904</v>
      </c>
    </row>
    <row r="144" customFormat="false" ht="15" hidden="false" customHeight="false" outlineLevel="0" collapsed="false">
      <c r="A144" s="20" t="n">
        <f aca="false">A10</f>
        <v>-115</v>
      </c>
      <c r="B144" s="21" t="n">
        <f aca="false">B10</f>
        <v>41325</v>
      </c>
      <c r="C144" s="22" t="n">
        <f aca="false">100*(C10-C9)</f>
        <v>1.32760895502411</v>
      </c>
      <c r="D144" s="22" t="n">
        <f aca="false">100*(D10-D9)</f>
        <v>1.69679216160419</v>
      </c>
      <c r="E144" s="22" t="n">
        <f aca="false">100*(E10-E9)</f>
        <v>1.99398199026599</v>
      </c>
      <c r="F144" s="22" t="n">
        <f aca="false">100*(F10-F9)</f>
        <v>2.222223980286</v>
      </c>
      <c r="G144" s="22" t="n">
        <f aca="false">100*(G10-G9)</f>
        <v>2.38658746453768</v>
      </c>
      <c r="H144" s="22" t="n">
        <f aca="false">100*(H10-H9)</f>
        <v>2.49284258680511</v>
      </c>
      <c r="I144" s="22" t="n">
        <f aca="false">100*(I10-I9)</f>
        <v>2.54721884793661</v>
      </c>
      <c r="J144" s="22" t="n">
        <f aca="false">100*(J10-J9)</f>
        <v>2.55630525019122</v>
      </c>
      <c r="K144" s="22" t="n">
        <f aca="false">100*(K10-K9)</f>
        <v>2.52697540111222</v>
      </c>
      <c r="L144" s="22" t="n">
        <f aca="false">100*(L10-L9)</f>
        <v>2.46629817928041</v>
      </c>
      <c r="M144" s="22" t="n">
        <f aca="false">100*(M10-M9)</f>
        <v>2.38108363024612</v>
      </c>
      <c r="N144" s="22" t="n">
        <f aca="false">100*(N10-N9)</f>
        <v>2.27747031629648</v>
      </c>
      <c r="O144" s="22" t="n">
        <f aca="false">100*(O10-O9)</f>
        <v>2.16099717455709</v>
      </c>
      <c r="P144" s="22" t="n">
        <f aca="false">100*(P10-P9)</f>
        <v>2.03670690176092</v>
      </c>
      <c r="Q144" s="22" t="n">
        <f aca="false">100*(Q10-Q9)</f>
        <v>1.90922826187427</v>
      </c>
      <c r="R144" s="22" t="n">
        <f aca="false">100*(R10-R9)</f>
        <v>1.78279075055752</v>
      </c>
      <c r="S144" s="22" t="n">
        <f aca="false">100*(S10-S9)</f>
        <v>1.66109830842749</v>
      </c>
      <c r="T144" s="22" t="n">
        <f aca="false">100*(T10-T9)</f>
        <v>1.54730748650653</v>
      </c>
      <c r="U144" s="22" t="n">
        <f aca="false">100*(U10-U9)</f>
        <v>1.44399982228363</v>
      </c>
      <c r="V144" s="22" t="n">
        <f aca="false">100*(V10-V9)</f>
        <v>1.35321917444311</v>
      </c>
      <c r="W144" s="22" t="n">
        <f aca="false">100*(W10-W9)</f>
        <v>1.2765452259957</v>
      </c>
      <c r="X144" s="22" t="n">
        <f aca="false">100*(X10-X9)</f>
        <v>1.21513118015573</v>
      </c>
      <c r="Y144" s="22" t="n">
        <f aca="false">100*(Y10-Y9)</f>
        <v>1.16965875772119</v>
      </c>
      <c r="Z144" s="22" t="n">
        <f aca="false">100*(Z10-Z9)</f>
        <v>1.14035471229839</v>
      </c>
      <c r="AA144" s="22" t="n">
        <f aca="false">100*(AA10-AA9)</f>
        <v>1.12705771865951</v>
      </c>
      <c r="AB144" s="22" t="n">
        <f aca="false">100*(AB10-AB9)</f>
        <v>1.12930698432621</v>
      </c>
      <c r="AC144" s="22" t="n">
        <f aca="false">100*(AC10-AC9)</f>
        <v>1.14639453514487</v>
      </c>
      <c r="AD144" s="22" t="n">
        <f aca="false">100*(AD10-AD9)</f>
        <v>1.17739430892212</v>
      </c>
      <c r="AE144" s="22" t="n">
        <f aca="false">100*(AE10-AE9)</f>
        <v>1.22118947706991</v>
      </c>
      <c r="AF144" s="22" t="n">
        <f aca="false">100*(AF10-AF9)</f>
        <v>1.27653140796022</v>
      </c>
      <c r="AG144" s="22" t="n">
        <f aca="false">100*(AG10-AG9)</f>
        <v>1.3421006841666</v>
      </c>
      <c r="AH144" s="22" t="n">
        <f aca="false">100*(AH10-AH9)</f>
        <v>1.4165234166589</v>
      </c>
      <c r="AI144" s="22" t="n">
        <f aca="false">100*(AI10-AI9)</f>
        <v>1.4984262818905</v>
      </c>
      <c r="AJ144" s="22" t="n">
        <f aca="false">100*(AJ10-AJ9)</f>
        <v>1.58649960779149</v>
      </c>
      <c r="AK144" s="22" t="n">
        <f aca="false">100*(AK10-AK9)</f>
        <v>1.6794989438778</v>
      </c>
      <c r="AL144" s="22" t="n">
        <f aca="false">AVERAGE(C144:AK144)</f>
        <v>1.71923856818959</v>
      </c>
    </row>
    <row r="145" customFormat="false" ht="15" hidden="false" customHeight="false" outlineLevel="0" collapsed="false">
      <c r="A145" s="20" t="n">
        <f aca="false">A11</f>
        <v>-114</v>
      </c>
      <c r="B145" s="21" t="n">
        <f aca="false">B11</f>
        <v>41326</v>
      </c>
      <c r="C145" s="22" t="n">
        <f aca="false">100*(C11-C10)</f>
        <v>-8.8095084643661</v>
      </c>
      <c r="D145" s="22" t="n">
        <f aca="false">100*(D11-D10)</f>
        <v>-8.87611052261599</v>
      </c>
      <c r="E145" s="22" t="n">
        <f aca="false">100*(E11-E10)</f>
        <v>-8.9124300789595</v>
      </c>
      <c r="F145" s="22" t="n">
        <f aca="false">100*(F11-F10)</f>
        <v>-8.9251092647634</v>
      </c>
      <c r="G145" s="22" t="n">
        <f aca="false">100*(G11-G10)</f>
        <v>-8.92040242986432</v>
      </c>
      <c r="H145" s="22" t="n">
        <f aca="false">100*(H11-H10)</f>
        <v>-8.90349435202791</v>
      </c>
      <c r="I145" s="22" t="n">
        <f aca="false">100*(I11-I10)</f>
        <v>-8.87863108438052</v>
      </c>
      <c r="J145" s="22" t="n">
        <f aca="false">100*(J11-J10)</f>
        <v>-8.8493240149937</v>
      </c>
      <c r="K145" s="22" t="n">
        <f aca="false">100*(K11-K10)</f>
        <v>-8.8185029221032</v>
      </c>
      <c r="L145" s="22" t="n">
        <f aca="false">100*(L11-L10)</f>
        <v>-8.78862229496709</v>
      </c>
      <c r="M145" s="22" t="n">
        <f aca="false">100*(M11-M10)</f>
        <v>-8.7615714404969</v>
      </c>
      <c r="N145" s="22" t="n">
        <f aca="false">100*(N11-N10)</f>
        <v>-8.73853138096559</v>
      </c>
      <c r="O145" s="22" t="n">
        <f aca="false">100*(O11-O10)</f>
        <v>-8.72006819357729</v>
      </c>
      <c r="P145" s="22" t="n">
        <f aca="false">100*(P11-P10)</f>
        <v>-8.7062390305777</v>
      </c>
      <c r="Q145" s="22" t="n">
        <f aca="false">100*(Q11-Q10)</f>
        <v>-8.69667709788327</v>
      </c>
      <c r="R145" s="22" t="n">
        <f aca="false">100*(R11-R10)</f>
        <v>-8.69067539711121</v>
      </c>
      <c r="S145" s="22" t="n">
        <f aca="false">100*(S11-S10)</f>
        <v>-8.68728907212719</v>
      </c>
      <c r="T145" s="22" t="n">
        <f aca="false">100*(T11-T10)</f>
        <v>-8.68541860744529</v>
      </c>
      <c r="U145" s="22" t="n">
        <f aca="false">100*(U11-U10)</f>
        <v>-8.68394787338058</v>
      </c>
      <c r="V145" s="22" t="n">
        <f aca="false">100*(V11-V10)</f>
        <v>-8.68179363486501</v>
      </c>
      <c r="W145" s="22" t="n">
        <f aca="false">100*(W11-W10)</f>
        <v>-8.67790221030722</v>
      </c>
      <c r="X145" s="22" t="n">
        <f aca="false">100*(X11-X10)</f>
        <v>-8.6712766654641</v>
      </c>
      <c r="Y145" s="22" t="n">
        <f aca="false">100*(Y11-Y10)</f>
        <v>-8.6610914284738</v>
      </c>
      <c r="Z145" s="22" t="n">
        <f aca="false">100*(Z11-Z10)</f>
        <v>-8.64672198778549</v>
      </c>
      <c r="AA145" s="22" t="n">
        <f aca="false">100*(AA11-AA10)</f>
        <v>-8.62772523299102</v>
      </c>
      <c r="AB145" s="22" t="n">
        <f aca="false">100*(AB11-AB10)</f>
        <v>-8.6038349608458</v>
      </c>
      <c r="AC145" s="22" t="n">
        <f aca="false">100*(AC11-AC10)</f>
        <v>-8.57494861567258</v>
      </c>
      <c r="AD145" s="22" t="n">
        <f aca="false">100*(AD11-AD10)</f>
        <v>-8.54110845749134</v>
      </c>
      <c r="AE145" s="22" t="n">
        <f aca="false">100*(AE11-AE10)</f>
        <v>-8.50248487680849</v>
      </c>
      <c r="AF145" s="22" t="n">
        <f aca="false">100*(AF11-AF10)</f>
        <v>-8.45935999117171</v>
      </c>
      <c r="AG145" s="22" t="n">
        <f aca="false">100*(AG11-AG10)</f>
        <v>-8.41211389315051</v>
      </c>
      <c r="AH145" s="22" t="n">
        <f aca="false">100*(AH11-AH10)</f>
        <v>-8.36121237822898</v>
      </c>
      <c r="AI145" s="22" t="n">
        <f aca="false">100*(AI11-AI10)</f>
        <v>-8.30717005559838</v>
      </c>
      <c r="AJ145" s="22" t="n">
        <f aca="false">100*(AJ11-AJ10)</f>
        <v>-8.25051001190129</v>
      </c>
      <c r="AK145" s="22" t="n">
        <f aca="false">100*(AK11-AK10)</f>
        <v>-8.1917585847457</v>
      </c>
      <c r="AL145" s="22" t="n">
        <f aca="false">AVERAGE(C145:AK145)</f>
        <v>-8.66353047166023</v>
      </c>
    </row>
    <row r="146" customFormat="false" ht="15" hidden="false" customHeight="false" outlineLevel="0" collapsed="false">
      <c r="A146" s="20" t="n">
        <f aca="false">A12</f>
        <v>-113</v>
      </c>
      <c r="B146" s="21" t="n">
        <f aca="false">B12</f>
        <v>41327</v>
      </c>
      <c r="C146" s="22" t="n">
        <f aca="false">100*(C12-C11)</f>
        <v>0.904760276703409</v>
      </c>
      <c r="D146" s="22" t="n">
        <f aca="false">100*(D12-D11)</f>
        <v>0.890792039846211</v>
      </c>
      <c r="E146" s="22" t="n">
        <f aca="false">100*(E12-E11)</f>
        <v>0.883113515483602</v>
      </c>
      <c r="F146" s="22" t="n">
        <f aca="false">100*(F12-F11)</f>
        <v>0.878761958724983</v>
      </c>
      <c r="G146" s="22" t="n">
        <f aca="false">100*(G12-G11)</f>
        <v>0.875221781377933</v>
      </c>
      <c r="H146" s="22" t="n">
        <f aca="false">100*(H12-H11)</f>
        <v>0.870497495801814</v>
      </c>
      <c r="I146" s="22" t="n">
        <f aca="false">100*(I12-I11)</f>
        <v>0.863047504041115</v>
      </c>
      <c r="J146" s="22" t="n">
        <f aca="false">100*(J12-J11)</f>
        <v>0.851685440442074</v>
      </c>
      <c r="K146" s="22" t="n">
        <f aca="false">100*(K12-K11)</f>
        <v>0.835506164922206</v>
      </c>
      <c r="L146" s="22" t="n">
        <f aca="false">100*(L12-L11)</f>
        <v>0.813820399556464</v>
      </c>
      <c r="M146" s="22" t="n">
        <f aca="false">100*(M12-M11)</f>
        <v>0.786112973043673</v>
      </c>
      <c r="N146" s="22" t="n">
        <f aca="false">100*(N12-N11)</f>
        <v>0.752109461024908</v>
      </c>
      <c r="O146" s="22" t="n">
        <f aca="false">100*(O12-O11)</f>
        <v>0.71175800741119</v>
      </c>
      <c r="P146" s="22" t="n">
        <f aca="false">100*(P12-P11)</f>
        <v>0.665190957943285</v>
      </c>
      <c r="Q146" s="22" t="n">
        <f aca="false">100*(Q12-Q11)</f>
        <v>0.612693924756469</v>
      </c>
      <c r="R146" s="22" t="n">
        <f aca="false">100*(R12-R11)</f>
        <v>0.554671104091487</v>
      </c>
      <c r="S146" s="22" t="n">
        <f aca="false">100*(S12-S11)</f>
        <v>0.491614966037712</v>
      </c>
      <c r="T146" s="22" t="n">
        <f aca="false">100*(T12-T11)</f>
        <v>0.424087995302491</v>
      </c>
      <c r="U146" s="22" t="n">
        <f aca="false">100*(U12-U11)</f>
        <v>0.352678815281271</v>
      </c>
      <c r="V146" s="22" t="n">
        <f aca="false">100*(V12-V11)</f>
        <v>0.277984778906593</v>
      </c>
      <c r="W146" s="22" t="n">
        <f aca="false">100*(W12-W11)</f>
        <v>0.200610437940441</v>
      </c>
      <c r="X146" s="22" t="n">
        <f aca="false">100*(X12-X11)</f>
        <v>0.12116029603817</v>
      </c>
      <c r="Y146" s="22" t="n">
        <f aca="false">100*(Y12-Y11)</f>
        <v>0.0402126479225995</v>
      </c>
      <c r="Z146" s="22" t="n">
        <f aca="false">100*(Z12-Z11)</f>
        <v>-0.0416887013599876</v>
      </c>
      <c r="AA146" s="22" t="n">
        <f aca="false">100*(AA12-AA11)</f>
        <v>-0.124032625997073</v>
      </c>
      <c r="AB146" s="22" t="n">
        <f aca="false">100*(AB12-AB11)</f>
        <v>-0.206348664858513</v>
      </c>
      <c r="AC146" s="22" t="n">
        <f aca="false">100*(AC12-AC11)</f>
        <v>-0.288208420466018</v>
      </c>
      <c r="AD146" s="22" t="n">
        <f aca="false">100*(AD12-AD11)</f>
        <v>-0.369220861058484</v>
      </c>
      <c r="AE146" s="22" t="n">
        <f aca="false">100*(AE12-AE11)</f>
        <v>-0.449028147112918</v>
      </c>
      <c r="AF146" s="22" t="n">
        <f aca="false">100*(AF12-AF11)</f>
        <v>-0.527306675323613</v>
      </c>
      <c r="AG146" s="22" t="n">
        <f aca="false">100*(AG12-AG11)</f>
        <v>-0.603772218692189</v>
      </c>
      <c r="AH146" s="22" t="n">
        <f aca="false">100*(AH12-AH11)</f>
        <v>-0.678177457231799</v>
      </c>
      <c r="AI146" s="22" t="n">
        <f aca="false">100*(AI12-AI11)</f>
        <v>-0.750309179541997</v>
      </c>
      <c r="AJ146" s="22" t="n">
        <f aca="false">100*(AJ12-AJ11)</f>
        <v>-0.819984381336392</v>
      </c>
      <c r="AK146" s="22" t="n">
        <f aca="false">100*(AK12-AK11)</f>
        <v>-0.887046945783698</v>
      </c>
      <c r="AL146" s="22" t="n">
        <f aca="false">AVERAGE(C146:AK146)</f>
        <v>0.254656247538212</v>
      </c>
    </row>
    <row r="147" customFormat="false" ht="15" hidden="false" customHeight="false" outlineLevel="0" collapsed="false">
      <c r="A147" s="20" t="n">
        <f aca="false">A13</f>
        <v>-112</v>
      </c>
      <c r="B147" s="21" t="n">
        <f aca="false">B13</f>
        <v>41330</v>
      </c>
      <c r="C147" s="22" t="n">
        <f aca="false">100*(C13-C12)</f>
        <v>-3.0810951868306</v>
      </c>
      <c r="D147" s="22" t="n">
        <f aca="false">100*(D13-D12)</f>
        <v>-3.04132742583951</v>
      </c>
      <c r="E147" s="22" t="n">
        <f aca="false">100*(E13-E12)</f>
        <v>-2.99298392195873</v>
      </c>
      <c r="F147" s="22" t="n">
        <f aca="false">100*(F13-F12)</f>
        <v>-2.9375640887825</v>
      </c>
      <c r="G147" s="22" t="n">
        <f aca="false">100*(G13-G12)</f>
        <v>-2.87660686989399</v>
      </c>
      <c r="H147" s="22" t="n">
        <f aca="false">100*(H13-H12)</f>
        <v>-2.81140939957782</v>
      </c>
      <c r="I147" s="22" t="n">
        <f aca="false">100*(I13-I12)</f>
        <v>-2.74304249821138</v>
      </c>
      <c r="J147" s="22" t="n">
        <f aca="false">100*(J13-J12)</f>
        <v>-2.67239986782748</v>
      </c>
      <c r="K147" s="22" t="n">
        <f aca="false">100*(K13-K12)</f>
        <v>-2.60023499176731</v>
      </c>
      <c r="L147" s="22" t="n">
        <f aca="false">100*(L13-L12)</f>
        <v>-2.52719038113387</v>
      </c>
      <c r="M147" s="22" t="n">
        <f aca="false">100*(M13-M12)</f>
        <v>-2.4537943877589</v>
      </c>
      <c r="N147" s="22" t="n">
        <f aca="false">100*(N13-N12)</f>
        <v>-2.38042280837618</v>
      </c>
      <c r="O147" s="22" t="n">
        <f aca="false">100*(O13-O12)</f>
        <v>-2.30731537867137</v>
      </c>
      <c r="P147" s="22" t="n">
        <f aca="false">100*(P13-P12)</f>
        <v>-2.23459923050697</v>
      </c>
      <c r="Q147" s="22" t="n">
        <f aca="false">100*(Q13-Q12)</f>
        <v>-2.16230794190548</v>
      </c>
      <c r="R147" s="22" t="n">
        <f aca="false">100*(R13-R12)</f>
        <v>-2.0904227905941</v>
      </c>
      <c r="S147" s="22" t="n">
        <f aca="false">100*(S13-S12)</f>
        <v>-2.01896381324942</v>
      </c>
      <c r="T147" s="22" t="n">
        <f aca="false">100*(T13-T12)</f>
        <v>-1.94800665612922</v>
      </c>
      <c r="U147" s="22" t="n">
        <f aca="false">100*(U13-U12)</f>
        <v>-1.87765452985289</v>
      </c>
      <c r="V147" s="22" t="n">
        <f aca="false">100*(V13-V12)</f>
        <v>-1.80802647101439</v>
      </c>
      <c r="W147" s="22" t="n">
        <f aca="false">100*(W13-W12)</f>
        <v>-1.73925500274601</v>
      </c>
      <c r="X147" s="22" t="n">
        <f aca="false">100*(X13-X12)</f>
        <v>-1.67148609543597</v>
      </c>
      <c r="Y147" s="22" t="n">
        <f aca="false">100*(Y13-Y12)</f>
        <v>-1.60488456783709</v>
      </c>
      <c r="Z147" s="22" t="n">
        <f aca="false">100*(Z13-Z12)</f>
        <v>-1.53963475348342</v>
      </c>
      <c r="AA147" s="22" t="n">
        <f aca="false">100*(AA13-AA12)</f>
        <v>-1.47593818975742</v>
      </c>
      <c r="AB147" s="22" t="n">
        <f aca="false">100*(AB13-AB12)</f>
        <v>-1.41401290343279</v>
      </c>
      <c r="AC147" s="22" t="n">
        <f aca="false">100*(AC13-AC12)</f>
        <v>-1.3540924276223</v>
      </c>
      <c r="AD147" s="22" t="n">
        <f aca="false">100*(AD13-AD12)</f>
        <v>-1.29642403656298</v>
      </c>
      <c r="AE147" s="22" t="n">
        <f aca="false">100*(AE13-AE12)</f>
        <v>-1.2412665153088</v>
      </c>
      <c r="AF147" s="22" t="n">
        <f aca="false">100*(AF13-AF12)</f>
        <v>-1.18888077174439</v>
      </c>
      <c r="AG147" s="22" t="n">
        <f aca="false">100*(AG13-AG12)</f>
        <v>-1.1395210403772</v>
      </c>
      <c r="AH147" s="22" t="n">
        <f aca="false">100*(AH13-AH12)</f>
        <v>-1.09343365550902</v>
      </c>
      <c r="AI147" s="22" t="n">
        <f aca="false">100*(AI13-AI12)</f>
        <v>-1.05084192580382</v>
      </c>
      <c r="AJ147" s="22" t="n">
        <f aca="false">100*(AJ13-AJ12)</f>
        <v>-1.01192923765301</v>
      </c>
      <c r="AK147" s="22" t="n">
        <f aca="false">100*(AK13-AK12)</f>
        <v>-0.976840800213408</v>
      </c>
      <c r="AL147" s="22" t="n">
        <f aca="false">AVERAGE(C147:AK147)</f>
        <v>-1.98182315895342</v>
      </c>
    </row>
    <row r="148" customFormat="false" ht="15" hidden="false" customHeight="false" outlineLevel="0" collapsed="false">
      <c r="A148" s="20" t="n">
        <f aca="false">A14</f>
        <v>-111</v>
      </c>
      <c r="B148" s="21" t="n">
        <f aca="false">B14</f>
        <v>41331</v>
      </c>
      <c r="C148" s="22" t="n">
        <f aca="false">100*(C14-C13)</f>
        <v>-10.7238056818506</v>
      </c>
      <c r="D148" s="22" t="n">
        <f aca="false">100*(D14-D13)</f>
        <v>-11.0982013840525</v>
      </c>
      <c r="E148" s="22" t="n">
        <f aca="false">100*(E14-E13)</f>
        <v>-11.3790427470286</v>
      </c>
      <c r="F148" s="22" t="n">
        <f aca="false">100*(F14-F13)</f>
        <v>-11.5702217781901</v>
      </c>
      <c r="G148" s="22" t="n">
        <f aca="false">100*(G14-G13)</f>
        <v>-11.6779134904775</v>
      </c>
      <c r="H148" s="22" t="n">
        <f aca="false">100*(H14-H13)</f>
        <v>-11.709294318961</v>
      </c>
      <c r="I148" s="22" t="n">
        <f aca="false">100*(I14-I13)</f>
        <v>-11.6722263649195</v>
      </c>
      <c r="J148" s="22" t="n">
        <f aca="false">100*(J14-J13)</f>
        <v>-11.5751083353485</v>
      </c>
      <c r="K148" s="22" t="n">
        <f aca="false">100*(K14-K13)</f>
        <v>-11.4267637501035</v>
      </c>
      <c r="L148" s="22" t="n">
        <f aca="false">100*(L14-L13)</f>
        <v>-11.2363182511862</v>
      </c>
      <c r="M148" s="22" t="n">
        <f aca="false">100*(M14-M13)</f>
        <v>-11.0126249129738</v>
      </c>
      <c r="N148" s="22" t="n">
        <f aca="false">100*(N14-N13)</f>
        <v>-10.7637157879199</v>
      </c>
      <c r="O148" s="22" t="n">
        <f aca="false">100*(O14-O13)</f>
        <v>-10.4968818339406</v>
      </c>
      <c r="P148" s="22" t="n">
        <f aca="false">100*(P14-P13)</f>
        <v>-10.218800687564</v>
      </c>
      <c r="Q148" s="22" t="n">
        <f aca="false">100*(Q14-Q13)</f>
        <v>-9.93563793468142</v>
      </c>
      <c r="R148" s="22" t="n">
        <f aca="false">100*(R14-R13)</f>
        <v>-9.65301662177498</v>
      </c>
      <c r="S148" s="22" t="n">
        <f aca="false">100*(S14-S13)</f>
        <v>-9.375704911823</v>
      </c>
      <c r="T148" s="22" t="n">
        <f aca="false">100*(T14-T13)</f>
        <v>-9.10758407681858</v>
      </c>
      <c r="U148" s="22" t="n">
        <f aca="false">100*(U14-U13)</f>
        <v>-8.85174184563971</v>
      </c>
      <c r="V148" s="22" t="n">
        <f aca="false">100*(V14-V13)</f>
        <v>-8.61057288837008</v>
      </c>
      <c r="W148" s="22" t="n">
        <f aca="false">100*(W14-W13)</f>
        <v>-8.3858746520276</v>
      </c>
      <c r="X148" s="22" t="n">
        <f aca="false">100*(X14-X13)</f>
        <v>-8.17890543342652</v>
      </c>
      <c r="Y148" s="22" t="n">
        <f aca="false">100*(Y14-Y13)</f>
        <v>-7.99037475648592</v>
      </c>
      <c r="Z148" s="22" t="n">
        <f aca="false">100*(Z14-Z13)</f>
        <v>-7.82048273038209</v>
      </c>
      <c r="AA148" s="22" t="n">
        <f aca="false">100*(AA14-AA13)</f>
        <v>-7.66900548895979</v>
      </c>
      <c r="AB148" s="22" t="n">
        <f aca="false">100*(AB14-AB13)</f>
        <v>-7.53542688414632</v>
      </c>
      <c r="AC148" s="22" t="n">
        <f aca="false">100*(AC14-AC13)</f>
        <v>-7.41900437288701</v>
      </c>
      <c r="AD148" s="22" t="n">
        <f aca="false">100*(AD14-AD13)</f>
        <v>-7.31879595305331</v>
      </c>
      <c r="AE148" s="22" t="n">
        <f aca="false">100*(AE14-AE13)</f>
        <v>-7.23368602931229</v>
      </c>
      <c r="AF148" s="22" t="n">
        <f aca="false">100*(AF14-AF13)</f>
        <v>-7.1624496340656</v>
      </c>
      <c r="AG148" s="22" t="n">
        <f aca="false">100*(AG14-AG13)</f>
        <v>-7.10381767388841</v>
      </c>
      <c r="AH148" s="22" t="n">
        <f aca="false">100*(AH14-AH13)</f>
        <v>-7.0564908401082</v>
      </c>
      <c r="AI148" s="22" t="n">
        <f aca="false">100*(AI14-AI13)</f>
        <v>-7.01918443938427</v>
      </c>
      <c r="AJ148" s="22" t="n">
        <f aca="false">100*(AJ14-AJ13)</f>
        <v>-6.99067484592342</v>
      </c>
      <c r="AK148" s="22" t="n">
        <f aca="false">100*(AK14-AK13)</f>
        <v>-6.9697986625112</v>
      </c>
      <c r="AL148" s="22" t="n">
        <f aca="false">AVERAGE(C148:AK148)</f>
        <v>-9.25569000000531</v>
      </c>
    </row>
    <row r="149" customFormat="false" ht="15" hidden="false" customHeight="false" outlineLevel="0" collapsed="false">
      <c r="A149" s="20" t="n">
        <f aca="false">A15</f>
        <v>-110</v>
      </c>
      <c r="B149" s="21" t="n">
        <f aca="false">B15</f>
        <v>41332</v>
      </c>
      <c r="C149" s="22" t="n">
        <f aca="false">100*(C15-C14)</f>
        <v>-1.1080143043797</v>
      </c>
      <c r="D149" s="22" t="n">
        <f aca="false">100*(D15-D14)</f>
        <v>-1.29121776520871</v>
      </c>
      <c r="E149" s="22" t="n">
        <f aca="false">100*(E15-E14)</f>
        <v>-1.44630459178969</v>
      </c>
      <c r="F149" s="22" t="n">
        <f aca="false">100*(F15-F14)</f>
        <v>-1.57613336323648</v>
      </c>
      <c r="G149" s="22" t="n">
        <f aca="false">100*(G15-G14)</f>
        <v>-1.683405079668</v>
      </c>
      <c r="H149" s="22" t="n">
        <f aca="false">100*(H15-H14)</f>
        <v>-1.77055614445778</v>
      </c>
      <c r="I149" s="22" t="n">
        <f aca="false">100*(I15-I14)</f>
        <v>-1.83979604028268</v>
      </c>
      <c r="J149" s="22" t="n">
        <f aca="false">100*(J15-J14)</f>
        <v>-1.89315665828129</v>
      </c>
      <c r="K149" s="22" t="n">
        <f aca="false">100*(K15-K14)</f>
        <v>-1.9325292962916</v>
      </c>
      <c r="L149" s="22" t="n">
        <f aca="false">100*(L15-L14)</f>
        <v>-1.95968943881448</v>
      </c>
      <c r="M149" s="22" t="n">
        <f aca="false">100*(M15-M14)</f>
        <v>-1.976246715875</v>
      </c>
      <c r="N149" s="22" t="n">
        <f aca="false">100*(N15-N14)</f>
        <v>-1.98357268751632</v>
      </c>
      <c r="O149" s="22" t="n">
        <f aca="false">100*(O15-O14)</f>
        <v>-1.98282951205591</v>
      </c>
      <c r="P149" s="22" t="n">
        <f aca="false">100*(P15-P14)</f>
        <v>-1.97500604908032</v>
      </c>
      <c r="Q149" s="22" t="n">
        <f aca="false">100*(Q15-Q14)</f>
        <v>-1.9609466162128</v>
      </c>
      <c r="R149" s="22" t="n">
        <f aca="false">100*(R15-R14)</f>
        <v>-1.9413575506404</v>
      </c>
      <c r="S149" s="22" t="n">
        <f aca="false">100*(S15-S14)</f>
        <v>-1.91676828274452</v>
      </c>
      <c r="T149" s="22" t="n">
        <f aca="false">100*(T15-T14)</f>
        <v>-1.887554184656</v>
      </c>
      <c r="U149" s="22" t="n">
        <f aca="false">100*(U15-U14)</f>
        <v>-1.85402761009601</v>
      </c>
      <c r="V149" s="22" t="n">
        <f aca="false">100*(V15-V14)</f>
        <v>-1.8164729163376</v>
      </c>
      <c r="W149" s="22" t="n">
        <f aca="false">100*(W15-W14)</f>
        <v>-1.77515094155263</v>
      </c>
      <c r="X149" s="22" t="n">
        <f aca="false">100*(X15-X14)</f>
        <v>-1.73031615300761</v>
      </c>
      <c r="Y149" s="22" t="n">
        <f aca="false">100*(Y15-Y14)</f>
        <v>-1.68226857181688</v>
      </c>
      <c r="Z149" s="22" t="n">
        <f aca="false">100*(Z15-Z14)</f>
        <v>-1.63136818930809</v>
      </c>
      <c r="AA149" s="22" t="n">
        <f aca="false">100*(AA15-AA14)</f>
        <v>-1.5780260313321</v>
      </c>
      <c r="AB149" s="22" t="n">
        <f aca="false">100*(AB15-AB14)</f>
        <v>-1.52269161213217</v>
      </c>
      <c r="AC149" s="22" t="n">
        <f aca="false">100*(AC15-AC14)</f>
        <v>-1.4658460072114</v>
      </c>
      <c r="AD149" s="22" t="n">
        <f aca="false">100*(AD15-AD14)</f>
        <v>-1.4079981418254</v>
      </c>
      <c r="AE149" s="22" t="n">
        <f aca="false">100*(AE15-AE14)</f>
        <v>-1.34968022922037</v>
      </c>
      <c r="AF149" s="22" t="n">
        <f aca="false">100*(AF15-AF14)</f>
        <v>-1.29142699318687</v>
      </c>
      <c r="AG149" s="22" t="n">
        <f aca="false">100*(AG15-AG14)</f>
        <v>-1.23375493438269</v>
      </c>
      <c r="AH149" s="22" t="n">
        <f aca="false">100*(AH15-AH14)</f>
        <v>-1.1771606116032</v>
      </c>
      <c r="AI149" s="22" t="n">
        <f aca="false">100*(AI15-AI14)</f>
        <v>-1.12210201368339</v>
      </c>
      <c r="AJ149" s="22" t="n">
        <f aca="false">100*(AJ15-AJ14)</f>
        <v>-1.06897790629987</v>
      </c>
      <c r="AK149" s="22" t="n">
        <f aca="false">100*(AK15-AK14)</f>
        <v>-1.0181309427737</v>
      </c>
      <c r="AL149" s="22" t="n">
        <f aca="false">AVERAGE(C149:AK149)</f>
        <v>-1.62429954534176</v>
      </c>
    </row>
    <row r="150" customFormat="false" ht="15" hidden="false" customHeight="false" outlineLevel="0" collapsed="false">
      <c r="A150" s="20" t="n">
        <f aca="false">A16</f>
        <v>-109</v>
      </c>
      <c r="B150" s="21" t="n">
        <f aca="false">B16</f>
        <v>41333</v>
      </c>
      <c r="C150" s="22" t="n">
        <f aca="false">100*(C16-C15)</f>
        <v>1.2438701308453</v>
      </c>
      <c r="D150" s="22" t="n">
        <f aca="false">100*(D16-D15)</f>
        <v>1.2209134927857</v>
      </c>
      <c r="E150" s="22" t="n">
        <f aca="false">100*(E16-E15)</f>
        <v>1.1778856700446</v>
      </c>
      <c r="F150" s="22" t="n">
        <f aca="false">100*(F16-F15)</f>
        <v>1.11371087391507</v>
      </c>
      <c r="G150" s="22" t="n">
        <f aca="false">100*(G16-G15)</f>
        <v>1.02846914571919</v>
      </c>
      <c r="H150" s="22" t="n">
        <f aca="false">100*(H16-H15)</f>
        <v>0.923248225815465</v>
      </c>
      <c r="I150" s="22" t="n">
        <f aca="false">100*(I16-I15)</f>
        <v>0.799935906720561</v>
      </c>
      <c r="J150" s="22" t="n">
        <f aca="false">100*(J16-J15)</f>
        <v>0.66104610972717</v>
      </c>
      <c r="K150" s="22" t="n">
        <f aca="false">100*(K16-K15)</f>
        <v>0.509588441408093</v>
      </c>
      <c r="L150" s="22" t="n">
        <f aca="false">100*(L16-L15)</f>
        <v>0.348949198468418</v>
      </c>
      <c r="M150" s="22" t="n">
        <f aca="false">100*(M16-M15)</f>
        <v>0.182605415220305</v>
      </c>
      <c r="N150" s="22" t="n">
        <f aca="false">100*(N16-N15)</f>
        <v>0.0139023325890886</v>
      </c>
      <c r="O150" s="22" t="n">
        <f aca="false">100*(O16-O15)</f>
        <v>-0.153940759751592</v>
      </c>
      <c r="P150" s="22" t="n">
        <f aca="false">100*(P16-P15)</f>
        <v>-0.317808807265818</v>
      </c>
      <c r="Q150" s="22" t="n">
        <f aca="false">100*(Q16-Q15)</f>
        <v>-0.47467468096607</v>
      </c>
      <c r="R150" s="22" t="n">
        <f aca="false">100*(R16-R15)</f>
        <v>-0.621692502208715</v>
      </c>
      <c r="S150" s="22" t="n">
        <f aca="false">100*(S16-S15)</f>
        <v>-0.756525663217467</v>
      </c>
      <c r="T150" s="22" t="n">
        <f aca="false">100*(T16-T15)</f>
        <v>-0.877405679636611</v>
      </c>
      <c r="U150" s="22" t="n">
        <f aca="false">100*(U16-U15)</f>
        <v>-0.983075225912078</v>
      </c>
      <c r="V150" s="22" t="n">
        <f aca="false">100*(V16-V15)</f>
        <v>-1.07272405384382</v>
      </c>
      <c r="W150" s="22" t="n">
        <f aca="false">100*(W16-W15)</f>
        <v>-1.14592720395197</v>
      </c>
      <c r="X150" s="22" t="n">
        <f aca="false">100*(X16-X15)</f>
        <v>-1.20261115573559</v>
      </c>
      <c r="Y150" s="22" t="n">
        <f aca="false">100*(Y16-Y15)</f>
        <v>-1.2430722019837</v>
      </c>
      <c r="Z150" s="22" t="n">
        <f aca="false">100*(Z16-Z15)</f>
        <v>-1.26795374968491</v>
      </c>
      <c r="AA150" s="22" t="n">
        <f aca="false">100*(AA16-AA15)</f>
        <v>-1.27818010566139</v>
      </c>
      <c r="AB150" s="22" t="n">
        <f aca="false">100*(AB16-AB15)</f>
        <v>-1.2748424195578</v>
      </c>
      <c r="AC150" s="22" t="n">
        <f aca="false">100*(AC16-AC15)</f>
        <v>-1.25914906232816</v>
      </c>
      <c r="AD150" s="22" t="n">
        <f aca="false">100*(AD16-AD15)</f>
        <v>-1.23241146096582</v>
      </c>
      <c r="AE150" s="22" t="n">
        <f aca="false">100*(AE16-AE15)</f>
        <v>-1.19602936333894</v>
      </c>
      <c r="AF150" s="22" t="n">
        <f aca="false">100*(AF16-AF15)</f>
        <v>-1.15144198825092</v>
      </c>
      <c r="AG150" s="22" t="n">
        <f aca="false">100*(AG16-AG15)</f>
        <v>-1.1000800858405</v>
      </c>
      <c r="AH150" s="22" t="n">
        <f aca="false">100*(AH16-AH15)</f>
        <v>-1.04335868942278</v>
      </c>
      <c r="AI150" s="22" t="n">
        <f aca="false">100*(AI16-AI15)</f>
        <v>-0.982631866749406</v>
      </c>
      <c r="AJ150" s="22" t="n">
        <f aca="false">100*(AJ16-AJ15)</f>
        <v>-0.919145323769088</v>
      </c>
      <c r="AK150" s="22" t="n">
        <f aca="false">100*(AK16-AK15)</f>
        <v>-0.854041392124305</v>
      </c>
      <c r="AL150" s="22" t="n">
        <f aca="false">AVERAGE(C150:AK150)</f>
        <v>-0.376702814254528</v>
      </c>
    </row>
    <row r="151" customFormat="false" ht="15" hidden="false" customHeight="false" outlineLevel="0" collapsed="false">
      <c r="A151" s="20" t="n">
        <f aca="false">A17</f>
        <v>-108</v>
      </c>
      <c r="B151" s="21" t="n">
        <f aca="false">B17</f>
        <v>41334</v>
      </c>
      <c r="C151" s="22" t="n">
        <f aca="false">100*(C17-C16)</f>
        <v>-9.8437319191699</v>
      </c>
      <c r="D151" s="22" t="n">
        <f aca="false">100*(D17-D16)</f>
        <v>-10.0998100751304</v>
      </c>
      <c r="E151" s="22" t="n">
        <f aca="false">100*(E17-E16)</f>
        <v>-10.3026889992866</v>
      </c>
      <c r="F151" s="22" t="n">
        <f aca="false">100*(F17-F16)</f>
        <v>-10.4585265819137</v>
      </c>
      <c r="G151" s="22" t="n">
        <f aca="false">100*(G17-G16)</f>
        <v>-10.5748707628341</v>
      </c>
      <c r="H151" s="22" t="n">
        <f aca="false">100*(H17-H16)</f>
        <v>-10.6586115091139</v>
      </c>
      <c r="I151" s="22" t="n">
        <f aca="false">100*(I17-I16)</f>
        <v>-10.7159349562665</v>
      </c>
      <c r="J151" s="22" t="n">
        <f aca="false">100*(J17-J16)</f>
        <v>-10.7524764136956</v>
      </c>
      <c r="K151" s="22" t="n">
        <f aca="false">100*(K17-K16)</f>
        <v>-10.7734351201327</v>
      </c>
      <c r="L151" s="22" t="n">
        <f aca="false">100*(L17-L16)</f>
        <v>-10.7836310823344</v>
      </c>
      <c r="M151" s="22" t="n">
        <f aca="false">100*(M17-M16)</f>
        <v>-10.7871275710268</v>
      </c>
      <c r="N151" s="22" t="n">
        <f aca="false">100*(N17-N16)</f>
        <v>-10.7868291338124</v>
      </c>
      <c r="O151" s="22" t="n">
        <f aca="false">100*(O17-O16)</f>
        <v>-10.7846262950097</v>
      </c>
      <c r="P151" s="22" t="n">
        <f aca="false">100*(P17-P16)</f>
        <v>-10.7815703863783</v>
      </c>
      <c r="Q151" s="22" t="n">
        <f aca="false">100*(Q17-Q16)</f>
        <v>-10.7780143445954</v>
      </c>
      <c r="R151" s="22" t="n">
        <f aca="false">100*(R17-R16)</f>
        <v>-10.7737943194981</v>
      </c>
      <c r="S151" s="22" t="n">
        <f aca="false">100*(S17-S16)</f>
        <v>-10.7685097154417</v>
      </c>
      <c r="T151" s="22" t="n">
        <f aca="false">100*(T17-T16)</f>
        <v>-10.7616455553957</v>
      </c>
      <c r="U151" s="22" t="n">
        <f aca="false">100*(U17-U16)</f>
        <v>-10.7526688942697</v>
      </c>
      <c r="V151" s="22" t="n">
        <f aca="false">100*(V17-V16)</f>
        <v>-10.7410589172082</v>
      </c>
      <c r="W151" s="22" t="n">
        <f aca="false">100*(W17-W16)</f>
        <v>-10.7263060160612</v>
      </c>
      <c r="X151" s="22" t="n">
        <f aca="false">100*(X17-X16)</f>
        <v>-10.7079453341635</v>
      </c>
      <c r="Y151" s="22" t="n">
        <f aca="false">100*(Y17-Y16)</f>
        <v>-10.6856690940347</v>
      </c>
      <c r="Z151" s="22" t="n">
        <f aca="false">100*(Z17-Z16)</f>
        <v>-10.6593498338213</v>
      </c>
      <c r="AA151" s="22" t="n">
        <f aca="false">100*(AA17-AA16)</f>
        <v>-10.62901408221</v>
      </c>
      <c r="AB151" s="22" t="n">
        <f aca="false">100*(AB17-AB16)</f>
        <v>-10.5948122407629</v>
      </c>
      <c r="AC151" s="22" t="n">
        <f aca="false">100*(AC17-AC16)</f>
        <v>-10.5570010769126</v>
      </c>
      <c r="AD151" s="22" t="n">
        <f aca="false">100*(AD17-AD16)</f>
        <v>-10.5159313615946</v>
      </c>
      <c r="AE151" s="22" t="n">
        <f aca="false">100*(AE17-AE16)</f>
        <v>-10.4720354866129</v>
      </c>
      <c r="AF151" s="22" t="n">
        <f aca="false">100*(AF17-AF16)</f>
        <v>-10.4258014224906</v>
      </c>
      <c r="AG151" s="22" t="n">
        <f aca="false">100*(AG17-AG16)</f>
        <v>-10.3777516676987</v>
      </c>
      <c r="AH151" s="22" t="n">
        <f aca="false">100*(AH17-AH16)</f>
        <v>-10.3284367161965</v>
      </c>
      <c r="AI151" s="22" t="n">
        <f aca="false">100*(AI17-AI16)</f>
        <v>-10.2784097322926</v>
      </c>
      <c r="AJ151" s="22" t="n">
        <f aca="false">100*(AJ17-AJ16)</f>
        <v>-10.2282019303536</v>
      </c>
      <c r="AK151" s="22" t="n">
        <f aca="false">100*(AK17-AK16)</f>
        <v>-10.1783222843599</v>
      </c>
      <c r="AL151" s="22" t="n">
        <f aca="false">AVERAGE(C151:AK151)</f>
        <v>-10.5727014523451</v>
      </c>
    </row>
    <row r="152" customFormat="false" ht="15" hidden="false" customHeight="false" outlineLevel="0" collapsed="false">
      <c r="A152" s="20" t="n">
        <f aca="false">A18</f>
        <v>-107</v>
      </c>
      <c r="B152" s="21" t="n">
        <f aca="false">B18</f>
        <v>41337</v>
      </c>
      <c r="C152" s="22" t="n">
        <f aca="false">100*(C18-C17)</f>
        <v>3.48964305941448</v>
      </c>
      <c r="D152" s="22" t="n">
        <f aca="false">100*(D18-D17)</f>
        <v>3.56179881951442</v>
      </c>
      <c r="E152" s="22" t="n">
        <f aca="false">100*(E18-E17)</f>
        <v>3.6211444927071</v>
      </c>
      <c r="F152" s="22" t="n">
        <f aca="false">100*(F18-F17)</f>
        <v>3.668867906728</v>
      </c>
      <c r="G152" s="22" t="n">
        <f aca="false">100*(G18-G17)</f>
        <v>3.706484188791</v>
      </c>
      <c r="H152" s="22" t="n">
        <f aca="false">100*(H18-H17)</f>
        <v>3.7355108313057</v>
      </c>
      <c r="I152" s="22" t="n">
        <f aca="false">100*(I18-I17)</f>
        <v>3.7574468846282</v>
      </c>
      <c r="J152" s="22" t="n">
        <f aca="false">100*(J18-J17)</f>
        <v>3.7737769662944</v>
      </c>
      <c r="K152" s="22" t="n">
        <f aca="false">100*(K18-K17)</f>
        <v>3.7859742678561</v>
      </c>
      <c r="L152" s="22" t="n">
        <f aca="false">100*(L18-L17)</f>
        <v>3.7954883623927</v>
      </c>
      <c r="M152" s="22" t="n">
        <f aca="false">100*(M18-M17)</f>
        <v>3.80360901629437</v>
      </c>
      <c r="N152" s="22" t="n">
        <f aca="false">100*(N18-N17)</f>
        <v>3.8113711541838</v>
      </c>
      <c r="O152" s="22" t="n">
        <f aca="false">100*(O18-O17)</f>
        <v>3.8195909683882</v>
      </c>
      <c r="P152" s="22" t="n">
        <f aca="false">100*(P18-P17)</f>
        <v>3.8289036314775</v>
      </c>
      <c r="Q152" s="22" t="n">
        <f aca="false">100*(Q18-Q17)</f>
        <v>3.83979309662053</v>
      </c>
      <c r="R152" s="22" t="n">
        <f aca="false">100*(R18-R17)</f>
        <v>3.85259151255482</v>
      </c>
      <c r="S152" s="22" t="n">
        <f aca="false">100*(S18-S17)</f>
        <v>3.86743399819078</v>
      </c>
      <c r="T152" s="22" t="n">
        <f aca="false">100*(T18-T17)</f>
        <v>3.88428366481008</v>
      </c>
      <c r="U152" s="22" t="n">
        <f aca="false">100*(U18-U17)</f>
        <v>3.90300863627342</v>
      </c>
      <c r="V152" s="22" t="n">
        <f aca="false">100*(V18-V17)</f>
        <v>3.9234144157779</v>
      </c>
      <c r="W152" s="22" t="n">
        <f aca="false">100*(W18-W17)</f>
        <v>3.94525298970718</v>
      </c>
      <c r="X152" s="22" t="n">
        <f aca="false">100*(X18-X17)</f>
        <v>3.9682400536599</v>
      </c>
      <c r="Y152" s="22" t="n">
        <f aca="false">100*(Y18-Y17)</f>
        <v>3.9920943177798</v>
      </c>
      <c r="Z152" s="22" t="n">
        <f aca="false">100*(Z18-Z17)</f>
        <v>4.01655015259532</v>
      </c>
      <c r="AA152" s="22" t="n">
        <f aca="false">100*(AA18-AA17)</f>
        <v>4.04135985172642</v>
      </c>
      <c r="AB152" s="22" t="n">
        <f aca="false">100*(AB18-AB17)</f>
        <v>4.06630305163231</v>
      </c>
      <c r="AC152" s="22" t="n">
        <f aca="false">100*(AC18-AC17)</f>
        <v>4.0911871219572</v>
      </c>
      <c r="AD152" s="22" t="n">
        <f aca="false">100*(AD18-AD17)</f>
        <v>4.11584398177709</v>
      </c>
      <c r="AE152" s="22" t="n">
        <f aca="false">100*(AE18-AE17)</f>
        <v>4.14012752268</v>
      </c>
      <c r="AF152" s="22" t="n">
        <f aca="false">100*(AF18-AF17)</f>
        <v>4.16391205047351</v>
      </c>
      <c r="AG152" s="22" t="n">
        <f aca="false">100*(AG18-AG17)</f>
        <v>4.18708963266528</v>
      </c>
      <c r="AH152" s="22" t="n">
        <f aca="false">100*(AH18-AH17)</f>
        <v>4.20956782844182</v>
      </c>
      <c r="AI152" s="22" t="n">
        <f aca="false">100*(AI18-AI17)</f>
        <v>4.23126582741547</v>
      </c>
      <c r="AJ152" s="22" t="n">
        <f aca="false">100*(AJ18-AJ17)</f>
        <v>4.2521105181295</v>
      </c>
      <c r="AK152" s="22" t="n">
        <f aca="false">100*(AK18-AK17)</f>
        <v>4.2720353979028</v>
      </c>
      <c r="AL152" s="22" t="n">
        <f aca="false">AVERAGE(C152:AK152)</f>
        <v>3.9178021763642</v>
      </c>
    </row>
    <row r="153" customFormat="false" ht="15" hidden="false" customHeight="false" outlineLevel="0" collapsed="false">
      <c r="A153" s="20" t="n">
        <f aca="false">A19</f>
        <v>-106</v>
      </c>
      <c r="B153" s="21" t="n">
        <f aca="false">B19</f>
        <v>41338</v>
      </c>
      <c r="C153" s="22" t="n">
        <f aca="false">100*(C19-C18)</f>
        <v>5.35969889699561</v>
      </c>
      <c r="D153" s="22" t="n">
        <f aca="false">100*(D19-D18)</f>
        <v>5.562217292075</v>
      </c>
      <c r="E153" s="22" t="n">
        <f aca="false">100*(E19-E18)</f>
        <v>5.72347549650509</v>
      </c>
      <c r="F153" s="22" t="n">
        <f aca="false">100*(F19-F18)</f>
        <v>5.84800136724331</v>
      </c>
      <c r="G153" s="22" t="n">
        <f aca="false">100*(G19-G18)</f>
        <v>5.941055694539</v>
      </c>
      <c r="H153" s="22" t="n">
        <f aca="false">100*(H19-H18)</f>
        <v>6.00751938604862</v>
      </c>
      <c r="I153" s="22" t="n">
        <f aca="false">100*(I19-I18)</f>
        <v>6.05189255276031</v>
      </c>
      <c r="J153" s="22" t="n">
        <f aca="false">100*(J19-J18)</f>
        <v>6.0783772909216</v>
      </c>
      <c r="K153" s="22" t="n">
        <f aca="false">100*(K19-K18)</f>
        <v>6.09093976844362</v>
      </c>
      <c r="L153" s="22" t="n">
        <f aca="false">100*(L19-L18)</f>
        <v>6.09332548242172</v>
      </c>
      <c r="M153" s="22" t="n">
        <f aca="false">100*(M19-M18)</f>
        <v>6.088768991218</v>
      </c>
      <c r="N153" s="22" t="n">
        <f aca="false">100*(N19-N18)</f>
        <v>6.0797731758671</v>
      </c>
      <c r="O153" s="22" t="n">
        <f aca="false">100*(O19-O18)</f>
        <v>6.06821302354548</v>
      </c>
      <c r="P153" s="22" t="n">
        <f aca="false">100*(P19-P18)</f>
        <v>6.05544388517552</v>
      </c>
      <c r="Q153" s="22" t="n">
        <f aca="false">100*(Q19-Q18)</f>
        <v>6.04238801401507</v>
      </c>
      <c r="R153" s="22" t="n">
        <f aca="false">100*(R19-R18)</f>
        <v>6.0296075785327</v>
      </c>
      <c r="S153" s="22" t="n">
        <f aca="false">100*(S19-S18)</f>
        <v>6.01738217224339</v>
      </c>
      <c r="T153" s="22" t="n">
        <f aca="false">100*(T19-T18)</f>
        <v>6.00578883660421</v>
      </c>
      <c r="U153" s="22" t="n">
        <f aca="false">100*(U19-U18)</f>
        <v>5.9948166057191</v>
      </c>
      <c r="V153" s="22" t="n">
        <f aca="false">100*(V19-V18)</f>
        <v>5.98440871968471</v>
      </c>
      <c r="W153" s="22" t="n">
        <f aca="false">100*(W19-W18)</f>
        <v>5.9744696811991</v>
      </c>
      <c r="X153" s="22" t="n">
        <f aca="false">100*(X19-X18)</f>
        <v>5.96489337162551</v>
      </c>
      <c r="Y153" s="22" t="n">
        <f aca="false">100*(Y19-Y18)</f>
        <v>5.95564030780862</v>
      </c>
      <c r="Z153" s="22" t="n">
        <f aca="false">100*(Z19-Z18)</f>
        <v>5.9467564442385</v>
      </c>
      <c r="AA153" s="22" t="n">
        <f aca="false">100*(AA19-AA18)</f>
        <v>5.93835414312629</v>
      </c>
      <c r="AB153" s="22" t="n">
        <f aca="false">100*(AB19-AB18)</f>
        <v>5.93057419316829</v>
      </c>
      <c r="AC153" s="22" t="n">
        <f aca="false">100*(AC19-AC18)</f>
        <v>5.92357140096542</v>
      </c>
      <c r="AD153" s="22" t="n">
        <f aca="false">100*(AD19-AD18)</f>
        <v>5.91751276837518</v>
      </c>
      <c r="AE153" s="22" t="n">
        <f aca="false">100*(AE19-AE18)</f>
        <v>5.9125750961297</v>
      </c>
      <c r="AF153" s="22" t="n">
        <f aca="false">100*(AF19-AF18)</f>
        <v>5.9089298761017</v>
      </c>
      <c r="AG153" s="22" t="n">
        <f aca="false">100*(AG19-AG18)</f>
        <v>5.90672748298102</v>
      </c>
      <c r="AH153" s="22" t="n">
        <f aca="false">100*(AH19-AH18)</f>
        <v>5.90609725854789</v>
      </c>
      <c r="AI153" s="22" t="n">
        <f aca="false">100*(AI19-AI18)</f>
        <v>5.90714525465672</v>
      </c>
      <c r="AJ153" s="22" t="n">
        <f aca="false">100*(AJ19-AJ18)</f>
        <v>5.9099515827806</v>
      </c>
      <c r="AK153" s="22" t="n">
        <f aca="false">100*(AK19-AK18)</f>
        <v>5.9145724698503</v>
      </c>
      <c r="AL153" s="22" t="n">
        <f aca="false">AVERAGE(C153:AK153)</f>
        <v>5.94402473034611</v>
      </c>
    </row>
    <row r="154" customFormat="false" ht="15" hidden="false" customHeight="false" outlineLevel="0" collapsed="false">
      <c r="A154" s="20" t="n">
        <f aca="false">A20</f>
        <v>-105</v>
      </c>
      <c r="B154" s="21" t="n">
        <f aca="false">B20</f>
        <v>41339</v>
      </c>
      <c r="C154" s="22" t="n">
        <f aca="false">100*(C20-C19)</f>
        <v>-1.10497883420271</v>
      </c>
      <c r="D154" s="22" t="n">
        <f aca="false">100*(D20-D19)</f>
        <v>-0.977888589728604</v>
      </c>
      <c r="E154" s="22" t="n">
        <f aca="false">100*(E20-E19)</f>
        <v>-0.865896659786491</v>
      </c>
      <c r="F154" s="22" t="n">
        <f aca="false">100*(F20-F19)</f>
        <v>-0.769397567464014</v>
      </c>
      <c r="G154" s="22" t="n">
        <f aca="false">100*(G20-G19)</f>
        <v>-0.688075740191207</v>
      </c>
      <c r="H154" s="22" t="n">
        <f aca="false">100*(H20-H19)</f>
        <v>-0.621266774921603</v>
      </c>
      <c r="I154" s="22" t="n">
        <f aca="false">100*(I20-I19)</f>
        <v>-0.568049145024308</v>
      </c>
      <c r="J154" s="22" t="n">
        <f aca="false">100*(J20-J19)</f>
        <v>-0.527300096692995</v>
      </c>
      <c r="K154" s="22" t="n">
        <f aca="false">100*(K20-K19)</f>
        <v>-0.497737571273937</v>
      </c>
      <c r="L154" s="22" t="n">
        <f aca="false">100*(L20-L19)</f>
        <v>-0.47796565073952</v>
      </c>
      <c r="M154" s="22" t="n">
        <f aca="false">100*(M20-M19)</f>
        <v>-0.466614598260495</v>
      </c>
      <c r="N154" s="22" t="n">
        <f aca="false">100*(N20-N19)</f>
        <v>-0.462429466825309</v>
      </c>
      <c r="O154" s="22" t="n">
        <f aca="false">100*(O20-O19)</f>
        <v>-0.464255184978679</v>
      </c>
      <c r="P154" s="22" t="n">
        <f aca="false">100*(P20-P19)</f>
        <v>-0.471019336873324</v>
      </c>
      <c r="Q154" s="22" t="n">
        <f aca="false">100*(Q20-Q19)</f>
        <v>-0.481718663777997</v>
      </c>
      <c r="R154" s="22" t="n">
        <f aca="false">100*(R20-R19)</f>
        <v>-0.495422478692698</v>
      </c>
      <c r="S154" s="22" t="n">
        <f aca="false">100*(S20-S19)</f>
        <v>-0.511295665533273</v>
      </c>
      <c r="T154" s="22" t="n">
        <f aca="false">100*(T20-T19)</f>
        <v>-0.528594527439807</v>
      </c>
      <c r="U154" s="22" t="n">
        <f aca="false">100*(U20-U19)</f>
        <v>-0.546660922677722</v>
      </c>
      <c r="V154" s="22" t="n">
        <f aca="false">100*(V20-V19)</f>
        <v>-0.564912711381016</v>
      </c>
      <c r="W154" s="22" t="n">
        <f aca="false">100*(W20-W19)</f>
        <v>-0.58283327969848</v>
      </c>
      <c r="X154" s="22" t="n">
        <f aca="false">100*(X20-X19)</f>
        <v>-0.599966243005712</v>
      </c>
      <c r="Y154" s="22" t="n">
        <f aca="false">100*(Y20-Y19)</f>
        <v>-0.615919060541303</v>
      </c>
      <c r="Z154" s="22" t="n">
        <f aca="false">100*(Z20-Z19)</f>
        <v>-0.630358952562604</v>
      </c>
      <c r="AA154" s="22" t="n">
        <f aca="false">100*(AA20-AA19)</f>
        <v>-0.6430080424634</v>
      </c>
      <c r="AB154" s="22" t="n">
        <f aca="false">100*(AB20-AB19)</f>
        <v>-0.653645892893717</v>
      </c>
      <c r="AC154" s="22" t="n">
        <f aca="false">100*(AC20-AC19)</f>
        <v>-0.662106261552431</v>
      </c>
      <c r="AD154" s="22" t="n">
        <f aca="false">100*(AD20-AD19)</f>
        <v>-0.668270868385301</v>
      </c>
      <c r="AE154" s="22" t="n">
        <f aca="false">100*(AE20-AE19)</f>
        <v>-0.672064324749222</v>
      </c>
      <c r="AF154" s="22" t="n">
        <f aca="false">100*(AF20-AF19)</f>
        <v>-0.673455416076818</v>
      </c>
      <c r="AG154" s="22" t="n">
        <f aca="false">100*(AG20-AG19)</f>
        <v>-0.672459885478505</v>
      </c>
      <c r="AH154" s="22" t="n">
        <f aca="false">100*(AH20-AH19)</f>
        <v>-0.669135749275629</v>
      </c>
      <c r="AI154" s="22" t="n">
        <f aca="false">100*(AI20-AI19)</f>
        <v>-0.663572163285409</v>
      </c>
      <c r="AJ154" s="22" t="n">
        <f aca="false">100*(AJ20-AJ19)</f>
        <v>-0.655879391942715</v>
      </c>
      <c r="AK154" s="22" t="n">
        <f aca="false">100*(AK20-AK19)</f>
        <v>-0.646186056016918</v>
      </c>
      <c r="AL154" s="22" t="n">
        <f aca="false">AVERAGE(C154:AK154)</f>
        <v>-0.622866907839825</v>
      </c>
    </row>
    <row r="155" customFormat="false" ht="15" hidden="false" customHeight="false" outlineLevel="0" collapsed="false">
      <c r="A155" s="20" t="n">
        <f aca="false">A21</f>
        <v>-104</v>
      </c>
      <c r="B155" s="21" t="n">
        <f aca="false">B21</f>
        <v>41340</v>
      </c>
      <c r="C155" s="22" t="n">
        <f aca="false">100*(C21-C20)</f>
        <v>5.6189420999281</v>
      </c>
      <c r="D155" s="22" t="n">
        <f aca="false">100*(D21-D20)</f>
        <v>5.7690364105262</v>
      </c>
      <c r="E155" s="22" t="n">
        <f aca="false">100*(E21-E20)</f>
        <v>5.9044086991596</v>
      </c>
      <c r="F155" s="22" t="n">
        <f aca="false">100*(F21-F20)</f>
        <v>6.0243162267086</v>
      </c>
      <c r="G155" s="22" t="n">
        <f aca="false">100*(G21-G20)</f>
        <v>6.1284490187667</v>
      </c>
      <c r="H155" s="22" t="n">
        <f aca="false">100*(H21-H20)</f>
        <v>6.21681511633878</v>
      </c>
      <c r="I155" s="22" t="n">
        <f aca="false">100*(I21-I20)</f>
        <v>6.28967518766679</v>
      </c>
      <c r="J155" s="22" t="n">
        <f aca="false">100*(J21-J20)</f>
        <v>6.3474876092708</v>
      </c>
      <c r="K155" s="22" t="n">
        <f aca="false">100*(K21-K20)</f>
        <v>6.3908672767242</v>
      </c>
      <c r="L155" s="22" t="n">
        <f aca="false">100*(L21-L20)</f>
        <v>6.42054753728352</v>
      </c>
      <c r="M155" s="22" t="n">
        <f aca="false">100*(M21-M20)</f>
        <v>6.43731793140301</v>
      </c>
      <c r="N155" s="22" t="n">
        <f aca="false">100*(N21-N20)</f>
        <v>6.44200042690439</v>
      </c>
      <c r="O155" s="22" t="n">
        <f aca="false">100*(O21-O20)</f>
        <v>6.43544552422339</v>
      </c>
      <c r="P155" s="22" t="n">
        <f aca="false">100*(P21-P20)</f>
        <v>6.41852733700419</v>
      </c>
      <c r="Q155" s="22" t="n">
        <f aca="false">100*(Q21-Q20)</f>
        <v>6.39213955806661</v>
      </c>
      <c r="R155" s="22" t="n">
        <f aca="false">100*(R21-R20)</f>
        <v>6.35719343262049</v>
      </c>
      <c r="S155" s="22" t="n">
        <f aca="false">100*(S21-S20)</f>
        <v>6.31462960362179</v>
      </c>
      <c r="T155" s="22" t="n">
        <f aca="false">100*(T21-T20)</f>
        <v>6.2654172138497</v>
      </c>
      <c r="U155" s="22" t="n">
        <f aca="false">100*(U21-U20)</f>
        <v>6.21053415302701</v>
      </c>
      <c r="V155" s="22" t="n">
        <f aca="false">100*(V21-V20)</f>
        <v>6.15096042080143</v>
      </c>
      <c r="W155" s="22" t="n">
        <f aca="false">100*(W21-W20)</f>
        <v>6.08767768417891</v>
      </c>
      <c r="X155" s="22" t="n">
        <f aca="false">100*(X21-X20)</f>
        <v>6.0216628013313</v>
      </c>
      <c r="Y155" s="22" t="n">
        <f aca="false">100*(Y21-Y20)</f>
        <v>5.95386861544021</v>
      </c>
      <c r="Z155" s="22" t="n">
        <f aca="false">100*(Z21-Z20)</f>
        <v>5.8852200477121</v>
      </c>
      <c r="AA155" s="22" t="n">
        <f aca="false">100*(AA21-AA20)</f>
        <v>5.81660698715631</v>
      </c>
      <c r="AB155" s="22" t="n">
        <f aca="false">100*(AB21-AB20)</f>
        <v>5.74885462064541</v>
      </c>
      <c r="AC155" s="22" t="n">
        <f aca="false">100*(AC21-AC20)</f>
        <v>5.68271916212733</v>
      </c>
      <c r="AD155" s="22" t="n">
        <f aca="false">100*(AD21-AD20)</f>
        <v>5.61889568285201</v>
      </c>
      <c r="AE155" s="22" t="n">
        <f aca="false">100*(AE21-AE20)</f>
        <v>5.5580228913187</v>
      </c>
      <c r="AF155" s="22" t="n">
        <f aca="false">100*(AF21-AF20)</f>
        <v>5.50066250571732</v>
      </c>
      <c r="AG155" s="22" t="n">
        <f aca="false">100*(AG21-AG20)</f>
        <v>5.44727842913542</v>
      </c>
      <c r="AH155" s="22" t="n">
        <f aca="false">100*(AH21-AH20)</f>
        <v>5.39824357516943</v>
      </c>
      <c r="AI155" s="22" t="n">
        <f aca="false">100*(AI21-AI20)</f>
        <v>5.35384188127961</v>
      </c>
      <c r="AJ155" s="22" t="n">
        <f aca="false">100*(AJ21-AJ20)</f>
        <v>5.3142693139574</v>
      </c>
      <c r="AK155" s="22" t="n">
        <f aca="false">100*(AK21-AK20)</f>
        <v>5.27964184740619</v>
      </c>
      <c r="AL155" s="22" t="n">
        <f aca="false">AVERAGE(C155:AK155)</f>
        <v>5.97720505226637</v>
      </c>
    </row>
    <row r="156" customFormat="false" ht="15" hidden="false" customHeight="false" outlineLevel="0" collapsed="false">
      <c r="A156" s="20" t="n">
        <f aca="false">A22</f>
        <v>-103</v>
      </c>
      <c r="B156" s="21" t="n">
        <f aca="false">B22</f>
        <v>41341</v>
      </c>
      <c r="C156" s="22" t="n">
        <f aca="false">100*(C22-C21)</f>
        <v>4.16191257753029</v>
      </c>
      <c r="D156" s="22" t="n">
        <f aca="false">100*(D22-D21)</f>
        <v>4.33372871533619</v>
      </c>
      <c r="E156" s="22" t="n">
        <f aca="false">100*(E22-E21)</f>
        <v>4.49393643746181</v>
      </c>
      <c r="F156" s="22" t="n">
        <f aca="false">100*(F22-F21)</f>
        <v>4.63802090226921</v>
      </c>
      <c r="G156" s="22" t="n">
        <f aca="false">100*(G22-G21)</f>
        <v>4.76215424708801</v>
      </c>
      <c r="H156" s="22" t="n">
        <f aca="false">100*(H22-H21)</f>
        <v>4.86384959845432</v>
      </c>
      <c r="I156" s="22" t="n">
        <f aca="false">100*(I22-I21)</f>
        <v>4.94175751969861</v>
      </c>
      <c r="J156" s="22" t="n">
        <f aca="false">100*(J22-J21)</f>
        <v>4.99541874207869</v>
      </c>
      <c r="K156" s="22" t="n">
        <f aca="false">100*(K22-K21)</f>
        <v>5.02507871312763</v>
      </c>
      <c r="L156" s="22" t="n">
        <f aca="false">100*(L22-L21)</f>
        <v>5.03153362517539</v>
      </c>
      <c r="M156" s="22" t="n">
        <f aca="false">100*(M22-M21)</f>
        <v>5.0159915816268</v>
      </c>
      <c r="N156" s="22" t="n">
        <f aca="false">100*(N22-N21)</f>
        <v>4.9800412882774</v>
      </c>
      <c r="O156" s="22" t="n">
        <f aca="false">100*(O22-O21)</f>
        <v>4.92559710560321</v>
      </c>
      <c r="P156" s="22" t="n">
        <f aca="false">100*(P22-P21)</f>
        <v>4.85484290140423</v>
      </c>
      <c r="Q156" s="22" t="n">
        <f aca="false">100*(Q22-Q21)</f>
        <v>4.77018548035408</v>
      </c>
      <c r="R156" s="22" t="n">
        <f aca="false">100*(R22-R21)</f>
        <v>4.67412199045789</v>
      </c>
      <c r="S156" s="22" t="n">
        <f aca="false">100*(S22-S21)</f>
        <v>4.56897408073109</v>
      </c>
      <c r="T156" s="22" t="n">
        <f aca="false">100*(T22-T21)</f>
        <v>4.45684509349289</v>
      </c>
      <c r="U156" s="22" t="n">
        <f aca="false">100*(U22-U21)</f>
        <v>4.33965414136011</v>
      </c>
      <c r="V156" s="22" t="n">
        <f aca="false">100*(V22-V21)</f>
        <v>4.2191633515126</v>
      </c>
      <c r="W156" s="22" t="n">
        <f aca="false">100*(W22-W21)</f>
        <v>4.0969994068345</v>
      </c>
      <c r="X156" s="22" t="n">
        <f aca="false">100*(X22-X21)</f>
        <v>3.97464987877929</v>
      </c>
      <c r="Y156" s="22" t="n">
        <f aca="false">100*(Y22-Y21)</f>
        <v>3.85341512919131</v>
      </c>
      <c r="Z156" s="22" t="n">
        <f aca="false">100*(Z22-Z21)</f>
        <v>3.73441038039748</v>
      </c>
      <c r="AA156" s="22" t="n">
        <f aca="false">100*(AA22-AA21)</f>
        <v>3.61858549313019</v>
      </c>
      <c r="AB156" s="22" t="n">
        <f aca="false">100*(AB22-AB21)</f>
        <v>3.50673413720348</v>
      </c>
      <c r="AC156" s="22" t="n">
        <f aca="false">100*(AC22-AC21)</f>
        <v>3.39950817140249</v>
      </c>
      <c r="AD156" s="22" t="n">
        <f aca="false">100*(AD22-AD21)</f>
        <v>3.29743405581682</v>
      </c>
      <c r="AE156" s="22" t="n">
        <f aca="false">100*(AE22-AE21)</f>
        <v>3.20092670396681</v>
      </c>
      <c r="AF156" s="22" t="n">
        <f aca="false">100*(AF22-AF21)</f>
        <v>3.1102945536214</v>
      </c>
      <c r="AG156" s="22" t="n">
        <f aca="false">100*(AG22-AG21)</f>
        <v>3.02574152597259</v>
      </c>
      <c r="AH156" s="22" t="n">
        <f aca="false">100*(AH22-AH21)</f>
        <v>2.9473775661776</v>
      </c>
      <c r="AI156" s="22" t="n">
        <f aca="false">100*(AI22-AI21)</f>
        <v>2.87523423336409</v>
      </c>
      <c r="AJ156" s="22" t="n">
        <f aca="false">100*(AJ22-AJ21)</f>
        <v>2.80927788084742</v>
      </c>
      <c r="AK156" s="22" t="n">
        <f aca="false">100*(AK22-AK21)</f>
        <v>2.74941657253462</v>
      </c>
      <c r="AL156" s="22" t="n">
        <f aca="false">AVERAGE(C156:AK156)</f>
        <v>4.12150896520802</v>
      </c>
    </row>
    <row r="157" customFormat="false" ht="15" hidden="false" customHeight="false" outlineLevel="0" collapsed="false">
      <c r="A157" s="20" t="n">
        <f aca="false">A23</f>
        <v>-102</v>
      </c>
      <c r="B157" s="21" t="n">
        <f aca="false">B23</f>
        <v>41344</v>
      </c>
      <c r="C157" s="22" t="n">
        <f aca="false">100*(C23-C22)</f>
        <v>-4.42648734922679</v>
      </c>
      <c r="D157" s="22" t="n">
        <f aca="false">100*(D23-D22)</f>
        <v>-4.42318538307409</v>
      </c>
      <c r="E157" s="22" t="n">
        <f aca="false">100*(E23-E22)</f>
        <v>-4.40511095669902</v>
      </c>
      <c r="F157" s="22" t="n">
        <f aca="false">100*(F23-F22)</f>
        <v>-4.37355991228441</v>
      </c>
      <c r="G157" s="22" t="n">
        <f aca="false">100*(G23-G22)</f>
        <v>-4.33047492154022</v>
      </c>
      <c r="H157" s="22" t="n">
        <f aca="false">100*(H23-H22)</f>
        <v>-4.27786105018231</v>
      </c>
      <c r="I157" s="22" t="n">
        <f aca="false">100*(I23-I22)</f>
        <v>-4.21772640273899</v>
      </c>
      <c r="J157" s="22" t="n">
        <f aca="false">100*(J23-J22)</f>
        <v>-4.15208146194113</v>
      </c>
      <c r="K157" s="22" t="n">
        <f aca="false">100*(K23-K22)</f>
        <v>-4.08293859326401</v>
      </c>
      <c r="L157" s="22" t="n">
        <f aca="false">100*(L23-L22)</f>
        <v>-4.0122992323969</v>
      </c>
      <c r="M157" s="22" t="n">
        <f aca="false">100*(M23-M22)</f>
        <v>-3.94199348822961</v>
      </c>
      <c r="N157" s="22" t="n">
        <f aca="false">100*(N23-N22)</f>
        <v>-3.87353388455209</v>
      </c>
      <c r="O157" s="22" t="n">
        <f aca="false">100*(O23-O22)</f>
        <v>-3.80815405266288</v>
      </c>
      <c r="P157" s="22" t="n">
        <f aca="false">100*(P23-P22)</f>
        <v>-3.74685681627973</v>
      </c>
      <c r="Q157" s="22" t="n">
        <f aca="false">100*(Q23-Q22)</f>
        <v>-3.69045260499008</v>
      </c>
      <c r="R157" s="22" t="n">
        <f aca="false">100*(R23-R22)</f>
        <v>-3.63957494330469</v>
      </c>
      <c r="S157" s="22" t="n">
        <f aca="false">100*(S23-S22)</f>
        <v>-3.59464893699091</v>
      </c>
      <c r="T157" s="22" t="n">
        <f aca="false">100*(T23-T22)</f>
        <v>-3.55590523526259</v>
      </c>
      <c r="U157" s="22" t="n">
        <f aca="false">100*(U23-U22)</f>
        <v>-3.5234249728886</v>
      </c>
      <c r="V157" s="22" t="n">
        <f aca="false">100*(V23-V22)</f>
        <v>-3.49716650884093</v>
      </c>
      <c r="W157" s="22" t="n">
        <f aca="false">100*(W23-W22)</f>
        <v>-3.47698260411109</v>
      </c>
      <c r="X157" s="22" t="n">
        <f aca="false">100*(X23-X22)</f>
        <v>-3.46263823865578</v>
      </c>
      <c r="Y157" s="22" t="n">
        <f aca="false">100*(Y23-Y22)</f>
        <v>-3.45383171482863</v>
      </c>
      <c r="Z157" s="22" t="n">
        <f aca="false">100*(Z23-Z22)</f>
        <v>-3.45020602388559</v>
      </c>
      <c r="AA157" s="22" t="n">
        <f aca="false">100*(AA23-AA22)</f>
        <v>-3.4513601426748</v>
      </c>
      <c r="AB157" s="22" t="n">
        <f aca="false">100*(AB23-AB22)</f>
        <v>-3.45686783687706</v>
      </c>
      <c r="AC157" s="22" t="n">
        <f aca="false">100*(AC23-AC22)</f>
        <v>-3.4662851837779</v>
      </c>
      <c r="AD157" s="22" t="n">
        <f aca="false">100*(AD23-AD22)</f>
        <v>-3.47915269328962</v>
      </c>
      <c r="AE157" s="22" t="n">
        <f aca="false">100*(AE23-AE22)</f>
        <v>-3.49499763021548</v>
      </c>
      <c r="AF157" s="22" t="n">
        <f aca="false">100*(AF23-AF22)</f>
        <v>-3.51334242990613</v>
      </c>
      <c r="AG157" s="22" t="n">
        <f aca="false">100*(AG23-AG22)</f>
        <v>-3.5337127781307</v>
      </c>
      <c r="AH157" s="22" t="n">
        <f aca="false">100*(AH23-AH22)</f>
        <v>-3.55563946223598</v>
      </c>
      <c r="AI157" s="22" t="n">
        <f aca="false">100*(AI23-AI22)</f>
        <v>-3.57867386221979</v>
      </c>
      <c r="AJ157" s="22" t="n">
        <f aca="false">100*(AJ23-AJ22)</f>
        <v>-3.60240201061641</v>
      </c>
      <c r="AK157" s="22" t="n">
        <f aca="false">100*(AK23-AK22)</f>
        <v>-3.6264426238803</v>
      </c>
      <c r="AL157" s="22" t="n">
        <f aca="false">AVERAGE(C157:AK157)</f>
        <v>-3.77645634121872</v>
      </c>
    </row>
    <row r="158" customFormat="false" ht="15" hidden="false" customHeight="false" outlineLevel="0" collapsed="false">
      <c r="A158" s="20" t="n">
        <f aca="false">A24</f>
        <v>-101</v>
      </c>
      <c r="B158" s="21" t="n">
        <f aca="false">B24</f>
        <v>41345</v>
      </c>
      <c r="C158" s="22" t="n">
        <f aca="false">100*(C24-C23)</f>
        <v>-4.9481380572834</v>
      </c>
      <c r="D158" s="22" t="n">
        <f aca="false">100*(D24-D23)</f>
        <v>-4.9452204041847</v>
      </c>
      <c r="E158" s="22" t="n">
        <f aca="false">100*(E24-E23)</f>
        <v>-4.9133619247451</v>
      </c>
      <c r="F158" s="22" t="n">
        <f aca="false">100*(F24-F23)</f>
        <v>-4.85593112665401</v>
      </c>
      <c r="G158" s="22" t="n">
        <f aca="false">100*(G24-G23)</f>
        <v>-4.7762865484597</v>
      </c>
      <c r="H158" s="22" t="n">
        <f aca="false">100*(H24-H23)</f>
        <v>-4.67752876065282</v>
      </c>
      <c r="I158" s="22" t="n">
        <f aca="false">100*(I24-I23)</f>
        <v>-4.56253085204663</v>
      </c>
      <c r="J158" s="22" t="n">
        <f aca="false">100*(J24-J23)</f>
        <v>-4.43398788231457</v>
      </c>
      <c r="K158" s="22" t="n">
        <f aca="false">100*(K24-K23)</f>
        <v>-4.29445397140689</v>
      </c>
      <c r="L158" s="22" t="n">
        <f aca="false">100*(L24-L23)</f>
        <v>-4.1463679488412</v>
      </c>
      <c r="M158" s="22" t="n">
        <f aca="false">100*(M24-M23)</f>
        <v>-3.99201750057738</v>
      </c>
      <c r="N158" s="22" t="n">
        <f aca="false">100*(N24-N23)</f>
        <v>-3.83349016509991</v>
      </c>
      <c r="O158" s="22" t="n">
        <f aca="false">100*(O24-O23)</f>
        <v>-3.67270001127773</v>
      </c>
      <c r="P158" s="22" t="n">
        <f aca="false">100*(P24-P23)</f>
        <v>-3.51141754691917</v>
      </c>
      <c r="Q158" s="22" t="n">
        <f aca="false">100*(Q24-Q23)</f>
        <v>-3.35129377216532</v>
      </c>
      <c r="R158" s="22" t="n">
        <f aca="false">100*(R24-R23)</f>
        <v>-3.19387725892493</v>
      </c>
      <c r="S158" s="22" t="n">
        <f aca="false">100*(S24-S23)</f>
        <v>-3.04061007713701</v>
      </c>
      <c r="T158" s="22" t="n">
        <f aca="false">100*(T24-T23)</f>
        <v>-2.89280069955331</v>
      </c>
      <c r="U158" s="22" t="n">
        <f aca="false">100*(U24-U23)</f>
        <v>-2.75154758073821</v>
      </c>
      <c r="V158" s="22" t="n">
        <f aca="false">100*(V24-V23)</f>
        <v>-2.61773860480381</v>
      </c>
      <c r="W158" s="22" t="n">
        <f aca="false">100*(W24-W23)</f>
        <v>-2.49207969865282</v>
      </c>
      <c r="X158" s="22" t="n">
        <f aca="false">100*(X24-X23)</f>
        <v>-2.37509927091453</v>
      </c>
      <c r="Y158" s="22" t="n">
        <f aca="false">100*(Y24-Y23)</f>
        <v>-2.26710992371171</v>
      </c>
      <c r="Z158" s="22" t="n">
        <f aca="false">100*(Z24-Z23)</f>
        <v>-2.16821567576968</v>
      </c>
      <c r="AA158" s="22" t="n">
        <f aca="false">100*(AA24-AA23)</f>
        <v>-2.07834936313471</v>
      </c>
      <c r="AB158" s="22" t="n">
        <f aca="false">100*(AB24-AB23)</f>
        <v>-1.99732797972323</v>
      </c>
      <c r="AC158" s="22" t="n">
        <f aca="false">100*(AC24-AC23)</f>
        <v>-1.92487763939129</v>
      </c>
      <c r="AD158" s="22" t="n">
        <f aca="false">100*(AD24-AD23)</f>
        <v>-1.86064428869339</v>
      </c>
      <c r="AE158" s="22" t="n">
        <f aca="false">100*(AE24-AE23)</f>
        <v>-1.80420449944432</v>
      </c>
      <c r="AF158" s="22" t="n">
        <f aca="false">100*(AF24-AF23)</f>
        <v>-1.75509215589957</v>
      </c>
      <c r="AG158" s="22" t="n">
        <f aca="false">100*(AG24-AG23)</f>
        <v>-1.71282232153289</v>
      </c>
      <c r="AH158" s="22" t="n">
        <f aca="false">100*(AH24-AH23)</f>
        <v>-1.67689652715062</v>
      </c>
      <c r="AI158" s="22" t="n">
        <f aca="false">100*(AI24-AI23)</f>
        <v>-1.6468203984894</v>
      </c>
      <c r="AJ158" s="22" t="n">
        <f aca="false">100*(AJ24-AJ23)</f>
        <v>-1.6221192101844</v>
      </c>
      <c r="AK158" s="22" t="n">
        <f aca="false">100*(AK24-AK23)</f>
        <v>-1.60233735402762</v>
      </c>
      <c r="AL158" s="22" t="n">
        <f aca="false">AVERAGE(C158:AK158)</f>
        <v>-3.09700848572874</v>
      </c>
    </row>
    <row r="159" customFormat="false" ht="15" hidden="false" customHeight="false" outlineLevel="0" collapsed="false">
      <c r="A159" s="20" t="n">
        <f aca="false">A25</f>
        <v>-100</v>
      </c>
      <c r="B159" s="21" t="n">
        <f aca="false">B25</f>
        <v>41346</v>
      </c>
      <c r="C159" s="22" t="n">
        <f aca="false">100*(C25-C24)</f>
        <v>-0.119220645847995</v>
      </c>
      <c r="D159" s="22" t="n">
        <f aca="false">100*(D25-D24)</f>
        <v>-0.135891951664613</v>
      </c>
      <c r="E159" s="22" t="n">
        <f aca="false">100*(E25-E24)</f>
        <v>-0.131367310687502</v>
      </c>
      <c r="F159" s="22" t="n">
        <f aca="false">100*(F25-F24)</f>
        <v>-0.109112442468495</v>
      </c>
      <c r="G159" s="22" t="n">
        <f aca="false">100*(G25-G24)</f>
        <v>-0.0726292341913126</v>
      </c>
      <c r="H159" s="22" t="n">
        <f aca="false">100*(H25-H24)</f>
        <v>-0.0250544126611629</v>
      </c>
      <c r="I159" s="22" t="n">
        <f aca="false">100*(I25-I24)</f>
        <v>0.0307969081477122</v>
      </c>
      <c r="J159" s="22" t="n">
        <f aca="false">100*(J25-J24)</f>
        <v>0.0923613112592925</v>
      </c>
      <c r="K159" s="22" t="n">
        <f aca="false">100*(K25-K24)</f>
        <v>0.157274639794069</v>
      </c>
      <c r="L159" s="22" t="n">
        <f aca="false">100*(L25-L24)</f>
        <v>0.223347693890918</v>
      </c>
      <c r="M159" s="22" t="n">
        <f aca="false">100*(M25-M24)</f>
        <v>0.288718363699969</v>
      </c>
      <c r="N159" s="22" t="n">
        <f aca="false">100*(N25-N24)</f>
        <v>0.351983772671227</v>
      </c>
      <c r="O159" s="22" t="n">
        <f aca="false">100*(O25-O24)</f>
        <v>0.412136609263403</v>
      </c>
      <c r="P159" s="22" t="n">
        <f aca="false">100*(P25-P24)</f>
        <v>0.468496926079576</v>
      </c>
      <c r="Q159" s="22" t="n">
        <f aca="false">100*(Q25-Q24)</f>
        <v>0.520657982079342</v>
      </c>
      <c r="R159" s="22" t="n">
        <f aca="false">100*(R25-R24)</f>
        <v>0.568480232999713</v>
      </c>
      <c r="S159" s="22" t="n">
        <f aca="false">100*(S25-S24)</f>
        <v>0.612169680785035</v>
      </c>
      <c r="T159" s="22" t="n">
        <f aca="false">100*(T25-T24)</f>
        <v>0.652216447319232</v>
      </c>
      <c r="U159" s="22" t="n">
        <f aca="false">100*(U25-U24)</f>
        <v>0.689207380936985</v>
      </c>
      <c r="V159" s="22" t="n">
        <f aca="false">100*(V25-V24)</f>
        <v>0.723766040209606</v>
      </c>
      <c r="W159" s="22" t="n">
        <f aca="false">100*(W25-W24)</f>
        <v>0.7565465248208</v>
      </c>
      <c r="X159" s="22" t="n">
        <f aca="false">100*(X25-X24)</f>
        <v>0.788192370026231</v>
      </c>
      <c r="Y159" s="22" t="n">
        <f aca="false">100*(Y25-Y24)</f>
        <v>0.819229166854329</v>
      </c>
      <c r="Z159" s="22" t="n">
        <f aca="false">100*(Z25-Z24)</f>
        <v>0.850044701030095</v>
      </c>
      <c r="AA159" s="22" t="n">
        <f aca="false">100*(AA25-AA24)</f>
        <v>0.880903925400611</v>
      </c>
      <c r="AB159" s="22" t="n">
        <f aca="false">100*(AB25-AB24)</f>
        <v>0.911958848044625</v>
      </c>
      <c r="AC159" s="22" t="n">
        <f aca="false">100*(AC25-AC24)</f>
        <v>0.943260413087899</v>
      </c>
      <c r="AD159" s="22" t="n">
        <f aca="false">100*(AD25-AD24)</f>
        <v>0.97477023459529</v>
      </c>
      <c r="AE159" s="22" t="n">
        <f aca="false">100*(AE25-AE24)</f>
        <v>1.0063711304432</v>
      </c>
      <c r="AF159" s="22" t="n">
        <f aca="false">100*(AF25-AF24)</f>
        <v>1.03787952757251</v>
      </c>
      <c r="AG159" s="22" t="n">
        <f aca="false">100*(AG25-AG24)</f>
        <v>1.06905590715707</v>
      </c>
      <c r="AH159" s="22" t="n">
        <f aca="false">100*(AH25-AH24)</f>
        <v>1.09961319361598</v>
      </c>
      <c r="AI159" s="22" t="n">
        <f aca="false">100*(AI25-AI24)</f>
        <v>1.12924507303069</v>
      </c>
      <c r="AJ159" s="22" t="n">
        <f aca="false">100*(AJ25-AJ24)</f>
        <v>1.15765067696252</v>
      </c>
      <c r="AK159" s="22" t="n">
        <f aca="false">100*(AK25-AK24)</f>
        <v>1.18453604251383</v>
      </c>
      <c r="AL159" s="22" t="n">
        <f aca="false">AVERAGE(C159:AK159)</f>
        <v>0.565931306479162</v>
      </c>
    </row>
    <row r="160" customFormat="false" ht="15" hidden="false" customHeight="false" outlineLevel="0" collapsed="false">
      <c r="A160" s="20" t="n">
        <f aca="false">A26</f>
        <v>-99</v>
      </c>
      <c r="B160" s="21" t="n">
        <f aca="false">B26</f>
        <v>41347</v>
      </c>
      <c r="C160" s="22" t="n">
        <f aca="false">100*(C26-C25)</f>
        <v>-0.687546295453112</v>
      </c>
      <c r="D160" s="22" t="n">
        <f aca="false">100*(D26-D25)</f>
        <v>-0.653071649712889</v>
      </c>
      <c r="E160" s="22" t="n">
        <f aca="false">100*(E26-E25)</f>
        <v>-0.602410619517002</v>
      </c>
      <c r="F160" s="22" t="n">
        <f aca="false">100*(F26-F25)</f>
        <v>-0.538690685493792</v>
      </c>
      <c r="G160" s="22" t="n">
        <f aca="false">100*(G26-G25)</f>
        <v>-0.465162881228087</v>
      </c>
      <c r="H160" s="22" t="n">
        <f aca="false">100*(H26-H25)</f>
        <v>-0.38460776206013</v>
      </c>
      <c r="I160" s="22" t="n">
        <f aca="false">100*(I26-I25)</f>
        <v>-0.29938988854048</v>
      </c>
      <c r="J160" s="22" t="n">
        <f aca="false">100*(J26-J25)</f>
        <v>-0.211548260081607</v>
      </c>
      <c r="K160" s="22" t="n">
        <f aca="false">100*(K26-K25)</f>
        <v>-0.122864140243584</v>
      </c>
      <c r="L160" s="22" t="n">
        <f aca="false">100*(L26-L25)</f>
        <v>-0.0349018366706311</v>
      </c>
      <c r="M160" s="22" t="n">
        <f aca="false">100*(M26-M25)</f>
        <v>0.0510832266488404</v>
      </c>
      <c r="N160" s="22" t="n">
        <f aca="false">100*(N26-N25)</f>
        <v>0.134228421689375</v>
      </c>
      <c r="O160" s="22" t="n">
        <f aca="false">100*(O26-O25)</f>
        <v>0.214007397620986</v>
      </c>
      <c r="P160" s="22" t="n">
        <f aca="false">100*(P26-P25)</f>
        <v>0.290172101981723</v>
      </c>
      <c r="Q160" s="22" t="n">
        <f aca="false">100*(Q26-Q25)</f>
        <v>0.362705888442472</v>
      </c>
      <c r="R160" s="22" t="n">
        <f aca="false">100*(R26-R25)</f>
        <v>0.431762347338394</v>
      </c>
      <c r="S160" s="22" t="n">
        <f aca="false">100*(S26-S25)</f>
        <v>0.497583465148566</v>
      </c>
      <c r="T160" s="22" t="n">
        <f aca="false">100*(T26-T25)</f>
        <v>0.560467541943277</v>
      </c>
      <c r="U160" s="22" t="n">
        <f aca="false">100*(U26-U25)</f>
        <v>0.620746327122923</v>
      </c>
      <c r="V160" s="22" t="n">
        <f aca="false">100*(V26-V25)</f>
        <v>0.678776024290206</v>
      </c>
      <c r="W160" s="22" t="n">
        <f aca="false">100*(W26-W25)</f>
        <v>0.734933588507403</v>
      </c>
      <c r="X160" s="22" t="n">
        <f aca="false">100*(X26-X25)</f>
        <v>0.789596297669792</v>
      </c>
      <c r="Y160" s="22" t="n">
        <f aca="false">100*(Y26-Y25)</f>
        <v>0.843092177910787</v>
      </c>
      <c r="Z160" s="22" t="n">
        <f aca="false">100*(Z26-Z25)</f>
        <v>0.895691019671308</v>
      </c>
      <c r="AA160" s="22" t="n">
        <f aca="false">100*(AA26-AA25)</f>
        <v>0.947603422299093</v>
      </c>
      <c r="AB160" s="22" t="n">
        <f aca="false">100*(AB26-AB25)</f>
        <v>0.998965095451965</v>
      </c>
      <c r="AC160" s="22" t="n">
        <f aca="false">100*(AC26-AC25)</f>
        <v>1.04983866211628</v>
      </c>
      <c r="AD160" s="22" t="n">
        <f aca="false">100*(AD26-AD25)</f>
        <v>1.10022207410889</v>
      </c>
      <c r="AE160" s="22" t="n">
        <f aca="false">100*(AE26-AE25)</f>
        <v>1.1500560847467</v>
      </c>
      <c r="AF160" s="22" t="n">
        <f aca="false">100*(AF26-AF25)</f>
        <v>1.19923141323026</v>
      </c>
      <c r="AG160" s="22" t="n">
        <f aca="false">100*(AG26-AG25)</f>
        <v>1.24759460137263</v>
      </c>
      <c r="AH160" s="22" t="n">
        <f aca="false">100*(AH26-AH25)</f>
        <v>1.2949545821066</v>
      </c>
      <c r="AI160" s="22" t="n">
        <f aca="false">100*(AI26-AI25)</f>
        <v>1.34110593245431</v>
      </c>
      <c r="AJ160" s="22" t="n">
        <f aca="false">100*(AJ26-AJ25)</f>
        <v>1.3858486666313</v>
      </c>
      <c r="AK160" s="22" t="n">
        <f aca="false">100*(AK26-AK25)</f>
        <v>1.42898925445127</v>
      </c>
      <c r="AL160" s="22" t="n">
        <f aca="false">AVERAGE(C160:AK160)</f>
        <v>0.464258902741544</v>
      </c>
    </row>
    <row r="161" customFormat="false" ht="15" hidden="false" customHeight="false" outlineLevel="0" collapsed="false">
      <c r="A161" s="20" t="n">
        <f aca="false">A27</f>
        <v>-98</v>
      </c>
      <c r="B161" s="21" t="n">
        <f aca="false">B27</f>
        <v>41348</v>
      </c>
      <c r="C161" s="22" t="n">
        <f aca="false">100*(C27-C26)</f>
        <v>-2.34118953724789</v>
      </c>
      <c r="D161" s="22" t="n">
        <f aca="false">100*(D27-D26)</f>
        <v>-2.39629058633499</v>
      </c>
      <c r="E161" s="22" t="n">
        <f aca="false">100*(E27-E26)</f>
        <v>-2.4303057406792</v>
      </c>
      <c r="F161" s="22" t="n">
        <f aca="false">100*(F27-F26)</f>
        <v>-2.44714594001381</v>
      </c>
      <c r="G161" s="22" t="n">
        <f aca="false">100*(G27-G26)</f>
        <v>-2.45127289668061</v>
      </c>
      <c r="H161" s="22" t="n">
        <f aca="false">100*(H27-H26)</f>
        <v>-2.446740979213</v>
      </c>
      <c r="I161" s="22" t="n">
        <f aca="false">100*(I27-I26)</f>
        <v>-2.43721653392033</v>
      </c>
      <c r="J161" s="22" t="n">
        <f aca="false">100*(J27-J26)</f>
        <v>-2.42606223754258</v>
      </c>
      <c r="K161" s="22" t="n">
        <f aca="false">100*(K27-K26)</f>
        <v>-2.41640036210931</v>
      </c>
      <c r="L161" s="22" t="n">
        <f aca="false">100*(L27-L26)</f>
        <v>-2.41112830996237</v>
      </c>
      <c r="M161" s="22" t="n">
        <f aca="false">100*(M27-M26)</f>
        <v>-2.41258101164781</v>
      </c>
      <c r="N161" s="22" t="n">
        <f aca="false">100*(N27-N26)</f>
        <v>-2.42224783369451</v>
      </c>
      <c r="O161" s="22" t="n">
        <f aca="false">100*(O27-O26)</f>
        <v>-2.44088782592389</v>
      </c>
      <c r="P161" s="22" t="n">
        <f aca="false">100*(P27-P26)</f>
        <v>-2.46865563812371</v>
      </c>
      <c r="Q161" s="22" t="n">
        <f aca="false">100*(Q27-Q26)</f>
        <v>-2.50520265034377</v>
      </c>
      <c r="R161" s="22" t="n">
        <f aca="false">100*(R27-R26)</f>
        <v>-2.54975278062219</v>
      </c>
      <c r="S161" s="22" t="n">
        <f aca="false">100*(S27-S26)</f>
        <v>-2.60111996339241</v>
      </c>
      <c r="T161" s="22" t="n">
        <f aca="false">100*(T27-T26)</f>
        <v>-2.65781584998051</v>
      </c>
      <c r="U161" s="22" t="n">
        <f aca="false">100*(U27-U26)</f>
        <v>-2.71828615044463</v>
      </c>
      <c r="V161" s="22" t="n">
        <f aca="false">100*(V27-V26)</f>
        <v>-2.78097644759261</v>
      </c>
      <c r="W161" s="22" t="n">
        <f aca="false">100*(W27-W26)</f>
        <v>-2.84433381588118</v>
      </c>
      <c r="X161" s="22" t="n">
        <f aca="false">100*(X27-X26)</f>
        <v>-2.90686872939272</v>
      </c>
      <c r="Y161" s="22" t="n">
        <f aca="false">100*(Y27-Y26)</f>
        <v>-2.9673137779433</v>
      </c>
      <c r="Z161" s="22" t="n">
        <f aca="false">100*(Z27-Z26)</f>
        <v>-3.02464417428729</v>
      </c>
      <c r="AA161" s="22" t="n">
        <f aca="false">100*(AA27-AA26)</f>
        <v>-3.0780536173773</v>
      </c>
      <c r="AB161" s="22" t="n">
        <f aca="false">100*(AB27-AB26)</f>
        <v>-3.12694191036518</v>
      </c>
      <c r="AC161" s="22" t="n">
        <f aca="false">100*(AC27-AC26)</f>
        <v>-3.17089424752521</v>
      </c>
      <c r="AD161" s="22" t="n">
        <f aca="false">100*(AD27-AD26)</f>
        <v>-3.20965968436107</v>
      </c>
      <c r="AE161" s="22" t="n">
        <f aca="false">100*(AE27-AE26)</f>
        <v>-3.24313232066817</v>
      </c>
      <c r="AF161" s="22" t="n">
        <f aca="false">100*(AF27-AF26)</f>
        <v>-3.27133469311787</v>
      </c>
      <c r="AG161" s="22" t="n">
        <f aca="false">100*(AG27-AG26)</f>
        <v>-3.2944044384398</v>
      </c>
      <c r="AH161" s="22" t="n">
        <f aca="false">100*(AH27-AH26)</f>
        <v>-3.31257949569328</v>
      </c>
      <c r="AI161" s="22" t="n">
        <f aca="false">100*(AI27-AI26)</f>
        <v>-3.32616204410372</v>
      </c>
      <c r="AJ161" s="22" t="n">
        <f aca="false">100*(AJ27-AJ26)</f>
        <v>-3.3354894474761</v>
      </c>
      <c r="AK161" s="22" t="n">
        <f aca="false">100*(AK27-AK26)</f>
        <v>-3.34092901728127</v>
      </c>
      <c r="AL161" s="22" t="n">
        <f aca="false">AVERAGE(C161:AK161)</f>
        <v>-2.7775434482681</v>
      </c>
    </row>
    <row r="162" customFormat="false" ht="15" hidden="false" customHeight="false" outlineLevel="0" collapsed="false">
      <c r="A162" s="20" t="n">
        <f aca="false">A28</f>
        <v>-97</v>
      </c>
      <c r="B162" s="21" t="n">
        <f aca="false">B28</f>
        <v>41351</v>
      </c>
      <c r="C162" s="22" t="n">
        <f aca="false">100*(C28-C27)</f>
        <v>-4.6736013581673</v>
      </c>
      <c r="D162" s="22" t="n">
        <f aca="false">100*(D28-D27)</f>
        <v>-4.7443520213138</v>
      </c>
      <c r="E162" s="22" t="n">
        <f aca="false">100*(E28-E27)</f>
        <v>-4.7963292007376</v>
      </c>
      <c r="F162" s="22" t="n">
        <f aca="false">100*(F28-F27)</f>
        <v>-4.83207707064659</v>
      </c>
      <c r="G162" s="22" t="n">
        <f aca="false">100*(G28-G27)</f>
        <v>-4.85416257036748</v>
      </c>
      <c r="H162" s="22" t="n">
        <f aca="false">100*(H28-H27)</f>
        <v>-4.86493201845009</v>
      </c>
      <c r="I162" s="22" t="n">
        <f aca="false">100*(I28-I27)</f>
        <v>-4.86654181933939</v>
      </c>
      <c r="J162" s="22" t="n">
        <f aca="false">100*(J28-J27)</f>
        <v>-4.86099974905141</v>
      </c>
      <c r="K162" s="22" t="n">
        <f aca="false">100*(K28-K27)</f>
        <v>-4.85019591962481</v>
      </c>
      <c r="L162" s="22" t="n">
        <f aca="false">100*(L28-L27)</f>
        <v>-4.83591394271672</v>
      </c>
      <c r="M162" s="22" t="n">
        <f aca="false">100*(M28-M27)</f>
        <v>-4.81971767752762</v>
      </c>
      <c r="N162" s="22" t="n">
        <f aca="false">100*(N28-N27)</f>
        <v>-4.80286268157748</v>
      </c>
      <c r="O162" s="22" t="n">
        <f aca="false">100*(O28-O27)</f>
        <v>-4.78634003423437</v>
      </c>
      <c r="P162" s="22" t="n">
        <f aca="false">100*(P28-P27)</f>
        <v>-4.77092193639539</v>
      </c>
      <c r="Q162" s="22" t="n">
        <f aca="false">100*(Q28-Q27)</f>
        <v>-4.75719819914042</v>
      </c>
      <c r="R162" s="22" t="n">
        <f aca="false">100*(R28-R27)</f>
        <v>-4.74559653428561</v>
      </c>
      <c r="S162" s="22" t="n">
        <f aca="false">100*(S28-S27)</f>
        <v>-4.73637224094068</v>
      </c>
      <c r="T162" s="22" t="n">
        <f aca="false">100*(T28-T27)</f>
        <v>-4.72962550305938</v>
      </c>
      <c r="U162" s="22" t="n">
        <f aca="false">100*(U28-U27)</f>
        <v>-4.72533403312299</v>
      </c>
      <c r="V162" s="22" t="n">
        <f aca="false">100*(V28-V27)</f>
        <v>-4.72337246652699</v>
      </c>
      <c r="W162" s="22" t="n">
        <f aca="false">100*(W28-W27)</f>
        <v>-4.72352684521291</v>
      </c>
      <c r="X162" s="22" t="n">
        <f aca="false">100*(X28-X27)</f>
        <v>-4.7255141363368</v>
      </c>
      <c r="Y162" s="22" t="n">
        <f aca="false">100*(Y28-Y27)</f>
        <v>-4.72900765491828</v>
      </c>
      <c r="Z162" s="22" t="n">
        <f aca="false">100*(Z28-Z27)</f>
        <v>-4.73364636078752</v>
      </c>
      <c r="AA162" s="22" t="n">
        <f aca="false">100*(AA28-AA27)</f>
        <v>-4.73905002604691</v>
      </c>
      <c r="AB162" s="22" t="n">
        <f aca="false">100*(AB28-AB27)</f>
        <v>-4.7448505645447</v>
      </c>
      <c r="AC162" s="22" t="n">
        <f aca="false">100*(AC28-AC27)</f>
        <v>-4.75069900934577</v>
      </c>
      <c r="AD162" s="22" t="n">
        <f aca="false">100*(AD28-AD27)</f>
        <v>-4.75626337200041</v>
      </c>
      <c r="AE162" s="22" t="n">
        <f aca="false">100*(AE28-AE27)</f>
        <v>-4.76122839307362</v>
      </c>
      <c r="AF162" s="22" t="n">
        <f aca="false">100*(AF28-AF27)</f>
        <v>-4.76531075161151</v>
      </c>
      <c r="AG162" s="22" t="n">
        <f aca="false">100*(AG28-AG27)</f>
        <v>-4.76827158484898</v>
      </c>
      <c r="AH162" s="22" t="n">
        <f aca="false">100*(AH28-AH27)</f>
        <v>-4.76991375217</v>
      </c>
      <c r="AI162" s="22" t="n">
        <f aca="false">100*(AI28-AI27)</f>
        <v>-4.77008479180587</v>
      </c>
      <c r="AJ162" s="22" t="n">
        <f aca="false">100*(AJ28-AJ27)</f>
        <v>-4.76867967053147</v>
      </c>
      <c r="AK162" s="22" t="n">
        <f aca="false">100*(AK28-AK27)</f>
        <v>-4.76563670447061</v>
      </c>
      <c r="AL162" s="22" t="n">
        <f aca="false">AVERAGE(C162:AK162)</f>
        <v>-4.77280373128376</v>
      </c>
    </row>
    <row r="163" customFormat="false" ht="15" hidden="false" customHeight="false" outlineLevel="0" collapsed="false">
      <c r="A163" s="20" t="n">
        <f aca="false">A29</f>
        <v>-96</v>
      </c>
      <c r="B163" s="21" t="n">
        <f aca="false">B29</f>
        <v>41352</v>
      </c>
      <c r="C163" s="22" t="n">
        <f aca="false">100*(C29-C28)</f>
        <v>-6.6688735627924</v>
      </c>
      <c r="D163" s="22" t="n">
        <f aca="false">100*(D29-D28)</f>
        <v>-6.87374064967981</v>
      </c>
      <c r="E163" s="22" t="n">
        <f aca="false">100*(E29-E28)</f>
        <v>-7.0498829534124</v>
      </c>
      <c r="F163" s="22" t="n">
        <f aca="false">100*(F29-F28)</f>
        <v>-7.20028097969621</v>
      </c>
      <c r="G163" s="22" t="n">
        <f aca="false">100*(G29-G28)</f>
        <v>-7.3277524043218</v>
      </c>
      <c r="H163" s="22" t="n">
        <f aca="false">100*(H29-H28)</f>
        <v>-7.43475616963831</v>
      </c>
      <c r="I163" s="22" t="n">
        <f aca="false">100*(I29-I28)</f>
        <v>-7.52345522987268</v>
      </c>
      <c r="J163" s="22" t="n">
        <f aca="false">100*(J29-J28)</f>
        <v>-7.59578089637349</v>
      </c>
      <c r="K163" s="22" t="n">
        <f aca="false">100*(K29-K28)</f>
        <v>-7.65348109683957</v>
      </c>
      <c r="L163" s="22" t="n">
        <f aca="false">100*(L29-L28)</f>
        <v>-7.69815384717631</v>
      </c>
      <c r="M163" s="22" t="n">
        <f aca="false">100*(M29-M28)</f>
        <v>-7.73122905311428</v>
      </c>
      <c r="N163" s="22" t="n">
        <f aca="false">100*(N29-N28)</f>
        <v>-7.75394739432311</v>
      </c>
      <c r="O163" s="22" t="n">
        <f aca="false">100*(O29-O28)</f>
        <v>-7.76738896174831</v>
      </c>
      <c r="P163" s="22" t="n">
        <f aca="false">100*(P29-P28)</f>
        <v>-7.77250094532169</v>
      </c>
      <c r="Q163" s="22" t="n">
        <f aca="false">100*(Q29-Q28)</f>
        <v>-7.7701207749223</v>
      </c>
      <c r="R163" s="22" t="n">
        <f aca="false">100*(R29-R28)</f>
        <v>-7.76104081261089</v>
      </c>
      <c r="S163" s="22" t="n">
        <f aca="false">100*(S29-S28)</f>
        <v>-7.74612738140412</v>
      </c>
      <c r="T163" s="22" t="n">
        <f aca="false">100*(T29-T28)</f>
        <v>-7.72631467004512</v>
      </c>
      <c r="U163" s="22" t="n">
        <f aca="false">100*(U29-U28)</f>
        <v>-7.70252799499591</v>
      </c>
      <c r="V163" s="22" t="n">
        <f aca="false">100*(V29-V28)</f>
        <v>-7.67566451333868</v>
      </c>
      <c r="W163" s="22" t="n">
        <f aca="false">100*(W29-W28)</f>
        <v>-7.64659671562682</v>
      </c>
      <c r="X163" s="22" t="n">
        <f aca="false">100*(X29-X28)</f>
        <v>-7.61616028487349</v>
      </c>
      <c r="Y163" s="22" t="n">
        <f aca="false">100*(Y29-Y28)</f>
        <v>-7.58511173054073</v>
      </c>
      <c r="Z163" s="22" t="n">
        <f aca="false">100*(Z29-Z28)</f>
        <v>-7.5541228571578</v>
      </c>
      <c r="AA163" s="22" t="n">
        <f aca="false">100*(AA29-AA28)</f>
        <v>-7.52378585340519</v>
      </c>
      <c r="AB163" s="22" t="n">
        <f aca="false">100*(AB29-AB28)</f>
        <v>-7.4946076989387</v>
      </c>
      <c r="AC163" s="22" t="n">
        <f aca="false">100*(AC29-AC28)</f>
        <v>-7.46701548966553</v>
      </c>
      <c r="AD163" s="22" t="n">
        <f aca="false">100*(AD29-AD28)</f>
        <v>-7.44136566889568</v>
      </c>
      <c r="AE163" s="22" t="n">
        <f aca="false">100*(AE29-AE28)</f>
        <v>-7.417950721837</v>
      </c>
      <c r="AF163" s="22" t="n">
        <f aca="false">100*(AF29-AF28)</f>
        <v>-7.3969935685497</v>
      </c>
      <c r="AG163" s="22" t="n">
        <f aca="false">100*(AG29-AG28)</f>
        <v>-7.37864378467612</v>
      </c>
      <c r="AH163" s="22" t="n">
        <f aca="false">100*(AH29-AH28)</f>
        <v>-7.36298489114682</v>
      </c>
      <c r="AI163" s="22" t="n">
        <f aca="false">100*(AI29-AI28)</f>
        <v>-7.35004568077482</v>
      </c>
      <c r="AJ163" s="22" t="n">
        <f aca="false">100*(AJ29-AJ28)</f>
        <v>-7.3398103716273</v>
      </c>
      <c r="AK163" s="22" t="n">
        <f aca="false">100*(AK29-AK28)</f>
        <v>-7.33222349010103</v>
      </c>
      <c r="AL163" s="22" t="n">
        <f aca="false">AVERAGE(C163:AK163)</f>
        <v>-7.49544111712697</v>
      </c>
    </row>
    <row r="164" customFormat="false" ht="15" hidden="false" customHeight="false" outlineLevel="0" collapsed="false">
      <c r="A164" s="20" t="n">
        <f aca="false">A30</f>
        <v>-95</v>
      </c>
      <c r="B164" s="21" t="n">
        <f aca="false">B30</f>
        <v>41353</v>
      </c>
      <c r="C164" s="22" t="n">
        <f aca="false">100*(C30-C29)</f>
        <v>3.90459618288561</v>
      </c>
      <c r="D164" s="22" t="n">
        <f aca="false">100*(D30-D29)</f>
        <v>4.1375912062499</v>
      </c>
      <c r="E164" s="22" t="n">
        <f aca="false">100*(E30-E29)</f>
        <v>4.31378233870641</v>
      </c>
      <c r="F164" s="22" t="n">
        <f aca="false">100*(F30-F29)</f>
        <v>4.4359720487259</v>
      </c>
      <c r="G164" s="22" t="n">
        <f aca="false">100*(G30-G29)</f>
        <v>4.50881652382951</v>
      </c>
      <c r="H164" s="22" t="n">
        <f aca="false">100*(H30-H29)</f>
        <v>4.53748667023213</v>
      </c>
      <c r="I164" s="22" t="n">
        <f aca="false">100*(I30-I29)</f>
        <v>4.52748388912139</v>
      </c>
      <c r="J164" s="22" t="n">
        <f aca="false">100*(J30-J29)</f>
        <v>4.48456822992447</v>
      </c>
      <c r="K164" s="22" t="n">
        <f aca="false">100*(K30-K29)</f>
        <v>4.41470450408699</v>
      </c>
      <c r="L164" s="22" t="n">
        <f aca="false">100*(L30-L29)</f>
        <v>4.32395145465643</v>
      </c>
      <c r="M164" s="22" t="n">
        <f aca="false">100*(M30-M29)</f>
        <v>4.2178389570477</v>
      </c>
      <c r="N164" s="22" t="n">
        <f aca="false">100*(N30-N29)</f>
        <v>4.10096681359082</v>
      </c>
      <c r="O164" s="22" t="n">
        <f aca="false">100*(O30-O29)</f>
        <v>3.97713542435429</v>
      </c>
      <c r="P164" s="22" t="n">
        <f aca="false">100*(P30-P29)</f>
        <v>3.8494836151231</v>
      </c>
      <c r="Q164" s="22" t="n">
        <f aca="false">100*(Q30-Q29)</f>
        <v>3.7205964619504</v>
      </c>
      <c r="R164" s="22" t="n">
        <f aca="false">100*(R30-R29)</f>
        <v>3.59247042572619</v>
      </c>
      <c r="S164" s="22" t="n">
        <f aca="false">100*(S30-S29)</f>
        <v>3.46629685901063</v>
      </c>
      <c r="T164" s="22" t="n">
        <f aca="false">100*(T30-T29)</f>
        <v>3.34256717075752</v>
      </c>
      <c r="U164" s="22" t="n">
        <f aca="false">100*(U30-U29)</f>
        <v>3.22135428070713</v>
      </c>
      <c r="V164" s="22" t="n">
        <f aca="false">100*(V30-V29)</f>
        <v>3.10242466502477</v>
      </c>
      <c r="W164" s="22" t="n">
        <f aca="false">100*(W30-W29)</f>
        <v>2.98528223365491</v>
      </c>
      <c r="X164" s="22" t="n">
        <f aca="false">100*(X30-X29)</f>
        <v>2.86925523618762</v>
      </c>
      <c r="Y164" s="22" t="n">
        <f aca="false">100*(Y30-Y29)</f>
        <v>2.75366274259881</v>
      </c>
      <c r="Z164" s="22" t="n">
        <f aca="false">100*(Z30-Z29)</f>
        <v>2.63786002365869</v>
      </c>
      <c r="AA164" s="22" t="n">
        <f aca="false">100*(AA30-AA29)</f>
        <v>2.52126825817611</v>
      </c>
      <c r="AB164" s="22" t="n">
        <f aca="false">100*(AB30-AB29)</f>
        <v>2.40345715101031</v>
      </c>
      <c r="AC164" s="22" t="n">
        <f aca="false">100*(AC30-AC29)</f>
        <v>2.28415382453484</v>
      </c>
      <c r="AD164" s="22" t="n">
        <f aca="false">100*(AD30-AD29)</f>
        <v>2.16322478156807</v>
      </c>
      <c r="AE164" s="22" t="n">
        <f aca="false">100*(AE30-AE29)</f>
        <v>2.04066323532901</v>
      </c>
      <c r="AF164" s="22" t="n">
        <f aca="false">100*(AF30-AF29)</f>
        <v>1.91660487836578</v>
      </c>
      <c r="AG164" s="22" t="n">
        <f aca="false">100*(AG30-AG29)</f>
        <v>1.7913387893421</v>
      </c>
      <c r="AH164" s="22" t="n">
        <f aca="false">100*(AH30-AH29)</f>
        <v>1.66528910472481</v>
      </c>
      <c r="AI164" s="22" t="n">
        <f aca="false">100*(AI30-AI29)</f>
        <v>1.5389616778168</v>
      </c>
      <c r="AJ164" s="22" t="n">
        <f aca="false">100*(AJ30-AJ29)</f>
        <v>1.41290026900118</v>
      </c>
      <c r="AK164" s="22" t="n">
        <f aca="false">100*(AK30-AK29)</f>
        <v>1.28767992279673</v>
      </c>
      <c r="AL164" s="22" t="n">
        <f aca="false">AVERAGE(C164:AK164)</f>
        <v>3.21290542429934</v>
      </c>
    </row>
    <row r="165" customFormat="false" ht="15" hidden="false" customHeight="false" outlineLevel="0" collapsed="false">
      <c r="A165" s="20" t="n">
        <f aca="false">A31</f>
        <v>-94</v>
      </c>
      <c r="B165" s="21" t="n">
        <f aca="false">B31</f>
        <v>41354</v>
      </c>
      <c r="C165" s="22" t="n">
        <f aca="false">100*(C31-C30)</f>
        <v>-1.2465458795897</v>
      </c>
      <c r="D165" s="22" t="n">
        <f aca="false">100*(D31-D30)</f>
        <v>-1.34906503186409</v>
      </c>
      <c r="E165" s="22" t="n">
        <f aca="false">100*(E31-E30)</f>
        <v>-1.4188527882486</v>
      </c>
      <c r="F165" s="22" t="n">
        <f aca="false">100*(F31-F30)</f>
        <v>-1.4569477122917</v>
      </c>
      <c r="G165" s="22" t="n">
        <f aca="false">100*(G31-G30)</f>
        <v>-1.46506468034462</v>
      </c>
      <c r="H165" s="22" t="n">
        <f aca="false">100*(H31-H30)</f>
        <v>-1.44546381473183</v>
      </c>
      <c r="I165" s="22" t="n">
        <f aca="false">100*(I31-I30)</f>
        <v>-1.4008273221235</v>
      </c>
      <c r="J165" s="22" t="n">
        <f aca="false">100*(J31-J30)</f>
        <v>-1.33416773606978</v>
      </c>
      <c r="K165" s="22" t="n">
        <f aca="false">100*(K31-K30)</f>
        <v>-1.2487590994585</v>
      </c>
      <c r="L165" s="22" t="n">
        <f aca="false">100*(L31-L30)</f>
        <v>-1.14806737128679</v>
      </c>
      <c r="M165" s="22" t="n">
        <f aca="false">100*(M31-M30)</f>
        <v>-1.03553547013333</v>
      </c>
      <c r="N165" s="22" t="n">
        <f aca="false">100*(N31-N30)</f>
        <v>-0.914421624583506</v>
      </c>
      <c r="O165" s="22" t="n">
        <f aca="false">100*(O31-O30)</f>
        <v>-0.787818622731518</v>
      </c>
      <c r="P165" s="22" t="n">
        <f aca="false">100*(P31-P30)</f>
        <v>-0.658682336403116</v>
      </c>
      <c r="Q165" s="22" t="n">
        <f aca="false">100*(Q31-Q30)</f>
        <v>-0.529853061751817</v>
      </c>
      <c r="R165" s="22" t="n">
        <f aca="false">100*(R31-R30)</f>
        <v>-0.403980964678485</v>
      </c>
      <c r="S165" s="22" t="n">
        <f aca="false">100*(S31-S30)</f>
        <v>-0.283300762247718</v>
      </c>
      <c r="T165" s="22" t="n">
        <f aca="false">100*(T31-T30)</f>
        <v>-0.169612339772218</v>
      </c>
      <c r="U165" s="22" t="n">
        <f aca="false">100*(U31-U30)</f>
        <v>-0.0643267275228343</v>
      </c>
      <c r="V165" s="22" t="n">
        <f aca="false">100*(V31-V30)</f>
        <v>0.0314833753527921</v>
      </c>
      <c r="W165" s="22" t="n">
        <f aca="false">100*(W31-W30)</f>
        <v>0.117036859903186</v>
      </c>
      <c r="X165" s="22" t="n">
        <f aca="false">100*(X31-X30)</f>
        <v>0.191818496533269</v>
      </c>
      <c r="Y165" s="22" t="n">
        <f aca="false">100*(Y31-Y30)</f>
        <v>0.255582959962197</v>
      </c>
      <c r="Z165" s="22" t="n">
        <f aca="false">100*(Z31-Z30)</f>
        <v>0.308332166826419</v>
      </c>
      <c r="AA165" s="22" t="n">
        <f aca="false">100*(AA31-AA30)</f>
        <v>0.350274904812498</v>
      </c>
      <c r="AB165" s="22" t="n">
        <f aca="false">100*(AB31-AB30)</f>
        <v>0.381776087139984</v>
      </c>
      <c r="AC165" s="22" t="n">
        <f aca="false">100*(AC31-AC30)</f>
        <v>0.403330772199784</v>
      </c>
      <c r="AD165" s="22" t="n">
        <f aca="false">100*(AD31-AD30)</f>
        <v>0.415548958297318</v>
      </c>
      <c r="AE165" s="22" t="n">
        <f aca="false">100*(AE31-AE30)</f>
        <v>0.419140673898699</v>
      </c>
      <c r="AF165" s="22" t="n">
        <f aca="false">100*(AF31-AF30)</f>
        <v>0.414886577804818</v>
      </c>
      <c r="AG165" s="22" t="n">
        <f aca="false">100*(AG31-AG30)</f>
        <v>0.403613507434697</v>
      </c>
      <c r="AH165" s="22" t="n">
        <f aca="false">100*(AH31-AH30)</f>
        <v>0.386184764621289</v>
      </c>
      <c r="AI165" s="22" t="n">
        <f aca="false">100*(AI31-AI30)</f>
        <v>0.363464078708198</v>
      </c>
      <c r="AJ165" s="22" t="n">
        <f aca="false">100*(AJ31-AJ30)</f>
        <v>0.336287116031997</v>
      </c>
      <c r="AK165" s="22" t="n">
        <f aca="false">100*(AK31-AK30)</f>
        <v>0.305462086132513</v>
      </c>
      <c r="AL165" s="22" t="n">
        <f aca="false">AVERAGE(C165:AK165)</f>
        <v>-0.379344856004971</v>
      </c>
    </row>
    <row r="166" customFormat="false" ht="15" hidden="false" customHeight="false" outlineLevel="0" collapsed="false">
      <c r="A166" s="20" t="n">
        <f aca="false">A32</f>
        <v>-93</v>
      </c>
      <c r="B166" s="21" t="n">
        <f aca="false">B32</f>
        <v>41355</v>
      </c>
      <c r="C166" s="22" t="n">
        <f aca="false">100*(C32-C31)</f>
        <v>-0.59059089220781</v>
      </c>
      <c r="D166" s="22" t="n">
        <f aca="false">100*(D32-D31)</f>
        <v>-0.710145439279608</v>
      </c>
      <c r="E166" s="22" t="n">
        <f aca="false">100*(E32-E31)</f>
        <v>-0.817157974342297</v>
      </c>
      <c r="F166" s="22" t="n">
        <f aca="false">100*(F32-F31)</f>
        <v>-0.912434791398797</v>
      </c>
      <c r="G166" s="22" t="n">
        <f aca="false">100*(G32-G31)</f>
        <v>-0.996942603677886</v>
      </c>
      <c r="H166" s="22" t="n">
        <f aca="false">100*(H32-H31)</f>
        <v>-1.07168093851988</v>
      </c>
      <c r="I166" s="22" t="n">
        <f aca="false">100*(I32-I31)</f>
        <v>-1.13766332435579</v>
      </c>
      <c r="J166" s="22" t="n">
        <f aca="false">100*(J32-J31)</f>
        <v>-1.19591424699048</v>
      </c>
      <c r="K166" s="22" t="n">
        <f aca="false">100*(K32-K31)</f>
        <v>-1.24746687027719</v>
      </c>
      <c r="L166" s="22" t="n">
        <f aca="false">100*(L32-L31)</f>
        <v>-1.2933610018929</v>
      </c>
      <c r="M166" s="22" t="n">
        <f aca="false">100*(M32-M31)</f>
        <v>-1.33456949087467</v>
      </c>
      <c r="N166" s="22" t="n">
        <f aca="false">100*(N32-N31)</f>
        <v>-1.3719067573764</v>
      </c>
      <c r="O166" s="22" t="n">
        <f aca="false">100*(O32-O31)</f>
        <v>-1.40604537552527</v>
      </c>
      <c r="P166" s="22" t="n">
        <f aca="false">100*(P32-P31)</f>
        <v>-1.43754052963572</v>
      </c>
      <c r="Q166" s="22" t="n">
        <f aca="false">100*(Q32-Q31)</f>
        <v>-1.4668503854895</v>
      </c>
      <c r="R166" s="22" t="n">
        <f aca="false">100*(R32-R31)</f>
        <v>-1.4943596757989</v>
      </c>
      <c r="S166" s="22" t="n">
        <f aca="false">100*(S32-S31)</f>
        <v>-1.52037232188729</v>
      </c>
      <c r="T166" s="22" t="n">
        <f aca="false">100*(T32-T31)</f>
        <v>-1.54511715141568</v>
      </c>
      <c r="U166" s="22" t="n">
        <f aca="false">100*(U32-U31)</f>
        <v>-1.56878220626329</v>
      </c>
      <c r="V166" s="22" t="n">
        <f aca="false">100*(V32-V31)</f>
        <v>-1.59152673081948</v>
      </c>
      <c r="W166" s="22" t="n">
        <f aca="false">100*(W32-W31)</f>
        <v>-1.61348543467468</v>
      </c>
      <c r="X166" s="22" t="n">
        <f aca="false">100*(X32-X31)</f>
        <v>-1.63477899715487</v>
      </c>
      <c r="Y166" s="22" t="n">
        <f aca="false">100*(Y32-Y31)</f>
        <v>-1.65552872043309</v>
      </c>
      <c r="Z166" s="22" t="n">
        <f aca="false">100*(Z32-Z31)</f>
        <v>-1.67585825795391</v>
      </c>
      <c r="AA166" s="22" t="n">
        <f aca="false">100*(AA32-AA31)</f>
        <v>-1.6958896262703</v>
      </c>
      <c r="AB166" s="22" t="n">
        <f aca="false">100*(AB32-AB31)</f>
        <v>-1.71573399605331</v>
      </c>
      <c r="AC166" s="22" t="n">
        <f aca="false">100*(AC32-AC31)</f>
        <v>-1.73549035169582</v>
      </c>
      <c r="AD166" s="22" t="n">
        <f aca="false">100*(AD32-AD31)</f>
        <v>-1.75524688496509</v>
      </c>
      <c r="AE166" s="22" t="n">
        <f aca="false">100*(AE32-AE31)</f>
        <v>-1.77508162254529</v>
      </c>
      <c r="AF166" s="22" t="n">
        <f aca="false">100*(AF32-AF31)</f>
        <v>-1.79505997154101</v>
      </c>
      <c r="AG166" s="22" t="n">
        <f aca="false">100*(AG32-AG31)</f>
        <v>-1.81523426748802</v>
      </c>
      <c r="AH166" s="22" t="n">
        <f aca="false">100*(AH32-AH31)</f>
        <v>-1.83564503603719</v>
      </c>
      <c r="AI166" s="22" t="n">
        <f aca="false">100*(AI32-AI31)</f>
        <v>-1.85632001699521</v>
      </c>
      <c r="AJ166" s="22" t="n">
        <f aca="false">100*(AJ32-AJ31)</f>
        <v>-1.87727285428272</v>
      </c>
      <c r="AK166" s="22" t="n">
        <f aca="false">100*(AK32-AK31)</f>
        <v>-1.89850423524423</v>
      </c>
      <c r="AL166" s="22" t="n">
        <f aca="false">AVERAGE(C166:AK166)</f>
        <v>-1.45844454232467</v>
      </c>
    </row>
    <row r="167" customFormat="false" ht="15" hidden="false" customHeight="false" outlineLevel="0" collapsed="false">
      <c r="A167" s="20" t="n">
        <f aca="false">A33</f>
        <v>-92</v>
      </c>
      <c r="B167" s="21" t="n">
        <f aca="false">B33</f>
        <v>41358</v>
      </c>
      <c r="C167" s="22" t="n">
        <f aca="false">100*(C33-C32)</f>
        <v>-4.51031909830291</v>
      </c>
      <c r="D167" s="22" t="n">
        <f aca="false">100*(D33-D32)</f>
        <v>-4.6062440670507</v>
      </c>
      <c r="E167" s="22" t="n">
        <f aca="false">100*(E33-E32)</f>
        <v>-4.6830769123358</v>
      </c>
      <c r="F167" s="22" t="n">
        <f aca="false">100*(F33-F32)</f>
        <v>-4.7418779326031</v>
      </c>
      <c r="G167" s="22" t="n">
        <f aca="false">100*(G33-G32)</f>
        <v>-4.7843839375034</v>
      </c>
      <c r="H167" s="22" t="n">
        <f aca="false">100*(H33-H32)</f>
        <v>-4.81235487907079</v>
      </c>
      <c r="I167" s="22" t="n">
        <f aca="false">100*(I33-I32)</f>
        <v>-4.82753269920173</v>
      </c>
      <c r="J167" s="22" t="n">
        <f aca="false">100*(J33-J32)</f>
        <v>-4.83164524490314</v>
      </c>
      <c r="K167" s="22" t="n">
        <f aca="false">100*(K33-K32)</f>
        <v>-4.82640920565252</v>
      </c>
      <c r="L167" s="22" t="n">
        <f aca="false">100*(L33-L32)</f>
        <v>-4.8135159001907</v>
      </c>
      <c r="M167" s="22" t="n">
        <f aca="false">100*(M33-M32)</f>
        <v>-4.79447815962191</v>
      </c>
      <c r="N167" s="22" t="n">
        <f aca="false">100*(N33-N32)</f>
        <v>-4.77052355362901</v>
      </c>
      <c r="O167" s="22" t="n">
        <f aca="false">100*(O33-O32)</f>
        <v>-4.74263453216564</v>
      </c>
      <c r="P167" s="22" t="n">
        <f aca="false">100*(P33-P32)</f>
        <v>-4.711590687478</v>
      </c>
      <c r="Q167" s="22" t="n">
        <f aca="false">100*(Q33-Q32)</f>
        <v>-4.6780038778818</v>
      </c>
      <c r="R167" s="22" t="n">
        <f aca="false">100*(R33-R32)</f>
        <v>-4.64239776933262</v>
      </c>
      <c r="S167" s="22" t="n">
        <f aca="false">100*(S33-S32)</f>
        <v>-4.60533634774643</v>
      </c>
      <c r="T167" s="22" t="n">
        <f aca="false">100*(T33-T32)</f>
        <v>-4.56742436488771</v>
      </c>
      <c r="U167" s="22" t="n">
        <f aca="false">100*(U33-U32)</f>
        <v>-4.52925053497761</v>
      </c>
      <c r="V167" s="22" t="n">
        <f aca="false">100*(V33-V32)</f>
        <v>-4.49137594813922</v>
      </c>
      <c r="W167" s="22" t="n">
        <f aca="false">100*(W33-W32)</f>
        <v>-4.45433764923329</v>
      </c>
      <c r="X167" s="22" t="n">
        <f aca="false">100*(X33-X32)</f>
        <v>-4.41864262932343</v>
      </c>
      <c r="Y167" s="22" t="n">
        <f aca="false">100*(Y33-Y32)</f>
        <v>-4.38474616864939</v>
      </c>
      <c r="Z167" s="22" t="n">
        <f aca="false">100*(Z33-Z32)</f>
        <v>-4.3530506387238</v>
      </c>
      <c r="AA167" s="22" t="n">
        <f aca="false">100*(AA33-AA32)</f>
        <v>-4.32390553720001</v>
      </c>
      <c r="AB167" s="22" t="n">
        <f aca="false">100*(AB33-AB32)</f>
        <v>-4.29759776470386</v>
      </c>
      <c r="AC167" s="22" t="n">
        <f aca="false">100*(AC33-AC32)</f>
        <v>-4.27435469818827</v>
      </c>
      <c r="AD167" s="22" t="n">
        <f aca="false">100*(AD33-AD32)</f>
        <v>-4.25435107693382</v>
      </c>
      <c r="AE167" s="22" t="n">
        <f aca="false">100*(AE33-AE32)</f>
        <v>-4.23771382807332</v>
      </c>
      <c r="AF167" s="22" t="n">
        <f aca="false">100*(AF33-AF32)</f>
        <v>-4.22451781297211</v>
      </c>
      <c r="AG167" s="22" t="n">
        <f aca="false">100*(AG33-AG32)</f>
        <v>-4.2147838644925</v>
      </c>
      <c r="AH167" s="22" t="n">
        <f aca="false">100*(AH33-AH32)</f>
        <v>-4.20848402792458</v>
      </c>
      <c r="AI167" s="22" t="n">
        <f aca="false">100*(AI33-AI32)</f>
        <v>-4.20554632442967</v>
      </c>
      <c r="AJ167" s="22" t="n">
        <f aca="false">100*(AJ33-AJ32)</f>
        <v>-4.20585875677459</v>
      </c>
      <c r="AK167" s="22" t="n">
        <f aca="false">100*(AK33-AK32)</f>
        <v>-4.20927325370522</v>
      </c>
      <c r="AL167" s="22" t="n">
        <f aca="false">AVERAGE(C167:AK167)</f>
        <v>-4.52107256240007</v>
      </c>
    </row>
    <row r="168" customFormat="false" ht="15" hidden="false" customHeight="false" outlineLevel="0" collapsed="false">
      <c r="A168" s="20" t="n">
        <f aca="false">A34</f>
        <v>-91</v>
      </c>
      <c r="B168" s="21" t="n">
        <f aca="false">B34</f>
        <v>41359</v>
      </c>
      <c r="C168" s="22" t="n">
        <f aca="false">100*(C34-C33)</f>
        <v>-1.07655053611531</v>
      </c>
      <c r="D168" s="22" t="n">
        <f aca="false">100*(D34-D33)</f>
        <v>-1.16857459048529</v>
      </c>
      <c r="E168" s="22" t="n">
        <f aca="false">100*(E34-E33)</f>
        <v>-1.22757771785711</v>
      </c>
      <c r="F168" s="22" t="n">
        <f aca="false">100*(F34-F33)</f>
        <v>-1.25459526001019</v>
      </c>
      <c r="G168" s="22" t="n">
        <f aca="false">100*(G34-G33)</f>
        <v>-1.25145392492552</v>
      </c>
      <c r="H168" s="22" t="n">
        <f aca="false">100*(H34-H33)</f>
        <v>-1.22048437493443</v>
      </c>
      <c r="I168" s="22" t="n">
        <f aca="false">100*(I34-I33)</f>
        <v>-1.16439866344589</v>
      </c>
      <c r="J168" s="22" t="n">
        <f aca="false">100*(J34-J33)</f>
        <v>-1.08620732384308</v>
      </c>
      <c r="K168" s="22" t="n">
        <f aca="false">100*(K34-K33)</f>
        <v>-0.989157186755607</v>
      </c>
      <c r="L168" s="22" t="n">
        <f aca="false">100*(L34-L33)</f>
        <v>-0.876663048994031</v>
      </c>
      <c r="M168" s="22" t="n">
        <f aca="false">100*(M34-M33)</f>
        <v>-0.75208429280651</v>
      </c>
      <c r="N168" s="22" t="n">
        <f aca="false">100*(N34-N33)</f>
        <v>-0.618572474440393</v>
      </c>
      <c r="O168" s="22" t="n">
        <f aca="false">100*(O34-O33)</f>
        <v>-0.479096458508188</v>
      </c>
      <c r="P168" s="22" t="n">
        <f aca="false">100*(P34-P33)</f>
        <v>-0.336473916544566</v>
      </c>
      <c r="Q168" s="22" t="n">
        <f aca="false">100*(Q34-Q33)</f>
        <v>-0.193395419446984</v>
      </c>
      <c r="R168" s="22" t="n">
        <f aca="false">100*(R34-R33)</f>
        <v>-0.0523807347897698</v>
      </c>
      <c r="S168" s="22" t="n">
        <f aca="false">100*(S34-S33)</f>
        <v>0.0843637073657977</v>
      </c>
      <c r="T168" s="22" t="n">
        <f aca="false">100*(T34-T33)</f>
        <v>0.214971030169098</v>
      </c>
      <c r="U168" s="22" t="n">
        <f aca="false">100*(U34-U33)</f>
        <v>0.337926917538312</v>
      </c>
      <c r="V168" s="22" t="n">
        <f aca="false">100*(V34-V33)</f>
        <v>0.452035839510234</v>
      </c>
      <c r="W168" s="22" t="n">
        <f aca="false">100*(W34-W33)</f>
        <v>0.556377433374866</v>
      </c>
      <c r="X168" s="22" t="n">
        <f aca="false">100*(X34-X33)</f>
        <v>0.65029789604063</v>
      </c>
      <c r="Y168" s="22" t="n">
        <f aca="false">100*(Y34-Y33)</f>
        <v>0.733448417470273</v>
      </c>
      <c r="Z168" s="22" t="n">
        <f aca="false">100*(Z34-Z33)</f>
        <v>0.805766386523388</v>
      </c>
      <c r="AA168" s="22" t="n">
        <f aca="false">100*(AA34-AA33)</f>
        <v>0.867425175467407</v>
      </c>
      <c r="AB168" s="22" t="n">
        <f aca="false">100*(AB34-AB33)</f>
        <v>0.918768977237772</v>
      </c>
      <c r="AC168" s="22" t="n">
        <f aca="false">100*(AC34-AC33)</f>
        <v>0.96028262095289</v>
      </c>
      <c r="AD168" s="22" t="n">
        <f aca="false">100*(AD34-AD33)</f>
        <v>0.992575139425611</v>
      </c>
      <c r="AE168" s="22" t="n">
        <f aca="false">100*(AE34-AE33)</f>
        <v>1.01636217656411</v>
      </c>
      <c r="AF168" s="22" t="n">
        <f aca="false">100*(AF34-AF33)</f>
        <v>1.03242303894864</v>
      </c>
      <c r="AG168" s="22" t="n">
        <f aca="false">100*(AG34-AG33)</f>
        <v>1.04156735569152</v>
      </c>
      <c r="AH168" s="22" t="n">
        <f aca="false">100*(AH34-AH33)</f>
        <v>1.04462588803047</v>
      </c>
      <c r="AI168" s="22" t="n">
        <f aca="false">100*(AI34-AI33)</f>
        <v>1.04241380815329</v>
      </c>
      <c r="AJ168" s="22" t="n">
        <f aca="false">100*(AJ34-AJ33)</f>
        <v>1.03570389871281</v>
      </c>
      <c r="AK168" s="22" t="n">
        <f aca="false">100*(AK34-AK33)</f>
        <v>1.0252288013755</v>
      </c>
      <c r="AL168" s="22" t="n">
        <f aca="false">AVERAGE(C168:AK168)</f>
        <v>0.0304256738471358</v>
      </c>
    </row>
    <row r="169" customFormat="false" ht="15" hidden="false" customHeight="false" outlineLevel="0" collapsed="false">
      <c r="A169" s="20" t="n">
        <f aca="false">A35</f>
        <v>-90</v>
      </c>
      <c r="B169" s="21" t="n">
        <f aca="false">B35</f>
        <v>41360</v>
      </c>
      <c r="C169" s="22" t="n">
        <f aca="false">100*(C35-C34)</f>
        <v>-6.56631919891899</v>
      </c>
      <c r="D169" s="22" t="n">
        <f aca="false">100*(D35-D34)</f>
        <v>-6.6814284465232</v>
      </c>
      <c r="E169" s="22" t="n">
        <f aca="false">100*(E35-E34)</f>
        <v>-6.7564080679889</v>
      </c>
      <c r="F169" s="22" t="n">
        <f aca="false">100*(F35-F34)</f>
        <v>-6.79580142866592</v>
      </c>
      <c r="G169" s="22" t="n">
        <f aca="false">100*(G35-G34)</f>
        <v>-6.80467493374959</v>
      </c>
      <c r="H169" s="22" t="n">
        <f aca="false">100*(H35-H34)</f>
        <v>-6.78792069796459</v>
      </c>
      <c r="I169" s="22" t="n">
        <f aca="false">100*(I35-I34)</f>
        <v>-6.75025692466411</v>
      </c>
      <c r="J169" s="22" t="n">
        <f aca="false">100*(J35-J34)</f>
        <v>-6.69626571264881</v>
      </c>
      <c r="K169" s="22" t="n">
        <f aca="false">100*(K35-K34)</f>
        <v>-6.63042140986798</v>
      </c>
      <c r="L169" s="22" t="n">
        <f aca="false">100*(L35-L34)</f>
        <v>-6.5570649827924</v>
      </c>
      <c r="M169" s="22" t="n">
        <f aca="false">100*(M35-M34)</f>
        <v>-6.48003526072869</v>
      </c>
      <c r="N169" s="22" t="n">
        <f aca="false">100*(N35-N34)</f>
        <v>-6.40244507291312</v>
      </c>
      <c r="O169" s="22" t="n">
        <f aca="false">100*(O35-O34)</f>
        <v>-6.3267892480336</v>
      </c>
      <c r="P169" s="22" t="n">
        <f aca="false">100*(P35-P34)</f>
        <v>-6.25505116604832</v>
      </c>
      <c r="Q169" s="22" t="n">
        <f aca="false">100*(Q35-Q34)</f>
        <v>-6.18878683920219</v>
      </c>
      <c r="R169" s="22" t="n">
        <f aca="false">100*(R35-R34)</f>
        <v>-6.12913025463251</v>
      </c>
      <c r="S169" s="22" t="n">
        <f aca="false">100*(S35-S34)</f>
        <v>-6.07669699280429</v>
      </c>
      <c r="T169" s="22" t="n">
        <f aca="false">100*(T35-T34)</f>
        <v>-6.03166102456578</v>
      </c>
      <c r="U169" s="22" t="n">
        <f aca="false">100*(U35-U34)</f>
        <v>-5.9939255051582</v>
      </c>
      <c r="V169" s="22" t="n">
        <f aca="false">100*(V35-V34)</f>
        <v>-5.9631895218605</v>
      </c>
      <c r="W169" s="22" t="n">
        <f aca="false">100*(W35-W34)</f>
        <v>-5.93897720261487</v>
      </c>
      <c r="X169" s="22" t="n">
        <f aca="false">100*(X35-X34)</f>
        <v>-5.92068820777043</v>
      </c>
      <c r="Y169" s="22" t="n">
        <f aca="false">100*(Y35-Y34)</f>
        <v>-5.9076798396529</v>
      </c>
      <c r="Z169" s="22" t="n">
        <f aca="false">100*(Z35-Z34)</f>
        <v>-5.89929025418789</v>
      </c>
      <c r="AA169" s="22" t="n">
        <f aca="false">100*(AA35-AA34)</f>
        <v>-5.89485471129181</v>
      </c>
      <c r="AB169" s="22" t="n">
        <f aca="false">100*(AB35-AB34)</f>
        <v>-5.89373921975587</v>
      </c>
      <c r="AC169" s="22" t="n">
        <f aca="false">100*(AC35-AC34)</f>
        <v>-5.8953456512159</v>
      </c>
      <c r="AD169" s="22" t="n">
        <f aca="false">100*(AD35-AD34)</f>
        <v>-5.8991076354864</v>
      </c>
      <c r="AE169" s="22" t="n">
        <f aca="false">100*(AE35-AE34)</f>
        <v>-5.90448918376949</v>
      </c>
      <c r="AF169" s="22" t="n">
        <f aca="false">100*(AF35-AF34)</f>
        <v>-5.91100078868543</v>
      </c>
      <c r="AG169" s="22" t="n">
        <f aca="false">100*(AG35-AG34)</f>
        <v>-5.91821060647102</v>
      </c>
      <c r="AH169" s="22" t="n">
        <f aca="false">100*(AH35-AH34)</f>
        <v>-5.92574038145761</v>
      </c>
      <c r="AI169" s="22" t="n">
        <f aca="false">100*(AI35-AI34)</f>
        <v>-5.9332666720092</v>
      </c>
      <c r="AJ169" s="22" t="n">
        <f aca="false">100*(AJ35-AJ34)</f>
        <v>-5.9405202808406</v>
      </c>
      <c r="AK169" s="22" t="n">
        <f aca="false">100*(AK35-AK34)</f>
        <v>-5.94728112575718</v>
      </c>
      <c r="AL169" s="22" t="n">
        <f aca="false">AVERAGE(C169:AK169)</f>
        <v>-6.21727041287709</v>
      </c>
    </row>
    <row r="170" customFormat="false" ht="15" hidden="false" customHeight="false" outlineLevel="0" collapsed="false">
      <c r="A170" s="20" t="n">
        <f aca="false">A36</f>
        <v>-89</v>
      </c>
      <c r="B170" s="21" t="n">
        <f aca="false">B36</f>
        <v>41361</v>
      </c>
      <c r="C170" s="22" t="n">
        <f aca="false">100*(C36-C35)</f>
        <v>4.64687825023891</v>
      </c>
      <c r="D170" s="22" t="n">
        <f aca="false">100*(D36-D35)</f>
        <v>4.68378186446299</v>
      </c>
      <c r="E170" s="22" t="n">
        <f aca="false">100*(E36-E35)</f>
        <v>4.699616575856</v>
      </c>
      <c r="F170" s="22" t="n">
        <f aca="false">100*(F36-F35)</f>
        <v>4.6971877771794</v>
      </c>
      <c r="G170" s="22" t="n">
        <f aca="false">100*(G36-G35)</f>
        <v>4.6791877793354</v>
      </c>
      <c r="H170" s="22" t="n">
        <f aca="false">100*(H36-H35)</f>
        <v>4.64824171125899</v>
      </c>
      <c r="I170" s="22" t="n">
        <f aca="false">100*(I36-I35)</f>
        <v>4.6069312675121</v>
      </c>
      <c r="J170" s="22" t="n">
        <f aca="false">100*(J36-J35)</f>
        <v>4.5578041505383</v>
      </c>
      <c r="K170" s="22" t="n">
        <f aca="false">100*(K36-K35)</f>
        <v>4.50338113682101</v>
      </c>
      <c r="L170" s="22" t="n">
        <f aca="false">100*(L36-L35)</f>
        <v>4.44612060132292</v>
      </c>
      <c r="M170" s="22" t="n">
        <f aca="false">100*(M36-M35)</f>
        <v>4.38818083877961</v>
      </c>
      <c r="N170" s="22" t="n">
        <f aca="false">100*(N36-N35)</f>
        <v>4.33132624253791</v>
      </c>
      <c r="O170" s="22" t="n">
        <f aca="false">100*(O36-O35)</f>
        <v>4.27699181471382</v>
      </c>
      <c r="P170" s="22" t="n">
        <f aca="false">100*(P36-P35)</f>
        <v>4.2263399577835</v>
      </c>
      <c r="Q170" s="22" t="n">
        <f aca="false">100*(Q36-Q35)</f>
        <v>4.18030315484228</v>
      </c>
      <c r="R170" s="22" t="n">
        <f aca="false">100*(R36-R35)</f>
        <v>4.13955040165708</v>
      </c>
      <c r="S170" s="22" t="n">
        <f aca="false">100*(S36-S35)</f>
        <v>4.10441993210462</v>
      </c>
      <c r="T170" s="22" t="n">
        <f aca="false">100*(T36-T35)</f>
        <v>4.0749805607085</v>
      </c>
      <c r="U170" s="22" t="n">
        <f aca="false">100*(U36-U35)</f>
        <v>4.05112866523503</v>
      </c>
      <c r="V170" s="22" t="n">
        <f aca="false">100*(V36-V35)</f>
        <v>4.03262756540168</v>
      </c>
      <c r="W170" s="22" t="n">
        <f aca="false">100*(W36-W35)</f>
        <v>4.01912622237037</v>
      </c>
      <c r="X170" s="22" t="n">
        <f aca="false">100*(X36-X35)</f>
        <v>4.01018628383993</v>
      </c>
      <c r="Y170" s="22" t="n">
        <f aca="false">100*(Y36-Y35)</f>
        <v>4.00532864684293</v>
      </c>
      <c r="Z170" s="22" t="n">
        <f aca="false">100*(Z36-Z35)</f>
        <v>4.00404992656331</v>
      </c>
      <c r="AA170" s="22" t="n">
        <f aca="false">100*(AA36-AA35)</f>
        <v>4.00583150848499</v>
      </c>
      <c r="AB170" s="22" t="n">
        <f aca="false">100*(AB36-AB35)</f>
        <v>4.01015776445477</v>
      </c>
      <c r="AC170" s="22" t="n">
        <f aca="false">100*(AC36-AC35)</f>
        <v>4.01652056005619</v>
      </c>
      <c r="AD170" s="22" t="n">
        <f aca="false">100*(AD36-AD35)</f>
        <v>4.02441843104668</v>
      </c>
      <c r="AE170" s="22" t="n">
        <f aca="false">100*(AE36-AE35)</f>
        <v>4.0333583220237</v>
      </c>
      <c r="AF170" s="22" t="n">
        <f aca="false">100*(AF36-AF35)</f>
        <v>4.0428743457988</v>
      </c>
      <c r="AG170" s="22" t="n">
        <f aca="false">100*(AG36-AG35)</f>
        <v>4.0525399873359</v>
      </c>
      <c r="AH170" s="22" t="n">
        <f aca="false">100*(AH36-AH35)</f>
        <v>4.06196565602781</v>
      </c>
      <c r="AI170" s="22" t="n">
        <f aca="false">100*(AI36-AI35)</f>
        <v>4.07080553831469</v>
      </c>
      <c r="AJ170" s="22" t="n">
        <f aca="false">100*(AJ36-AJ35)</f>
        <v>4.07876436378141</v>
      </c>
      <c r="AK170" s="22" t="n">
        <f aca="false">100*(AK36-AK35)</f>
        <v>4.08559336253749</v>
      </c>
      <c r="AL170" s="22" t="n">
        <f aca="false">AVERAGE(C170:AK170)</f>
        <v>4.24275717622197</v>
      </c>
    </row>
    <row r="171" customFormat="false" ht="15" hidden="false" customHeight="false" outlineLevel="0" collapsed="false">
      <c r="A171" s="20" t="n">
        <f aca="false">A37</f>
        <v>-88</v>
      </c>
      <c r="B171" s="21" t="n">
        <f aca="false">B37</f>
        <v>41366</v>
      </c>
      <c r="C171" s="22" t="n">
        <f aca="false">100*(C37-C36)</f>
        <v>0.769207585391785</v>
      </c>
      <c r="D171" s="22" t="n">
        <f aca="false">100*(D37-D36)</f>
        <v>0.768118779022808</v>
      </c>
      <c r="E171" s="22" t="n">
        <f aca="false">100*(E37-E36)</f>
        <v>0.754062233629305</v>
      </c>
      <c r="F171" s="22" t="n">
        <f aca="false">100*(F37-F36)</f>
        <v>0.72914322184201</v>
      </c>
      <c r="G171" s="22" t="n">
        <f aca="false">100*(G37-G36)</f>
        <v>0.695510264532984</v>
      </c>
      <c r="H171" s="22" t="n">
        <f aca="false">100*(H37-H36)</f>
        <v>0.655205177429696</v>
      </c>
      <c r="I171" s="22" t="n">
        <f aca="false">100*(I37-I36)</f>
        <v>0.610180416910122</v>
      </c>
      <c r="J171" s="22" t="n">
        <f aca="false">100*(J37-J36)</f>
        <v>0.5623185059485</v>
      </c>
      <c r="K171" s="22" t="n">
        <f aca="false">100*(K37-K36)</f>
        <v>0.513446595826395</v>
      </c>
      <c r="L171" s="22" t="n">
        <f aca="false">100*(L37-L36)</f>
        <v>0.465325463810373</v>
      </c>
      <c r="M171" s="22" t="n">
        <f aca="false">100*(M37-M36)</f>
        <v>0.419515543967686</v>
      </c>
      <c r="N171" s="22" t="n">
        <f aca="false">100*(N37-N36)</f>
        <v>0.37731655372979</v>
      </c>
      <c r="O171" s="22" t="n">
        <f aca="false">100*(O37-O36)</f>
        <v>0.339809079629694</v>
      </c>
      <c r="P171" s="22" t="n">
        <f aca="false">100*(P37-P36)</f>
        <v>0.307892358490181</v>
      </c>
      <c r="Q171" s="22" t="n">
        <f aca="false">100*(Q37-Q36)</f>
        <v>0.282313283214908</v>
      </c>
      <c r="R171" s="22" t="n">
        <f aca="false">100*(R37-R36)</f>
        <v>0.263652877133902</v>
      </c>
      <c r="S171" s="22" t="n">
        <f aca="false">100*(S37-S36)</f>
        <v>0.252279283000689</v>
      </c>
      <c r="T171" s="22" t="n">
        <f aca="false">100*(T37-T36)</f>
        <v>0.248359802693487</v>
      </c>
      <c r="U171" s="22" t="n">
        <f aca="false">100*(U37-U36)</f>
        <v>0.251877220724861</v>
      </c>
      <c r="V171" s="22" t="n">
        <f aca="false">100*(V37-V36)</f>
        <v>0.262652925732709</v>
      </c>
      <c r="W171" s="22" t="n">
        <f aca="false">100*(W37-W36)</f>
        <v>0.280369239082523</v>
      </c>
      <c r="X171" s="22" t="n">
        <f aca="false">100*(X37-X36)</f>
        <v>0.304586364192661</v>
      </c>
      <c r="Y171" s="22" t="n">
        <f aca="false">100*(Y37-Y36)</f>
        <v>0.334755425014377</v>
      </c>
      <c r="Z171" s="22" t="n">
        <f aca="false">100*(Z37-Z36)</f>
        <v>0.370232340136711</v>
      </c>
      <c r="AA171" s="22" t="n">
        <f aca="false">100*(AA37-AA36)</f>
        <v>0.410303113173516</v>
      </c>
      <c r="AB171" s="22" t="n">
        <f aca="false">100*(AB37-AB36)</f>
        <v>0.454223057389314</v>
      </c>
      <c r="AC171" s="22" t="n">
        <f aca="false">100*(AC37-AC36)</f>
        <v>0.501228070444482</v>
      </c>
      <c r="AD171" s="22" t="n">
        <f aca="false">100*(AD37-AD36)</f>
        <v>0.550536939772117</v>
      </c>
      <c r="AE171" s="22" t="n">
        <f aca="false">100*(AE37-AE36)</f>
        <v>0.601357107243583</v>
      </c>
      <c r="AF171" s="22" t="n">
        <f aca="false">100*(AF37-AF36)</f>
        <v>0.652915525112929</v>
      </c>
      <c r="AG171" s="22" t="n">
        <f aca="false">100*(AG37-AG36)</f>
        <v>0.704478994697322</v>
      </c>
      <c r="AH171" s="22" t="n">
        <f aca="false">100*(AH37-AH36)</f>
        <v>0.755354808739028</v>
      </c>
      <c r="AI171" s="22" t="n">
        <f aca="false">100*(AI37-AI36)</f>
        <v>0.804914382664324</v>
      </c>
      <c r="AJ171" s="22" t="n">
        <f aca="false">100*(AJ37-AJ36)</f>
        <v>0.852608413577594</v>
      </c>
      <c r="AK171" s="22" t="n">
        <f aca="false">100*(AK37-AK36)</f>
        <v>0.897960360876526</v>
      </c>
      <c r="AL171" s="22" t="n">
        <f aca="false">AVERAGE(C171:AK171)</f>
        <v>0.514400323279397</v>
      </c>
    </row>
    <row r="172" customFormat="false" ht="15" hidden="false" customHeight="false" outlineLevel="0" collapsed="false">
      <c r="A172" s="20" t="n">
        <f aca="false">A38</f>
        <v>-87</v>
      </c>
      <c r="B172" s="21" t="n">
        <f aca="false">B38</f>
        <v>41367</v>
      </c>
      <c r="C172" s="22" t="n">
        <f aca="false">100*(C38-C37)</f>
        <v>-2.3442272750156</v>
      </c>
      <c r="D172" s="22" t="n">
        <f aca="false">100*(D38-D37)</f>
        <v>-2.39341228202541</v>
      </c>
      <c r="E172" s="22" t="n">
        <f aca="false">100*(E38-E37)</f>
        <v>-2.44154499132441</v>
      </c>
      <c r="F172" s="22" t="n">
        <f aca="false">100*(F38-F37)</f>
        <v>-2.48895210344791</v>
      </c>
      <c r="G172" s="22" t="n">
        <f aca="false">100*(G38-G37)</f>
        <v>-2.53611248999079</v>
      </c>
      <c r="H172" s="22" t="n">
        <f aca="false">100*(H38-H37)</f>
        <v>-2.58338846467949</v>
      </c>
      <c r="I172" s="22" t="n">
        <f aca="false">100*(I38-I37)</f>
        <v>-2.63103729786511</v>
      </c>
      <c r="J172" s="22" t="n">
        <f aca="false">100*(J38-J37)</f>
        <v>-2.67923405204091</v>
      </c>
      <c r="K172" s="22" t="n">
        <f aca="false">100*(K38-K37)</f>
        <v>-2.7280887110313</v>
      </c>
      <c r="L172" s="22" t="n">
        <f aca="false">100*(L38-L37)</f>
        <v>-2.7776499830106</v>
      </c>
      <c r="M172" s="22" t="n">
        <f aca="false">100*(M38-M37)</f>
        <v>-2.82783398739079</v>
      </c>
      <c r="N172" s="22" t="n">
        <f aca="false">100*(N38-N37)</f>
        <v>-2.87837971254139</v>
      </c>
      <c r="O172" s="22" t="n">
        <f aca="false">100*(O38-O37)</f>
        <v>-2.92887581765409</v>
      </c>
      <c r="P172" s="22" t="n">
        <f aca="false">100*(P38-P37)</f>
        <v>-2.97878655156669</v>
      </c>
      <c r="Q172" s="22" t="n">
        <f aca="false">100*(Q38-Q37)</f>
        <v>-3.02747282481159</v>
      </c>
      <c r="R172" s="22" t="n">
        <f aca="false">100*(R38-R37)</f>
        <v>-3.07421104555821</v>
      </c>
      <c r="S172" s="22" t="n">
        <f aca="false">100*(S38-S37)</f>
        <v>-3.1182002126612</v>
      </c>
      <c r="T172" s="22" t="n">
        <f aca="false">100*(T38-T37)</f>
        <v>-3.15862246293652</v>
      </c>
      <c r="U172" s="22" t="n">
        <f aca="false">100*(U38-U37)</f>
        <v>-3.19476433552017</v>
      </c>
      <c r="V172" s="22" t="n">
        <f aca="false">100*(V38-V37)</f>
        <v>-3.2260302618051</v>
      </c>
      <c r="W172" s="22" t="n">
        <f aca="false">100*(W38-W37)</f>
        <v>-3.25192718972631</v>
      </c>
      <c r="X172" s="22" t="n">
        <f aca="false">100*(X38-X37)</f>
        <v>-3.27208465028837</v>
      </c>
      <c r="Y172" s="22" t="n">
        <f aca="false">100*(Y38-Y37)</f>
        <v>-3.2863145221639</v>
      </c>
      <c r="Z172" s="22" t="n">
        <f aca="false">100*(Z38-Z37)</f>
        <v>-3.29460575629583</v>
      </c>
      <c r="AA172" s="22" t="n">
        <f aca="false">100*(AA38-AA37)</f>
        <v>-3.29709267165872</v>
      </c>
      <c r="AB172" s="22" t="n">
        <f aca="false">100*(AB38-AB37)</f>
        <v>-3.29401557666711</v>
      </c>
      <c r="AC172" s="22" t="n">
        <f aca="false">100*(AC38-AC37)</f>
        <v>-3.28570291642127</v>
      </c>
      <c r="AD172" s="22" t="n">
        <f aca="false">100*(AD38-AD37)</f>
        <v>-3.27256099405981</v>
      </c>
      <c r="AE172" s="22" t="n">
        <f aca="false">100*(AE38-AE37)</f>
        <v>-3.25506339859571</v>
      </c>
      <c r="AF172" s="22" t="n">
        <f aca="false">100*(AF38-AF37)</f>
        <v>-3.23373098885331</v>
      </c>
      <c r="AG172" s="22" t="n">
        <f aca="false">100*(AG38-AG37)</f>
        <v>-3.20911773565822</v>
      </c>
      <c r="AH172" s="22" t="n">
        <f aca="false">100*(AH38-AH37)</f>
        <v>-3.18180268157602</v>
      </c>
      <c r="AI172" s="22" t="n">
        <f aca="false">100*(AI38-AI37)</f>
        <v>-3.15235630027804</v>
      </c>
      <c r="AJ172" s="22" t="n">
        <f aca="false">100*(AJ38-AJ37)</f>
        <v>-3.12131778409661</v>
      </c>
      <c r="AK172" s="22" t="n">
        <f aca="false">100*(AK38-AK37)</f>
        <v>-3.08919669452883</v>
      </c>
      <c r="AL172" s="22" t="n">
        <f aca="false">AVERAGE(C172:AK172)</f>
        <v>-2.98610613496415</v>
      </c>
    </row>
    <row r="173" customFormat="false" ht="15" hidden="false" customHeight="false" outlineLevel="0" collapsed="false">
      <c r="A173" s="20" t="n">
        <f aca="false">A39</f>
        <v>-86</v>
      </c>
      <c r="B173" s="21" t="n">
        <f aca="false">B39</f>
        <v>41368</v>
      </c>
      <c r="C173" s="22" t="n">
        <f aca="false">100*(C39-C38)</f>
        <v>-4.1699869342728</v>
      </c>
      <c r="D173" s="22" t="n">
        <f aca="false">100*(D39-D38)</f>
        <v>-4.37246400204621</v>
      </c>
      <c r="E173" s="22" t="n">
        <f aca="false">100*(E39-E38)</f>
        <v>-4.542342989399</v>
      </c>
      <c r="F173" s="22" t="n">
        <f aca="false">100*(F39-F38)</f>
        <v>-4.68396464195939</v>
      </c>
      <c r="G173" s="22" t="n">
        <f aca="false">100*(G39-G38)</f>
        <v>-4.80178934500479</v>
      </c>
      <c r="H173" s="22" t="n">
        <f aca="false">100*(H39-H38)</f>
        <v>-4.89977121292129</v>
      </c>
      <c r="I173" s="22" t="n">
        <f aca="false">100*(I39-I38)</f>
        <v>-4.98143779254789</v>
      </c>
      <c r="J173" s="22" t="n">
        <f aca="false">100*(J39-J38)</f>
        <v>-5.0499827952518</v>
      </c>
      <c r="K173" s="22" t="n">
        <f aca="false">100*(K39-K38)</f>
        <v>-5.10833564267421</v>
      </c>
      <c r="L173" s="22" t="n">
        <f aca="false">100*(L39-L38)</f>
        <v>-5.15918240113988</v>
      </c>
      <c r="M173" s="22" t="n">
        <f aca="false">100*(M39-M38)</f>
        <v>-5.20477059469831</v>
      </c>
      <c r="N173" s="22" t="n">
        <f aca="false">100*(N39-N38)</f>
        <v>-5.2468107133044</v>
      </c>
      <c r="O173" s="22" t="n">
        <f aca="false">100*(O39-O38)</f>
        <v>-5.2865611658413</v>
      </c>
      <c r="P173" s="22" t="n">
        <f aca="false">100*(P39-P38)</f>
        <v>-5.324906225131</v>
      </c>
      <c r="Q173" s="22" t="n">
        <f aca="false">100*(Q39-Q38)</f>
        <v>-5.3624191636974</v>
      </c>
      <c r="R173" s="22" t="n">
        <f aca="false">100*(R39-R38)</f>
        <v>-5.3994309707563</v>
      </c>
      <c r="S173" s="22" t="n">
        <f aca="false">100*(S39-S38)</f>
        <v>-5.4360966183205</v>
      </c>
      <c r="T173" s="22" t="n">
        <f aca="false">100*(T39-T38)</f>
        <v>-5.47244419792308</v>
      </c>
      <c r="U173" s="22" t="n">
        <f aca="false">100*(U39-U38)</f>
        <v>-5.50843381606931</v>
      </c>
      <c r="V173" s="22" t="n">
        <f aca="false">100*(V39-V38)</f>
        <v>-5.54397642905751</v>
      </c>
      <c r="W173" s="22" t="n">
        <f aca="false">100*(W39-W38)</f>
        <v>-5.57894127649261</v>
      </c>
      <c r="X173" s="22" t="n">
        <f aca="false">100*(X39-X38)</f>
        <v>-5.61318259186292</v>
      </c>
      <c r="Y173" s="22" t="n">
        <f aca="false">100*(Y39-Y38)</f>
        <v>-5.64658674177561</v>
      </c>
      <c r="Z173" s="22" t="n">
        <f aca="false">100*(Z39-Z38)</f>
        <v>-5.67907838185278</v>
      </c>
      <c r="AA173" s="22" t="n">
        <f aca="false">100*(AA39-AA38)</f>
        <v>-5.71061137706561</v>
      </c>
      <c r="AB173" s="22" t="n">
        <f aca="false">100*(AB39-AB38)</f>
        <v>-5.7411558999279</v>
      </c>
      <c r="AC173" s="22" t="n">
        <f aca="false">100*(AC39-AC38)</f>
        <v>-5.77069432882</v>
      </c>
      <c r="AD173" s="22" t="n">
        <f aca="false">100*(AD39-AD38)</f>
        <v>-5.79921981788578</v>
      </c>
      <c r="AE173" s="22" t="n">
        <f aca="false">100*(AE39-AE38)</f>
        <v>-5.8267344337843</v>
      </c>
      <c r="AF173" s="22" t="n">
        <f aca="false">100*(AF39-AF38)</f>
        <v>-5.85324426175471</v>
      </c>
      <c r="AG173" s="22" t="n">
        <f aca="false">100*(AG39-AG38)</f>
        <v>-5.87875662578967</v>
      </c>
      <c r="AH173" s="22" t="n">
        <f aca="false">100*(AH39-AH38)</f>
        <v>-5.9032805188981</v>
      </c>
      <c r="AI173" s="22" t="n">
        <f aca="false">100*(AI39-AI38)</f>
        <v>-5.9268314659549</v>
      </c>
      <c r="AJ173" s="22" t="n">
        <f aca="false">100*(AJ39-AJ38)</f>
        <v>-5.9494346661523</v>
      </c>
      <c r="AK173" s="22" t="n">
        <f aca="false">100*(AK39-AK38)</f>
        <v>-5.9711242623691</v>
      </c>
      <c r="AL173" s="22" t="n">
        <f aca="false">AVERAGE(C173:AK173)</f>
        <v>-5.38297098006865</v>
      </c>
    </row>
    <row r="174" customFormat="false" ht="15" hidden="false" customHeight="false" outlineLevel="0" collapsed="false">
      <c r="A174" s="20" t="n">
        <f aca="false">A40</f>
        <v>-85</v>
      </c>
      <c r="B174" s="21" t="n">
        <f aca="false">B40</f>
        <v>41369</v>
      </c>
      <c r="C174" s="22" t="n">
        <f aca="false">100*(C40-C39)</f>
        <v>-7.5030687974885</v>
      </c>
      <c r="D174" s="22" t="n">
        <f aca="false">100*(D40-D39)</f>
        <v>-7.8081832867557</v>
      </c>
      <c r="E174" s="22" t="n">
        <f aca="false">100*(E40-E39)</f>
        <v>-8.0828962715918</v>
      </c>
      <c r="F174" s="22" t="n">
        <f aca="false">100*(F40-F39)</f>
        <v>-8.3330742143652</v>
      </c>
      <c r="G174" s="22" t="n">
        <f aca="false">100*(G40-G39)</f>
        <v>-8.5641816228696</v>
      </c>
      <c r="H174" s="22" t="n">
        <f aca="false">100*(H40-H39)</f>
        <v>-8.78083769222322</v>
      </c>
      <c r="I174" s="22" t="n">
        <f aca="false">100*(I40-I39)</f>
        <v>-8.98698047872022</v>
      </c>
      <c r="J174" s="22" t="n">
        <f aca="false">100*(J40-J39)</f>
        <v>-9.18601497348859</v>
      </c>
      <c r="K174" s="22" t="n">
        <f aca="false">100*(K40-K39)</f>
        <v>-9.3809241559955</v>
      </c>
      <c r="L174" s="22" t="n">
        <f aca="false">100*(L40-L39)</f>
        <v>-9.57431260265391</v>
      </c>
      <c r="M174" s="22" t="n">
        <f aca="false">100*(M40-M39)</f>
        <v>-9.76816730019889</v>
      </c>
      <c r="N174" s="22" t="n">
        <f aca="false">100*(N40-N39)</f>
        <v>-9.96373948204092</v>
      </c>
      <c r="O174" s="22" t="n">
        <f aca="false">100*(O40-O39)</f>
        <v>-10.1616618293819</v>
      </c>
      <c r="P174" s="22" t="n">
        <f aca="false">100*(P40-P39)</f>
        <v>-10.3620551181481</v>
      </c>
      <c r="Q174" s="22" t="n">
        <f aca="false">100*(Q40-Q39)</f>
        <v>-10.5646146961221</v>
      </c>
      <c r="R174" s="22" t="n">
        <f aca="false">100*(R40-R39)</f>
        <v>-10.7686875017326</v>
      </c>
      <c r="S174" s="22" t="n">
        <f aca="false">100*(S40-S39)</f>
        <v>-10.9733092306882</v>
      </c>
      <c r="T174" s="22" t="n">
        <f aca="false">100*(T40-T39)</f>
        <v>-11.1773065564084</v>
      </c>
      <c r="U174" s="22" t="n">
        <f aca="false">100*(U40-U39)</f>
        <v>-11.3794666877061</v>
      </c>
      <c r="V174" s="22" t="n">
        <f aca="false">100*(V40-V39)</f>
        <v>-11.5785730311629</v>
      </c>
      <c r="W174" s="22" t="n">
        <f aca="false">100*(W40-W39)</f>
        <v>-11.7734077031027</v>
      </c>
      <c r="X174" s="22" t="n">
        <f aca="false">100*(X40-X39)</f>
        <v>-11.9628154545223</v>
      </c>
      <c r="Y174" s="22" t="n">
        <f aca="false">100*(Y40-Y39)</f>
        <v>-12.1458254053735</v>
      </c>
      <c r="Z174" s="22" t="n">
        <f aca="false">100*(Z40-Z39)</f>
        <v>-12.32165578529</v>
      </c>
      <c r="AA174" s="22" t="n">
        <f aca="false">100*(AA40-AA39)</f>
        <v>-12.4896975521457</v>
      </c>
      <c r="AB174" s="22" t="n">
        <f aca="false">100*(AB40-AB39)</f>
        <v>-12.649509662404</v>
      </c>
      <c r="AC174" s="22" t="n">
        <f aca="false">100*(AC40-AC39)</f>
        <v>-12.8008030996446</v>
      </c>
      <c r="AD174" s="22" t="n">
        <f aca="false">100*(AD40-AD39)</f>
        <v>-12.9434232204097</v>
      </c>
      <c r="AE174" s="22" t="n">
        <f aca="false">100*(AE40-AE39)</f>
        <v>-13.0773342958302</v>
      </c>
      <c r="AF174" s="22" t="n">
        <f aca="false">100*(AF40-AF39)</f>
        <v>-13.2026078946223</v>
      </c>
      <c r="AG174" s="22" t="n">
        <f aca="false">100*(AG40-AG39)</f>
        <v>-13.3194141586745</v>
      </c>
      <c r="AH174" s="22" t="n">
        <f aca="false">100*(AH40-AH39)</f>
        <v>-13.4280094449561</v>
      </c>
      <c r="AI174" s="22" t="n">
        <f aca="false">100*(AI40-AI39)</f>
        <v>-13.528711512646</v>
      </c>
      <c r="AJ174" s="22" t="n">
        <f aca="false">100*(AJ40-AJ39)</f>
        <v>-13.6218819379614</v>
      </c>
      <c r="AK174" s="22" t="n">
        <f aca="false">100*(AK40-AK39)</f>
        <v>-13.7079210846715</v>
      </c>
      <c r="AL174" s="22" t="n">
        <f aca="false">AVERAGE(C174:AK174)</f>
        <v>-11.0248878211999</v>
      </c>
    </row>
    <row r="175" customFormat="false" ht="15" hidden="false" customHeight="false" outlineLevel="0" collapsed="false">
      <c r="A175" s="20" t="n">
        <f aca="false">A41</f>
        <v>-84</v>
      </c>
      <c r="B175" s="21" t="n">
        <f aca="false">B41</f>
        <v>41372</v>
      </c>
      <c r="C175" s="22" t="n">
        <f aca="false">100*(C41-C40)</f>
        <v>6.72982916185931</v>
      </c>
      <c r="D175" s="22" t="n">
        <f aca="false">100*(D41-D40)</f>
        <v>6.7886100472937</v>
      </c>
      <c r="E175" s="22" t="n">
        <f aca="false">100*(E41-E40)</f>
        <v>6.80529452010601</v>
      </c>
      <c r="F175" s="22" t="n">
        <f aca="false">100*(F41-F40)</f>
        <v>6.78460837716739</v>
      </c>
      <c r="G175" s="22" t="n">
        <f aca="false">100*(G41-G40)</f>
        <v>6.7319691476228</v>
      </c>
      <c r="H175" s="22" t="n">
        <f aca="false">100*(H41-H40)</f>
        <v>6.65255439179882</v>
      </c>
      <c r="I175" s="22" t="n">
        <f aca="false">100*(I41-I40)</f>
        <v>6.5513144466921</v>
      </c>
      <c r="J175" s="22" t="n">
        <f aca="false">100*(J41-J40)</f>
        <v>6.43302182234811</v>
      </c>
      <c r="K175" s="22" t="n">
        <f aca="false">100*(K41-K40)</f>
        <v>6.30230821708819</v>
      </c>
      <c r="L175" s="22" t="n">
        <f aca="false">100*(L41-L40)</f>
        <v>6.16362346195363</v>
      </c>
      <c r="M175" s="22" t="n">
        <f aca="false">100*(M41-M40)</f>
        <v>6.02081475945711</v>
      </c>
      <c r="N175" s="22" t="n">
        <f aca="false">100*(N41-N40)</f>
        <v>5.87693570993282</v>
      </c>
      <c r="O175" s="22" t="n">
        <f aca="false">100*(O41-O40)</f>
        <v>5.73437239781058</v>
      </c>
      <c r="P175" s="22" t="n">
        <f aca="false">100*(P41-P40)</f>
        <v>5.59495848056471</v>
      </c>
      <c r="Q175" s="22" t="n">
        <f aca="false">100*(Q41-Q40)</f>
        <v>5.4600654330649</v>
      </c>
      <c r="R175" s="22" t="n">
        <f aca="false">100*(R41-R40)</f>
        <v>5.33062553737649</v>
      </c>
      <c r="S175" s="22" t="n">
        <f aca="false">100*(S41-S40)</f>
        <v>5.2071081527401</v>
      </c>
      <c r="T175" s="22" t="n">
        <f aca="false">100*(T41-T40)</f>
        <v>5.08962012972858</v>
      </c>
      <c r="U175" s="22" t="n">
        <f aca="false">100*(U41-U40)</f>
        <v>4.9780623534073</v>
      </c>
      <c r="V175" s="22" t="n">
        <f aca="false">100*(V41-V40)</f>
        <v>4.87218314320628</v>
      </c>
      <c r="W175" s="22" t="n">
        <f aca="false">100*(W41-W40)</f>
        <v>4.77160059261998</v>
      </c>
      <c r="X175" s="22" t="n">
        <f aca="false">100*(X41-X40)</f>
        <v>4.67586199796259</v>
      </c>
      <c r="Y175" s="22" t="n">
        <f aca="false">100*(Y41-Y40)</f>
        <v>4.58454694700521</v>
      </c>
      <c r="Z175" s="22" t="n">
        <f aca="false">100*(Z41-Z40)</f>
        <v>4.497286061827</v>
      </c>
      <c r="AA175" s="22" t="n">
        <f aca="false">100*(AA41-AA40)</f>
        <v>4.4137615903018</v>
      </c>
      <c r="AB175" s="22" t="n">
        <f aca="false">100*(AB41-AB40)</f>
        <v>4.33371533602212</v>
      </c>
      <c r="AC175" s="22" t="n">
        <f aca="false">100*(AC41-AC40)</f>
        <v>4.25694474160183</v>
      </c>
      <c r="AD175" s="22" t="n">
        <f aca="false">100*(AD41-AD40)</f>
        <v>4.1832964327241</v>
      </c>
      <c r="AE175" s="22" t="n">
        <f aca="false">100*(AE41-AE40)</f>
        <v>4.11265945073178</v>
      </c>
      <c r="AF175" s="22" t="n">
        <f aca="false">100*(AF41-AF40)</f>
        <v>4.04495112517913</v>
      </c>
      <c r="AG175" s="22" t="n">
        <f aca="false">100*(AG41-AG40)</f>
        <v>3.9801067207033</v>
      </c>
      <c r="AH175" s="22" t="n">
        <f aca="false">100*(AH41-AH40)</f>
        <v>3.91807509700493</v>
      </c>
      <c r="AI175" s="22" t="n">
        <f aca="false">100*(AI41-AI40)</f>
        <v>3.85880302251729</v>
      </c>
      <c r="AJ175" s="22" t="n">
        <f aca="false">100*(AJ41-AJ40)</f>
        <v>3.8022251144795</v>
      </c>
      <c r="AK175" s="22" t="n">
        <f aca="false">100*(AK41-AK40)</f>
        <v>3.74826445997818</v>
      </c>
      <c r="AL175" s="22" t="n">
        <f aca="false">AVERAGE(C175:AK175)</f>
        <v>5.2368565251965</v>
      </c>
    </row>
    <row r="176" customFormat="false" ht="15" hidden="false" customHeight="false" outlineLevel="0" collapsed="false">
      <c r="A176" s="20" t="n">
        <f aca="false">A42</f>
        <v>-83</v>
      </c>
      <c r="B176" s="21" t="n">
        <f aca="false">B42</f>
        <v>41373</v>
      </c>
      <c r="C176" s="22" t="n">
        <f aca="false">100*(C42-C41)</f>
        <v>4.20717470415399</v>
      </c>
      <c r="D176" s="22" t="n">
        <f aca="false">100*(D42-D41)</f>
        <v>4.3822200350484</v>
      </c>
      <c r="E176" s="22" t="n">
        <f aca="false">100*(E42-E41)</f>
        <v>4.52553965311309</v>
      </c>
      <c r="F176" s="22" t="n">
        <f aca="false">100*(F42-F41)</f>
        <v>4.6401258178197</v>
      </c>
      <c r="G176" s="22" t="n">
        <f aca="false">100*(G42-G41)</f>
        <v>4.7295073484581</v>
      </c>
      <c r="H176" s="22" t="n">
        <f aca="false">100*(H42-H41)</f>
        <v>4.7970153476119</v>
      </c>
      <c r="I176" s="22" t="n">
        <f aca="false">100*(I42-I41)</f>
        <v>4.84579636761588</v>
      </c>
      <c r="J176" s="22" t="n">
        <f aca="false">100*(J42-J41)</f>
        <v>4.87885253017257</v>
      </c>
      <c r="K176" s="22" t="n">
        <f aca="false">100*(K42-K41)</f>
        <v>4.89907158945497</v>
      </c>
      <c r="L176" s="22" t="n">
        <f aca="false">100*(L42-L41)</f>
        <v>4.90920762768519</v>
      </c>
      <c r="M176" s="22" t="n">
        <f aca="false">100*(M42-M41)</f>
        <v>4.91164259719588</v>
      </c>
      <c r="N176" s="22" t="n">
        <f aca="false">100*(N42-N41)</f>
        <v>4.90828725798611</v>
      </c>
      <c r="O176" s="22" t="n">
        <f aca="false">100*(O42-O41)</f>
        <v>4.90065723304149</v>
      </c>
      <c r="P176" s="22" t="n">
        <f aca="false">100*(P42-P41)</f>
        <v>4.88994113540557</v>
      </c>
      <c r="Q176" s="22" t="n">
        <f aca="false">100*(Q42-Q41)</f>
        <v>4.87705529191032</v>
      </c>
      <c r="R176" s="22" t="n">
        <f aca="false">100*(R42-R41)</f>
        <v>4.862707155324</v>
      </c>
      <c r="S176" s="22" t="n">
        <f aca="false">100*(S42-S41)</f>
        <v>4.84748056224009</v>
      </c>
      <c r="T176" s="22" t="n">
        <f aca="false">100*(T42-T41)</f>
        <v>4.83186579777959</v>
      </c>
      <c r="U176" s="22" t="n">
        <f aca="false">100*(U42-U41)</f>
        <v>4.81626890904052</v>
      </c>
      <c r="V176" s="22" t="n">
        <f aca="false">100*(V42-V41)</f>
        <v>4.8010233158887</v>
      </c>
      <c r="W176" s="22" t="n">
        <f aca="false">100*(W42-W41)</f>
        <v>4.78639983688241</v>
      </c>
      <c r="X176" s="22" t="n">
        <f aca="false">100*(X42-X41)</f>
        <v>4.77261549559831</v>
      </c>
      <c r="Y176" s="22" t="n">
        <f aca="false">100*(Y42-Y41)</f>
        <v>4.75984448436471</v>
      </c>
      <c r="Z176" s="22" t="n">
        <f aca="false">100*(Z42-Z41)</f>
        <v>4.74822538574</v>
      </c>
      <c r="AA176" s="22" t="n">
        <f aca="false">100*(AA42-AA41)</f>
        <v>4.73786715344158</v>
      </c>
      <c r="AB176" s="22" t="n">
        <f aca="false">100*(AB42-AB41)</f>
        <v>4.7288555181249</v>
      </c>
      <c r="AC176" s="22" t="n">
        <f aca="false">100*(AC42-AC41)</f>
        <v>4.72125628936269</v>
      </c>
      <c r="AD176" s="22" t="n">
        <f aca="false">100*(AD42-AD41)</f>
        <v>4.71511767351438</v>
      </c>
      <c r="AE176" s="22" t="n">
        <f aca="false">100*(AE42-AE41)</f>
        <v>4.71047295862102</v>
      </c>
      <c r="AF176" s="22" t="n">
        <f aca="false">100*(AF42-AF41)</f>
        <v>4.70734616800508</v>
      </c>
      <c r="AG176" s="22" t="n">
        <f aca="false">100*(AG42-AG41)</f>
        <v>4.70575539912619</v>
      </c>
      <c r="AH176" s="22" t="n">
        <f aca="false">100*(AH42-AH41)</f>
        <v>4.70571271252127</v>
      </c>
      <c r="AI176" s="22" t="n">
        <f aca="false">100*(AI42-AI41)</f>
        <v>4.70721888208079</v>
      </c>
      <c r="AJ176" s="22" t="n">
        <f aca="false">100*(AJ42-AJ41)</f>
        <v>4.71026039801172</v>
      </c>
      <c r="AK176" s="22" t="n">
        <f aca="false">100*(AK42-AK41)</f>
        <v>4.714810662291</v>
      </c>
      <c r="AL176" s="22" t="n">
        <f aca="false">AVERAGE(C176:AK176)</f>
        <v>4.75409140841806</v>
      </c>
    </row>
    <row r="177" customFormat="false" ht="15" hidden="false" customHeight="false" outlineLevel="0" collapsed="false">
      <c r="A177" s="20" t="n">
        <f aca="false">A43</f>
        <v>-82</v>
      </c>
      <c r="B177" s="21" t="n">
        <f aca="false">B43</f>
        <v>41374</v>
      </c>
      <c r="C177" s="22" t="n">
        <f aca="false">100*(C43-C42)</f>
        <v>4.9771787015892</v>
      </c>
      <c r="D177" s="22" t="n">
        <f aca="false">100*(D43-D42)</f>
        <v>5.0425035712186</v>
      </c>
      <c r="E177" s="22" t="n">
        <f aca="false">100*(E43-E42)</f>
        <v>5.08412147927571</v>
      </c>
      <c r="F177" s="22" t="n">
        <f aca="false">100*(F43-F42)</f>
        <v>5.10659333516341</v>
      </c>
      <c r="G177" s="22" t="n">
        <f aca="false">100*(G43-G42)</f>
        <v>5.1143653299784</v>
      </c>
      <c r="H177" s="22" t="n">
        <f aca="false">100*(H43-H42)</f>
        <v>5.11132992677659</v>
      </c>
      <c r="I177" s="22" t="n">
        <f aca="false">100*(I43-I42)</f>
        <v>5.10092825277013</v>
      </c>
      <c r="J177" s="22" t="n">
        <f aca="false">100*(J43-J42)</f>
        <v>5.08624821581654</v>
      </c>
      <c r="K177" s="22" t="n">
        <f aca="false">100*(K43-K42)</f>
        <v>5.07009805805723</v>
      </c>
      <c r="L177" s="22" t="n">
        <f aca="false">100*(L43-L42)</f>
        <v>5.05501608481609</v>
      </c>
      <c r="M177" s="22" t="n">
        <f aca="false">100*(M43-M42)</f>
        <v>5.04304008003822</v>
      </c>
      <c r="N177" s="22" t="n">
        <f aca="false">100*(N43-N42)</f>
        <v>5.0356240692746</v>
      </c>
      <c r="O177" s="22" t="n">
        <f aca="false">100*(O43-O42)</f>
        <v>5.0337343805797</v>
      </c>
      <c r="P177" s="22" t="n">
        <f aca="false">100*(P43-P42)</f>
        <v>5.03793373028691</v>
      </c>
      <c r="Q177" s="22" t="n">
        <f aca="false">100*(Q43-Q42)</f>
        <v>5.04844716859489</v>
      </c>
      <c r="R177" s="22" t="n">
        <f aca="false">100*(R43-R42)</f>
        <v>5.06518478018183</v>
      </c>
      <c r="S177" s="22" t="n">
        <f aca="false">100*(S43-S42)</f>
        <v>5.0877416173019</v>
      </c>
      <c r="T177" s="22" t="n">
        <f aca="false">100*(T43-T42)</f>
        <v>5.11549661986663</v>
      </c>
      <c r="U177" s="22" t="n">
        <f aca="false">100*(U43-U42)</f>
        <v>5.1477667569984</v>
      </c>
      <c r="V177" s="22" t="n">
        <f aca="false">100*(V43-V42)</f>
        <v>5.18384308253381</v>
      </c>
      <c r="W177" s="22" t="n">
        <f aca="false">100*(W43-W42)</f>
        <v>5.22299555694992</v>
      </c>
      <c r="X177" s="22" t="n">
        <f aca="false">100*(X43-X42)</f>
        <v>5.26451759860231</v>
      </c>
      <c r="Y177" s="22" t="n">
        <f aca="false">100*(Y43-Y42)</f>
        <v>5.30781314488222</v>
      </c>
      <c r="Z177" s="22" t="n">
        <f aca="false">100*(Z43-Z42)</f>
        <v>5.35240330898139</v>
      </c>
      <c r="AA177" s="22" t="n">
        <f aca="false">100*(AA43-AA42)</f>
        <v>5.39790615847799</v>
      </c>
      <c r="AB177" s="22" t="n">
        <f aca="false">100*(AB43-AB42)</f>
        <v>5.44401285035829</v>
      </c>
      <c r="AC177" s="22" t="n">
        <f aca="false">100*(AC43-AC42)</f>
        <v>5.49047618675549</v>
      </c>
      <c r="AD177" s="22" t="n">
        <f aca="false">100*(AD43-AD42)</f>
        <v>5.53710343349012</v>
      </c>
      <c r="AE177" s="22" t="n">
        <f aca="false">100*(AE43-AE42)</f>
        <v>5.58374713911012</v>
      </c>
      <c r="AF177" s="22" t="n">
        <f aca="false">100*(AF43-AF42)</f>
        <v>5.63027840905632</v>
      </c>
      <c r="AG177" s="22" t="n">
        <f aca="false">100*(AG43-AG42)</f>
        <v>5.6765692833249</v>
      </c>
      <c r="AH177" s="22" t="n">
        <f aca="false">100*(AH43-AH42)</f>
        <v>5.72249152697331</v>
      </c>
      <c r="AI177" s="22" t="n">
        <f aca="false">100*(AI43-AI42)</f>
        <v>5.76791525106004</v>
      </c>
      <c r="AJ177" s="22" t="n">
        <f aca="false">100*(AJ43-AJ42)</f>
        <v>5.81270812760697</v>
      </c>
      <c r="AK177" s="22" t="n">
        <f aca="false">100*(AK43-AK42)</f>
        <v>5.85673558322171</v>
      </c>
      <c r="AL177" s="22" t="n">
        <f aca="false">AVERAGE(C177:AK177)</f>
        <v>5.274710537142</v>
      </c>
    </row>
    <row r="178" customFormat="false" ht="15" hidden="false" customHeight="false" outlineLevel="0" collapsed="false">
      <c r="A178" s="20" t="n">
        <f aca="false">A44</f>
        <v>-81</v>
      </c>
      <c r="B178" s="21" t="n">
        <f aca="false">B44</f>
        <v>41375</v>
      </c>
      <c r="C178" s="22" t="n">
        <f aca="false">100*(C44-C43)</f>
        <v>-1.52486317987621</v>
      </c>
      <c r="D178" s="22" t="n">
        <f aca="false">100*(D44-D43)</f>
        <v>-1.5410517105795</v>
      </c>
      <c r="E178" s="22" t="n">
        <f aca="false">100*(E44-E43)</f>
        <v>-1.5463554157662</v>
      </c>
      <c r="F178" s="22" t="n">
        <f aca="false">100*(F44-F43)</f>
        <v>-1.5371770732826</v>
      </c>
      <c r="G178" s="22" t="n">
        <f aca="false">100*(G44-G43)</f>
        <v>-1.51083150733928</v>
      </c>
      <c r="H178" s="22" t="n">
        <f aca="false">100*(H44-H43)</f>
        <v>-1.46573286205418</v>
      </c>
      <c r="I178" s="22" t="n">
        <f aca="false">100*(I44-I43)</f>
        <v>-1.40116429252082</v>
      </c>
      <c r="J178" s="22" t="n">
        <f aca="false">100*(J44-J43)</f>
        <v>-1.31708904937851</v>
      </c>
      <c r="K178" s="22" t="n">
        <f aca="false">100*(K44-K43)</f>
        <v>-1.21400881592488</v>
      </c>
      <c r="L178" s="22" t="n">
        <f aca="false">100*(L44-L43)</f>
        <v>-1.09287429226068</v>
      </c>
      <c r="M178" s="22" t="n">
        <f aca="false">100*(M44-M43)</f>
        <v>-0.955094130033318</v>
      </c>
      <c r="N178" s="22" t="n">
        <f aca="false">100*(N44-N43)</f>
        <v>-0.802500242775617</v>
      </c>
      <c r="O178" s="22" t="n">
        <f aca="false">100*(O44-O43)</f>
        <v>-0.637273808576699</v>
      </c>
      <c r="P178" s="22" t="n">
        <f aca="false">100*(P44-P43)</f>
        <v>-0.461885052054889</v>
      </c>
      <c r="Q178" s="22" t="n">
        <f aca="false">100*(Q44-Q43)</f>
        <v>-0.279043705410009</v>
      </c>
      <c r="R178" s="22" t="n">
        <f aca="false">100*(R44-R43)</f>
        <v>-0.0916045958595291</v>
      </c>
      <c r="S178" s="22" t="n">
        <f aca="false">100*(S44-S43)</f>
        <v>0.097580991395585</v>
      </c>
      <c r="T178" s="22" t="n">
        <f aca="false">100*(T44-T43)</f>
        <v>0.285773710656301</v>
      </c>
      <c r="U178" s="22" t="n">
        <f aca="false">100*(U44-U43)</f>
        <v>0.470490575318294</v>
      </c>
      <c r="V178" s="22" t="n">
        <f aca="false">100*(V44-V43)</f>
        <v>0.649503053779199</v>
      </c>
      <c r="W178" s="22" t="n">
        <f aca="false">100*(W44-W43)</f>
        <v>0.820804124904306</v>
      </c>
      <c r="X178" s="22" t="n">
        <f aca="false">100*(X44-X43)</f>
        <v>0.982657983158664</v>
      </c>
      <c r="Y178" s="22" t="n">
        <f aca="false">100*(Y44-Y43)</f>
        <v>1.13373057952768</v>
      </c>
      <c r="Z178" s="22" t="n">
        <f aca="false">100*(Z44-Z43)</f>
        <v>1.27307530577023</v>
      </c>
      <c r="AA178" s="22" t="n">
        <f aca="false">100*(AA44-AA43)</f>
        <v>1.40008226529971</v>
      </c>
      <c r="AB178" s="22" t="n">
        <f aca="false">100*(AB44-AB43)</f>
        <v>1.51443198099051</v>
      </c>
      <c r="AC178" s="22" t="n">
        <f aca="false">100*(AC44-AC43)</f>
        <v>1.61605962946751</v>
      </c>
      <c r="AD178" s="22" t="n">
        <f aca="false">100*(AD44-AD43)</f>
        <v>1.70512542425909</v>
      </c>
      <c r="AE178" s="22" t="n">
        <f aca="false">100*(AE44-AE43)</f>
        <v>1.78198729571708</v>
      </c>
      <c r="AF178" s="22" t="n">
        <f aca="false">100*(AF44-AF43)</f>
        <v>1.84716637569879</v>
      </c>
      <c r="AG178" s="22" t="n">
        <f aca="false">100*(AG44-AG43)</f>
        <v>1.90132030459469</v>
      </c>
      <c r="AH178" s="22" t="n">
        <f aca="false">100*(AH44-AH43)</f>
        <v>1.94522098483172</v>
      </c>
      <c r="AI178" s="22" t="n">
        <f aca="false">100*(AI44-AI43)</f>
        <v>1.97969359842678</v>
      </c>
      <c r="AJ178" s="22" t="n">
        <f aca="false">100*(AJ44-AJ43)</f>
        <v>2.00557761355311</v>
      </c>
      <c r="AK178" s="22" t="n">
        <f aca="false">100*(AK44-AK43)</f>
        <v>2.02372356022891</v>
      </c>
      <c r="AL178" s="22" t="n">
        <f aca="false">AVERAGE(C178:AK178)</f>
        <v>0.23015587496815</v>
      </c>
    </row>
    <row r="179" customFormat="false" ht="15" hidden="false" customHeight="false" outlineLevel="0" collapsed="false">
      <c r="A179" s="20" t="n">
        <f aca="false">A45</f>
        <v>-80</v>
      </c>
      <c r="B179" s="21" t="n">
        <f aca="false">B45</f>
        <v>41376</v>
      </c>
      <c r="C179" s="22" t="n">
        <f aca="false">100*(C45-C44)</f>
        <v>-3.80252079518568</v>
      </c>
      <c r="D179" s="22" t="n">
        <f aca="false">100*(D45-D44)</f>
        <v>-3.853629178844</v>
      </c>
      <c r="E179" s="22" t="n">
        <f aca="false">100*(E45-E44)</f>
        <v>-3.8825430541287</v>
      </c>
      <c r="F179" s="22" t="n">
        <f aca="false">100*(F45-F44)</f>
        <v>-3.89049717422501</v>
      </c>
      <c r="G179" s="22" t="n">
        <f aca="false">100*(G45-G44)</f>
        <v>-3.8789592342672</v>
      </c>
      <c r="H179" s="22" t="n">
        <f aca="false">100*(H45-H44)</f>
        <v>-3.84953127910082</v>
      </c>
      <c r="I179" s="22" t="n">
        <f aca="false">100*(I45-I44)</f>
        <v>-3.8039131754342</v>
      </c>
      <c r="J179" s="22" t="n">
        <f aca="false">100*(J45-J44)</f>
        <v>-3.74388134621673</v>
      </c>
      <c r="K179" s="22" t="n">
        <f aca="false">100*(K45-K44)</f>
        <v>-3.67127286482054</v>
      </c>
      <c r="L179" s="22" t="n">
        <f aca="false">100*(L45-L44)</f>
        <v>-3.5879662493929</v>
      </c>
      <c r="M179" s="22" t="n">
        <f aca="false">100*(M45-M44)</f>
        <v>-3.49576227762061</v>
      </c>
      <c r="N179" s="22" t="n">
        <f aca="false">100*(N45-N44)</f>
        <v>-3.39629220121211</v>
      </c>
      <c r="O179" s="22" t="n">
        <f aca="false">100*(O45-O44)</f>
        <v>-3.29104019190467</v>
      </c>
      <c r="P179" s="22" t="n">
        <f aca="false">100*(P45-P44)</f>
        <v>-3.18136870007963</v>
      </c>
      <c r="Q179" s="22" t="n">
        <f aca="false">100*(Q45-Q44)</f>
        <v>-3.06853922333921</v>
      </c>
      <c r="R179" s="22" t="n">
        <f aca="false">100*(R45-R44)</f>
        <v>-2.95371156709376</v>
      </c>
      <c r="S179" s="22" t="n">
        <f aca="false">100*(S45-S44)</f>
        <v>-2.83789234654579</v>
      </c>
      <c r="T179" s="22" t="n">
        <f aca="false">100*(T45-T44)</f>
        <v>-2.7219323122849</v>
      </c>
      <c r="U179" s="22" t="n">
        <f aca="false">100*(U45-U44)</f>
        <v>-2.60654429616789</v>
      </c>
      <c r="V179" s="22" t="n">
        <f aca="false">100*(V45-V44)</f>
        <v>-2.49232264925419</v>
      </c>
      <c r="W179" s="22" t="n">
        <f aca="false">100*(W45-W44)</f>
        <v>-2.37975955319651</v>
      </c>
      <c r="X179" s="22" t="n">
        <f aca="false">100*(X45-X44)</f>
        <v>-2.26925391738937</v>
      </c>
      <c r="Y179" s="22" t="n">
        <f aca="false">100*(Y45-Y44)</f>
        <v>-2.16111391860312</v>
      </c>
      <c r="Z179" s="22" t="n">
        <f aca="false">100*(Z45-Z44)</f>
        <v>-2.05556683923773</v>
      </c>
      <c r="AA179" s="22" t="n">
        <f aca="false">100*(AA45-AA44)</f>
        <v>-1.95277790796751</v>
      </c>
      <c r="AB179" s="22" t="n">
        <f aca="false">100*(AB45-AB44)</f>
        <v>-1.8528754523365</v>
      </c>
      <c r="AC179" s="22" t="n">
        <f aca="false">100*(AC45-AC44)</f>
        <v>-1.755959077764</v>
      </c>
      <c r="AD179" s="22" t="n">
        <f aca="false">100*(AD45-AD44)</f>
        <v>-1.66210302166658</v>
      </c>
      <c r="AE179" s="22" t="n">
        <f aca="false">100*(AE45-AE44)</f>
        <v>-1.5713599875105</v>
      </c>
      <c r="AF179" s="22" t="n">
        <f aca="false">100*(AF45-AF44)</f>
        <v>-1.48377091905161</v>
      </c>
      <c r="AG179" s="22" t="n">
        <f aca="false">100*(AG45-AG44)</f>
        <v>-1.39937182162999</v>
      </c>
      <c r="AH179" s="22" t="n">
        <f aca="false">100*(AH45-AH44)</f>
        <v>-1.31819436873251</v>
      </c>
      <c r="AI179" s="22" t="n">
        <f aca="false">100*(AI45-AI44)</f>
        <v>-1.24026241788342</v>
      </c>
      <c r="AJ179" s="22" t="n">
        <f aca="false">100*(AJ45-AJ44)</f>
        <v>-1.16558892974652</v>
      </c>
      <c r="AK179" s="22" t="n">
        <f aca="false">100*(AK45-AK44)</f>
        <v>-1.0941767568958</v>
      </c>
      <c r="AL179" s="22" t="n">
        <f aca="false">AVERAGE(C179:AK179)</f>
        <v>-2.66777871447801</v>
      </c>
    </row>
    <row r="180" customFormat="false" ht="15" hidden="false" customHeight="false" outlineLevel="0" collapsed="false">
      <c r="A180" s="20" t="n">
        <f aca="false">A46</f>
        <v>-79</v>
      </c>
      <c r="B180" s="21" t="n">
        <f aca="false">B46</f>
        <v>41379</v>
      </c>
      <c r="C180" s="22" t="n">
        <f aca="false">100*(C46-C45)</f>
        <v>-1.96279622062912</v>
      </c>
      <c r="D180" s="22" t="n">
        <f aca="false">100*(D46-D45)</f>
        <v>-2.0079444488438</v>
      </c>
      <c r="E180" s="22" t="n">
        <f aca="false">100*(E46-E45)</f>
        <v>-2.04242778567931</v>
      </c>
      <c r="F180" s="22" t="n">
        <f aca="false">100*(F46-F45)</f>
        <v>-2.068501604142</v>
      </c>
      <c r="G180" s="22" t="n">
        <f aca="false">100*(G46-G45)</f>
        <v>-2.08826213125721</v>
      </c>
      <c r="H180" s="22" t="n">
        <f aca="false">100*(H46-H45)</f>
        <v>-2.10352791488389</v>
      </c>
      <c r="I180" s="22" t="n">
        <f aca="false">100*(I46-I45)</f>
        <v>-2.11589431340169</v>
      </c>
      <c r="J180" s="22" t="n">
        <f aca="false">100*(J46-J45)</f>
        <v>-2.12678201516199</v>
      </c>
      <c r="K180" s="22" t="n">
        <f aca="false">100*(K46-K45)</f>
        <v>-2.13747342742687</v>
      </c>
      <c r="L180" s="22" t="n">
        <f aca="false">100*(L46-L45)</f>
        <v>-2.14911835272531</v>
      </c>
      <c r="M180" s="22" t="n">
        <f aca="false">100*(M46-M45)</f>
        <v>-2.16260545424327</v>
      </c>
      <c r="N180" s="22" t="n">
        <f aca="false">100*(N46-N45)</f>
        <v>-2.17850424891717</v>
      </c>
      <c r="O180" s="22" t="n">
        <f aca="false">100*(O46-O45)</f>
        <v>-2.19711635141513</v>
      </c>
      <c r="P180" s="22" t="n">
        <f aca="false">100*(P46-P45)</f>
        <v>-2.2185216641827</v>
      </c>
      <c r="Q180" s="22" t="n">
        <f aca="false">100*(Q46-Q45)</f>
        <v>-2.24261459965289</v>
      </c>
      <c r="R180" s="22" t="n">
        <f aca="false">100*(R46-R45)</f>
        <v>-2.26910244285623</v>
      </c>
      <c r="S180" s="22" t="n">
        <f aca="false">100*(S46-S45)</f>
        <v>-2.29746617762081</v>
      </c>
      <c r="T180" s="22" t="n">
        <f aca="false">100*(T46-T45)</f>
        <v>-2.32703696584884</v>
      </c>
      <c r="U180" s="22" t="n">
        <f aca="false">100*(U46-U45)</f>
        <v>-2.35713145980139</v>
      </c>
      <c r="V180" s="22" t="n">
        <f aca="false">100*(V46-V45)</f>
        <v>-2.3870771632883</v>
      </c>
      <c r="W180" s="22" t="n">
        <f aca="false">100*(W46-W45)</f>
        <v>-2.41621242675891</v>
      </c>
      <c r="X180" s="22" t="n">
        <f aca="false">100*(X46-X45)</f>
        <v>-2.44392999107133</v>
      </c>
      <c r="Y180" s="22" t="n">
        <f aca="false">100*(Y46-Y45)</f>
        <v>-2.46975836048797</v>
      </c>
      <c r="Z180" s="22" t="n">
        <f aca="false">100*(Z46-Z45)</f>
        <v>-2.4933628785901</v>
      </c>
      <c r="AA180" s="22" t="n">
        <f aca="false">100*(AA46-AA45)</f>
        <v>-2.51452574565541</v>
      </c>
      <c r="AB180" s="22" t="n">
        <f aca="false">100*(AB46-AB45)</f>
        <v>-2.53312603739979</v>
      </c>
      <c r="AC180" s="22" t="n">
        <f aca="false">100*(AC46-AC45)</f>
        <v>-2.54912698326959</v>
      </c>
      <c r="AD180" s="22" t="n">
        <f aca="false">100*(AD46-AD45)</f>
        <v>-2.56256617605541</v>
      </c>
      <c r="AE180" s="22" t="n">
        <f aca="false">100*(AE46-AE45)</f>
        <v>-2.57354547893209</v>
      </c>
      <c r="AF180" s="22" t="n">
        <f aca="false">100*(AF46-AF45)</f>
        <v>-2.58221354613712</v>
      </c>
      <c r="AG180" s="22" t="n">
        <f aca="false">100*(AG46-AG45)</f>
        <v>-2.58875411177839</v>
      </c>
      <c r="AH180" s="22" t="n">
        <f aca="false">100*(AH46-AH45)</f>
        <v>-2.59337872832441</v>
      </c>
      <c r="AI180" s="22" t="n">
        <f aca="false">100*(AI46-AI45)</f>
        <v>-2.59630254059586</v>
      </c>
      <c r="AJ180" s="22" t="n">
        <f aca="false">100*(AJ46-AJ45)</f>
        <v>-2.59772961929978</v>
      </c>
      <c r="AK180" s="22" t="n">
        <f aca="false">100*(AK46-AK45)</f>
        <v>-2.5978533262343</v>
      </c>
      <c r="AL180" s="22" t="n">
        <f aca="false">AVERAGE(C180:AK180)</f>
        <v>-2.3300654483591</v>
      </c>
    </row>
    <row r="181" customFormat="false" ht="15" hidden="false" customHeight="false" outlineLevel="0" collapsed="false">
      <c r="A181" s="20" t="n">
        <f aca="false">A47</f>
        <v>-78</v>
      </c>
      <c r="B181" s="21" t="n">
        <f aca="false">B47</f>
        <v>41380</v>
      </c>
      <c r="C181" s="22" t="n">
        <f aca="false">100*(C47-C46)</f>
        <v>2.67132840354392</v>
      </c>
      <c r="D181" s="22" t="n">
        <f aca="false">100*(D47-D46)</f>
        <v>2.65956445879492</v>
      </c>
      <c r="E181" s="22" t="n">
        <f aca="false">100*(E47-E46)</f>
        <v>2.63934558441861</v>
      </c>
      <c r="F181" s="22" t="n">
        <f aca="false">100*(F47-F46)</f>
        <v>2.6120446030713</v>
      </c>
      <c r="G181" s="22" t="n">
        <f aca="false">100*(G47-G46)</f>
        <v>2.57889566769089</v>
      </c>
      <c r="H181" s="22" t="n">
        <f aca="false">100*(H47-H46)</f>
        <v>2.54100821884899</v>
      </c>
      <c r="I181" s="22" t="n">
        <f aca="false">100*(I47-I46)</f>
        <v>2.49939556789949</v>
      </c>
      <c r="J181" s="22" t="n">
        <f aca="false">100*(J47-J46)</f>
        <v>2.4549957946336</v>
      </c>
      <c r="K181" s="22" t="n">
        <f aca="false">100*(K47-K46)</f>
        <v>2.4086873960079</v>
      </c>
      <c r="L181" s="22" t="n">
        <f aca="false">100*(L47-L46)</f>
        <v>2.3612933545186</v>
      </c>
      <c r="M181" s="22" t="n">
        <f aca="false">100*(M47-M46)</f>
        <v>2.31356404805787</v>
      </c>
      <c r="N181" s="22" t="n">
        <f aca="false">100*(N47-N46)</f>
        <v>2.26618352985999</v>
      </c>
      <c r="O181" s="22" t="n">
        <f aca="false">100*(O47-O46)</f>
        <v>2.21978176471422</v>
      </c>
      <c r="P181" s="22" t="n">
        <f aca="false">100*(P47-P46)</f>
        <v>2.17494395455784</v>
      </c>
      <c r="Q181" s="22" t="n">
        <f aca="false">100*(Q47-Q46)</f>
        <v>2.13221706985531</v>
      </c>
      <c r="R181" s="22" t="n">
        <f aca="false">100*(R47-R46)</f>
        <v>2.09209879935903</v>
      </c>
      <c r="S181" s="22" t="n">
        <f aca="false">100*(S47-S46)</f>
        <v>2.0550227643791</v>
      </c>
      <c r="T181" s="22" t="n">
        <f aca="false">100*(T47-T46)</f>
        <v>2.02135295741441</v>
      </c>
      <c r="U181" s="22" t="n">
        <f aca="false">100*(U47-U46)</f>
        <v>1.99136938685998</v>
      </c>
      <c r="V181" s="22" t="n">
        <f aca="false">100*(V47-V46)</f>
        <v>1.96527520671617</v>
      </c>
      <c r="W181" s="22" t="n">
        <f aca="false">100*(W47-W46)</f>
        <v>1.9432068246235</v>
      </c>
      <c r="X181" s="22" t="n">
        <f aca="false">100*(X47-X46)</f>
        <v>1.92522678138731</v>
      </c>
      <c r="Y181" s="22" t="n">
        <f aca="false">100*(Y47-Y46)</f>
        <v>1.91130309368299</v>
      </c>
      <c r="Z181" s="22" t="n">
        <f aca="false">100*(Z47-Z46)</f>
        <v>1.901315452902</v>
      </c>
      <c r="AA181" s="22" t="n">
        <f aca="false">100*(AA47-AA46)</f>
        <v>1.8950703030868</v>
      </c>
      <c r="AB181" s="22" t="n">
        <f aca="false">100*(AB47-AB46)</f>
        <v>1.89231748937471</v>
      </c>
      <c r="AC181" s="22" t="n">
        <f aca="false">100*(AC47-AC46)</f>
        <v>1.89275855546041</v>
      </c>
      <c r="AD181" s="22" t="n">
        <f aca="false">100*(AD47-AD46)</f>
        <v>1.89605236634849</v>
      </c>
      <c r="AE181" s="22" t="n">
        <f aca="false">100*(AE47-AE46)</f>
        <v>1.90182207823049</v>
      </c>
      <c r="AF181" s="22" t="n">
        <f aca="false">100*(AF47-AF46)</f>
        <v>1.9096721845818</v>
      </c>
      <c r="AG181" s="22" t="n">
        <f aca="false">100*(AG47-AG46)</f>
        <v>1.91919878548639</v>
      </c>
      <c r="AH181" s="22" t="n">
        <f aca="false">100*(AH47-AH46)</f>
        <v>1.9299943290406</v>
      </c>
      <c r="AI181" s="22" t="n">
        <f aca="false">100*(AI47-AI46)</f>
        <v>1.9416703071899</v>
      </c>
      <c r="AJ181" s="22" t="n">
        <f aca="false">100*(AJ47-AJ46)</f>
        <v>1.95386991281779</v>
      </c>
      <c r="AK181" s="22" t="n">
        <f aca="false">100*(AK47-AK46)</f>
        <v>1.96626559981179</v>
      </c>
      <c r="AL181" s="22" t="n">
        <f aca="false">AVERAGE(C181:AK181)</f>
        <v>2.15537464557792</v>
      </c>
    </row>
    <row r="182" customFormat="false" ht="15" hidden="false" customHeight="false" outlineLevel="0" collapsed="false">
      <c r="A182" s="20" t="n">
        <f aca="false">A48</f>
        <v>-77</v>
      </c>
      <c r="B182" s="21" t="n">
        <f aca="false">B48</f>
        <v>41381</v>
      </c>
      <c r="C182" s="22" t="n">
        <f aca="false">100*(C48-C47)</f>
        <v>-4.9047753694434</v>
      </c>
      <c r="D182" s="22" t="n">
        <f aca="false">100*(D48-D47)</f>
        <v>-4.99742883605181</v>
      </c>
      <c r="E182" s="22" t="n">
        <f aca="false">100*(E48-E47)</f>
        <v>-5.064725986762</v>
      </c>
      <c r="F182" s="22" t="n">
        <f aca="false">100*(F48-F47)</f>
        <v>-5.10918165698848</v>
      </c>
      <c r="G182" s="22" t="n">
        <f aca="false">100*(G48-G47)</f>
        <v>-5.13325134652178</v>
      </c>
      <c r="H182" s="22" t="n">
        <f aca="false">100*(H48-H47)</f>
        <v>-5.1391698153151</v>
      </c>
      <c r="I182" s="22" t="n">
        <f aca="false">100*(I48-I47)</f>
        <v>-5.12899227577899</v>
      </c>
      <c r="J182" s="22" t="n">
        <f aca="false">100*(J48-J47)</f>
        <v>-5.1046334248559</v>
      </c>
      <c r="K182" s="22" t="n">
        <f aca="false">100*(K48-K47)</f>
        <v>-5.0678967284671</v>
      </c>
      <c r="L182" s="22" t="n">
        <f aca="false">100*(L48-L47)</f>
        <v>-5.02048817063918</v>
      </c>
      <c r="M182" s="22" t="n">
        <f aca="false">100*(M48-M47)</f>
        <v>-4.96396579037079</v>
      </c>
      <c r="N182" s="22" t="n">
        <f aca="false">100*(N48-N47)</f>
        <v>-4.89971538051042</v>
      </c>
      <c r="O182" s="22" t="n">
        <f aca="false">100*(O48-O47)</f>
        <v>-4.82897822670552</v>
      </c>
      <c r="P182" s="22" t="n">
        <f aca="false">100*(P48-P47)</f>
        <v>-4.75287602243752</v>
      </c>
      <c r="Q182" s="22" t="n">
        <f aca="false">100*(Q48-Q47)</f>
        <v>-4.67243219956779</v>
      </c>
      <c r="R182" s="22" t="n">
        <f aca="false">100*(R48-R47)</f>
        <v>-4.5886173133785</v>
      </c>
      <c r="S182" s="22" t="n">
        <f aca="false">100*(S48-S47)</f>
        <v>-4.50240048966046</v>
      </c>
      <c r="T182" s="22" t="n">
        <f aca="false">100*(T48-T47)</f>
        <v>-4.41473070743208</v>
      </c>
      <c r="U182" s="22" t="n">
        <f aca="false">100*(U48-U47)</f>
        <v>-4.32649215942291</v>
      </c>
      <c r="V182" s="22" t="n">
        <f aca="false">100*(V48-V47)</f>
        <v>-4.2385039629151</v>
      </c>
      <c r="W182" s="22" t="n">
        <f aca="false">100*(W48-W47)</f>
        <v>-4.15152866088269</v>
      </c>
      <c r="X182" s="22" t="n">
        <f aca="false">100*(X48-X47)</f>
        <v>-4.06626332866762</v>
      </c>
      <c r="Y182" s="22" t="n">
        <f aca="false">100*(Y48-Y47)</f>
        <v>-3.98331517685642</v>
      </c>
      <c r="Z182" s="22" t="n">
        <f aca="false">100*(Z48-Z47)</f>
        <v>-3.90320600635636</v>
      </c>
      <c r="AA182" s="22" t="n">
        <f aca="false">100*(AA48-AA47)</f>
        <v>-3.82638201822618</v>
      </c>
      <c r="AB182" s="22" t="n">
        <f aca="false">100*(AB48-AB47)</f>
        <v>-3.75322156445952</v>
      </c>
      <c r="AC182" s="22" t="n">
        <f aca="false">100*(AC48-AC47)</f>
        <v>-3.68404295826421</v>
      </c>
      <c r="AD182" s="22" t="n">
        <f aca="false">100*(AD48-AD47)</f>
        <v>-3.61911145341818</v>
      </c>
      <c r="AE182" s="22" t="n">
        <f aca="false">100*(AE48-AE47)</f>
        <v>-3.55864386516669</v>
      </c>
      <c r="AF182" s="22" t="n">
        <f aca="false">100*(AF48-AF47)</f>
        <v>-3.50280572133759</v>
      </c>
      <c r="AG182" s="22" t="n">
        <f aca="false">100*(AG48-AG47)</f>
        <v>-3.45171189893669</v>
      </c>
      <c r="AH182" s="22" t="n">
        <f aca="false">100*(AH48-AH47)</f>
        <v>-3.40543123399759</v>
      </c>
      <c r="AI182" s="22" t="n">
        <f aca="false">100*(AI48-AI47)</f>
        <v>-3.36398771202662</v>
      </c>
      <c r="AJ182" s="22" t="n">
        <f aca="false">100*(AJ48-AJ47)</f>
        <v>-3.32736270630978</v>
      </c>
      <c r="AK182" s="22" t="n">
        <f aca="false">100*(AK48-AK47)</f>
        <v>-3.29549912380398</v>
      </c>
      <c r="AL182" s="22" t="n">
        <f aca="false">AVERAGE(C182:AK182)</f>
        <v>-4.33576483691243</v>
      </c>
    </row>
    <row r="183" customFormat="false" ht="15" hidden="false" customHeight="false" outlineLevel="0" collapsed="false">
      <c r="A183" s="20" t="n">
        <f aca="false">A49</f>
        <v>-76</v>
      </c>
      <c r="B183" s="21" t="n">
        <f aca="false">B49</f>
        <v>41382</v>
      </c>
      <c r="C183" s="22" t="n">
        <f aca="false">100*(C49-C48)</f>
        <v>-2.50914648721761</v>
      </c>
      <c r="D183" s="22" t="n">
        <f aca="false">100*(D49-D48)</f>
        <v>-2.628914184721</v>
      </c>
      <c r="E183" s="22" t="n">
        <f aca="false">100*(E49-E48)</f>
        <v>-2.7250758544118</v>
      </c>
      <c r="F183" s="22" t="n">
        <f aca="false">100*(F49-F48)</f>
        <v>-2.79968239406361</v>
      </c>
      <c r="G183" s="22" t="n">
        <f aca="false">100*(G49-G48)</f>
        <v>-2.85531044953691</v>
      </c>
      <c r="H183" s="22" t="n">
        <f aca="false">100*(H49-H48)</f>
        <v>-2.89453276369811</v>
      </c>
      <c r="I183" s="22" t="n">
        <f aca="false">100*(I49-I48)</f>
        <v>-2.91989984728349</v>
      </c>
      <c r="J183" s="22" t="n">
        <f aca="false">100*(J49-J48)</f>
        <v>-2.9339448119714</v>
      </c>
      <c r="K183" s="22" t="n">
        <f aca="false">100*(K49-K48)</f>
        <v>-2.93918696261031</v>
      </c>
      <c r="L183" s="22" t="n">
        <f aca="false">100*(L49-L48)</f>
        <v>-2.93808716108792</v>
      </c>
      <c r="M183" s="22" t="n">
        <f aca="false">100*(M49-M48)</f>
        <v>-2.93276644972198</v>
      </c>
      <c r="N183" s="22" t="n">
        <f aca="false">100*(N49-N48)</f>
        <v>-2.92488506896027</v>
      </c>
      <c r="O183" s="22" t="n">
        <f aca="false">100*(O49-O48)</f>
        <v>-2.91571604099481</v>
      </c>
      <c r="P183" s="22" t="n">
        <f aca="false">100*(P49-P48)</f>
        <v>-2.90621193152978</v>
      </c>
      <c r="Q183" s="22" t="n">
        <f aca="false">100*(Q49-Q48)</f>
        <v>-2.8970564244259</v>
      </c>
      <c r="R183" s="22" t="n">
        <f aca="false">100*(R49-R48)</f>
        <v>-2.88864702257481</v>
      </c>
      <c r="S183" s="22" t="n">
        <f aca="false">100*(S49-S48)</f>
        <v>-2.88102091959921</v>
      </c>
      <c r="T183" s="22" t="n">
        <f aca="false">100*(T49-T48)</f>
        <v>-2.87394571090491</v>
      </c>
      <c r="U183" s="22" t="n">
        <f aca="false">100*(U49-U48)</f>
        <v>-2.86707274129308</v>
      </c>
      <c r="V183" s="22" t="n">
        <f aca="false">100*(V49-V48)</f>
        <v>-2.85997590208629</v>
      </c>
      <c r="W183" s="22" t="n">
        <f aca="false">100*(W49-W48)</f>
        <v>-2.85216419233341</v>
      </c>
      <c r="X183" s="22" t="n">
        <f aca="false">100*(X49-X48)</f>
        <v>-2.84314107108328</v>
      </c>
      <c r="Y183" s="22" t="n">
        <f aca="false">100*(Y49-Y48)</f>
        <v>-2.8325000766642</v>
      </c>
      <c r="Z183" s="22" t="n">
        <f aca="false">100*(Z49-Z48)</f>
        <v>-2.81993254406823</v>
      </c>
      <c r="AA183" s="22" t="n">
        <f aca="false">100*(AA49-AA48)</f>
        <v>-2.80522683648399</v>
      </c>
      <c r="AB183" s="22" t="n">
        <f aca="false">100*(AB49-AB48)</f>
        <v>-2.78827789734097</v>
      </c>
      <c r="AC183" s="22" t="n">
        <f aca="false">100*(AC49-AC48)</f>
        <v>-2.76907881298469</v>
      </c>
      <c r="AD183" s="22" t="n">
        <f aca="false">100*(AD49-AD48)</f>
        <v>-2.74770941142153</v>
      </c>
      <c r="AE183" s="22" t="n">
        <f aca="false">100*(AE49-AE48)</f>
        <v>-2.7243257584614</v>
      </c>
      <c r="AF183" s="22" t="n">
        <f aca="false">100*(AF49-AF48)</f>
        <v>-2.69914841293879</v>
      </c>
      <c r="AG183" s="22" t="n">
        <f aca="false">100*(AG49-AG48)</f>
        <v>-2.67245373094349</v>
      </c>
      <c r="AH183" s="22" t="n">
        <f aca="false">100*(AH49-AH48)</f>
        <v>-2.64456336198919</v>
      </c>
      <c r="AI183" s="22" t="n">
        <f aca="false">100*(AI49-AI48)</f>
        <v>-2.61581170856182</v>
      </c>
      <c r="AJ183" s="22" t="n">
        <f aca="false">100*(AJ49-AJ48)</f>
        <v>-2.58652710116083</v>
      </c>
      <c r="AK183" s="22" t="n">
        <f aca="false">100*(AK49-AK48)</f>
        <v>-2.55703157980802</v>
      </c>
      <c r="AL183" s="22" t="n">
        <f aca="false">AVERAGE(C183:AK183)</f>
        <v>-2.80139918928392</v>
      </c>
    </row>
    <row r="184" customFormat="false" ht="15" hidden="false" customHeight="false" outlineLevel="0" collapsed="false">
      <c r="A184" s="20" t="n">
        <f aca="false">A50</f>
        <v>-75</v>
      </c>
      <c r="B184" s="21" t="n">
        <f aca="false">B50</f>
        <v>41383</v>
      </c>
      <c r="C184" s="22" t="n">
        <f aca="false">100*(C50-C49)</f>
        <v>0.586304970093998</v>
      </c>
      <c r="D184" s="22" t="n">
        <f aca="false">100*(D50-D49)</f>
        <v>0.480153825405294</v>
      </c>
      <c r="E184" s="22" t="n">
        <f aca="false">100*(E50-E49)</f>
        <v>0.395292441389783</v>
      </c>
      <c r="F184" s="22" t="n">
        <f aca="false">100*(F50-F49)</f>
        <v>0.330143281933992</v>
      </c>
      <c r="G184" s="22" t="n">
        <f aca="false">100*(G50-G49)</f>
        <v>0.282678172012907</v>
      </c>
      <c r="H184" s="22" t="n">
        <f aca="false">100*(H50-H49)</f>
        <v>0.250878711655611</v>
      </c>
      <c r="I184" s="22" t="n">
        <f aca="false">100*(I50-I49)</f>
        <v>0.232751703943301</v>
      </c>
      <c r="J184" s="22" t="n">
        <f aca="false">100*(J50-J49)</f>
        <v>0.226323676085505</v>
      </c>
      <c r="K184" s="22" t="n">
        <f aca="false">100*(K50-K49)</f>
        <v>0.229636748782491</v>
      </c>
      <c r="L184" s="22" t="n">
        <f aca="false">100*(L50-L49)</f>
        <v>0.240766370636614</v>
      </c>
      <c r="M184" s="22" t="n">
        <f aca="false">100*(M50-M49)</f>
        <v>0.257972153475095</v>
      </c>
      <c r="N184" s="22" t="n">
        <f aca="false">100*(N50-N49)</f>
        <v>0.279775321671583</v>
      </c>
      <c r="O184" s="22" t="n">
        <f aca="false">100*(O50-O49)</f>
        <v>0.304918073504323</v>
      </c>
      <c r="P184" s="22" t="n">
        <f aca="false">100*(P50-P49)</f>
        <v>0.332325482206697</v>
      </c>
      <c r="Q184" s="22" t="n">
        <f aca="false">100*(Q50-Q49)</f>
        <v>0.361074991489163</v>
      </c>
      <c r="R184" s="22" t="n">
        <f aca="false">100*(R50-R49)</f>
        <v>0.390397186175084</v>
      </c>
      <c r="S184" s="22" t="n">
        <f aca="false">100*(S50-S49)</f>
        <v>0.419722834615799</v>
      </c>
      <c r="T184" s="22" t="n">
        <f aca="false">100*(T50-T49)</f>
        <v>0.448646297752386</v>
      </c>
      <c r="U184" s="22" t="n">
        <f aca="false">100*(U50-U49)</f>
        <v>0.476860128957402</v>
      </c>
      <c r="V184" s="22" t="n">
        <f aca="false">100*(V50-V49)</f>
        <v>0.504134204188889</v>
      </c>
      <c r="W184" s="22" t="n">
        <f aca="false">100*(W50-W49)</f>
        <v>0.530304409657312</v>
      </c>
      <c r="X184" s="22" t="n">
        <f aca="false">100*(X50-X49)</f>
        <v>0.555253619804175</v>
      </c>
      <c r="Y184" s="22" t="n">
        <f aca="false">100*(Y50-Y49)</f>
        <v>0.578893137083325</v>
      </c>
      <c r="Z184" s="22" t="n">
        <f aca="false">100*(Z50-Z49)</f>
        <v>0.601158324414808</v>
      </c>
      <c r="AA184" s="22" t="n">
        <f aca="false">100*(AA50-AA49)</f>
        <v>0.622013449346071</v>
      </c>
      <c r="AB184" s="22" t="n">
        <f aca="false">100*(AB50-AB49)</f>
        <v>0.641462608199284</v>
      </c>
      <c r="AC184" s="22" t="n">
        <f aca="false">100*(AC50-AC49)</f>
        <v>0.659547801930271</v>
      </c>
      <c r="AD184" s="22" t="n">
        <f aca="false">100*(AD50-AD49)</f>
        <v>0.67634453926213</v>
      </c>
      <c r="AE184" s="22" t="n">
        <f aca="false">100*(AE50-AE49)</f>
        <v>0.691959328564407</v>
      </c>
      <c r="AF184" s="22" t="n">
        <f aca="false">100*(AF50-AF49)</f>
        <v>0.706531653913212</v>
      </c>
      <c r="AG184" s="22" t="n">
        <f aca="false">100*(AG50-AG49)</f>
        <v>0.720232484442596</v>
      </c>
      <c r="AH184" s="22" t="n">
        <f aca="false">100*(AH50-AH49)</f>
        <v>0.733258253019997</v>
      </c>
      <c r="AI184" s="22" t="n">
        <f aca="false">100*(AI50-AI49)</f>
        <v>0.745811342427638</v>
      </c>
      <c r="AJ184" s="22" t="n">
        <f aca="false">100*(AJ50-AJ49)</f>
        <v>0.75808866394822</v>
      </c>
      <c r="AK184" s="22" t="n">
        <f aca="false">100*(AK50-AK49)</f>
        <v>0.770281681070983</v>
      </c>
      <c r="AL184" s="22" t="n">
        <f aca="false">AVERAGE(C184:AK184)</f>
        <v>0.486339939230296</v>
      </c>
    </row>
    <row r="185" customFormat="false" ht="15" hidden="false" customHeight="false" outlineLevel="0" collapsed="false">
      <c r="A185" s="20" t="n">
        <f aca="false">A51</f>
        <v>-74</v>
      </c>
      <c r="B185" s="21" t="n">
        <f aca="false">B51</f>
        <v>41386</v>
      </c>
      <c r="C185" s="22" t="n">
        <f aca="false">100*(C51-C50)</f>
        <v>-0.877675530618993</v>
      </c>
      <c r="D185" s="22" t="n">
        <f aca="false">100*(D51-D50)</f>
        <v>-0.91758623865259</v>
      </c>
      <c r="E185" s="22" t="n">
        <f aca="false">100*(E51-E50)</f>
        <v>-0.951973879880286</v>
      </c>
      <c r="F185" s="22" t="n">
        <f aca="false">100*(F51-F50)</f>
        <v>-0.981146275506695</v>
      </c>
      <c r="G185" s="22" t="n">
        <f aca="false">100*(G51-G50)</f>
        <v>-1.0055761227139</v>
      </c>
      <c r="H185" s="22" t="n">
        <f aca="false">100*(H51-H50)</f>
        <v>-1.0257129791682</v>
      </c>
      <c r="I185" s="22" t="n">
        <f aca="false">100*(I51-I50)</f>
        <v>-1.04198183137312</v>
      </c>
      <c r="J185" s="22" t="n">
        <f aca="false">100*(J51-J50)</f>
        <v>-1.05478843622699</v>
      </c>
      <c r="K185" s="22" t="n">
        <f aca="false">100*(K51-K50)</f>
        <v>-1.0645233323979</v>
      </c>
      <c r="L185" s="22" t="n">
        <f aca="false">100*(L51-L50)</f>
        <v>-1.07155747659671</v>
      </c>
      <c r="M185" s="22" t="n">
        <f aca="false">100*(M51-M50)</f>
        <v>-1.0761937251679</v>
      </c>
      <c r="N185" s="22" t="n">
        <f aca="false">100*(N51-N50)</f>
        <v>-1.07864393779962</v>
      </c>
      <c r="O185" s="22" t="n">
        <f aca="false">100*(O51-O50)</f>
        <v>-1.0790434015286</v>
      </c>
      <c r="P185" s="22" t="n">
        <f aca="false">100*(P51-P50)</f>
        <v>-1.07746403292093</v>
      </c>
      <c r="Q185" s="22" t="n">
        <f aca="false">100*(Q51-Q50)</f>
        <v>-1.07392557385109</v>
      </c>
      <c r="R185" s="22" t="n">
        <f aca="false">100*(R51-R50)</f>
        <v>-1.06841183357571</v>
      </c>
      <c r="S185" s="22" t="n">
        <f aca="false">100*(S51-S50)</f>
        <v>-1.06088216536011</v>
      </c>
      <c r="T185" s="22" t="n">
        <f aca="false">100*(T51-T50)</f>
        <v>-1.05129235354107</v>
      </c>
      <c r="U185" s="22" t="n">
        <f aca="false">100*(U51-U50)</f>
        <v>-1.03962494579619</v>
      </c>
      <c r="V185" s="22" t="n">
        <f aca="false">100*(V51-V50)</f>
        <v>-1.02589052895867</v>
      </c>
      <c r="W185" s="22" t="n">
        <f aca="false">100*(W51-W50)</f>
        <v>-1.01012444569912</v>
      </c>
      <c r="X185" s="22" t="n">
        <f aca="false">100*(X51-X50)</f>
        <v>-0.992397717016402</v>
      </c>
      <c r="Y185" s="22" t="n">
        <f aca="false">100*(Y51-Y50)</f>
        <v>-0.97283589882009</v>
      </c>
      <c r="Z185" s="22" t="n">
        <f aca="false">100*(Z51-Z50)</f>
        <v>-0.951615686671081</v>
      </c>
      <c r="AA185" s="22" t="n">
        <f aca="false">100*(AA51-AA50)</f>
        <v>-0.928948047168099</v>
      </c>
      <c r="AB185" s="22" t="n">
        <f aca="false">100*(AB51-AB50)</f>
        <v>-0.905055481426587</v>
      </c>
      <c r="AC185" s="22" t="n">
        <f aca="false">100*(AC51-AC50)</f>
        <v>-0.880167198057968</v>
      </c>
      <c r="AD185" s="22" t="n">
        <f aca="false">100*(AD51-AD50)</f>
        <v>-0.854518322212305</v>
      </c>
      <c r="AE185" s="22" t="n">
        <f aca="false">100*(AE51-AE50)</f>
        <v>-0.828346595418328</v>
      </c>
      <c r="AF185" s="22" t="n">
        <f aca="false">100*(AF51-AF50)</f>
        <v>-0.801877573441701</v>
      </c>
      <c r="AG185" s="22" t="n">
        <f aca="false">100*(AG51-AG50)</f>
        <v>-0.775317637987483</v>
      </c>
      <c r="AH185" s="22" t="n">
        <f aca="false">100*(AH51-AH50)</f>
        <v>-0.748854624670425</v>
      </c>
      <c r="AI185" s="22" t="n">
        <f aca="false">100*(AI51-AI50)</f>
        <v>-0.722653621728719</v>
      </c>
      <c r="AJ185" s="22" t="n">
        <f aca="false">100*(AJ51-AJ50)</f>
        <v>-0.696855678293096</v>
      </c>
      <c r="AK185" s="22" t="n">
        <f aca="false">100*(AK51-AK50)</f>
        <v>-0.671580055580368</v>
      </c>
      <c r="AL185" s="22" t="n">
        <f aca="false">AVERAGE(C185:AK185)</f>
        <v>-0.953286948166487</v>
      </c>
    </row>
    <row r="186" customFormat="false" ht="15" hidden="false" customHeight="false" outlineLevel="0" collapsed="false">
      <c r="A186" s="20" t="n">
        <f aca="false">A52</f>
        <v>-73</v>
      </c>
      <c r="B186" s="21" t="n">
        <f aca="false">B52</f>
        <v>41387</v>
      </c>
      <c r="C186" s="22" t="n">
        <f aca="false">100*(C52-C51)</f>
        <v>6.30960872457189</v>
      </c>
      <c r="D186" s="22" t="n">
        <f aca="false">100*(D52-D51)</f>
        <v>6.37844452282699</v>
      </c>
      <c r="E186" s="22" t="n">
        <f aca="false">100*(E52-E51)</f>
        <v>6.41885051060329</v>
      </c>
      <c r="F186" s="22" t="n">
        <f aca="false">100*(F52-F51)</f>
        <v>6.43473852684531</v>
      </c>
      <c r="G186" s="22" t="n">
        <f aca="false">100*(G52-G51)</f>
        <v>6.4302230764111</v>
      </c>
      <c r="H186" s="22" t="n">
        <f aca="false">100*(H52-H51)</f>
        <v>6.4091691720606</v>
      </c>
      <c r="I186" s="22" t="n">
        <f aca="false">100*(I52-I51)</f>
        <v>6.37523357637453</v>
      </c>
      <c r="J186" s="22" t="n">
        <f aca="false">100*(J52-J51)</f>
        <v>6.331910073532</v>
      </c>
      <c r="K186" s="22" t="n">
        <f aca="false">100*(K52-K51)</f>
        <v>6.28256329393251</v>
      </c>
      <c r="L186" s="22" t="n">
        <f aca="false">100*(L52-L51)</f>
        <v>6.2303842317359</v>
      </c>
      <c r="M186" s="22" t="n">
        <f aca="false">100*(M52-M51)</f>
        <v>6.1780555571382</v>
      </c>
      <c r="N186" s="22" t="n">
        <f aca="false">100*(N52-N51)</f>
        <v>6.12764424453953</v>
      </c>
      <c r="O186" s="22" t="n">
        <f aca="false">100*(O52-O51)</f>
        <v>6.08070389026358</v>
      </c>
      <c r="P186" s="22" t="n">
        <f aca="false">100*(P52-P51)</f>
        <v>6.03836322601832</v>
      </c>
      <c r="Q186" s="22" t="n">
        <f aca="false">100*(Q52-Q51)</f>
        <v>6.00139429875091</v>
      </c>
      <c r="R186" s="22" t="n">
        <f aca="false">100*(R52-R51)</f>
        <v>5.97021313685699</v>
      </c>
      <c r="S186" s="22" t="n">
        <f aca="false">100*(S52-S51)</f>
        <v>5.94484860939559</v>
      </c>
      <c r="T186" s="22" t="n">
        <f aca="false">100*(T52-T51)</f>
        <v>5.9250396565171</v>
      </c>
      <c r="U186" s="22" t="n">
        <f aca="false">100*(U52-U51)</f>
        <v>5.91037152953207</v>
      </c>
      <c r="V186" s="22" t="n">
        <f aca="false">100*(V52-V51)</f>
        <v>5.90031525663988</v>
      </c>
      <c r="W186" s="22" t="n">
        <f aca="false">100*(W52-W51)</f>
        <v>5.89424488458241</v>
      </c>
      <c r="X186" s="22" t="n">
        <f aca="false">100*(X52-X51)</f>
        <v>5.89148842946332</v>
      </c>
      <c r="Y186" s="22" t="n">
        <f aca="false">100*(Y52-Y51)</f>
        <v>5.89140387766767</v>
      </c>
      <c r="Z186" s="22" t="n">
        <f aca="false">100*(Z52-Z51)</f>
        <v>5.89338946345599</v>
      </c>
      <c r="AA186" s="22" t="n">
        <f aca="false">100*(AA52-AA51)</f>
        <v>5.8968900643793</v>
      </c>
      <c r="AB186" s="22" t="n">
        <f aca="false">100*(AB52-AB51)</f>
        <v>5.90141122248129</v>
      </c>
      <c r="AC186" s="22" t="n">
        <f aca="false">100*(AC52-AC51)</f>
        <v>5.90651549265329</v>
      </c>
      <c r="AD186" s="22" t="n">
        <f aca="false">100*(AD52-AD51)</f>
        <v>5.91181582344289</v>
      </c>
      <c r="AE186" s="22" t="n">
        <f aca="false">100*(AE52-AE51)</f>
        <v>5.91697190492111</v>
      </c>
      <c r="AF186" s="22" t="n">
        <f aca="false">100*(AF52-AF51)</f>
        <v>5.92169587830811</v>
      </c>
      <c r="AG186" s="22" t="n">
        <f aca="false">100*(AG52-AG51)</f>
        <v>5.92575259368058</v>
      </c>
      <c r="AH186" s="22" t="n">
        <f aca="false">100*(AH52-AH51)</f>
        <v>5.92895386957624</v>
      </c>
      <c r="AI186" s="22" t="n">
        <f aca="false">100*(AI52-AI51)</f>
        <v>5.93115136829692</v>
      </c>
      <c r="AJ186" s="22" t="n">
        <f aca="false">100*(AJ52-AJ51)</f>
        <v>5.93223109804302</v>
      </c>
      <c r="AK186" s="22" t="n">
        <f aca="false">100*(AK52-AK51)</f>
        <v>5.93210990941109</v>
      </c>
      <c r="AL186" s="22" t="n">
        <f aca="false">AVERAGE(C186:AK186)</f>
        <v>6.06726002842599</v>
      </c>
    </row>
    <row r="187" customFormat="false" ht="15" hidden="false" customHeight="false" outlineLevel="0" collapsed="false">
      <c r="A187" s="20" t="n">
        <f aca="false">A53</f>
        <v>-72</v>
      </c>
      <c r="B187" s="21" t="n">
        <f aca="false">B53</f>
        <v>41388</v>
      </c>
      <c r="C187" s="22" t="n">
        <f aca="false">100*(C53-C52)</f>
        <v>-2.6664087360678</v>
      </c>
      <c r="D187" s="22" t="n">
        <f aca="false">100*(D53-D52)</f>
        <v>-2.65321458918539</v>
      </c>
      <c r="E187" s="22" t="n">
        <f aca="false">100*(E53-E52)</f>
        <v>-2.6386349152641</v>
      </c>
      <c r="F187" s="22" t="n">
        <f aca="false">100*(F53-F52)</f>
        <v>-2.62225014880251</v>
      </c>
      <c r="G187" s="22" t="n">
        <f aca="false">100*(G53-G52)</f>
        <v>-2.6036367889124</v>
      </c>
      <c r="H187" s="22" t="n">
        <f aca="false">100*(H53-H52)</f>
        <v>-2.5824715325599</v>
      </c>
      <c r="I187" s="22" t="n">
        <f aca="false">100*(I53-I52)</f>
        <v>-2.55851171851833</v>
      </c>
      <c r="J187" s="22" t="n">
        <f aca="false">100*(J53-J52)</f>
        <v>-2.53157779653952</v>
      </c>
      <c r="K187" s="22" t="n">
        <f aca="false">100*(K53-K52)</f>
        <v>-2.5015402370844</v>
      </c>
      <c r="L187" s="22" t="n">
        <f aca="false">100*(L53-L52)</f>
        <v>-2.4683284010711</v>
      </c>
      <c r="M187" s="22" t="n">
        <f aca="false">100*(M53-M52)</f>
        <v>-2.43200342032139</v>
      </c>
      <c r="N187" s="22" t="n">
        <f aca="false">100*(N53-N52)</f>
        <v>-2.39277279018073</v>
      </c>
      <c r="O187" s="22" t="n">
        <f aca="false">100*(O53-O52)</f>
        <v>-2.35096523685647</v>
      </c>
      <c r="P187" s="22" t="n">
        <f aca="false">100*(P53-P52)</f>
        <v>-2.30700981554541</v>
      </c>
      <c r="Q187" s="22" t="n">
        <f aca="false">100*(Q53-Q52)</f>
        <v>-2.261419496402</v>
      </c>
      <c r="R187" s="22" t="n">
        <f aca="false">100*(R53-R52)</f>
        <v>-2.21477570925628</v>
      </c>
      <c r="S187" s="22" t="n">
        <f aca="false">100*(S53-S52)</f>
        <v>-2.16770386989089</v>
      </c>
      <c r="T187" s="22" t="n">
        <f aca="false">100*(T53-T52)</f>
        <v>-2.12083756565793</v>
      </c>
      <c r="U187" s="22" t="n">
        <f aca="false">100*(U53-U52)</f>
        <v>-2.07477355503047</v>
      </c>
      <c r="V187" s="22" t="n">
        <f aca="false">100*(V53-V52)</f>
        <v>-2.03006893993578</v>
      </c>
      <c r="W187" s="22" t="n">
        <f aca="false">100*(W53-W52)</f>
        <v>-1.987245560478</v>
      </c>
      <c r="X187" s="22" t="n">
        <f aca="false">100*(X53-X52)</f>
        <v>-1.946764739405</v>
      </c>
      <c r="Y187" s="22" t="n">
        <f aca="false">100*(Y53-Y52)</f>
        <v>-1.90898073269459</v>
      </c>
      <c r="Z187" s="22" t="n">
        <f aca="false">100*(Z53-Z52)</f>
        <v>-1.87414400915911</v>
      </c>
      <c r="AA187" s="22" t="n">
        <f aca="false">100*(AA53-AA52)</f>
        <v>-1.8424145725715</v>
      </c>
      <c r="AB187" s="22" t="n">
        <f aca="false">100*(AB53-AB52)</f>
        <v>-1.81387415090262</v>
      </c>
      <c r="AC187" s="22" t="n">
        <f aca="false">100*(AC53-AC52)</f>
        <v>-1.7885358335195</v>
      </c>
      <c r="AD187" s="22" t="n">
        <f aca="false">100*(AD53-AD52)</f>
        <v>-1.76635205346822</v>
      </c>
      <c r="AE187" s="22" t="n">
        <f aca="false">100*(AE53-AE52)</f>
        <v>-1.7472221826222</v>
      </c>
      <c r="AF187" s="22" t="n">
        <f aca="false">100*(AF53-AF52)</f>
        <v>-1.73100361556111</v>
      </c>
      <c r="AG187" s="22" t="n">
        <f aca="false">100*(AG53-AG52)</f>
        <v>-1.71751999245489</v>
      </c>
      <c r="AH187" s="22" t="n">
        <f aca="false">100*(AH53-AH52)</f>
        <v>-1.70656756877943</v>
      </c>
      <c r="AI187" s="22" t="n">
        <f aca="false">100*(AI53-AI52)</f>
        <v>-1.6979328333508</v>
      </c>
      <c r="AJ187" s="22" t="n">
        <f aca="false">100*(AJ53-AJ52)</f>
        <v>-1.6914022437744</v>
      </c>
      <c r="AK187" s="22" t="n">
        <f aca="false">100*(AK53-AK52)</f>
        <v>-1.68676260216531</v>
      </c>
      <c r="AL187" s="22" t="n">
        <f aca="false">AVERAGE(C187:AK187)</f>
        <v>-2.14530365582827</v>
      </c>
    </row>
    <row r="188" customFormat="false" ht="15" hidden="false" customHeight="false" outlineLevel="0" collapsed="false">
      <c r="A188" s="20" t="n">
        <f aca="false">A54</f>
        <v>-71</v>
      </c>
      <c r="B188" s="21" t="n">
        <f aca="false">B54</f>
        <v>41389</v>
      </c>
      <c r="C188" s="22" t="n">
        <f aca="false">100*(C54-C53)</f>
        <v>4.17520896608792</v>
      </c>
      <c r="D188" s="22" t="n">
        <f aca="false">100*(D54-D53)</f>
        <v>4.21880517330471</v>
      </c>
      <c r="E188" s="22" t="n">
        <f aca="false">100*(E54-E53)</f>
        <v>4.23880094147391</v>
      </c>
      <c r="F188" s="22" t="n">
        <f aca="false">100*(F54-F53)</f>
        <v>4.23638409578031</v>
      </c>
      <c r="G188" s="22" t="n">
        <f aca="false">100*(G54-G53)</f>
        <v>4.21294842400199</v>
      </c>
      <c r="H188" s="22" t="n">
        <f aca="false">100*(H54-H53)</f>
        <v>4.17005912901391</v>
      </c>
      <c r="I188" s="22" t="n">
        <f aca="false">100*(I54-I53)</f>
        <v>4.1094153768773</v>
      </c>
      <c r="J188" s="22" t="n">
        <f aca="false">100*(J54-J53)</f>
        <v>4.03282117440802</v>
      </c>
      <c r="K188" s="22" t="n">
        <f aca="false">100*(K54-K53)</f>
        <v>3.94216347138618</v>
      </c>
      <c r="L188" s="22" t="n">
        <f aca="false">100*(L54-L53)</f>
        <v>3.83938086141291</v>
      </c>
      <c r="M188" s="22" t="n">
        <f aca="false">100*(M54-M53)</f>
        <v>3.72639379999038</v>
      </c>
      <c r="N188" s="22" t="n">
        <f aca="false">100*(N54-N53)</f>
        <v>3.60508336103691</v>
      </c>
      <c r="O188" s="22" t="n">
        <f aca="false">100*(O54-O53)</f>
        <v>3.4772978673919</v>
      </c>
      <c r="P188" s="22" t="n">
        <f aca="false">100*(P54-P53)</f>
        <v>3.34485853755311</v>
      </c>
      <c r="Q188" s="22" t="n">
        <f aca="false">100*(Q54-Q53)</f>
        <v>3.2095630388397</v>
      </c>
      <c r="R188" s="22" t="n">
        <f aca="false">100*(R54-R53)</f>
        <v>3.07317562850589</v>
      </c>
      <c r="S188" s="22" t="n">
        <f aca="false">100*(S54-S53)</f>
        <v>2.9374162809221</v>
      </c>
      <c r="T188" s="22" t="n">
        <f aca="false">100*(T54-T53)</f>
        <v>2.803901966303</v>
      </c>
      <c r="U188" s="22" t="n">
        <f aca="false">100*(U54-U53)</f>
        <v>2.67405226401709</v>
      </c>
      <c r="V188" s="22" t="n">
        <f aca="false">100*(V54-V53)</f>
        <v>2.5490982996125</v>
      </c>
      <c r="W188" s="22" t="n">
        <f aca="false">100*(W54-W53)</f>
        <v>2.43010682026741</v>
      </c>
      <c r="X188" s="22" t="n">
        <f aca="false">100*(X54-X53)</f>
        <v>2.31795080198869</v>
      </c>
      <c r="Y188" s="22" t="n">
        <f aca="false">100*(Y54-Y53)</f>
        <v>2.21324611792149</v>
      </c>
      <c r="Z188" s="22" t="n">
        <f aca="false">100*(Z54-Z53)</f>
        <v>2.11636904296539</v>
      </c>
      <c r="AA188" s="22" t="n">
        <f aca="false">100*(AA54-AA53)</f>
        <v>2.02749916828622</v>
      </c>
      <c r="AB188" s="22" t="n">
        <f aca="false">100*(AB54-AB53)</f>
        <v>1.94666514243322</v>
      </c>
      <c r="AC188" s="22" t="n">
        <f aca="false">100*(AC54-AC53)</f>
        <v>1.873766431761</v>
      </c>
      <c r="AD188" s="22" t="n">
        <f aca="false">100*(AD54-AD53)</f>
        <v>1.80858835376871</v>
      </c>
      <c r="AE188" s="22" t="n">
        <f aca="false">100*(AE54-AE53)</f>
        <v>1.75081861139281</v>
      </c>
      <c r="AF188" s="22" t="n">
        <f aca="false">100*(AF54-AF53)</f>
        <v>1.70007696805117</v>
      </c>
      <c r="AG188" s="22" t="n">
        <f aca="false">100*(AG54-AG53)</f>
        <v>1.65593302428118</v>
      </c>
      <c r="AH188" s="22" t="n">
        <f aca="false">100*(AH54-AH53)</f>
        <v>1.61791719241711</v>
      </c>
      <c r="AI188" s="22" t="n">
        <f aca="false">100*(AI54-AI53)</f>
        <v>1.58555401877978</v>
      </c>
      <c r="AJ188" s="22" t="n">
        <f aca="false">100*(AJ54-AJ53)</f>
        <v>1.55837971290316</v>
      </c>
      <c r="AK188" s="22" t="n">
        <f aca="false">100*(AK54-AK53)</f>
        <v>1.53594167758842</v>
      </c>
      <c r="AL188" s="22" t="n">
        <f aca="false">AVERAGE(C188:AK188)</f>
        <v>2.87758976407787</v>
      </c>
    </row>
    <row r="189" customFormat="false" ht="15" hidden="false" customHeight="false" outlineLevel="0" collapsed="false">
      <c r="A189" s="20" t="n">
        <f aca="false">A55</f>
        <v>-70</v>
      </c>
      <c r="B189" s="21" t="n">
        <f aca="false">B55</f>
        <v>41390</v>
      </c>
      <c r="C189" s="22" t="n">
        <f aca="false">100*(C55-C54)</f>
        <v>-4.5101376298152</v>
      </c>
      <c r="D189" s="22" t="n">
        <f aca="false">100*(D55-D54)</f>
        <v>-4.6498056937575</v>
      </c>
      <c r="E189" s="22" t="n">
        <f aca="false">100*(E55-E54)</f>
        <v>-4.76521094498861</v>
      </c>
      <c r="F189" s="22" t="n">
        <f aca="false">100*(F55-F54)</f>
        <v>-4.8572872759862</v>
      </c>
      <c r="G189" s="22" t="n">
        <f aca="false">100*(G55-G54)</f>
        <v>-4.92735183690261</v>
      </c>
      <c r="H189" s="22" t="n">
        <f aca="false">100*(H55-H54)</f>
        <v>-4.97690572289291</v>
      </c>
      <c r="I189" s="22" t="n">
        <f aca="false">100*(I55-I54)</f>
        <v>-5.00758680856199</v>
      </c>
      <c r="J189" s="22" t="n">
        <f aca="false">100*(J55-J54)</f>
        <v>-5.02114001330218</v>
      </c>
      <c r="K189" s="22" t="n">
        <f aca="false">100*(K55-K54)</f>
        <v>-5.01939509730609</v>
      </c>
      <c r="L189" s="22" t="n">
        <f aca="false">100*(L55-L54)</f>
        <v>-5.00424838386531</v>
      </c>
      <c r="M189" s="22" t="n">
        <f aca="false">100*(M55-M54)</f>
        <v>-4.9775901063712</v>
      </c>
      <c r="N189" s="22" t="n">
        <f aca="false">100*(N55-N54)</f>
        <v>-4.94124856187188</v>
      </c>
      <c r="O189" s="22" t="n">
        <f aca="false">100*(O55-O54)</f>
        <v>-4.89699751428292</v>
      </c>
      <c r="P189" s="22" t="n">
        <f aca="false">100*(P55-P54)</f>
        <v>-4.84656559664991</v>
      </c>
      <c r="Q189" s="22" t="n">
        <f aca="false">100*(Q55-Q54)</f>
        <v>-4.79164742448122</v>
      </c>
      <c r="R189" s="22" t="n">
        <f aca="false">100*(R55-R54)</f>
        <v>-4.73396186387829</v>
      </c>
      <c r="S189" s="22" t="n">
        <f aca="false">100*(S55-S54)</f>
        <v>-4.67530095454709</v>
      </c>
      <c r="T189" s="22" t="n">
        <f aca="false">100*(T55-T54)</f>
        <v>-4.61742629466611</v>
      </c>
      <c r="U189" s="22" t="n">
        <f aca="false">100*(U55-U54)</f>
        <v>-4.56191071910168</v>
      </c>
      <c r="V189" s="22" t="n">
        <f aca="false">100*(V55-V54)</f>
        <v>-4.51013649856353</v>
      </c>
      <c r="W189" s="22" t="n">
        <f aca="false">100*(W55-W54)</f>
        <v>-4.46331908502988</v>
      </c>
      <c r="X189" s="22" t="n">
        <f aca="false">100*(X55-X54)</f>
        <v>-4.42245991381189</v>
      </c>
      <c r="Y189" s="22" t="n">
        <f aca="false">100*(Y55-Y54)</f>
        <v>-4.38825144946029</v>
      </c>
      <c r="Z189" s="22" t="n">
        <f aca="false">100*(Z55-Z54)</f>
        <v>-4.36109456672598</v>
      </c>
      <c r="AA189" s="22" t="n">
        <f aca="false">100*(AA55-AA54)</f>
        <v>-4.34115097195948</v>
      </c>
      <c r="AB189" s="22" t="n">
        <f aca="false">100*(AB55-AB54)</f>
        <v>-4.32840106804093</v>
      </c>
      <c r="AC189" s="22" t="n">
        <f aca="false">100*(AC55-AC54)</f>
        <v>-4.32267093158552</v>
      </c>
      <c r="AD189" s="22" t="n">
        <f aca="false">100*(AD55-AD54)</f>
        <v>-4.3236502731705</v>
      </c>
      <c r="AE189" s="22" t="n">
        <f aca="false">100*(AE55-AE54)</f>
        <v>-4.33091362991362</v>
      </c>
      <c r="AF189" s="22" t="n">
        <f aca="false">100*(AF55-AF54)</f>
        <v>-4.34396782506168</v>
      </c>
      <c r="AG189" s="22" t="n">
        <f aca="false">100*(AG55-AG54)</f>
        <v>-4.36228080437919</v>
      </c>
      <c r="AH189" s="22" t="n">
        <f aca="false">100*(AH55-AH54)</f>
        <v>-4.38529217756232</v>
      </c>
      <c r="AI189" s="22" t="n">
        <f aca="false">100*(AI55-AI54)</f>
        <v>-4.41244628948607</v>
      </c>
      <c r="AJ189" s="22" t="n">
        <f aca="false">100*(AJ55-AJ54)</f>
        <v>-4.44320911041087</v>
      </c>
      <c r="AK189" s="22" t="n">
        <f aca="false">100*(AK55-AK54)</f>
        <v>-4.4770667836493</v>
      </c>
      <c r="AL189" s="22" t="n">
        <f aca="false">AVERAGE(C189:AK189)</f>
        <v>-4.62851513777257</v>
      </c>
    </row>
    <row r="190" customFormat="false" ht="15" hidden="false" customHeight="false" outlineLevel="0" collapsed="false">
      <c r="A190" s="20" t="n">
        <f aca="false">A56</f>
        <v>-69</v>
      </c>
      <c r="B190" s="21" t="n">
        <f aca="false">B56</f>
        <v>41393</v>
      </c>
      <c r="C190" s="22" t="n">
        <f aca="false">100*(C56-C55)</f>
        <v>-3.14574989500771</v>
      </c>
      <c r="D190" s="22" t="n">
        <f aca="false">100*(D56-D55)</f>
        <v>-3.22444599310561</v>
      </c>
      <c r="E190" s="22" t="n">
        <f aca="false">100*(E56-E55)</f>
        <v>-3.27983900043769</v>
      </c>
      <c r="F190" s="22" t="n">
        <f aca="false">100*(F56-F55)</f>
        <v>-3.31330155579921</v>
      </c>
      <c r="G190" s="22" t="n">
        <f aca="false">100*(G56-G55)</f>
        <v>-3.3265569926477</v>
      </c>
      <c r="H190" s="22" t="n">
        <f aca="false">100*(H56-H55)</f>
        <v>-3.3214576288968</v>
      </c>
      <c r="I190" s="22" t="n">
        <f aca="false">100*(I56-I55)</f>
        <v>-3.29995023342451</v>
      </c>
      <c r="J190" s="22" t="n">
        <f aca="false">100*(J56-J55)</f>
        <v>-3.2640554932557</v>
      </c>
      <c r="K190" s="22" t="n">
        <f aca="false">100*(K56-K55)</f>
        <v>-3.21585258848289</v>
      </c>
      <c r="L190" s="22" t="n">
        <f aca="false">100*(L56-L55)</f>
        <v>-3.15744189191278</v>
      </c>
      <c r="M190" s="22" t="n">
        <f aca="false">100*(M56-M55)</f>
        <v>-3.0907968811551</v>
      </c>
      <c r="N190" s="22" t="n">
        <f aca="false">100*(N56-N55)</f>
        <v>-3.0177044878501</v>
      </c>
      <c r="O190" s="22" t="n">
        <f aca="false">100*(O56-O55)</f>
        <v>-2.93979501170401</v>
      </c>
      <c r="P190" s="22" t="n">
        <f aca="false">100*(P56-P55)</f>
        <v>-2.85856912599529</v>
      </c>
      <c r="Q190" s="22" t="n">
        <f aca="false">100*(Q56-Q55)</f>
        <v>-2.77541910648749</v>
      </c>
      <c r="R190" s="22" t="n">
        <f aca="false">100*(R56-R55)</f>
        <v>-2.6916277448481</v>
      </c>
      <c r="S190" s="22" t="n">
        <f aca="false">100*(S56-S55)</f>
        <v>-2.60834450375143</v>
      </c>
      <c r="T190" s="22" t="n">
        <f aca="false">100*(T56-T55)</f>
        <v>-2.52657101842879</v>
      </c>
      <c r="U190" s="22" t="n">
        <f aca="false">100*(U56-U55)</f>
        <v>-2.44714068570722</v>
      </c>
      <c r="V190" s="22" t="n">
        <f aca="false">100*(V56-V55)</f>
        <v>-2.37073566348829</v>
      </c>
      <c r="W190" s="22" t="n">
        <f aca="false">100*(W56-W55)</f>
        <v>-2.29790705384261</v>
      </c>
      <c r="X190" s="22" t="n">
        <f aca="false">100*(X56-X55)</f>
        <v>-2.22907298010688</v>
      </c>
      <c r="Y190" s="22" t="n">
        <f aca="false">100*(Y56-Y55)</f>
        <v>-2.16450295639401</v>
      </c>
      <c r="Z190" s="22" t="n">
        <f aca="false">100*(Z56-Z55)</f>
        <v>-2.10433166369644</v>
      </c>
      <c r="AA190" s="22" t="n">
        <f aca="false">100*(AA56-AA55)</f>
        <v>-2.04858888172272</v>
      </c>
      <c r="AB190" s="22" t="n">
        <f aca="false">100*(AB56-AB55)</f>
        <v>-1.99723405111878</v>
      </c>
      <c r="AC190" s="22" t="n">
        <f aca="false">100*(AC56-AC55)</f>
        <v>-1.95016841454359</v>
      </c>
      <c r="AD190" s="22" t="n">
        <f aca="false">100*(AD56-AD55)</f>
        <v>-1.90724179388448</v>
      </c>
      <c r="AE190" s="22" t="n">
        <f aca="false">100*(AE56-AE55)</f>
        <v>-1.86826162371458</v>
      </c>
      <c r="AF190" s="22" t="n">
        <f aca="false">100*(AF56-AF55)</f>
        <v>-1.8330154386426</v>
      </c>
      <c r="AG190" s="22" t="n">
        <f aca="false">100*(AG56-AG55)</f>
        <v>-1.80128331842297</v>
      </c>
      <c r="AH190" s="22" t="n">
        <f aca="false">100*(AH56-AH55)</f>
        <v>-1.77284116740757</v>
      </c>
      <c r="AI190" s="22" t="n">
        <f aca="false">100*(AI56-AI55)</f>
        <v>-1.7474719843356</v>
      </c>
      <c r="AJ190" s="22" t="n">
        <f aca="false">100*(AJ56-AJ55)</f>
        <v>-1.72497109519729</v>
      </c>
      <c r="AK190" s="22" t="n">
        <f aca="false">100*(AK56-AK55)</f>
        <v>-1.70514514513642</v>
      </c>
      <c r="AL190" s="22" t="n">
        <f aca="false">AVERAGE(C190:AK190)</f>
        <v>-2.5436398020158</v>
      </c>
    </row>
    <row r="191" customFormat="false" ht="15" hidden="false" customHeight="false" outlineLevel="0" collapsed="false">
      <c r="A191" s="20" t="n">
        <f aca="false">A57</f>
        <v>-68</v>
      </c>
      <c r="B191" s="21" t="n">
        <f aca="false">B57</f>
        <v>41394</v>
      </c>
      <c r="C191" s="22" t="n">
        <f aca="false">100*(C57-C56)</f>
        <v>1.5838909179835</v>
      </c>
      <c r="D191" s="22" t="n">
        <f aca="false">100*(D57-D56)</f>
        <v>1.6102593807467</v>
      </c>
      <c r="E191" s="22" t="n">
        <f aca="false">100*(E57-E56)</f>
        <v>1.6256577819683</v>
      </c>
      <c r="F191" s="22" t="n">
        <f aca="false">100*(F57-F56)</f>
        <v>1.6297742487452</v>
      </c>
      <c r="G191" s="22" t="n">
        <f aca="false">100*(G57-G56)</f>
        <v>1.62241780285251</v>
      </c>
      <c r="H191" s="22" t="n">
        <f aca="false">100*(H57-H56)</f>
        <v>1.6035520132476</v>
      </c>
      <c r="I191" s="22" t="n">
        <f aca="false">100*(I57-I56)</f>
        <v>1.57326234930082</v>
      </c>
      <c r="J191" s="22" t="n">
        <f aca="false">100*(J57-J56)</f>
        <v>1.53172968070709</v>
      </c>
      <c r="K191" s="22" t="n">
        <f aca="false">100*(K57-K56)</f>
        <v>1.47921042856862</v>
      </c>
      <c r="L191" s="22" t="n">
        <f aca="false">100*(L57-L56)</f>
        <v>1.4160448392305</v>
      </c>
      <c r="M191" s="22" t="n">
        <f aca="false">100*(M57-M56)</f>
        <v>1.34277026175043</v>
      </c>
      <c r="N191" s="22" t="n">
        <f aca="false">100*(N57-N56)</f>
        <v>1.26015835174331</v>
      </c>
      <c r="O191" s="22" t="n">
        <f aca="false">100*(O57-O56)</f>
        <v>1.1691761770821</v>
      </c>
      <c r="P191" s="22" t="n">
        <f aca="false">100*(P57-P56)</f>
        <v>1.0709525261293</v>
      </c>
      <c r="Q191" s="22" t="n">
        <f aca="false">100*(Q57-Q56)</f>
        <v>0.966752918126002</v>
      </c>
      <c r="R191" s="22" t="n">
        <f aca="false">100*(R57-R56)</f>
        <v>0.858009767712886</v>
      </c>
      <c r="S191" s="22" t="n">
        <f aca="false">100*(S57-S56)</f>
        <v>0.74638314256763</v>
      </c>
      <c r="T191" s="22" t="n">
        <f aca="false">100*(T57-T56)</f>
        <v>0.633631708914306</v>
      </c>
      <c r="U191" s="22" t="n">
        <f aca="false">100*(U57-U56)</f>
        <v>0.521420119938387</v>
      </c>
      <c r="V191" s="22" t="n">
        <f aca="false">100*(V57-V56)</f>
        <v>0.411302966006311</v>
      </c>
      <c r="W191" s="22" t="n">
        <f aca="false">100*(W57-W56)</f>
        <v>0.304736462936805</v>
      </c>
      <c r="X191" s="22" t="n">
        <f aca="false">100*(X57-X56)</f>
        <v>0.203010021193872</v>
      </c>
      <c r="Y191" s="22" t="n">
        <f aca="false">100*(Y57-Y56)</f>
        <v>0.107134451931135</v>
      </c>
      <c r="Z191" s="22" t="n">
        <f aca="false">100*(Z57-Z56)</f>
        <v>0.0178551779354219</v>
      </c>
      <c r="AA191" s="22" t="n">
        <f aca="false">100*(AA57-AA56)</f>
        <v>-0.0643100419819742</v>
      </c>
      <c r="AB191" s="22" t="n">
        <f aca="false">100*(AB57-AB56)</f>
        <v>-0.139036113045199</v>
      </c>
      <c r="AC191" s="22" t="n">
        <f aca="false">100*(AC57-AC56)</f>
        <v>-0.206166491055892</v>
      </c>
      <c r="AD191" s="22" t="n">
        <f aca="false">100*(AD57-AD56)</f>
        <v>-0.265693578095005</v>
      </c>
      <c r="AE191" s="22" t="n">
        <f aca="false">100*(AE57-AE56)</f>
        <v>-0.317740275315703</v>
      </c>
      <c r="AF191" s="22" t="n">
        <f aca="false">100*(AF57-AF56)</f>
        <v>-0.362538182529093</v>
      </c>
      <c r="AG191" s="22" t="n">
        <f aca="false">100*(AG57-AG56)</f>
        <v>-0.40041208448871</v>
      </c>
      <c r="AH191" s="22" t="n">
        <f aca="false">100*(AH57-AH56)</f>
        <v>-0.431765201930112</v>
      </c>
      <c r="AI191" s="22" t="n">
        <f aca="false">100*(AI57-AI56)</f>
        <v>-0.457046347333012</v>
      </c>
      <c r="AJ191" s="22" t="n">
        <f aca="false">100*(AJ57-AJ56)</f>
        <v>-0.476731741638403</v>
      </c>
      <c r="AK191" s="22" t="n">
        <f aca="false">100*(AK57-AK56)</f>
        <v>-0.491321765254193</v>
      </c>
      <c r="AL191" s="22" t="n">
        <f aca="false">AVERAGE(C191:AK191)</f>
        <v>0.619323762132898</v>
      </c>
    </row>
    <row r="192" customFormat="false" ht="15" hidden="false" customHeight="false" outlineLevel="0" collapsed="false">
      <c r="A192" s="20" t="n">
        <f aca="false">A58</f>
        <v>-67</v>
      </c>
      <c r="B192" s="21" t="n">
        <f aca="false">B58</f>
        <v>41395</v>
      </c>
      <c r="C192" s="22" t="n">
        <f aca="false">100*(C58-C57)</f>
        <v>-0.345531394524001</v>
      </c>
      <c r="D192" s="22" t="n">
        <f aca="false">100*(D58-D57)</f>
        <v>-0.362751175399612</v>
      </c>
      <c r="E192" s="22" t="n">
        <f aca="false">100*(E58-E57)</f>
        <v>-0.390953237413605</v>
      </c>
      <c r="F192" s="22" t="n">
        <f aca="false">100*(F58-F57)</f>
        <v>-0.42932416549919</v>
      </c>
      <c r="G192" s="22" t="n">
        <f aca="false">100*(G58-G57)</f>
        <v>-0.477060507250404</v>
      </c>
      <c r="H192" s="22" t="n">
        <f aca="false">100*(H58-H57)</f>
        <v>-0.533290701880995</v>
      </c>
      <c r="I192" s="22" t="n">
        <f aca="false">100*(I58-I57)</f>
        <v>-0.597087737373414</v>
      </c>
      <c r="J192" s="22" t="n">
        <f aca="false">100*(J58-J57)</f>
        <v>-0.6674812050945</v>
      </c>
      <c r="K192" s="22" t="n">
        <f aca="false">100*(K58-K57)</f>
        <v>-0.743466400243831</v>
      </c>
      <c r="L192" s="22" t="n">
        <f aca="false">100*(L58-L57)</f>
        <v>-0.824021676604936</v>
      </c>
      <c r="M192" s="22" t="n">
        <f aca="false">100*(M58-M57)</f>
        <v>-0.908149069453934</v>
      </c>
      <c r="N192" s="22" t="n">
        <f aca="false">100*(N58-N57)</f>
        <v>-0.994882986765111</v>
      </c>
      <c r="O192" s="22" t="n">
        <f aca="false">100*(O58-O57)</f>
        <v>-1.0832845100103</v>
      </c>
      <c r="P192" s="22" t="n">
        <f aca="false">100*(P58-P57)</f>
        <v>-1.17243679527959</v>
      </c>
      <c r="Q192" s="22" t="n">
        <f aca="false">100*(Q58-Q57)</f>
        <v>-1.26144505837451</v>
      </c>
      <c r="R192" s="22" t="n">
        <f aca="false">100*(R58-R57)</f>
        <v>-1.34950165009227</v>
      </c>
      <c r="S192" s="22" t="n">
        <f aca="false">100*(S58-S57)</f>
        <v>-1.4359699868856</v>
      </c>
      <c r="T192" s="22" t="n">
        <f aca="false">100*(T58-T57)</f>
        <v>-1.5203613843886</v>
      </c>
      <c r="U192" s="22" t="n">
        <f aca="false">100*(U58-U57)</f>
        <v>-1.60229400819181</v>
      </c>
      <c r="V192" s="22" t="n">
        <f aca="false">100*(V58-V57)</f>
        <v>-1.68147416506348</v>
      </c>
      <c r="W192" s="22" t="n">
        <f aca="false">100*(W58-W57)</f>
        <v>-1.75768420948952</v>
      </c>
      <c r="X192" s="22" t="n">
        <f aca="false">100*(X58-X57)</f>
        <v>-1.83077397081908</v>
      </c>
      <c r="Y192" s="22" t="n">
        <f aca="false">100*(Y58-Y57)</f>
        <v>-1.90065286427461</v>
      </c>
      <c r="Z192" s="22" t="n">
        <f aca="false">100*(Z58-Z57)</f>
        <v>-1.96728154957331</v>
      </c>
      <c r="AA192" s="22" t="n">
        <f aca="false">100*(AA58-AA57)</f>
        <v>-2.03065449644471</v>
      </c>
      <c r="AB192" s="22" t="n">
        <f aca="false">100*(AB58-AB57)</f>
        <v>-2.0907785314543</v>
      </c>
      <c r="AC192" s="22" t="n">
        <f aca="false">100*(AC58-AC57)</f>
        <v>-2.14766856292812</v>
      </c>
      <c r="AD192" s="22" t="n">
        <f aca="false">100*(AD58-AD57)</f>
        <v>-2.20134663613281</v>
      </c>
      <c r="AE192" s="22" t="n">
        <f aca="false">100*(AE58-AE57)</f>
        <v>-2.25184071074098</v>
      </c>
      <c r="AF192" s="22" t="n">
        <f aca="false">100*(AF58-AF57)</f>
        <v>-2.29918262633952</v>
      </c>
      <c r="AG192" s="22" t="n">
        <f aca="false">100*(AG58-AG57)</f>
        <v>-2.34340728903781</v>
      </c>
      <c r="AH192" s="22" t="n">
        <f aca="false">100*(AH58-AH57)</f>
        <v>-2.38455343226671</v>
      </c>
      <c r="AI192" s="22" t="n">
        <f aca="false">100*(AI58-AI57)</f>
        <v>-2.42266889740281</v>
      </c>
      <c r="AJ192" s="22" t="n">
        <f aca="false">100*(AJ58-AJ57)</f>
        <v>-2.45781283457021</v>
      </c>
      <c r="AK192" s="22" t="n">
        <f aca="false">100*(AK58-AK57)</f>
        <v>-2.4900546902578</v>
      </c>
      <c r="AL192" s="22" t="n">
        <f aca="false">AVERAGE(C192:AK192)</f>
        <v>-1.45591797478634</v>
      </c>
    </row>
    <row r="193" customFormat="false" ht="15" hidden="false" customHeight="false" outlineLevel="0" collapsed="false">
      <c r="A193" s="20" t="n">
        <f aca="false">A59</f>
        <v>-66</v>
      </c>
      <c r="B193" s="21" t="n">
        <f aca="false">B59</f>
        <v>41396</v>
      </c>
      <c r="C193" s="22" t="n">
        <f aca="false">100*(C59-C58)</f>
        <v>-5.2180127636474</v>
      </c>
      <c r="D193" s="22" t="n">
        <f aca="false">100*(D59-D58)</f>
        <v>-5.32742002389508</v>
      </c>
      <c r="E193" s="22" t="n">
        <f aca="false">100*(E59-E58)</f>
        <v>-5.41326263196511</v>
      </c>
      <c r="F193" s="22" t="n">
        <f aca="false">100*(F59-F58)</f>
        <v>-5.47801993460761</v>
      </c>
      <c r="G193" s="22" t="n">
        <f aca="false">100*(G59-G58)</f>
        <v>-5.5240854523686</v>
      </c>
      <c r="H193" s="22" t="n">
        <f aca="false">100*(H59-H58)</f>
        <v>-5.55372449707461</v>
      </c>
      <c r="I193" s="22" t="n">
        <f aca="false">100*(I59-I58)</f>
        <v>-5.56910104288348</v>
      </c>
      <c r="J193" s="22" t="n">
        <f aca="false">100*(J59-J58)</f>
        <v>-5.57229975621301</v>
      </c>
      <c r="K193" s="22" t="n">
        <f aca="false">100*(K59-K58)</f>
        <v>-5.56534249460028</v>
      </c>
      <c r="L193" s="22" t="n">
        <f aca="false">100*(L59-L58)</f>
        <v>-5.55018081993328</v>
      </c>
      <c r="M193" s="22" t="n">
        <f aca="false">100*(M59-M58)</f>
        <v>-5.52860043344547</v>
      </c>
      <c r="N193" s="22" t="n">
        <f aca="false">100*(N59-N58)</f>
        <v>-5.50219074410161</v>
      </c>
      <c r="O193" s="22" t="n">
        <f aca="false">100*(O59-O58)</f>
        <v>-5.47237754682279</v>
      </c>
      <c r="P193" s="22" t="n">
        <f aca="false">100*(P59-P58)</f>
        <v>-5.44045123180461</v>
      </c>
      <c r="Q193" s="22" t="n">
        <f aca="false">100*(Q59-Q58)</f>
        <v>-5.40758865365918</v>
      </c>
      <c r="R193" s="22" t="n">
        <f aca="false">100*(R59-R58)</f>
        <v>-5.3748468843827</v>
      </c>
      <c r="S193" s="22" t="n">
        <f aca="false">100*(S59-S58)</f>
        <v>-5.34313369931581</v>
      </c>
      <c r="T193" s="22" t="n">
        <f aca="false">100*(T59-T58)</f>
        <v>-5.31320444288679</v>
      </c>
      <c r="U193" s="22" t="n">
        <f aca="false">100*(U59-U58)</f>
        <v>-5.28565756839821</v>
      </c>
      <c r="V193" s="22" t="n">
        <f aca="false">100*(V59-V58)</f>
        <v>-5.2609524885415</v>
      </c>
      <c r="W193" s="22" t="n">
        <f aca="false">100*(W59-W58)</f>
        <v>-5.23942811862401</v>
      </c>
      <c r="X193" s="22" t="n">
        <f aca="false">100*(X59-X58)</f>
        <v>-5.22130053773329</v>
      </c>
      <c r="Y193" s="22" t="n">
        <f aca="false">100*(Y59-Y58)</f>
        <v>-5.20664758145499</v>
      </c>
      <c r="Z193" s="22" t="n">
        <f aca="false">100*(Z59-Z58)</f>
        <v>-5.1954214751686</v>
      </c>
      <c r="AA193" s="22" t="n">
        <f aca="false">100*(AA59-AA58)</f>
        <v>-5.18747536452984</v>
      </c>
      <c r="AB193" s="22" t="n">
        <f aca="false">100*(AB59-AB58)</f>
        <v>-5.1825929040688</v>
      </c>
      <c r="AC193" s="22" t="n">
        <f aca="false">100*(AC59-AC58)</f>
        <v>-5.18049945564658</v>
      </c>
      <c r="AD193" s="22" t="n">
        <f aca="false">100*(AD59-AD58)</f>
        <v>-5.18086887645368</v>
      </c>
      <c r="AE193" s="22" t="n">
        <f aca="false">100*(AE59-AE58)</f>
        <v>-5.18333276423522</v>
      </c>
      <c r="AF193" s="22" t="n">
        <f aca="false">100*(AF59-AF58)</f>
        <v>-5.18750313263219</v>
      </c>
      <c r="AG193" s="22" t="n">
        <f aca="false">100*(AG59-AG58)</f>
        <v>-5.19298451339552</v>
      </c>
      <c r="AH193" s="22" t="n">
        <f aca="false">100*(AH59-AH58)</f>
        <v>-5.19937985645158</v>
      </c>
      <c r="AI193" s="22" t="n">
        <f aca="false">100*(AI59-AI58)</f>
        <v>-5.20631461844618</v>
      </c>
      <c r="AJ193" s="22" t="n">
        <f aca="false">100*(AJ59-AJ58)</f>
        <v>-5.21344722453949</v>
      </c>
      <c r="AK193" s="22" t="n">
        <f aca="false">100*(AK59-AK58)</f>
        <v>-5.2204662282858</v>
      </c>
      <c r="AL193" s="22" t="n">
        <f aca="false">AVERAGE(C193:AK193)</f>
        <v>-5.33423187892037</v>
      </c>
    </row>
    <row r="194" customFormat="false" ht="15" hidden="false" customHeight="false" outlineLevel="0" collapsed="false">
      <c r="A194" s="20" t="n">
        <f aca="false">A60</f>
        <v>-65</v>
      </c>
      <c r="B194" s="21" t="n">
        <f aca="false">B60</f>
        <v>41397</v>
      </c>
      <c r="C194" s="22" t="n">
        <f aca="false">100*(C60-C59)</f>
        <v>11.9042973144147</v>
      </c>
      <c r="D194" s="22" t="n">
        <f aca="false">100*(D60-D59)</f>
        <v>11.9981077569648</v>
      </c>
      <c r="E194" s="22" t="n">
        <f aca="false">100*(E60-E59)</f>
        <v>12.0508544922791</v>
      </c>
      <c r="F194" s="22" t="n">
        <f aca="false">100*(F60-F59)</f>
        <v>12.0685676486076</v>
      </c>
      <c r="G194" s="22" t="n">
        <f aca="false">100*(G60-G59)</f>
        <v>12.0572503369978</v>
      </c>
      <c r="H194" s="22" t="n">
        <f aca="false">100*(H60-H59)</f>
        <v>12.0223392016042</v>
      </c>
      <c r="I194" s="22" t="n">
        <f aca="false">100*(I60-I59)</f>
        <v>11.9688176462107</v>
      </c>
      <c r="J194" s="22" t="n">
        <f aca="false">100*(J60-J59)</f>
        <v>11.9013143647464</v>
      </c>
      <c r="K194" s="22" t="n">
        <f aca="false">100*(K60-K59)</f>
        <v>11.8241767847122</v>
      </c>
      <c r="L194" s="22" t="n">
        <f aca="false">100*(L60-L59)</f>
        <v>11.7414379395461</v>
      </c>
      <c r="M194" s="22" t="n">
        <f aca="false">100*(M60-M59)</f>
        <v>11.6565221185264</v>
      </c>
      <c r="N194" s="22" t="n">
        <f aca="false">100*(N60-N59)</f>
        <v>11.5722085049516</v>
      </c>
      <c r="O194" s="22" t="n">
        <f aca="false">100*(O60-O59)</f>
        <v>11.490743110628</v>
      </c>
      <c r="P194" s="22" t="n">
        <f aca="false">100*(P60-P59)</f>
        <v>11.4139307019886</v>
      </c>
      <c r="Q194" s="22" t="n">
        <f aca="false">100*(Q60-Q59)</f>
        <v>11.3432047851113</v>
      </c>
      <c r="R194" s="22" t="n">
        <f aca="false">100*(R60-R59)</f>
        <v>11.2796559151958</v>
      </c>
      <c r="S194" s="22" t="n">
        <f aca="false">100*(S60-S59)</f>
        <v>11.2240743806827</v>
      </c>
      <c r="T194" s="22" t="n">
        <f aca="false">100*(T60-T59)</f>
        <v>11.1769853297161</v>
      </c>
      <c r="U194" s="22" t="n">
        <f aca="false">100*(U60-U59)</f>
        <v>11.1386684412401</v>
      </c>
      <c r="V194" s="22" t="n">
        <f aca="false">100*(V60-V59)</f>
        <v>11.1091908290696</v>
      </c>
      <c r="W194" s="22" t="n">
        <f aca="false">100*(W60-W59)</f>
        <v>11.0884359763807</v>
      </c>
      <c r="X194" s="22" t="n">
        <f aca="false">100*(X60-X59)</f>
        <v>11.0761219121088</v>
      </c>
      <c r="Y194" s="22" t="n">
        <f aca="false">100*(Y60-Y59)</f>
        <v>11.071818366961</v>
      </c>
      <c r="Z194" s="22" t="n">
        <f aca="false">100*(Z60-Z59)</f>
        <v>11.0749674429773</v>
      </c>
      <c r="AA194" s="22" t="n">
        <f aca="false">100*(AA60-AA59)</f>
        <v>11.0849245065564</v>
      </c>
      <c r="AB194" s="22" t="n">
        <f aca="false">100*(AB60-AB59)</f>
        <v>11.1010052537703</v>
      </c>
      <c r="AC194" s="22" t="n">
        <f aca="false">100*(AC60-AC59)</f>
        <v>11.122495841936</v>
      </c>
      <c r="AD194" s="22" t="n">
        <f aca="false">100*(AD60-AD59)</f>
        <v>11.1486563556811</v>
      </c>
      <c r="AE194" s="22" t="n">
        <f aca="false">100*(AE60-AE59)</f>
        <v>11.1787320022198</v>
      </c>
      <c r="AF194" s="22" t="n">
        <f aca="false">100*(AF60-AF59)</f>
        <v>11.2119923240177</v>
      </c>
      <c r="AG194" s="22" t="n">
        <f aca="false">100*(AG60-AG59)</f>
        <v>11.2477467533601</v>
      </c>
      <c r="AH194" s="22" t="n">
        <f aca="false">100*(AH60-AH59)</f>
        <v>11.285345036922</v>
      </c>
      <c r="AI194" s="22" t="n">
        <f aca="false">100*(AI60-AI59)</f>
        <v>11.3241937296171</v>
      </c>
      <c r="AJ194" s="22" t="n">
        <f aca="false">100*(AJ60-AJ59)</f>
        <v>11.3637613447087</v>
      </c>
      <c r="AK194" s="22" t="n">
        <f aca="false">100*(AK60-AK59)</f>
        <v>11.4035725445591</v>
      </c>
      <c r="AL194" s="22" t="n">
        <f aca="false">AVERAGE(C194:AK194)</f>
        <v>11.4493176284277</v>
      </c>
    </row>
    <row r="195" customFormat="false" ht="15" hidden="false" customHeight="false" outlineLevel="0" collapsed="false">
      <c r="A195" s="20" t="n">
        <f aca="false">A61</f>
        <v>-64</v>
      </c>
      <c r="B195" s="21" t="n">
        <f aca="false">B61</f>
        <v>41401</v>
      </c>
      <c r="C195" s="22" t="n">
        <f aca="false">100*(C61-C60)</f>
        <v>6.72921596007141</v>
      </c>
      <c r="D195" s="22" t="n">
        <f aca="false">100*(D61-D60)</f>
        <v>6.814750318594</v>
      </c>
      <c r="E195" s="22" t="n">
        <f aca="false">100*(E61-E60)</f>
        <v>6.8708546066772</v>
      </c>
      <c r="F195" s="22" t="n">
        <f aca="false">100*(F61-F60)</f>
        <v>6.9013408300127</v>
      </c>
      <c r="G195" s="22" t="n">
        <f aca="false">100*(G61-G60)</f>
        <v>6.909822587022</v>
      </c>
      <c r="H195" s="22" t="n">
        <f aca="false">100*(H61-H60)</f>
        <v>6.89951208209227</v>
      </c>
      <c r="I195" s="22" t="n">
        <f aca="false">100*(I61-I60)</f>
        <v>6.87330461476781</v>
      </c>
      <c r="J195" s="22" t="n">
        <f aca="false">100*(J61-J60)</f>
        <v>6.83384747210729</v>
      </c>
      <c r="K195" s="22" t="n">
        <f aca="false">100*(K61-K60)</f>
        <v>6.78359141608333</v>
      </c>
      <c r="L195" s="22" t="n">
        <f aca="false">100*(L61-L60)</f>
        <v>6.72479608110952</v>
      </c>
      <c r="M195" s="22" t="n">
        <f aca="false">100*(M61-M60)</f>
        <v>6.65943299915281</v>
      </c>
      <c r="N195" s="22" t="n">
        <f aca="false">100*(N61-N60)</f>
        <v>6.58918273707156</v>
      </c>
      <c r="O195" s="22" t="n">
        <f aca="false">100*(O61-O60)</f>
        <v>6.51548559302011</v>
      </c>
      <c r="P195" s="22" t="n">
        <f aca="false">100*(P61-P60)</f>
        <v>6.43958302208718</v>
      </c>
      <c r="Q195" s="22" t="n">
        <f aca="false">100*(Q61-Q60)</f>
        <v>6.362551915469</v>
      </c>
      <c r="R195" s="22" t="n">
        <f aca="false">100*(R61-R60)</f>
        <v>6.28536253416478</v>
      </c>
      <c r="S195" s="22" t="n">
        <f aca="false">100*(S61-S60)</f>
        <v>6.2089476013341</v>
      </c>
      <c r="T195" s="22" t="n">
        <f aca="false">100*(T61-T60)</f>
        <v>6.1341745072562</v>
      </c>
      <c r="U195" s="22" t="n">
        <f aca="false">100*(U61-U60)</f>
        <v>6.06179284455428</v>
      </c>
      <c r="V195" s="22" t="n">
        <f aca="false">100*(V61-V60)</f>
        <v>5.99244220672328</v>
      </c>
      <c r="W195" s="22" t="n">
        <f aca="false">100*(W61-W60)</f>
        <v>5.92666613630248</v>
      </c>
      <c r="X195" s="22" t="n">
        <f aca="false">100*(X61-X60)</f>
        <v>5.86490001797086</v>
      </c>
      <c r="Y195" s="22" t="n">
        <f aca="false">100*(Y61-Y60)</f>
        <v>5.80744897136878</v>
      </c>
      <c r="Z195" s="22" t="n">
        <f aca="false">100*(Z61-Z60)</f>
        <v>5.75449959773109</v>
      </c>
      <c r="AA195" s="22" t="n">
        <f aca="false">100*(AA61-AA60)</f>
        <v>5.70614128374709</v>
      </c>
      <c r="AB195" s="22" t="n">
        <f aca="false">100*(AB61-AB60)</f>
        <v>5.6623870121995</v>
      </c>
      <c r="AC195" s="22" t="n">
        <f aca="false">100*(AC61-AC60)</f>
        <v>5.62318368583421</v>
      </c>
      <c r="AD195" s="22" t="n">
        <f aca="false">100*(AD61-AD60)</f>
        <v>5.58841981766842</v>
      </c>
      <c r="AE195" s="22" t="n">
        <f aca="false">100*(AE61-AE60)</f>
        <v>5.55793337484829</v>
      </c>
      <c r="AF195" s="22" t="n">
        <f aca="false">100*(AF61-AF60)</f>
        <v>5.53152210573988</v>
      </c>
      <c r="AG195" s="22" t="n">
        <f aca="false">100*(AG61-AG60)</f>
        <v>5.50894983304229</v>
      </c>
      <c r="AH195" s="22" t="n">
        <f aca="false">100*(AH61-AH60)</f>
        <v>5.48995279057181</v>
      </c>
      <c r="AI195" s="22" t="n">
        <f aca="false">100*(AI61-AI60)</f>
        <v>5.4742551536775</v>
      </c>
      <c r="AJ195" s="22" t="n">
        <f aca="false">100*(AJ61-AJ60)</f>
        <v>5.46157659132622</v>
      </c>
      <c r="AK195" s="22" t="n">
        <f aca="false">100*(AK61-AK60)</f>
        <v>5.4516329183711</v>
      </c>
      <c r="AL195" s="22" t="n">
        <f aca="false">AVERAGE(C195:AK195)</f>
        <v>6.17141317770772</v>
      </c>
    </row>
    <row r="196" customFormat="false" ht="15" hidden="false" customHeight="false" outlineLevel="0" collapsed="false">
      <c r="A196" s="20" t="n">
        <f aca="false">A62</f>
        <v>-63</v>
      </c>
      <c r="B196" s="21" t="n">
        <f aca="false">B62</f>
        <v>41402</v>
      </c>
      <c r="C196" s="22" t="n">
        <f aca="false">100*(C62-C61)</f>
        <v>-2.7376448313448</v>
      </c>
      <c r="D196" s="22" t="n">
        <f aca="false">100*(D62-D61)</f>
        <v>-2.79516356753631</v>
      </c>
      <c r="E196" s="22" t="n">
        <f aca="false">100*(E62-E61)</f>
        <v>-2.84004664795412</v>
      </c>
      <c r="F196" s="22" t="n">
        <f aca="false">100*(F62-F61)</f>
        <v>-2.8725509450229</v>
      </c>
      <c r="G196" s="22" t="n">
        <f aca="false">100*(G62-G61)</f>
        <v>-2.89303598774699</v>
      </c>
      <c r="H196" s="22" t="n">
        <f aca="false">100*(H62-H61)</f>
        <v>-2.90193777737038</v>
      </c>
      <c r="I196" s="22" t="n">
        <f aca="false">100*(I62-I61)</f>
        <v>-2.89975056786842</v>
      </c>
      <c r="J196" s="22" t="n">
        <f aca="false">100*(J62-J61)</f>
        <v>-2.88701420231101</v>
      </c>
      <c r="K196" s="22" t="n">
        <f aca="false">100*(K62-K61)</f>
        <v>-2.86430474996653</v>
      </c>
      <c r="L196" s="22" t="n">
        <f aca="false">100*(L62-L61)</f>
        <v>-2.83224549258052</v>
      </c>
      <c r="M196" s="22" t="n">
        <f aca="false">100*(M62-M61)</f>
        <v>-2.79155909058102</v>
      </c>
      <c r="N196" s="22" t="n">
        <f aca="false">100*(N62-N61)</f>
        <v>-2.74306996425659</v>
      </c>
      <c r="O196" s="22" t="n">
        <f aca="false">100*(O62-O61)</f>
        <v>-2.68768629408283</v>
      </c>
      <c r="P196" s="22" t="n">
        <f aca="false">100*(P62-P61)</f>
        <v>-2.62638557931028</v>
      </c>
      <c r="Q196" s="22" t="n">
        <f aca="false">100*(Q62-Q61)</f>
        <v>-2.56020635821059</v>
      </c>
      <c r="R196" s="22" t="n">
        <f aca="false">100*(R62-R61)</f>
        <v>-2.49028973758181</v>
      </c>
      <c r="S196" s="22" t="n">
        <f aca="false">100*(S62-S61)</f>
        <v>-2.41792376070387</v>
      </c>
      <c r="T196" s="22" t="n">
        <f aca="false">100*(T62-T61)</f>
        <v>-2.34444533484663</v>
      </c>
      <c r="U196" s="22" t="n">
        <f aca="false">100*(U62-U61)</f>
        <v>-2.27110991842299</v>
      </c>
      <c r="V196" s="22" t="n">
        <f aca="false">100*(V62-V61)</f>
        <v>-2.19908470304331</v>
      </c>
      <c r="W196" s="22" t="n">
        <f aca="false">100*(W62-W61)</f>
        <v>-2.12945764184997</v>
      </c>
      <c r="X196" s="22" t="n">
        <f aca="false">100*(X62-X61)</f>
        <v>-2.06318278878048</v>
      </c>
      <c r="Y196" s="22" t="n">
        <f aca="false">100*(Y62-Y61)</f>
        <v>-2.00099872264952</v>
      </c>
      <c r="Z196" s="22" t="n">
        <f aca="false">100*(Z62-Z61)</f>
        <v>-1.94344079266502</v>
      </c>
      <c r="AA196" s="22" t="n">
        <f aca="false">100*(AA62-AA61)</f>
        <v>-1.89086774179339</v>
      </c>
      <c r="AB196" s="22" t="n">
        <f aca="false">100*(AB62-AB61)</f>
        <v>-1.84348582472</v>
      </c>
      <c r="AC196" s="22" t="n">
        <f aca="false">100*(AC62-AC61)</f>
        <v>-1.801367486553</v>
      </c>
      <c r="AD196" s="22" t="n">
        <f aca="false">100*(AD62-AD61)</f>
        <v>-1.76446692684573</v>
      </c>
      <c r="AE196" s="22" t="n">
        <f aca="false">100*(AE62-AE61)</f>
        <v>-1.73263562560768</v>
      </c>
      <c r="AF196" s="22" t="n">
        <f aca="false">100*(AF62-AF61)</f>
        <v>-1.70564459686888</v>
      </c>
      <c r="AG196" s="22" t="n">
        <f aca="false">100*(AG62-AG61)</f>
        <v>-1.68319901948339</v>
      </c>
      <c r="AH196" s="22" t="n">
        <f aca="false">100*(AH62-AH61)</f>
        <v>-1.66495113846841</v>
      </c>
      <c r="AI196" s="22" t="n">
        <f aca="false">100*(AI62-AI61)</f>
        <v>-1.65053240442639</v>
      </c>
      <c r="AJ196" s="22" t="n">
        <f aca="false">100*(AJ62-AJ61)</f>
        <v>-1.63956885331702</v>
      </c>
      <c r="AK196" s="22" t="n">
        <f aca="false">100*(AK62-AK61)</f>
        <v>-1.63168206850948</v>
      </c>
      <c r="AL196" s="22" t="n">
        <f aca="false">AVERAGE(C196:AK196)</f>
        <v>-2.30859820409372</v>
      </c>
    </row>
    <row r="197" customFormat="false" ht="15" hidden="false" customHeight="false" outlineLevel="0" collapsed="false">
      <c r="A197" s="20" t="n">
        <f aca="false">A63</f>
        <v>-62</v>
      </c>
      <c r="B197" s="21" t="n">
        <f aca="false">B63</f>
        <v>41403</v>
      </c>
      <c r="C197" s="22" t="n">
        <f aca="false">100*(C63-C62)</f>
        <v>1.77569027421789</v>
      </c>
      <c r="D197" s="22" t="n">
        <f aca="false">100*(D63-D62)</f>
        <v>1.84798007950759</v>
      </c>
      <c r="E197" s="22" t="n">
        <f aca="false">100*(E63-E62)</f>
        <v>1.91894730719211</v>
      </c>
      <c r="F197" s="22" t="n">
        <f aca="false">100*(F63-F62)</f>
        <v>1.9900294945133</v>
      </c>
      <c r="G197" s="22" t="n">
        <f aca="false">100*(G63-G62)</f>
        <v>2.0625081584847</v>
      </c>
      <c r="H197" s="22" t="n">
        <f aca="false">100*(H63-H62)</f>
        <v>2.13740624391119</v>
      </c>
      <c r="I197" s="22" t="n">
        <f aca="false">100*(I63-I62)</f>
        <v>2.21554391053753</v>
      </c>
      <c r="J197" s="22" t="n">
        <f aca="false">100*(J63-J62)</f>
        <v>2.29758261675572</v>
      </c>
      <c r="K197" s="22" t="n">
        <f aca="false">100*(K63-K62)</f>
        <v>2.38405795059102</v>
      </c>
      <c r="L197" s="22" t="n">
        <f aca="false">100*(L63-L62)</f>
        <v>2.47536567574889</v>
      </c>
      <c r="M197" s="22" t="n">
        <f aca="false">100*(M63-M62)</f>
        <v>2.57163889580139</v>
      </c>
      <c r="N197" s="22" t="n">
        <f aca="false">100*(N63-N62)</f>
        <v>2.67273554257121</v>
      </c>
      <c r="O197" s="22" t="n">
        <f aca="false">100*(O63-O62)</f>
        <v>2.77828622455871</v>
      </c>
      <c r="P197" s="22" t="n">
        <f aca="false">100*(P63-P62)</f>
        <v>2.8877334206181</v>
      </c>
      <c r="Q197" s="22" t="n">
        <f aca="false">100*(Q63-Q62)</f>
        <v>3.000361950442</v>
      </c>
      <c r="R197" s="22" t="n">
        <f aca="false">100*(R63-R62)</f>
        <v>3.11531846834972</v>
      </c>
      <c r="S197" s="22" t="n">
        <f aca="false">100*(S63-S62)</f>
        <v>3.23163741112991</v>
      </c>
      <c r="T197" s="22" t="n">
        <f aca="false">100*(T63-T62)</f>
        <v>3.3483211483007</v>
      </c>
      <c r="U197" s="22" t="n">
        <f aca="false">100*(U63-U62)</f>
        <v>3.46443301556878</v>
      </c>
      <c r="V197" s="22" t="n">
        <f aca="false">100*(V63-V62)</f>
        <v>3.5791014895123</v>
      </c>
      <c r="W197" s="22" t="n">
        <f aca="false">100*(W63-W62)</f>
        <v>3.6915133975719</v>
      </c>
      <c r="X197" s="22" t="n">
        <f aca="false">100*(X63-X62)</f>
        <v>3.80095027445679</v>
      </c>
      <c r="Y197" s="22" t="n">
        <f aca="false">100*(Y63-Y62)</f>
        <v>3.90684167927113</v>
      </c>
      <c r="Z197" s="22" t="n">
        <f aca="false">100*(Z63-Z62)</f>
        <v>4.00875618036483</v>
      </c>
      <c r="AA197" s="22" t="n">
        <f aca="false">100*(AA63-AA62)</f>
        <v>4.10638311021581</v>
      </c>
      <c r="AB197" s="22" t="n">
        <f aca="false">100*(AB63-AB62)</f>
        <v>4.19951582542741</v>
      </c>
      <c r="AC197" s="22" t="n">
        <f aca="false">100*(AC63-AC62)</f>
        <v>4.28803889357448</v>
      </c>
      <c r="AD197" s="22" t="n">
        <f aca="false">100*(AD63-AD62)</f>
        <v>4.37191748940053</v>
      </c>
      <c r="AE197" s="22" t="n">
        <f aca="false">100*(AE63-AE62)</f>
        <v>4.45118830432518</v>
      </c>
      <c r="AF197" s="22" t="n">
        <f aca="false">100*(AF63-AF62)</f>
        <v>4.525950992665</v>
      </c>
      <c r="AG197" s="22" t="n">
        <f aca="false">100*(AG63-AG62)</f>
        <v>4.5963606075643</v>
      </c>
      <c r="AH197" s="22" t="n">
        <f aca="false">100*(AH63-AH62)</f>
        <v>4.66261820220137</v>
      </c>
      <c r="AI197" s="22" t="n">
        <f aca="false">100*(AI63-AI62)</f>
        <v>4.72495033079992</v>
      </c>
      <c r="AJ197" s="22" t="n">
        <f aca="false">100*(AJ63-AJ62)</f>
        <v>4.78359884174542</v>
      </c>
      <c r="AK197" s="22" t="n">
        <f aca="false">100*(AK63-AK62)</f>
        <v>4.83881911900519</v>
      </c>
      <c r="AL197" s="22" t="n">
        <f aca="false">AVERAGE(C197:AK197)</f>
        <v>3.33463092934006</v>
      </c>
    </row>
    <row r="198" customFormat="false" ht="15" hidden="false" customHeight="false" outlineLevel="0" collapsed="false">
      <c r="A198" s="20" t="n">
        <f aca="false">A64</f>
        <v>-61</v>
      </c>
      <c r="B198" s="21" t="n">
        <f aca="false">B64</f>
        <v>41404</v>
      </c>
      <c r="C198" s="22" t="n">
        <f aca="false">100*(C64-C63)</f>
        <v>10.2659169433142</v>
      </c>
      <c r="D198" s="22" t="n">
        <f aca="false">100*(D64-D63)</f>
        <v>10.5011972328168</v>
      </c>
      <c r="E198" s="22" t="n">
        <f aca="false">100*(E64-E63)</f>
        <v>10.6778564935639</v>
      </c>
      <c r="F198" s="22" t="n">
        <f aca="false">100*(F64-F63)</f>
        <v>10.7994811889543</v>
      </c>
      <c r="G198" s="22" t="n">
        <f aca="false">100*(G64-G63)</f>
        <v>10.8702267147632</v>
      </c>
      <c r="H198" s="22" t="n">
        <f aca="false">100*(H64-H63)</f>
        <v>10.8945092210178</v>
      </c>
      <c r="I198" s="22" t="n">
        <f aca="false">100*(I64-I63)</f>
        <v>10.8769446965627</v>
      </c>
      <c r="J198" s="22" t="n">
        <f aca="false">100*(J64-J63)</f>
        <v>10.8223055258406</v>
      </c>
      <c r="K198" s="22" t="n">
        <f aca="false">100*(K64-K63)</f>
        <v>10.7354872345773</v>
      </c>
      <c r="L198" s="22" t="n">
        <f aca="false">100*(L64-L63)</f>
        <v>10.6213952459388</v>
      </c>
      <c r="M198" s="22" t="n">
        <f aca="false">100*(M64-M63)</f>
        <v>10.4846382348536</v>
      </c>
      <c r="N198" s="22" t="n">
        <f aca="false">100*(N64-N63)</f>
        <v>10.3294735253061</v>
      </c>
      <c r="O198" s="22" t="n">
        <f aca="false">100*(O64-O63)</f>
        <v>10.1598683318184</v>
      </c>
      <c r="P198" s="22" t="n">
        <f aca="false">100*(P64-P63)</f>
        <v>9.97954977832296</v>
      </c>
      <c r="Q198" s="22" t="n">
        <f aca="false">100*(Q64-Q63)</f>
        <v>9.79204207856572</v>
      </c>
      <c r="R198" s="22" t="n">
        <f aca="false">100*(R64-R63)</f>
        <v>9.60068033277119</v>
      </c>
      <c r="S198" s="22" t="n">
        <f aca="false">100*(S64-S63)</f>
        <v>9.4086358034617</v>
      </c>
      <c r="T198" s="22" t="n">
        <f aca="false">100*(T64-T63)</f>
        <v>9.21883009403119</v>
      </c>
      <c r="U198" s="22" t="n">
        <f aca="false">100*(U64-U63)</f>
        <v>9.0338103682118</v>
      </c>
      <c r="V198" s="22" t="n">
        <f aca="false">100*(V64-V63)</f>
        <v>8.85578017527799</v>
      </c>
      <c r="W198" s="22" t="n">
        <f aca="false">100*(W64-W63)</f>
        <v>8.68664239345289</v>
      </c>
      <c r="X198" s="22" t="n">
        <f aca="false">100*(X64-X63)</f>
        <v>8.52795236553909</v>
      </c>
      <c r="Y198" s="22" t="n">
        <f aca="false">100*(Y64-Y63)</f>
        <v>8.38083924582329</v>
      </c>
      <c r="Z198" s="22" t="n">
        <f aca="false">100*(Z64-Z63)</f>
        <v>8.24604400579339</v>
      </c>
      <c r="AA198" s="22" t="n">
        <f aca="false">100*(AA64-AA63)</f>
        <v>8.12398739045448</v>
      </c>
      <c r="AB198" s="22" t="n">
        <f aca="false">100*(AB64-AB63)</f>
        <v>8.01483398355698</v>
      </c>
      <c r="AC198" s="22" t="n">
        <f aca="false">100*(AC64-AC63)</f>
        <v>7.91852583248143</v>
      </c>
      <c r="AD198" s="22" t="n">
        <f aca="false">100*(AD64-AD63)</f>
        <v>7.83480835860759</v>
      </c>
      <c r="AE198" s="22" t="n">
        <f aca="false">100*(AE64-AE63)</f>
        <v>7.76325909397331</v>
      </c>
      <c r="AF198" s="22" t="n">
        <f aca="false">100*(AF64-AF63)</f>
        <v>7.70333192141059</v>
      </c>
      <c r="AG198" s="22" t="n">
        <f aca="false">100*(AG64-AG63)</f>
        <v>7.65438146415352</v>
      </c>
      <c r="AH198" s="22" t="n">
        <f aca="false">100*(AH64-AH63)</f>
        <v>7.61568197877542</v>
      </c>
      <c r="AI198" s="22" t="n">
        <f aca="false">100*(AI64-AI63)</f>
        <v>7.58647240576909</v>
      </c>
      <c r="AJ198" s="22" t="n">
        <f aca="false">100*(AJ64-AJ63)</f>
        <v>7.56597773118521</v>
      </c>
      <c r="AK198" s="22" t="n">
        <f aca="false">100*(AK64-AK63)</f>
        <v>7.55341091766639</v>
      </c>
      <c r="AL198" s="22" t="n">
        <f aca="false">AVERAGE(C198:AK198)</f>
        <v>9.2315650945318</v>
      </c>
    </row>
    <row r="199" customFormat="false" ht="15" hidden="false" customHeight="false" outlineLevel="0" collapsed="false">
      <c r="A199" s="20" t="n">
        <f aca="false">A65</f>
        <v>-60</v>
      </c>
      <c r="B199" s="21" t="n">
        <f aca="false">B65</f>
        <v>41407</v>
      </c>
      <c r="C199" s="22" t="n">
        <f aca="false">100*(C65-C64)</f>
        <v>-0.32360205897759</v>
      </c>
      <c r="D199" s="22" t="n">
        <f aca="false">100*(D65-D64)</f>
        <v>-0.273091143308801</v>
      </c>
      <c r="E199" s="22" t="n">
        <f aca="false">100*(E65-E64)</f>
        <v>-0.229721324292398</v>
      </c>
      <c r="F199" s="22" t="n">
        <f aca="false">100*(F65-F64)</f>
        <v>-0.194123525458401</v>
      </c>
      <c r="G199" s="22" t="n">
        <f aca="false">100*(G65-G64)</f>
        <v>-0.16672758764078</v>
      </c>
      <c r="H199" s="22" t="n">
        <f aca="false">100*(H65-H64)</f>
        <v>-0.147672366466489</v>
      </c>
      <c r="I199" s="22" t="n">
        <f aca="false">100*(I65-I64)</f>
        <v>-0.136867360175019</v>
      </c>
      <c r="J199" s="22" t="n">
        <f aca="false">100*(J65-J64)</f>
        <v>-0.134042569920689</v>
      </c>
      <c r="K199" s="22" t="n">
        <f aca="false">100*(K65-K64)</f>
        <v>-0.138786032381111</v>
      </c>
      <c r="L199" s="22" t="n">
        <f aca="false">100*(L65-L64)</f>
        <v>-0.150578327781581</v>
      </c>
      <c r="M199" s="22" t="n">
        <f aca="false">100*(M65-M64)</f>
        <v>-0.168812998485102</v>
      </c>
      <c r="N199" s="22" t="n">
        <f aca="false">100*(N65-N64)</f>
        <v>-0.192802269830894</v>
      </c>
      <c r="O199" s="22" t="n">
        <f aca="false">100*(O65-O64)</f>
        <v>-0.221790788534904</v>
      </c>
      <c r="P199" s="22" t="n">
        <f aca="false">100*(P65-P64)</f>
        <v>-0.254967274177798</v>
      </c>
      <c r="Q199" s="22" t="n">
        <f aca="false">100*(Q65-Q64)</f>
        <v>-0.291476999371021</v>
      </c>
      <c r="R199" s="22" t="n">
        <f aca="false">100*(R65-R64)</f>
        <v>-0.330471859854109</v>
      </c>
      <c r="S199" s="22" t="n">
        <f aca="false">100*(S65-S64)</f>
        <v>-0.371158527333115</v>
      </c>
      <c r="T199" s="22" t="n">
        <f aca="false">100*(T65-T64)</f>
        <v>-0.412804834828195</v>
      </c>
      <c r="U199" s="22" t="n">
        <f aca="false">100*(U65-U64)</f>
        <v>-0.454742683569709</v>
      </c>
      <c r="V199" s="22" t="n">
        <f aca="false">100*(V65-V64)</f>
        <v>-0.496360279741692</v>
      </c>
      <c r="W199" s="22" t="n">
        <f aca="false">100*(W65-W64)</f>
        <v>-0.5370952598724</v>
      </c>
      <c r="X199" s="22" t="n">
        <f aca="false">100*(X65-X64)</f>
        <v>-0.576443485436595</v>
      </c>
      <c r="Y199" s="22" t="n">
        <f aca="false">100*(Y65-Y64)</f>
        <v>-0.613971675381109</v>
      </c>
      <c r="Z199" s="22" t="n">
        <f aca="false">100*(Z65-Z64)</f>
        <v>-0.649311557467991</v>
      </c>
      <c r="AA199" s="22" t="n">
        <f aca="false">100*(AA65-AA64)</f>
        <v>-0.682163651009393</v>
      </c>
      <c r="AB199" s="22" t="n">
        <f aca="false">100*(AB65-AB64)</f>
        <v>-0.712306327493995</v>
      </c>
      <c r="AC199" s="22" t="n">
        <f aca="false">100*(AC65-AC64)</f>
        <v>-0.739589130549012</v>
      </c>
      <c r="AD199" s="22" t="n">
        <f aca="false">100*(AD65-AD64)</f>
        <v>-0.763924508214009</v>
      </c>
      <c r="AE199" s="22" t="n">
        <f aca="false">100*(AE65-AE64)</f>
        <v>-0.785283283619398</v>
      </c>
      <c r="AF199" s="22" t="n">
        <f aca="false">100*(AF65-AF64)</f>
        <v>-0.803700857979406</v>
      </c>
      <c r="AG199" s="22" t="n">
        <f aca="false">100*(AG65-AG64)</f>
        <v>-0.819276640745725</v>
      </c>
      <c r="AH199" s="22" t="n">
        <f aca="false">100*(AH65-AH64)</f>
        <v>-0.832163323793012</v>
      </c>
      <c r="AI199" s="22" t="n">
        <f aca="false">100*(AI65-AI64)</f>
        <v>-0.842543527405715</v>
      </c>
      <c r="AJ199" s="22" t="n">
        <f aca="false">100*(AJ65-AJ64)</f>
        <v>-0.850618513919033</v>
      </c>
      <c r="AK199" s="22" t="n">
        <f aca="false">100*(AK65-AK64)</f>
        <v>-0.856606095688095</v>
      </c>
      <c r="AL199" s="22" t="n">
        <f aca="false">AVERAGE(C199:AK199)</f>
        <v>-0.461588532877265</v>
      </c>
    </row>
    <row r="200" customFormat="false" ht="15" hidden="false" customHeight="false" outlineLevel="0" collapsed="false">
      <c r="A200" s="20" t="n">
        <f aca="false">A66</f>
        <v>-59</v>
      </c>
      <c r="B200" s="21" t="n">
        <f aca="false">B66</f>
        <v>41408</v>
      </c>
      <c r="C200" s="22" t="n">
        <f aca="false">100*(C66-C65)</f>
        <v>1.5934053931806</v>
      </c>
      <c r="D200" s="22" t="n">
        <f aca="false">100*(D66-D65)</f>
        <v>1.61792188287819</v>
      </c>
      <c r="E200" s="22" t="n">
        <f aca="false">100*(E66-E65)</f>
        <v>1.6371562333191</v>
      </c>
      <c r="F200" s="22" t="n">
        <f aca="false">100*(F66-F65)</f>
        <v>1.6513253024252</v>
      </c>
      <c r="G200" s="22" t="n">
        <f aca="false">100*(G66-G65)</f>
        <v>1.6605618722783</v>
      </c>
      <c r="H200" s="22" t="n">
        <f aca="false">100*(H66-H65)</f>
        <v>1.66502380449178</v>
      </c>
      <c r="I200" s="22" t="n">
        <f aca="false">100*(I66-I65)</f>
        <v>1.66489144824373</v>
      </c>
      <c r="J200" s="22" t="n">
        <f aca="false">100*(J66-J65)</f>
        <v>1.66036275167478</v>
      </c>
      <c r="K200" s="22" t="n">
        <f aca="false">100*(K66-K65)</f>
        <v>1.6516494881393</v>
      </c>
      <c r="L200" s="22" t="n">
        <f aca="false">100*(L66-L65)</f>
        <v>1.63897515766447</v>
      </c>
      <c r="M200" s="22" t="n">
        <f aca="false">100*(M66-M65)</f>
        <v>1.62260065804838</v>
      </c>
      <c r="N200" s="22" t="n">
        <f aca="false">100*(N66-N65)</f>
        <v>1.60283969915409</v>
      </c>
      <c r="O200" s="22" t="n">
        <f aca="false">100*(O66-O65)</f>
        <v>1.58005043484031</v>
      </c>
      <c r="P200" s="22" t="n">
        <f aca="false">100*(P66-P65)</f>
        <v>1.55462780020401</v>
      </c>
      <c r="Q200" s="22" t="n">
        <f aca="false">100*(Q66-Q65)</f>
        <v>1.52699699942791</v>
      </c>
      <c r="R200" s="22" t="n">
        <f aca="false">100*(R66-R65)</f>
        <v>1.49761335681871</v>
      </c>
      <c r="S200" s="22" t="n">
        <f aca="false">100*(S66-S65)</f>
        <v>1.4669723378808</v>
      </c>
      <c r="T200" s="22" t="n">
        <f aca="false">100*(T66-T65)</f>
        <v>1.435582531199</v>
      </c>
      <c r="U200" s="22" t="n">
        <f aca="false">100*(U66-U65)</f>
        <v>1.40393188640062</v>
      </c>
      <c r="V200" s="22" t="n">
        <f aca="false">100*(V66-V65)</f>
        <v>1.37248663491021</v>
      </c>
      <c r="W200" s="22" t="n">
        <f aca="false">100*(W66-W65)</f>
        <v>1.34169298055791</v>
      </c>
      <c r="X200" s="22" t="n">
        <f aca="false">100*(X66-X65)</f>
        <v>1.31195821591259</v>
      </c>
      <c r="Y200" s="22" t="n">
        <f aca="false">100*(Y66-Y65)</f>
        <v>1.28362757504852</v>
      </c>
      <c r="Z200" s="22" t="n">
        <f aca="false">100*(Z66-Z65)</f>
        <v>1.2569881601868</v>
      </c>
      <c r="AA200" s="22" t="n">
        <f aca="false">100*(AA66-AA65)</f>
        <v>1.23226873985089</v>
      </c>
      <c r="AB200" s="22" t="n">
        <f aca="false">100*(AB66-AB65)</f>
        <v>1.2096358706291</v>
      </c>
      <c r="AC200" s="22" t="n">
        <f aca="false">100*(AC66-AC65)</f>
        <v>1.18919966785658</v>
      </c>
      <c r="AD200" s="22" t="n">
        <f aca="false">100*(AD66-AD65)</f>
        <v>1.17102036772989</v>
      </c>
      <c r="AE200" s="22" t="n">
        <f aca="false">100*(AE66-AE65)</f>
        <v>1.15511312084351</v>
      </c>
      <c r="AF200" s="22" t="n">
        <f aca="false">100*(AF66-AF65)</f>
        <v>1.1414481533365</v>
      </c>
      <c r="AG200" s="22" t="n">
        <f aca="false">100*(AG66-AG65)</f>
        <v>1.12995296863039</v>
      </c>
      <c r="AH200" s="22" t="n">
        <f aca="false">100*(AH66-AH65)</f>
        <v>1.120519781866</v>
      </c>
      <c r="AI200" s="22" t="n">
        <f aca="false">100*(AI66-AI65)</f>
        <v>1.11302163664821</v>
      </c>
      <c r="AJ200" s="22" t="n">
        <f aca="false">100*(AJ66-AJ65)</f>
        <v>1.10731992799842</v>
      </c>
      <c r="AK200" s="22" t="n">
        <f aca="false">100*(AK66-AK65)</f>
        <v>1.10326571161883</v>
      </c>
      <c r="AL200" s="22" t="n">
        <f aca="false">AVERAGE(C200:AK200)</f>
        <v>1.41062881576839</v>
      </c>
    </row>
    <row r="201" customFormat="false" ht="15" hidden="false" customHeight="false" outlineLevel="0" collapsed="false">
      <c r="A201" s="20" t="n">
        <f aca="false">A67</f>
        <v>-58</v>
      </c>
      <c r="B201" s="21" t="n">
        <f aca="false">B67</f>
        <v>41409</v>
      </c>
      <c r="C201" s="22" t="n">
        <f aca="false">100*(C67-C66)</f>
        <v>3.09596778748789</v>
      </c>
      <c r="D201" s="22" t="n">
        <f aca="false">100*(D67-D66)</f>
        <v>3.14866469943391</v>
      </c>
      <c r="E201" s="22" t="n">
        <f aca="false">100*(E67-E66)</f>
        <v>3.19545777745969</v>
      </c>
      <c r="F201" s="22" t="n">
        <f aca="false">100*(F67-F66)</f>
        <v>3.23604638241759</v>
      </c>
      <c r="G201" s="22" t="n">
        <f aca="false">100*(G67-G66)</f>
        <v>3.270230382978</v>
      </c>
      <c r="H201" s="22" t="n">
        <f aca="false">100*(H67-H66)</f>
        <v>3.29796673850931</v>
      </c>
      <c r="I201" s="22" t="n">
        <f aca="false">100*(I67-I66)</f>
        <v>3.31933659791956</v>
      </c>
      <c r="J201" s="22" t="n">
        <f aca="false">100*(J67-J66)</f>
        <v>3.3345183019319</v>
      </c>
      <c r="K201" s="22" t="n">
        <f aca="false">100*(K67-K66)</f>
        <v>3.34376693981291</v>
      </c>
      <c r="L201" s="22" t="n">
        <f aca="false">100*(L67-L66)</f>
        <v>3.34738439999951</v>
      </c>
      <c r="M201" s="22" t="n">
        <f aca="false">100*(M67-M66)</f>
        <v>3.34567694850594</v>
      </c>
      <c r="N201" s="22" t="n">
        <f aca="false">100*(N67-N66)</f>
        <v>3.33894994696049</v>
      </c>
      <c r="O201" s="22" t="n">
        <f aca="false">100*(O67-O66)</f>
        <v>3.32750838553082</v>
      </c>
      <c r="P201" s="22" t="n">
        <f aca="false">100*(P67-P66)</f>
        <v>3.3116569469696</v>
      </c>
      <c r="Q201" s="22" t="n">
        <f aca="false">100*(Q67-Q66)</f>
        <v>3.29169695173848</v>
      </c>
      <c r="R201" s="22" t="n">
        <f aca="false">100*(R67-R66)</f>
        <v>3.26788714096549</v>
      </c>
      <c r="S201" s="22" t="n">
        <f aca="false">100*(S67-S66)</f>
        <v>3.24040989309462</v>
      </c>
      <c r="T201" s="22" t="n">
        <f aca="false">100*(T67-T66)</f>
        <v>3.20941441062752</v>
      </c>
      <c r="U201" s="22" t="n">
        <f aca="false">100*(U67-U66)</f>
        <v>3.17507087361109</v>
      </c>
      <c r="V201" s="22" t="n">
        <f aca="false">100*(V67-V66)</f>
        <v>3.13757429521471</v>
      </c>
      <c r="W201" s="22" t="n">
        <f aca="false">100*(W67-W66)</f>
        <v>3.09714195220701</v>
      </c>
      <c r="X201" s="22" t="n">
        <f aca="false">100*(X67-X66)</f>
        <v>3.05402771655312</v>
      </c>
      <c r="Y201" s="22" t="n">
        <f aca="false">100*(Y67-Y66)</f>
        <v>3.00854295667499</v>
      </c>
      <c r="Z201" s="22" t="n">
        <f aca="false">100*(Z67-Z66)</f>
        <v>2.9610526429618</v>
      </c>
      <c r="AA201" s="22" t="n">
        <f aca="false">100*(AA67-AA66)</f>
        <v>2.91196141265022</v>
      </c>
      <c r="AB201" s="22" t="n">
        <f aca="false">100*(AB67-AB66)</f>
        <v>2.86169830310361</v>
      </c>
      <c r="AC201" s="22" t="n">
        <f aca="false">100*(AC67-AC66)</f>
        <v>2.81071233264583</v>
      </c>
      <c r="AD201" s="22" t="n">
        <f aca="false">100*(AD67-AD66)</f>
        <v>2.7594701655643</v>
      </c>
      <c r="AE201" s="22" t="n">
        <f aca="false">100*(AE67-AE66)</f>
        <v>2.70845092450038</v>
      </c>
      <c r="AF201" s="22" t="n">
        <f aca="false">100*(AF67-AF66)</f>
        <v>2.65813026703201</v>
      </c>
      <c r="AG201" s="22" t="n">
        <f aca="false">100*(AG67-AG66)</f>
        <v>2.60897367486743</v>
      </c>
      <c r="AH201" s="22" t="n">
        <f aca="false">100*(AH67-AH66)</f>
        <v>2.56143089617371</v>
      </c>
      <c r="AI201" s="22" t="n">
        <f aca="false">100*(AI67-AI66)</f>
        <v>2.5159098836145</v>
      </c>
      <c r="AJ201" s="22" t="n">
        <f aca="false">100*(AJ67-AJ66)</f>
        <v>2.47276825792011</v>
      </c>
      <c r="AK201" s="22" t="n">
        <f aca="false">100*(AK67-AK66)</f>
        <v>2.43231798718688</v>
      </c>
      <c r="AL201" s="22" t="n">
        <f aca="false">AVERAGE(C201:AK201)</f>
        <v>3.047365004995</v>
      </c>
    </row>
    <row r="202" customFormat="false" ht="15" hidden="false" customHeight="false" outlineLevel="0" collapsed="false">
      <c r="A202" s="20" t="n">
        <f aca="false">A68</f>
        <v>-57</v>
      </c>
      <c r="B202" s="21" t="n">
        <f aca="false">B68</f>
        <v>41410</v>
      </c>
      <c r="C202" s="22" t="n">
        <f aca="false">100*(C68-C67)</f>
        <v>-5.8046719472991</v>
      </c>
      <c r="D202" s="22" t="n">
        <f aca="false">100*(D68-D67)</f>
        <v>-5.85566785196161</v>
      </c>
      <c r="E202" s="22" t="n">
        <f aca="false">100*(E68-E67)</f>
        <v>-5.88258996716089</v>
      </c>
      <c r="F202" s="22" t="n">
        <f aca="false">100*(F68-F67)</f>
        <v>-5.88650838855309</v>
      </c>
      <c r="G202" s="22" t="n">
        <f aca="false">100*(G68-G67)</f>
        <v>-5.86887542911461</v>
      </c>
      <c r="H202" s="22" t="n">
        <f aca="false">100*(H68-H67)</f>
        <v>-5.83139762037499</v>
      </c>
      <c r="I202" s="22" t="n">
        <f aca="false">100*(I68-I67)</f>
        <v>-5.77597631986797</v>
      </c>
      <c r="J202" s="22" t="n">
        <f aca="false">100*(J68-J67)</f>
        <v>-5.70466535765299</v>
      </c>
      <c r="K202" s="22" t="n">
        <f aca="false">100*(K68-K67)</f>
        <v>-5.61963933872138</v>
      </c>
      <c r="L202" s="22" t="n">
        <f aca="false">100*(L68-L67)</f>
        <v>-5.52316035926888</v>
      </c>
      <c r="M202" s="22" t="n">
        <f aca="false">100*(M68-M67)</f>
        <v>-5.41750006849453</v>
      </c>
      <c r="N202" s="22" t="n">
        <f aca="false">100*(N68-N67)</f>
        <v>-5.30490194110791</v>
      </c>
      <c r="O202" s="22" t="n">
        <f aca="false">100*(O68-O67)</f>
        <v>-5.18758497069594</v>
      </c>
      <c r="P202" s="22" t="n">
        <f aca="false">100*(P68-P67)</f>
        <v>-5.06774789060618</v>
      </c>
      <c r="Q202" s="22" t="n">
        <f aca="false">100*(Q68-Q67)</f>
        <v>-4.94757109018726</v>
      </c>
      <c r="R202" s="22" t="n">
        <f aca="false">100*(R68-R67)</f>
        <v>-4.82918457675048</v>
      </c>
      <c r="S202" s="22" t="n">
        <f aca="false">100*(S68-S67)</f>
        <v>-4.71461488269083</v>
      </c>
      <c r="T202" s="22" t="n">
        <f aca="false">100*(T68-T67)</f>
        <v>-4.60570496909458</v>
      </c>
      <c r="U202" s="22" t="n">
        <f aca="false">100*(U68-U67)</f>
        <v>-4.50402543368891</v>
      </c>
      <c r="V202" s="22" t="n">
        <f aca="false">100*(V68-V67)</f>
        <v>-4.41089807213491</v>
      </c>
      <c r="W202" s="22" t="n">
        <f aca="false">100*(W68-W67)</f>
        <v>-4.32742553710481</v>
      </c>
      <c r="X202" s="22" t="n">
        <f aca="false">100*(X68-X67)</f>
        <v>-4.25443590919739</v>
      </c>
      <c r="Y202" s="22" t="n">
        <f aca="false">100*(Y68-Y67)</f>
        <v>-4.19240212000012</v>
      </c>
      <c r="Z202" s="22" t="n">
        <f aca="false">100*(Z68-Z67)</f>
        <v>-4.1414725297936</v>
      </c>
      <c r="AA202" s="22" t="n">
        <f aca="false">100*(AA68-AA67)</f>
        <v>-4.10153009353831</v>
      </c>
      <c r="AB202" s="22" t="n">
        <f aca="false">100*(AB68-AB67)</f>
        <v>-4.07225004295091</v>
      </c>
      <c r="AC202" s="22" t="n">
        <f aca="false">100*(AC68-AC67)</f>
        <v>-4.05312805672531</v>
      </c>
      <c r="AD202" s="22" t="n">
        <f aca="false">100*(AD68-AD67)</f>
        <v>-4.04350117651058</v>
      </c>
      <c r="AE202" s="22" t="n">
        <f aca="false">100*(AE68-AE67)</f>
        <v>-4.04257403339861</v>
      </c>
      <c r="AF202" s="22" t="n">
        <f aca="false">100*(AF68-AF67)</f>
        <v>-4.04946876143901</v>
      </c>
      <c r="AG202" s="22" t="n">
        <f aca="false">100*(AG68-AG67)</f>
        <v>-4.06325023248333</v>
      </c>
      <c r="AH202" s="22" t="n">
        <f aca="false">100*(AH68-AH67)</f>
        <v>-4.08294486616661</v>
      </c>
      <c r="AI202" s="22" t="n">
        <f aca="false">100*(AI68-AI67)</f>
        <v>-4.10759598697368</v>
      </c>
      <c r="AJ202" s="22" t="n">
        <f aca="false">100*(AJ68-AJ67)</f>
        <v>-4.1362852033584</v>
      </c>
      <c r="AK202" s="22" t="n">
        <f aca="false">100*(AK68-AK67)</f>
        <v>-4.16812918654741</v>
      </c>
      <c r="AL202" s="22" t="n">
        <f aca="false">AVERAGE(C202:AK202)</f>
        <v>-4.816550863189</v>
      </c>
    </row>
    <row r="203" customFormat="false" ht="15" hidden="false" customHeight="false" outlineLevel="0" collapsed="false">
      <c r="A203" s="20" t="n">
        <f aca="false">A69</f>
        <v>-56</v>
      </c>
      <c r="B203" s="21" t="n">
        <f aca="false">B69</f>
        <v>41411</v>
      </c>
      <c r="C203" s="22" t="n">
        <f aca="false">100*(C69-C68)</f>
        <v>1.52570691773941</v>
      </c>
      <c r="D203" s="22" t="n">
        <f aca="false">100*(D69-D68)</f>
        <v>1.5657860810943</v>
      </c>
      <c r="E203" s="22" t="n">
        <f aca="false">100*(E69-E68)</f>
        <v>1.61409053958079</v>
      </c>
      <c r="F203" s="22" t="n">
        <f aca="false">100*(F69-F68)</f>
        <v>1.6690311329475</v>
      </c>
      <c r="G203" s="22" t="n">
        <f aca="false">100*(G69-G68)</f>
        <v>1.72929951948979</v>
      </c>
      <c r="H203" s="22" t="n">
        <f aca="false">100*(H69-H68)</f>
        <v>1.79380362550958</v>
      </c>
      <c r="I203" s="22" t="n">
        <f aca="false">100*(I69-I68)</f>
        <v>1.86162035492758</v>
      </c>
      <c r="J203" s="22" t="n">
        <f aca="false">100*(J69-J68)</f>
        <v>1.93195885501751</v>
      </c>
      <c r="K203" s="22" t="n">
        <f aca="false">100*(K69-K68)</f>
        <v>2.00413249815909</v>
      </c>
      <c r="L203" s="22" t="n">
        <f aca="false">100*(L69-L68)</f>
        <v>2.07752389807707</v>
      </c>
      <c r="M203" s="22" t="n">
        <f aca="false">100*(M69-M68)</f>
        <v>2.15158997566092</v>
      </c>
      <c r="N203" s="22" t="n">
        <f aca="false">100*(N69-N68)</f>
        <v>2.22588406646551</v>
      </c>
      <c r="O203" s="22" t="n">
        <f aca="false">100*(O69-O68)</f>
        <v>2.30004082958413</v>
      </c>
      <c r="P203" s="22" t="n">
        <f aca="false">100*(P69-P68)</f>
        <v>2.373762226348</v>
      </c>
      <c r="Q203" s="22" t="n">
        <f aca="false">100*(Q69-Q68)</f>
        <v>2.44680288662078</v>
      </c>
      <c r="R203" s="22" t="n">
        <f aca="false">100*(R69-R68)</f>
        <v>2.51894163167989</v>
      </c>
      <c r="S203" s="22" t="n">
        <f aca="false">100*(S69-S68)</f>
        <v>2.58998125661369</v>
      </c>
      <c r="T203" s="22" t="n">
        <f aca="false">100*(T69-T68)</f>
        <v>2.65975011053388</v>
      </c>
      <c r="U203" s="22" t="n">
        <f aca="false">100*(U69-U68)</f>
        <v>2.72809846248161</v>
      </c>
      <c r="V203" s="22" t="n">
        <f aca="false">100*(V69-V68)</f>
        <v>2.79489535999597</v>
      </c>
      <c r="W203" s="22" t="n">
        <f aca="false">100*(W69-W68)</f>
        <v>2.86002596293828</v>
      </c>
      <c r="X203" s="22" t="n">
        <f aca="false">100*(X69-X68)</f>
        <v>2.92338935390477</v>
      </c>
      <c r="Y203" s="22" t="n">
        <f aca="false">100*(Y69-Y68)</f>
        <v>2.98489753616393</v>
      </c>
      <c r="Z203" s="22" t="n">
        <f aca="false">100*(Z69-Z68)</f>
        <v>3.04447439357998</v>
      </c>
      <c r="AA203" s="22" t="n">
        <f aca="false">100*(AA69-AA68)</f>
        <v>3.1020591721751</v>
      </c>
      <c r="AB203" s="22" t="n">
        <f aca="false">100*(AB69-AB68)</f>
        <v>3.15761023127741</v>
      </c>
      <c r="AC203" s="22" t="n">
        <f aca="false">100*(AC69-AC68)</f>
        <v>3.21110335621921</v>
      </c>
      <c r="AD203" s="22" t="n">
        <f aca="false">100*(AD69-AD68)</f>
        <v>3.26252974883898</v>
      </c>
      <c r="AE203" s="22" t="n">
        <f aca="false">100*(AE69-AE68)</f>
        <v>3.31189651097858</v>
      </c>
      <c r="AF203" s="22" t="n">
        <f aca="false">100*(AF69-AF68)</f>
        <v>3.35923285933792</v>
      </c>
      <c r="AG203" s="22" t="n">
        <f aca="false">100*(AG69-AG68)</f>
        <v>3.4045907490281</v>
      </c>
      <c r="AH203" s="22" t="n">
        <f aca="false">100*(AH69-AH68)</f>
        <v>3.44804058316299</v>
      </c>
      <c r="AI203" s="22" t="n">
        <f aca="false">100*(AI69-AI68)</f>
        <v>3.48966312803736</v>
      </c>
      <c r="AJ203" s="22" t="n">
        <f aca="false">100*(AJ69-AJ68)</f>
        <v>3.5295464295285</v>
      </c>
      <c r="AK203" s="22" t="n">
        <f aca="false">100*(AK69-AK68)</f>
        <v>3.56778506774851</v>
      </c>
      <c r="AL203" s="22" t="n">
        <f aca="false">AVERAGE(C203:AK203)</f>
        <v>2.60627272318419</v>
      </c>
    </row>
    <row r="204" customFormat="false" ht="15" hidden="false" customHeight="false" outlineLevel="0" collapsed="false">
      <c r="A204" s="20" t="n">
        <f aca="false">A70</f>
        <v>-55</v>
      </c>
      <c r="B204" s="21" t="n">
        <f aca="false">B70</f>
        <v>41414</v>
      </c>
      <c r="C204" s="22" t="n">
        <f aca="false">100*(C70-C69)</f>
        <v>2.75274816724469</v>
      </c>
      <c r="D204" s="22" t="n">
        <f aca="false">100*(D70-D69)</f>
        <v>2.8739135060478</v>
      </c>
      <c r="E204" s="22" t="n">
        <f aca="false">100*(E70-E69)</f>
        <v>2.9866970763279</v>
      </c>
      <c r="F204" s="22" t="n">
        <f aca="false">100*(F70-F69)</f>
        <v>3.08731080123701</v>
      </c>
      <c r="G204" s="22" t="n">
        <f aca="false">100*(G70-G69)</f>
        <v>3.17292673703649</v>
      </c>
      <c r="H204" s="22" t="n">
        <f aca="false">100*(H70-H69)</f>
        <v>3.2417809681859</v>
      </c>
      <c r="I204" s="22" t="n">
        <f aca="false">100*(I70-I69)</f>
        <v>3.29293947152101</v>
      </c>
      <c r="J204" s="22" t="n">
        <f aca="false">100*(J70-J69)</f>
        <v>3.32611770486868</v>
      </c>
      <c r="K204" s="22" t="n">
        <f aca="false">100*(K70-K69)</f>
        <v>3.3415453008482</v>
      </c>
      <c r="L204" s="22" t="n">
        <f aca="false">100*(L70-L69)</f>
        <v>3.33988317184453</v>
      </c>
      <c r="M204" s="22" t="n">
        <f aca="false">100*(M70-M69)</f>
        <v>3.32223891017489</v>
      </c>
      <c r="N204" s="22" t="n">
        <f aca="false">100*(N70-N69)</f>
        <v>3.2901330152515</v>
      </c>
      <c r="O204" s="22" t="n">
        <f aca="false">100*(O70-O69)</f>
        <v>3.24542663219458</v>
      </c>
      <c r="P204" s="22" t="n">
        <f aca="false">100*(P70-P69)</f>
        <v>3.19026281981358</v>
      </c>
      <c r="Q204" s="22" t="n">
        <f aca="false">100*(Q70-Q69)</f>
        <v>3.127009827752</v>
      </c>
      <c r="R204" s="22" t="n">
        <f aca="false">100*(R70-R69)</f>
        <v>3.05809027675399</v>
      </c>
      <c r="S204" s="22" t="n">
        <f aca="false">100*(S70-S69)</f>
        <v>2.9858121195661</v>
      </c>
      <c r="T204" s="22" t="n">
        <f aca="false">100*(T70-T69)</f>
        <v>2.9123125875258</v>
      </c>
      <c r="U204" s="22" t="n">
        <f aca="false">100*(U70-U69)</f>
        <v>2.83951307165142</v>
      </c>
      <c r="V204" s="22" t="n">
        <f aca="false">100*(V70-V69)</f>
        <v>2.76914130354919</v>
      </c>
      <c r="W204" s="22" t="n">
        <f aca="false">100*(W70-W69)</f>
        <v>2.70275312841792</v>
      </c>
      <c r="X204" s="22" t="n">
        <f aca="false">100*(X70-X69)</f>
        <v>2.64167489272102</v>
      </c>
      <c r="Y204" s="22" t="n">
        <f aca="false">100*(Y70-Y69)</f>
        <v>2.58692967702969</v>
      </c>
      <c r="Z204" s="22" t="n">
        <f aca="false">100*(Z70-Z69)</f>
        <v>2.53926325777112</v>
      </c>
      <c r="AA204" s="22" t="n">
        <f aca="false">100*(AA70-AA69)</f>
        <v>2.49918249351722</v>
      </c>
      <c r="AB204" s="22" t="n">
        <f aca="false">100*(AB70-AB69)</f>
        <v>2.46698886796191</v>
      </c>
      <c r="AC204" s="22" t="n">
        <f aca="false">100*(AC70-AC69)</f>
        <v>2.44280343781838</v>
      </c>
      <c r="AD204" s="22" t="n">
        <f aca="false">100*(AD70-AD69)</f>
        <v>2.42658783155938</v>
      </c>
      <c r="AE204" s="22" t="n">
        <f aca="false">100*(AE70-AE69)</f>
        <v>2.4181652346388</v>
      </c>
      <c r="AF204" s="22" t="n">
        <f aca="false">100*(AF70-AF69)</f>
        <v>2.4172467248341</v>
      </c>
      <c r="AG204" s="22" t="n">
        <f aca="false">100*(AG70-AG69)</f>
        <v>2.42344803408603</v>
      </c>
      <c r="AH204" s="22" t="n">
        <f aca="false">100*(AH70-AH69)</f>
        <v>2.43630952297931</v>
      </c>
      <c r="AI204" s="22" t="n">
        <f aca="false">100*(AI70-AI69)</f>
        <v>2.45534311827553</v>
      </c>
      <c r="AJ204" s="22" t="n">
        <f aca="false">100*(AJ70-AJ69)</f>
        <v>2.48005215253118</v>
      </c>
      <c r="AK204" s="22" t="n">
        <f aca="false">100*(AK70-AK69)</f>
        <v>2.50993263736712</v>
      </c>
      <c r="AL204" s="22" t="n">
        <f aca="false">AVERAGE(C204:AK204)</f>
        <v>2.84578527088297</v>
      </c>
    </row>
    <row r="205" customFormat="false" ht="15" hidden="false" customHeight="false" outlineLevel="0" collapsed="false">
      <c r="A205" s="20" t="n">
        <f aca="false">A71</f>
        <v>-54</v>
      </c>
      <c r="B205" s="21" t="n">
        <f aca="false">B71</f>
        <v>41415</v>
      </c>
      <c r="C205" s="22" t="n">
        <f aca="false">100*(C71-C70)</f>
        <v>1.8132316807582</v>
      </c>
      <c r="D205" s="22" t="n">
        <f aca="false">100*(D71-D70)</f>
        <v>1.90611961944791</v>
      </c>
      <c r="E205" s="22" t="n">
        <f aca="false">100*(E71-E70)</f>
        <v>1.98696473714011</v>
      </c>
      <c r="F205" s="22" t="n">
        <f aca="false">100*(F71-F70)</f>
        <v>2.0549407946582</v>
      </c>
      <c r="G205" s="22" t="n">
        <f aca="false">100*(G71-G70)</f>
        <v>2.10962185771493</v>
      </c>
      <c r="H205" s="22" t="n">
        <f aca="false">100*(H71-H70)</f>
        <v>2.1509282077504</v>
      </c>
      <c r="I205" s="22" t="n">
        <f aca="false">100*(I71-I70)</f>
        <v>2.179048906814</v>
      </c>
      <c r="J205" s="22" t="n">
        <f aca="false">100*(J71-J70)</f>
        <v>2.19438336699662</v>
      </c>
      <c r="K205" s="22" t="n">
        <f aca="false">100*(K71-K70)</f>
        <v>2.19749741163588</v>
      </c>
      <c r="L205" s="22" t="n">
        <f aca="false">100*(L71-L70)</f>
        <v>2.18909234559028</v>
      </c>
      <c r="M205" s="22" t="n">
        <f aca="false">100*(M71-M70)</f>
        <v>2.17001014526881</v>
      </c>
      <c r="N205" s="22" t="n">
        <f aca="false">100*(N71-N70)</f>
        <v>2.14122845584233</v>
      </c>
      <c r="O205" s="22" t="n">
        <f aca="false">100*(O71-O70)</f>
        <v>2.10383718728271</v>
      </c>
      <c r="P205" s="22" t="n">
        <f aca="false">100*(P71-P70)</f>
        <v>2.05901915836311</v>
      </c>
      <c r="Q205" s="22" t="n">
        <f aca="false">100*(Q71-Q70)</f>
        <v>2.00803310307189</v>
      </c>
      <c r="R205" s="22" t="n">
        <f aca="false">100*(R71-R70)</f>
        <v>1.95219259388213</v>
      </c>
      <c r="S205" s="22" t="n">
        <f aca="false">100*(S71-S70)</f>
        <v>1.89285362345402</v>
      </c>
      <c r="T205" s="22" t="n">
        <f aca="false">100*(T71-T70)</f>
        <v>1.83134342188511</v>
      </c>
      <c r="U205" s="22" t="n">
        <f aca="false">100*(U71-U70)</f>
        <v>1.76888290862278</v>
      </c>
      <c r="V205" s="22" t="n">
        <f aca="false">100*(V71-V70)</f>
        <v>1.70659208282711</v>
      </c>
      <c r="W205" s="22" t="n">
        <f aca="false">100*(W71-W70)</f>
        <v>1.64550030056128</v>
      </c>
      <c r="X205" s="22" t="n">
        <f aca="false">100*(X71-X70)</f>
        <v>1.58650204499811</v>
      </c>
      <c r="Y205" s="22" t="n">
        <f aca="false">100*(Y71-Y70)</f>
        <v>1.53030422220488</v>
      </c>
      <c r="Z205" s="22" t="n">
        <f aca="false">100*(Z71-Z70)</f>
        <v>1.47744174324829</v>
      </c>
      <c r="AA205" s="22" t="n">
        <f aca="false">100*(AA71-AA70)</f>
        <v>1.42830048550486</v>
      </c>
      <c r="AB205" s="22" t="n">
        <f aca="false">100*(AB71-AB70)</f>
        <v>1.38313692842069</v>
      </c>
      <c r="AC205" s="22" t="n">
        <f aca="false">100*(AC71-AC70)</f>
        <v>1.34209367910723</v>
      </c>
      <c r="AD205" s="22" t="n">
        <f aca="false">100*(AD71-AD70)</f>
        <v>1.30521272478932</v>
      </c>
      <c r="AE205" s="22" t="n">
        <f aca="false">100*(AE71-AE70)</f>
        <v>1.27244828134323</v>
      </c>
      <c r="AF205" s="22" t="n">
        <f aca="false">100*(AF71-AF70)</f>
        <v>1.2436815011303</v>
      </c>
      <c r="AG205" s="22" t="n">
        <f aca="false">100*(AG71-AG70)</f>
        <v>1.21873030882749</v>
      </c>
      <c r="AH205" s="22" t="n">
        <f aca="false">100*(AH71-AH70)</f>
        <v>1.1973608305234</v>
      </c>
      <c r="AI205" s="22" t="n">
        <f aca="false">100*(AI71-AI70)</f>
        <v>1.17931110119951</v>
      </c>
      <c r="AJ205" s="22" t="n">
        <f aca="false">100*(AJ71-AJ70)</f>
        <v>1.16430169259423</v>
      </c>
      <c r="AK205" s="22" t="n">
        <f aca="false">100*(AK71-AK70)</f>
        <v>1.15203764104219</v>
      </c>
      <c r="AL205" s="22" t="n">
        <f aca="false">AVERAGE(C205:AK205)</f>
        <v>1.72977671698576</v>
      </c>
    </row>
    <row r="206" customFormat="false" ht="15" hidden="false" customHeight="false" outlineLevel="0" collapsed="false">
      <c r="A206" s="20" t="n">
        <f aca="false">A72</f>
        <v>-53</v>
      </c>
      <c r="B206" s="21" t="n">
        <f aca="false">B72</f>
        <v>41416</v>
      </c>
      <c r="C206" s="22" t="n">
        <f aca="false">100*(C72-C71)</f>
        <v>-3.7436210894503</v>
      </c>
      <c r="D206" s="22" t="n">
        <f aca="false">100*(D72-D71)</f>
        <v>-3.76047457858111</v>
      </c>
      <c r="E206" s="22" t="n">
        <f aca="false">100*(E72-E71)</f>
        <v>-3.7638679603174</v>
      </c>
      <c r="F206" s="22" t="n">
        <f aca="false">100*(F72-F71)</f>
        <v>-3.75507660676511</v>
      </c>
      <c r="G206" s="22" t="n">
        <f aca="false">100*(G72-G71)</f>
        <v>-3.73542803904989</v>
      </c>
      <c r="H206" s="22" t="n">
        <f aca="false">100*(H72-H71)</f>
        <v>-3.70624171497087</v>
      </c>
      <c r="I206" s="22" t="n">
        <f aca="false">100*(I72-I71)</f>
        <v>-3.668829517563</v>
      </c>
      <c r="J206" s="22" t="n">
        <f aca="false">100*(J72-J71)</f>
        <v>-3.6244974017829</v>
      </c>
      <c r="K206" s="22" t="n">
        <f aca="false">100*(K72-K71)</f>
        <v>-3.57454666328048</v>
      </c>
      <c r="L206" s="22" t="n">
        <f aca="false">100*(L72-L71)</f>
        <v>-3.52026128227272</v>
      </c>
      <c r="M206" s="22" t="n">
        <f aca="false">100*(M72-M71)</f>
        <v>-3.46283973628538</v>
      </c>
      <c r="N206" s="22" t="n">
        <f aca="false">100*(N72-N71)</f>
        <v>-3.40337428505801</v>
      </c>
      <c r="O206" s="22" t="n">
        <f aca="false">100*(O72-O71)</f>
        <v>-3.3428688237346</v>
      </c>
      <c r="P206" s="22" t="n">
        <f aca="false">100*(P72-P71)</f>
        <v>-3.28225411813792</v>
      </c>
      <c r="Q206" s="22" t="n">
        <f aca="false">100*(Q72-Q71)</f>
        <v>-3.22240133169371</v>
      </c>
      <c r="R206" s="22" t="n">
        <f aca="false">100*(R72-R71)</f>
        <v>-3.16413754859841</v>
      </c>
      <c r="S206" s="22" t="n">
        <f aca="false">100*(S72-S71)</f>
        <v>-3.10824614570713</v>
      </c>
      <c r="T206" s="22" t="n">
        <f aca="false">100*(T72-T71)</f>
        <v>-3.0554366158313</v>
      </c>
      <c r="U206" s="22" t="n">
        <f aca="false">100*(U72-U71)</f>
        <v>-3.0063113159553</v>
      </c>
      <c r="V206" s="22" t="n">
        <f aca="false">100*(V72-V71)</f>
        <v>-2.96137523481299</v>
      </c>
      <c r="W206" s="22" t="n">
        <f aca="false">100*(W72-W71)</f>
        <v>-2.92104786109029</v>
      </c>
      <c r="X206" s="22" t="n">
        <f aca="false">100*(X72-X71)</f>
        <v>-2.8856467508803</v>
      </c>
      <c r="Y206" s="22" t="n">
        <f aca="false">100*(Y72-Y71)</f>
        <v>-2.85536335715899</v>
      </c>
      <c r="Z206" s="22" t="n">
        <f aca="false">100*(Z72-Z71)</f>
        <v>-2.83027467692509</v>
      </c>
      <c r="AA206" s="22" t="n">
        <f aca="false">100*(AA72-AA71)</f>
        <v>-2.81036530913448</v>
      </c>
      <c r="AB206" s="22" t="n">
        <f aca="false">100*(AB72-AB71)</f>
        <v>-2.79554871874721</v>
      </c>
      <c r="AC206" s="22" t="n">
        <f aca="false">100*(AC72-AC71)</f>
        <v>-2.78567697437562</v>
      </c>
      <c r="AD206" s="22" t="n">
        <f aca="false">100*(AD72-AD71)</f>
        <v>-2.78054789836828</v>
      </c>
      <c r="AE206" s="22" t="n">
        <f aca="false">100*(AE72-AE71)</f>
        <v>-2.77991345698432</v>
      </c>
      <c r="AF206" s="22" t="n">
        <f aca="false">100*(AF72-AF71)</f>
        <v>-2.7834941291693</v>
      </c>
      <c r="AG206" s="22" t="n">
        <f aca="false">100*(AG72-AG71)</f>
        <v>-2.79098649516709</v>
      </c>
      <c r="AH206" s="22" t="n">
        <f aca="false">100*(AH72-AH71)</f>
        <v>-2.80206962689631</v>
      </c>
      <c r="AI206" s="22" t="n">
        <f aca="false">100*(AI72-AI71)</f>
        <v>-2.81642147377652</v>
      </c>
      <c r="AJ206" s="22" t="n">
        <f aca="false">100*(AJ72-AJ71)</f>
        <v>-2.83372510747251</v>
      </c>
      <c r="AK206" s="22" t="n">
        <f aca="false">100*(AK72-AK71)</f>
        <v>-2.85366835109242</v>
      </c>
      <c r="AL206" s="22" t="n">
        <f aca="false">AVERAGE(C206:AK206)</f>
        <v>-3.17676686277392</v>
      </c>
    </row>
    <row r="207" customFormat="false" ht="15" hidden="false" customHeight="false" outlineLevel="0" collapsed="false">
      <c r="A207" s="20" t="n">
        <f aca="false">A73</f>
        <v>-52</v>
      </c>
      <c r="B207" s="21" t="n">
        <f aca="false">B73</f>
        <v>41417</v>
      </c>
      <c r="C207" s="22" t="n">
        <f aca="false">100*(C73-C72)</f>
        <v>2.11392980536052</v>
      </c>
      <c r="D207" s="22" t="n">
        <f aca="false">100*(D73-D72)</f>
        <v>2.0799306618928</v>
      </c>
      <c r="E207" s="22" t="n">
        <f aca="false">100*(E73-E72)</f>
        <v>2.0322756845927</v>
      </c>
      <c r="F207" s="22" t="n">
        <f aca="false">100*(F73-F72)</f>
        <v>1.9710237358481</v>
      </c>
      <c r="G207" s="22" t="n">
        <f aca="false">100*(G73-G72)</f>
        <v>1.89646957379019</v>
      </c>
      <c r="H207" s="22" t="n">
        <f aca="false">100*(H73-H72)</f>
        <v>1.8092126726462</v>
      </c>
      <c r="I207" s="22" t="n">
        <f aca="false">100*(I73-I72)</f>
        <v>1.7100907829374</v>
      </c>
      <c r="J207" s="22" t="n">
        <f aca="false">100*(J73-J72)</f>
        <v>1.6001281322839</v>
      </c>
      <c r="K207" s="22" t="n">
        <f aca="false">100*(K73-K72)</f>
        <v>1.4804965000077</v>
      </c>
      <c r="L207" s="22" t="n">
        <f aca="false">100*(L73-L72)</f>
        <v>1.35249322803941</v>
      </c>
      <c r="M207" s="22" t="n">
        <f aca="false">100*(M73-M72)</f>
        <v>1.2175652011488</v>
      </c>
      <c r="N207" s="22" t="n">
        <f aca="false">100*(N73-N72)</f>
        <v>1.07730779513537</v>
      </c>
      <c r="O207" s="22" t="n">
        <f aca="false">100*(O73-O72)</f>
        <v>0.933439231838307</v>
      </c>
      <c r="P207" s="22" t="n">
        <f aca="false">100*(P73-P72)</f>
        <v>0.787779398783828</v>
      </c>
      <c r="Q207" s="22" t="n">
        <f aca="false">100*(Q73-Q72)</f>
        <v>0.64222798251552</v>
      </c>
      <c r="R207" s="22" t="n">
        <f aca="false">100*(R73-R72)</f>
        <v>0.498695164845087</v>
      </c>
      <c r="S207" s="22" t="n">
        <f aca="false">100*(S73-S72)</f>
        <v>0.359036786449929</v>
      </c>
      <c r="T207" s="22" t="n">
        <f aca="false">100*(T73-T72)</f>
        <v>0.224954951866474</v>
      </c>
      <c r="U207" s="22" t="n">
        <f aca="false">100*(U73-U72)</f>
        <v>0.0978973466930988</v>
      </c>
      <c r="V207" s="22" t="n">
        <f aca="false">100*(V73-V72)</f>
        <v>-0.0209207393492949</v>
      </c>
      <c r="W207" s="22" t="n">
        <f aca="false">100*(W73-W72)</f>
        <v>-0.130490113882509</v>
      </c>
      <c r="X207" s="22" t="n">
        <f aca="false">100*(X73-X72)</f>
        <v>-0.230067506859122</v>
      </c>
      <c r="Y207" s="22" t="n">
        <f aca="false">100*(Y73-Y72)</f>
        <v>-0.319247751434304</v>
      </c>
      <c r="Z207" s="22" t="n">
        <f aca="false">100*(Z73-Z72)</f>
        <v>-0.397931460830803</v>
      </c>
      <c r="AA207" s="22" t="n">
        <f aca="false">100*(AA73-AA72)</f>
        <v>-0.466261901813203</v>
      </c>
      <c r="AB207" s="22" t="n">
        <f aca="false">100*(AB73-AB72)</f>
        <v>-0.524565182461378</v>
      </c>
      <c r="AC207" s="22" t="n">
        <f aca="false">100*(AC73-AC72)</f>
        <v>-0.573324926225194</v>
      </c>
      <c r="AD207" s="22" t="n">
        <f aca="false">100*(AD73-AD72)</f>
        <v>-0.613163879111633</v>
      </c>
      <c r="AE207" s="22" t="n">
        <f aca="false">100*(AE73-AE72)</f>
        <v>-0.644816946404703</v>
      </c>
      <c r="AF207" s="22" t="n">
        <f aca="false">100*(AF73-AF72)</f>
        <v>-0.66907665256859</v>
      </c>
      <c r="AG207" s="22" t="n">
        <f aca="false">100*(AG73-AG72)</f>
        <v>-0.686769598345105</v>
      </c>
      <c r="AH207" s="22" t="n">
        <f aca="false">100*(AH73-AH72)</f>
        <v>-0.698740477400905</v>
      </c>
      <c r="AI207" s="22" t="n">
        <f aca="false">100*(AI73-AI72)</f>
        <v>-0.705804607359806</v>
      </c>
      <c r="AJ207" s="22" t="n">
        <f aca="false">100*(AJ73-AJ72)</f>
        <v>-0.708732145285618</v>
      </c>
      <c r="AK207" s="22" t="n">
        <f aca="false">100*(AK73-AK72)</f>
        <v>-0.708252188834901</v>
      </c>
      <c r="AL207" s="22" t="n">
        <f aca="false">AVERAGE(C207:AK207)</f>
        <v>0.451051101671665</v>
      </c>
    </row>
    <row r="208" customFormat="false" ht="15" hidden="false" customHeight="false" outlineLevel="0" collapsed="false">
      <c r="A208" s="20" t="n">
        <f aca="false">A74</f>
        <v>-51</v>
      </c>
      <c r="B208" s="21" t="n">
        <f aca="false">B74</f>
        <v>41418</v>
      </c>
      <c r="C208" s="22" t="n">
        <f aca="false">100*(C74-C73)</f>
        <v>-1.67936652171081</v>
      </c>
      <c r="D208" s="22" t="n">
        <f aca="false">100*(D74-D73)</f>
        <v>-1.84558332099871</v>
      </c>
      <c r="E208" s="22" t="n">
        <f aca="false">100*(E74-E73)</f>
        <v>-1.98965404135161</v>
      </c>
      <c r="F208" s="22" t="n">
        <f aca="false">100*(F74-F73)</f>
        <v>-2.11356562739349</v>
      </c>
      <c r="G208" s="22" t="n">
        <f aca="false">100*(G74-G73)</f>
        <v>-2.21954887127183</v>
      </c>
      <c r="H208" s="22" t="n">
        <f aca="false">100*(H74-H73)</f>
        <v>-2.30982180254662</v>
      </c>
      <c r="I208" s="22" t="n">
        <f aca="false">100*(I74-I73)</f>
        <v>-2.38658795267819</v>
      </c>
      <c r="J208" s="22" t="n">
        <f aca="false">100*(J74-J73)</f>
        <v>-2.45203950678881</v>
      </c>
      <c r="K208" s="22" t="n">
        <f aca="false">100*(K74-K73)</f>
        <v>-2.5083598005017</v>
      </c>
      <c r="L208" s="22" t="n">
        <f aca="false">100*(L74-L73)</f>
        <v>-2.55767788342447</v>
      </c>
      <c r="M208" s="22" t="n">
        <f aca="false">100*(M74-M73)</f>
        <v>-2.60183815128352</v>
      </c>
      <c r="N208" s="22" t="n">
        <f aca="false">100*(N74-N73)</f>
        <v>-2.64233396628448</v>
      </c>
      <c r="O208" s="22" t="n">
        <f aca="false">100*(O74-O73)</f>
        <v>-2.68036694987939</v>
      </c>
      <c r="P208" s="22" t="n">
        <f aca="false">100*(P74-P73)</f>
        <v>-2.7168972828961</v>
      </c>
      <c r="Q208" s="22" t="n">
        <f aca="false">100*(Q74-Q73)</f>
        <v>-2.75269056339962</v>
      </c>
      <c r="R208" s="22" t="n">
        <f aca="false">100*(R74-R73)</f>
        <v>-2.78838138371929</v>
      </c>
      <c r="S208" s="22" t="n">
        <f aca="false">100*(S74-S73)</f>
        <v>-2.82448388109389</v>
      </c>
      <c r="T208" s="22" t="n">
        <f aca="false">100*(T74-T73)</f>
        <v>-2.86140073616847</v>
      </c>
      <c r="U208" s="22" t="n">
        <f aca="false">100*(U74-U73)</f>
        <v>-2.89942766386222</v>
      </c>
      <c r="V208" s="22" t="n">
        <f aca="false">100*(V74-V73)</f>
        <v>-2.93876580277201</v>
      </c>
      <c r="W208" s="22" t="n">
        <f aca="false">100*(W74-W73)</f>
        <v>-2.9795364942887</v>
      </c>
      <c r="X208" s="22" t="n">
        <f aca="false">100*(X74-X73)</f>
        <v>-3.0218009114797</v>
      </c>
      <c r="Y208" s="22" t="n">
        <f aca="false">100*(Y74-Y73)</f>
        <v>-3.06556599433088</v>
      </c>
      <c r="Z208" s="22" t="n">
        <f aca="false">100*(Z74-Z73)</f>
        <v>-3.11078877592661</v>
      </c>
      <c r="AA208" s="22" t="n">
        <f aca="false">100*(AA74-AA73)</f>
        <v>-3.15737872031692</v>
      </c>
      <c r="AB208" s="22" t="n">
        <f aca="false">100*(AB74-AB73)</f>
        <v>-3.20520145215601</v>
      </c>
      <c r="AC208" s="22" t="n">
        <f aca="false">100*(AC74-AC73)</f>
        <v>-3.25408411619712</v>
      </c>
      <c r="AD208" s="22" t="n">
        <f aca="false">100*(AD74-AD73)</f>
        <v>-3.30381983630468</v>
      </c>
      <c r="AE208" s="22" t="n">
        <f aca="false">100*(AE74-AE73)</f>
        <v>-3.35417278289749</v>
      </c>
      <c r="AF208" s="22" t="n">
        <f aca="false">100*(AF74-AF73)</f>
        <v>-3.40488998258812</v>
      </c>
      <c r="AG208" s="22" t="n">
        <f aca="false">100*(AG74-AG73)</f>
        <v>-3.45570823730421</v>
      </c>
      <c r="AH208" s="22" t="n">
        <f aca="false">100*(AH74-AH73)</f>
        <v>-3.50635993650639</v>
      </c>
      <c r="AI208" s="22" t="n">
        <f aca="false">100*(AI74-AI73)</f>
        <v>-3.556592109511</v>
      </c>
      <c r="AJ208" s="22" t="n">
        <f aca="false">100*(AJ74-AJ73)</f>
        <v>-3.60617306617437</v>
      </c>
      <c r="AK208" s="22" t="n">
        <f aca="false">100*(AK74-AK73)</f>
        <v>-3.65489046857248</v>
      </c>
      <c r="AL208" s="22" t="n">
        <f aca="false">AVERAGE(C208:AK208)</f>
        <v>-2.840164416988</v>
      </c>
    </row>
    <row r="209" customFormat="false" ht="15" hidden="false" customHeight="false" outlineLevel="0" collapsed="false">
      <c r="A209" s="20" t="n">
        <f aca="false">A75</f>
        <v>-50</v>
      </c>
      <c r="B209" s="21" t="n">
        <f aca="false">B75</f>
        <v>41422</v>
      </c>
      <c r="C209" s="22" t="n">
        <f aca="false">100*(C75-C74)</f>
        <v>6.2101563558314</v>
      </c>
      <c r="D209" s="22" t="n">
        <f aca="false">100*(D75-D74)</f>
        <v>6.31171606884602</v>
      </c>
      <c r="E209" s="22" t="n">
        <f aca="false">100*(E75-E74)</f>
        <v>6.38297377867612</v>
      </c>
      <c r="F209" s="22" t="n">
        <f aca="false">100*(F75-F74)</f>
        <v>6.42711229290209</v>
      </c>
      <c r="G209" s="22" t="n">
        <f aca="false">100*(G75-G74)</f>
        <v>6.4476228604025</v>
      </c>
      <c r="H209" s="22" t="n">
        <f aca="false">100*(H75-H74)</f>
        <v>6.44787151782809</v>
      </c>
      <c r="I209" s="22" t="n">
        <f aca="false">100*(I75-I74)</f>
        <v>6.43112153473306</v>
      </c>
      <c r="J209" s="22" t="n">
        <f aca="false">100*(J75-J74)</f>
        <v>6.40055575425027</v>
      </c>
      <c r="K209" s="22" t="n">
        <f aca="false">100*(K75-K74)</f>
        <v>6.35929215040099</v>
      </c>
      <c r="L209" s="22" t="n">
        <f aca="false">100*(L75-L74)</f>
        <v>6.31028328641237</v>
      </c>
      <c r="M209" s="22" t="n">
        <f aca="false">100*(M75-M74)</f>
        <v>6.2559837354403</v>
      </c>
      <c r="N209" s="22" t="n">
        <f aca="false">100*(N75-N74)</f>
        <v>6.19831486364011</v>
      </c>
      <c r="O209" s="22" t="n">
        <f aca="false">100*(O75-O74)</f>
        <v>6.13875804157149</v>
      </c>
      <c r="P209" s="22" t="n">
        <f aca="false">100*(P75-P74)</f>
        <v>6.07843050550718</v>
      </c>
      <c r="Q209" s="22" t="n">
        <f aca="false">100*(Q75-Q74)</f>
        <v>6.0181417161441</v>
      </c>
      <c r="R209" s="22" t="n">
        <f aca="false">100*(R75-R74)</f>
        <v>5.9584011287551</v>
      </c>
      <c r="S209" s="22" t="n">
        <f aca="false">100*(S75-S74)</f>
        <v>5.89943366136199</v>
      </c>
      <c r="T209" s="22" t="n">
        <f aca="false">100*(T75-T74)</f>
        <v>5.84127377552508</v>
      </c>
      <c r="U209" s="22" t="n">
        <f aca="false">100*(U75-U74)</f>
        <v>5.78385657102092</v>
      </c>
      <c r="V209" s="22" t="n">
        <f aca="false">100*(V75-V74)</f>
        <v>5.72703922102833</v>
      </c>
      <c r="W209" s="22" t="n">
        <f aca="false">100*(W75-W74)</f>
        <v>5.67061443276211</v>
      </c>
      <c r="X209" s="22" t="n">
        <f aca="false">100*(X75-X74)</f>
        <v>5.61435931117571</v>
      </c>
      <c r="Y209" s="22" t="n">
        <f aca="false">100*(Y75-Y74)</f>
        <v>5.5580876153758</v>
      </c>
      <c r="Z209" s="22" t="n">
        <f aca="false">100*(Z75-Z74)</f>
        <v>5.50165229732134</v>
      </c>
      <c r="AA209" s="22" t="n">
        <f aca="false">100*(AA75-AA74)</f>
        <v>5.44495488531092</v>
      </c>
      <c r="AB209" s="22" t="n">
        <f aca="false">100*(AB75-AB74)</f>
        <v>5.38795537646211</v>
      </c>
      <c r="AC209" s="22" t="n">
        <f aca="false">100*(AC75-AC74)</f>
        <v>5.33066692880002</v>
      </c>
      <c r="AD209" s="22" t="n">
        <f aca="false">100*(AD75-AD74)</f>
        <v>5.2731497038407</v>
      </c>
      <c r="AE209" s="22" t="n">
        <f aca="false">100*(AE75-AE74)</f>
        <v>5.21550772633002</v>
      </c>
      <c r="AF209" s="22" t="n">
        <f aca="false">100*(AF75-AF74)</f>
        <v>5.15789092192391</v>
      </c>
      <c r="AG209" s="22" t="n">
        <f aca="false">100*(AG75-AG74)</f>
        <v>5.10049240446122</v>
      </c>
      <c r="AH209" s="22" t="n">
        <f aca="false">100*(AH75-AH74)</f>
        <v>5.0435373526319</v>
      </c>
      <c r="AI209" s="22" t="n">
        <f aca="false">100*(AI75-AI74)</f>
        <v>4.98725600931631</v>
      </c>
      <c r="AJ209" s="22" t="n">
        <f aca="false">100*(AJ75-AJ74)</f>
        <v>4.93187389080769</v>
      </c>
      <c r="AK209" s="22" t="n">
        <f aca="false">100*(AK75-AK74)</f>
        <v>4.87761207473558</v>
      </c>
      <c r="AL209" s="22" t="n">
        <f aca="false">AVERAGE(C209:AK209)</f>
        <v>5.7921128500438</v>
      </c>
    </row>
    <row r="210" customFormat="false" ht="15" hidden="false" customHeight="false" outlineLevel="0" collapsed="false">
      <c r="A210" s="20" t="n">
        <f aca="false">A76</f>
        <v>-49</v>
      </c>
      <c r="B210" s="21" t="n">
        <f aca="false">B76</f>
        <v>41423</v>
      </c>
      <c r="C210" s="22" t="n">
        <f aca="false">100*(C76-C75)</f>
        <v>4.43866864686442</v>
      </c>
      <c r="D210" s="22" t="n">
        <f aca="false">100*(D76-D75)</f>
        <v>4.47975528657509</v>
      </c>
      <c r="E210" s="22" t="n">
        <f aca="false">100*(E76-E75)</f>
        <v>4.51443371799929</v>
      </c>
      <c r="F210" s="22" t="n">
        <f aca="false">100*(F76-F75)</f>
        <v>4.54350419426151</v>
      </c>
      <c r="G210" s="22" t="n">
        <f aca="false">100*(G76-G75)</f>
        <v>4.56744355894272</v>
      </c>
      <c r="H210" s="22" t="n">
        <f aca="false">100*(H76-H75)</f>
        <v>4.58658968886221</v>
      </c>
      <c r="I210" s="22" t="n">
        <f aca="false">100*(I76-I75)</f>
        <v>4.60117525404202</v>
      </c>
      <c r="J210" s="22" t="n">
        <f aca="false">100*(J76-J75)</f>
        <v>4.61135058874871</v>
      </c>
      <c r="K210" s="22" t="n">
        <f aca="false">100*(K76-K75)</f>
        <v>4.6172007750009</v>
      </c>
      <c r="L210" s="22" t="n">
        <f aca="false">100*(L76-L75)</f>
        <v>4.61876941658472</v>
      </c>
      <c r="M210" s="22" t="n">
        <f aca="false">100*(M76-M75)</f>
        <v>4.61612404788792</v>
      </c>
      <c r="N210" s="22" t="n">
        <f aca="false">100*(N76-N75)</f>
        <v>4.60938020330239</v>
      </c>
      <c r="O210" s="22" t="n">
        <f aca="false">100*(O76-O75)</f>
        <v>4.59869363036969</v>
      </c>
      <c r="P210" s="22" t="n">
        <f aca="false">100*(P76-P75)</f>
        <v>4.58425335647892</v>
      </c>
      <c r="Q210" s="22" t="n">
        <f aca="false">100*(Q76-Q75)</f>
        <v>4.56627252431092</v>
      </c>
      <c r="R210" s="22" t="n">
        <f aca="false">100*(R76-R75)</f>
        <v>4.5449533402885</v>
      </c>
      <c r="S210" s="22" t="n">
        <f aca="false">100*(S76-S75)</f>
        <v>4.5204672076252</v>
      </c>
      <c r="T210" s="22" t="n">
        <f aca="false">100*(T76-T75)</f>
        <v>4.49297022278943</v>
      </c>
      <c r="U210" s="22" t="n">
        <f aca="false">100*(U76-U75)</f>
        <v>4.46262016795029</v>
      </c>
      <c r="V210" s="22" t="n">
        <f aca="false">100*(V76-V75)</f>
        <v>4.4295781052174</v>
      </c>
      <c r="W210" s="22" t="n">
        <f aca="false">100*(W76-W75)</f>
        <v>4.39400827438661</v>
      </c>
      <c r="X210" s="22" t="n">
        <f aca="false">100*(X76-X75)</f>
        <v>4.35608552633671</v>
      </c>
      <c r="Y210" s="22" t="n">
        <f aca="false">100*(Y76-Y75)</f>
        <v>4.31600558558687</v>
      </c>
      <c r="Z210" s="22" t="n">
        <f aca="false">100*(Z76-Z75)</f>
        <v>4.2739844557949</v>
      </c>
      <c r="AA210" s="22" t="n">
        <f aca="false">100*(AA76-AA75)</f>
        <v>4.2302604239906</v>
      </c>
      <c r="AB210" s="22" t="n">
        <f aca="false">100*(AB76-AB75)</f>
        <v>4.1850956723346</v>
      </c>
      <c r="AC210" s="22" t="n">
        <f aca="false">100*(AC76-AC75)</f>
        <v>4.13877378500889</v>
      </c>
      <c r="AD210" s="22" t="n">
        <f aca="false">100*(AD76-AD75)</f>
        <v>4.09159725711668</v>
      </c>
      <c r="AE210" s="22" t="n">
        <f aca="false">100*(AE76-AE75)</f>
        <v>4.04388420899089</v>
      </c>
      <c r="AF210" s="22" t="n">
        <f aca="false">100*(AF76-AF75)</f>
        <v>3.9959615855218</v>
      </c>
      <c r="AG210" s="22" t="n">
        <f aca="false">100*(AG76-AG75)</f>
        <v>3.94816182147637</v>
      </c>
      <c r="AH210" s="22" t="n">
        <f aca="false">100*(AH76-AH75)</f>
        <v>3.9008173407455</v>
      </c>
      <c r="AI210" s="22" t="n">
        <f aca="false">100*(AI76-AI75)</f>
        <v>3.8542434906407</v>
      </c>
      <c r="AJ210" s="22" t="n">
        <f aca="false">100*(AJ76-AJ75)</f>
        <v>3.80873375811528</v>
      </c>
      <c r="AK210" s="22" t="n">
        <f aca="false">100*(AK76-AK75)</f>
        <v>3.76456183245351</v>
      </c>
      <c r="AL210" s="22" t="n">
        <f aca="false">AVERAGE(C210:AK210)</f>
        <v>4.3516108272172</v>
      </c>
    </row>
    <row r="211" customFormat="false" ht="15" hidden="false" customHeight="false" outlineLevel="0" collapsed="false">
      <c r="A211" s="20" t="n">
        <f aca="false">A77</f>
        <v>-48</v>
      </c>
      <c r="B211" s="21" t="n">
        <f aca="false">B77</f>
        <v>41424</v>
      </c>
      <c r="C211" s="22" t="n">
        <f aca="false">100*(C77-C76)</f>
        <v>-3.83364888012712</v>
      </c>
      <c r="D211" s="22" t="n">
        <f aca="false">100*(D77-D76)</f>
        <v>-3.92744179060001</v>
      </c>
      <c r="E211" s="22" t="n">
        <f aca="false">100*(E77-E76)</f>
        <v>-3.9951594212869</v>
      </c>
      <c r="F211" s="22" t="n">
        <f aca="false">100*(F77-F76)</f>
        <v>-4.03785435318631</v>
      </c>
      <c r="G211" s="22" t="n">
        <f aca="false">100*(G77-G76)</f>
        <v>-4.05725683675309</v>
      </c>
      <c r="H211" s="22" t="n">
        <f aca="false">100*(H77-H76)</f>
        <v>-4.05547815961218</v>
      </c>
      <c r="I211" s="22" t="n">
        <f aca="false">100*(I77-I76)</f>
        <v>-4.03492149545692</v>
      </c>
      <c r="J211" s="22" t="n">
        <f aca="false">100*(J77-J76)</f>
        <v>-3.99821845055639</v>
      </c>
      <c r="K211" s="22" t="n">
        <f aca="false">100*(K77-K76)</f>
        <v>-3.9481810412906</v>
      </c>
      <c r="L211" s="22" t="n">
        <f aca="false">100*(L77-L76)</f>
        <v>-3.88770549414161</v>
      </c>
      <c r="M211" s="22" t="n">
        <f aca="false">100*(M77-M76)</f>
        <v>-3.8195380595945</v>
      </c>
      <c r="N211" s="22" t="n">
        <f aca="false">100*(N77-N76)</f>
        <v>-3.74621748488129</v>
      </c>
      <c r="O211" s="22" t="n">
        <f aca="false">100*(O77-O76)</f>
        <v>-3.67011036873839</v>
      </c>
      <c r="P211" s="22" t="n">
        <f aca="false">100*(P77-P76)</f>
        <v>-3.59344084218143</v>
      </c>
      <c r="Q211" s="22" t="n">
        <f aca="false">100*(Q77-Q76)</f>
        <v>-3.51830839454101</v>
      </c>
      <c r="R211" s="22" t="n">
        <f aca="false">100*(R77-R76)</f>
        <v>-3.44661753576463</v>
      </c>
      <c r="S211" s="22" t="n">
        <f aca="false">100*(S77-S76)</f>
        <v>-3.37999273334679</v>
      </c>
      <c r="T211" s="22" t="n">
        <f aca="false">100*(T77-T76)</f>
        <v>-3.31975944229694</v>
      </c>
      <c r="U211" s="22" t="n">
        <f aca="false">100*(U77-U76)</f>
        <v>-3.266932941697</v>
      </c>
      <c r="V211" s="22" t="n">
        <f aca="false">100*(V77-V76)</f>
        <v>-3.22225659047164</v>
      </c>
      <c r="W211" s="22" t="n">
        <f aca="false">100*(W77-W76)</f>
        <v>-3.1862360962279</v>
      </c>
      <c r="X211" s="22" t="n">
        <f aca="false">100*(X77-X76)</f>
        <v>-3.15912203454651</v>
      </c>
      <c r="Y211" s="22" t="n">
        <f aca="false">100*(Y77-Y76)</f>
        <v>-3.14088425632511</v>
      </c>
      <c r="Z211" s="22" t="n">
        <f aca="false">100*(Z77-Z76)</f>
        <v>-3.13124367261151</v>
      </c>
      <c r="AA211" s="22" t="n">
        <f aca="false">100*(AA77-AA76)</f>
        <v>-3.12973847862459</v>
      </c>
      <c r="AB211" s="22" t="n">
        <f aca="false">100*(AB77-AB76)</f>
        <v>-3.13578686437901</v>
      </c>
      <c r="AC211" s="22" t="n">
        <f aca="false">100*(AC77-AC76)</f>
        <v>-3.14870575519737</v>
      </c>
      <c r="AD211" s="22" t="n">
        <f aca="false">100*(AD77-AD76)</f>
        <v>-3.16772267772687</v>
      </c>
      <c r="AE211" s="22" t="n">
        <f aca="false">100*(AE77-AE76)</f>
        <v>-3.19199712663401</v>
      </c>
      <c r="AF211" s="22" t="n">
        <f aca="false">100*(AF77-AF76)</f>
        <v>-3.22066817138671</v>
      </c>
      <c r="AG211" s="22" t="n">
        <f aca="false">100*(AG77-AG76)</f>
        <v>-3.25287233346447</v>
      </c>
      <c r="AH211" s="22" t="n">
        <f aca="false">100*(AH77-AH76)</f>
        <v>-3.28775567580148</v>
      </c>
      <c r="AI211" s="22" t="n">
        <f aca="false">100*(AI77-AI76)</f>
        <v>-3.32451252458852</v>
      </c>
      <c r="AJ211" s="22" t="n">
        <f aca="false">100*(AJ77-AJ76)</f>
        <v>-3.36239546019597</v>
      </c>
      <c r="AK211" s="22" t="n">
        <f aca="false">100*(AK77-AK76)</f>
        <v>-3.40070976281521</v>
      </c>
      <c r="AL211" s="22" t="n">
        <f aca="false">AVERAGE(C211:AK211)</f>
        <v>-3.51426832020143</v>
      </c>
    </row>
    <row r="212" customFormat="false" ht="15" hidden="false" customHeight="false" outlineLevel="0" collapsed="false">
      <c r="A212" s="20" t="n">
        <f aca="false">A78</f>
        <v>-47</v>
      </c>
      <c r="B212" s="21" t="n">
        <f aca="false">B78</f>
        <v>41425</v>
      </c>
      <c r="C212" s="22" t="n">
        <f aca="false">100*(C78-C77)</f>
        <v>4.8561339703181</v>
      </c>
      <c r="D212" s="22" t="n">
        <f aca="false">100*(D78-D77)</f>
        <v>5.0001112629555</v>
      </c>
      <c r="E212" s="22" t="n">
        <f aca="false">100*(E78-E77)</f>
        <v>5.12234848079749</v>
      </c>
      <c r="F212" s="22" t="n">
        <f aca="false">100*(F78-F77)</f>
        <v>5.22364132624769</v>
      </c>
      <c r="G212" s="22" t="n">
        <f aca="false">100*(G78-G77)</f>
        <v>5.30477751032077</v>
      </c>
      <c r="H212" s="22" t="n">
        <f aca="false">100*(H78-H77)</f>
        <v>5.36666207657559</v>
      </c>
      <c r="I212" s="22" t="n">
        <f aca="false">100*(I78-I77)</f>
        <v>5.4102933855265</v>
      </c>
      <c r="J212" s="22" t="n">
        <f aca="false">100*(J78-J77)</f>
        <v>5.4367428283483</v>
      </c>
      <c r="K212" s="22" t="n">
        <f aca="false">100*(K78-K77)</f>
        <v>5.44713900555269</v>
      </c>
      <c r="L212" s="22" t="n">
        <f aca="false">100*(L78-L77)</f>
        <v>5.44264482862511</v>
      </c>
      <c r="M212" s="22" t="n">
        <f aca="false">100*(M78-M77)</f>
        <v>5.42446870768161</v>
      </c>
      <c r="N212" s="22" t="n">
        <f aca="false">100*(N78-N77)</f>
        <v>5.39388100363958</v>
      </c>
      <c r="O212" s="22" t="n">
        <f aca="false">100*(O78-O77)</f>
        <v>5.35220403743288</v>
      </c>
      <c r="P212" s="22" t="n">
        <f aca="false">100*(P78-P77)</f>
        <v>5.30080313138912</v>
      </c>
      <c r="Q212" s="22" t="n">
        <f aca="false">100*(Q78-Q77)</f>
        <v>5.24107713655511</v>
      </c>
      <c r="R212" s="22" t="n">
        <f aca="false">100*(R78-R77)</f>
        <v>5.17446700475421</v>
      </c>
      <c r="S212" s="22" t="n">
        <f aca="false">100*(S78-S77)</f>
        <v>5.10249031425167</v>
      </c>
      <c r="T212" s="22" t="n">
        <f aca="false">100*(T78-T77)</f>
        <v>5.02665471770292</v>
      </c>
      <c r="U212" s="22" t="n">
        <f aca="false">100*(U78-U77)</f>
        <v>4.94837179863521</v>
      </c>
      <c r="V212" s="22" t="n">
        <f aca="false">100*(V78-V77)</f>
        <v>4.8689623450584</v>
      </c>
      <c r="W212" s="22" t="n">
        <f aca="false">100*(W78-W77)</f>
        <v>4.7896628802111</v>
      </c>
      <c r="X212" s="22" t="n">
        <f aca="false">100*(X78-X77)</f>
        <v>4.71156602809879</v>
      </c>
      <c r="Y212" s="22" t="n">
        <f aca="false">100*(Y78-Y77)</f>
        <v>4.6355661245677</v>
      </c>
      <c r="Z212" s="22" t="n">
        <f aca="false">100*(Z78-Z77)</f>
        <v>4.56237761156357</v>
      </c>
      <c r="AA212" s="22" t="n">
        <f aca="false">100*(AA78-AA77)</f>
        <v>4.49255501916639</v>
      </c>
      <c r="AB212" s="22" t="n">
        <f aca="false">100*(AB78-AB77)</f>
        <v>4.42650851669511</v>
      </c>
      <c r="AC212" s="22" t="n">
        <f aca="false">100*(AC78-AC77)</f>
        <v>4.36452052537706</v>
      </c>
      <c r="AD212" s="22" t="n">
        <f aca="false">100*(AD78-AD77)</f>
        <v>4.30676059715549</v>
      </c>
      <c r="AE212" s="22" t="n">
        <f aca="false">100*(AE78-AE77)</f>
        <v>4.25329968366461</v>
      </c>
      <c r="AF212" s="22" t="n">
        <f aca="false">100*(AF78-AF77)</f>
        <v>4.20412455832859</v>
      </c>
      <c r="AG212" s="22" t="n">
        <f aca="false">100*(AG78-AG77)</f>
        <v>4.15914778717768</v>
      </c>
      <c r="AH212" s="22" t="n">
        <f aca="false">100*(AH78-AH77)</f>
        <v>4.11822277178389</v>
      </c>
      <c r="AI212" s="22" t="n">
        <f aca="false">100*(AI78-AI77)</f>
        <v>4.08117592514743</v>
      </c>
      <c r="AJ212" s="22" t="n">
        <f aca="false">100*(AJ78-AJ77)</f>
        <v>4.04781966592527</v>
      </c>
      <c r="AK212" s="22" t="n">
        <f aca="false">100*(AK78-AK77)</f>
        <v>4.01795402211591</v>
      </c>
      <c r="AL212" s="22" t="n">
        <f aca="false">AVERAGE(C212:AK212)</f>
        <v>4.84614675969563</v>
      </c>
    </row>
    <row r="213" customFormat="false" ht="15" hidden="false" customHeight="false" outlineLevel="0" collapsed="false">
      <c r="A213" s="20" t="n">
        <f aca="false">A79</f>
        <v>-46</v>
      </c>
      <c r="B213" s="21" t="n">
        <f aca="false">B79</f>
        <v>41428</v>
      </c>
      <c r="C213" s="22" t="n">
        <f aca="false">100*(C79-C78)</f>
        <v>-0.798531508621503</v>
      </c>
      <c r="D213" s="22" t="n">
        <f aca="false">100*(D79-D78)</f>
        <v>-0.817352659738302</v>
      </c>
      <c r="E213" s="22" t="n">
        <f aca="false">100*(E79-E78)</f>
        <v>-0.818880849538095</v>
      </c>
      <c r="F213" s="22" t="n">
        <f aca="false">100*(F79-F78)</f>
        <v>-0.802097405420277</v>
      </c>
      <c r="G213" s="22" t="n">
        <f aca="false">100*(G79-G78)</f>
        <v>-0.767009221486781</v>
      </c>
      <c r="H213" s="22" t="n">
        <f aca="false">100*(H79-H78)</f>
        <v>-0.7144009875796</v>
      </c>
      <c r="I213" s="22" t="n">
        <f aca="false">100*(I79-I78)</f>
        <v>-0.645658166884289</v>
      </c>
      <c r="J213" s="22" t="n">
        <f aca="false">100*(J79-J78)</f>
        <v>-0.56263639302867</v>
      </c>
      <c r="K213" s="22" t="n">
        <f aca="false">100*(K79-K78)</f>
        <v>-0.467563223394585</v>
      </c>
      <c r="L213" s="22" t="n">
        <f aca="false">100*(L79-L78)</f>
        <v>-0.362923578785113</v>
      </c>
      <c r="M213" s="22" t="n">
        <f aca="false">100*(M79-M78)</f>
        <v>-0.251267350766504</v>
      </c>
      <c r="N213" s="22" t="n">
        <f aca="false">100*(N79-N78)</f>
        <v>-0.135142743018468</v>
      </c>
      <c r="O213" s="22" t="n">
        <f aca="false">100*(O79-O78)</f>
        <v>-0.017095548990298</v>
      </c>
      <c r="P213" s="22" t="n">
        <f aca="false">100*(P79-P78)</f>
        <v>0.100330432542295</v>
      </c>
      <c r="Q213" s="22" t="n">
        <f aca="false">100*(Q79-Q78)</f>
        <v>0.214603046023898</v>
      </c>
      <c r="R213" s="22" t="n">
        <f aca="false">100*(R79-R78)</f>
        <v>0.323331675752225</v>
      </c>
      <c r="S213" s="22" t="n">
        <f aca="false">100*(S79-S78)</f>
        <v>0.424400013212711</v>
      </c>
      <c r="T213" s="22" t="n">
        <f aca="false">100*(T79-T78)</f>
        <v>0.516017572370897</v>
      </c>
      <c r="U213" s="22" t="n">
        <f aca="false">100*(U79-U78)</f>
        <v>0.59675571310458</v>
      </c>
      <c r="V213" s="22" t="n">
        <f aca="false">100*(V79-V78)</f>
        <v>0.665504555824814</v>
      </c>
      <c r="W213" s="22" t="n">
        <f aca="false">100*(W79-W78)</f>
        <v>0.721435150198779</v>
      </c>
      <c r="X213" s="22" t="n">
        <f aca="false">100*(X79-X78)</f>
        <v>0.764045151440218</v>
      </c>
      <c r="Y213" s="22" t="n">
        <f aca="false">100*(Y79-Y78)</f>
        <v>0.793209662498517</v>
      </c>
      <c r="Z213" s="22" t="n">
        <f aca="false">100*(Z79-Z78)</f>
        <v>0.809140086809634</v>
      </c>
      <c r="AA213" s="22" t="n">
        <f aca="false">100*(AA79-AA78)</f>
        <v>0.812308024203601</v>
      </c>
      <c r="AB213" s="22" t="n">
        <f aca="false">100*(AB79-AB78)</f>
        <v>0.803376600803407</v>
      </c>
      <c r="AC213" s="22" t="n">
        <f aca="false">100*(AC79-AC78)</f>
        <v>0.783173901306533</v>
      </c>
      <c r="AD213" s="22" t="n">
        <f aca="false">100*(AD79-AD78)</f>
        <v>0.752673641506618</v>
      </c>
      <c r="AE213" s="22" t="n">
        <f aca="false">100*(AE79-AE78)</f>
        <v>0.712963713148795</v>
      </c>
      <c r="AF213" s="22" t="n">
        <f aca="false">100*(AF79-AF78)</f>
        <v>0.665183659786894</v>
      </c>
      <c r="AG213" s="22" t="n">
        <f aca="false">100*(AG79-AG78)</f>
        <v>0.610500709836126</v>
      </c>
      <c r="AH213" s="22" t="n">
        <f aca="false">100*(AH79-AH78)</f>
        <v>0.550088629429801</v>
      </c>
      <c r="AI213" s="22" t="n">
        <f aca="false">100*(AI79-AI78)</f>
        <v>0.485068511473497</v>
      </c>
      <c r="AJ213" s="22" t="n">
        <f aca="false">100*(AJ79-AJ78)</f>
        <v>0.41649326614821</v>
      </c>
      <c r="AK213" s="22" t="n">
        <f aca="false">100*(AK79-AK78)</f>
        <v>0.345354100484707</v>
      </c>
      <c r="AL213" s="22" t="n">
        <f aca="false">AVERAGE(C213:AK213)</f>
        <v>0.163011376590122</v>
      </c>
    </row>
    <row r="214" customFormat="false" ht="15" hidden="false" customHeight="false" outlineLevel="0" collapsed="false">
      <c r="A214" s="20" t="n">
        <f aca="false">A80</f>
        <v>-45</v>
      </c>
      <c r="B214" s="21" t="n">
        <f aca="false">B80</f>
        <v>41429</v>
      </c>
      <c r="C214" s="22" t="n">
        <f aca="false">100*(C80-C79)</f>
        <v>4.56606542546272</v>
      </c>
      <c r="D214" s="22" t="n">
        <f aca="false">100*(D80-D79)</f>
        <v>4.6225133600946</v>
      </c>
      <c r="E214" s="22" t="n">
        <f aca="false">100*(E80-E79)</f>
        <v>4.66662719782351</v>
      </c>
      <c r="F214" s="22" t="n">
        <f aca="false">100*(F80-F79)</f>
        <v>4.69902393013881</v>
      </c>
      <c r="G214" s="22" t="n">
        <f aca="false">100*(G80-G79)</f>
        <v>4.7201034374611</v>
      </c>
      <c r="H214" s="22" t="n">
        <f aca="false">100*(H80-H79)</f>
        <v>4.7302081211035</v>
      </c>
      <c r="I214" s="22" t="n">
        <f aca="false">100*(I80-I79)</f>
        <v>4.72963768179793</v>
      </c>
      <c r="J214" s="22" t="n">
        <f aca="false">100*(J80-J79)</f>
        <v>4.7186584024296</v>
      </c>
      <c r="K214" s="22" t="n">
        <f aca="false">100*(K80-K79)</f>
        <v>4.69751041455138</v>
      </c>
      <c r="L214" s="22" t="n">
        <f aca="false">100*(L80-L79)</f>
        <v>4.66645160071981</v>
      </c>
      <c r="M214" s="22" t="n">
        <f aca="false">100*(M80-M79)</f>
        <v>4.62588902082048</v>
      </c>
      <c r="N214" s="22" t="n">
        <f aca="false">100*(N80-N79)</f>
        <v>4.57640192637836</v>
      </c>
      <c r="O214" s="22" t="n">
        <f aca="false">100*(O80-O79)</f>
        <v>4.51871192759161</v>
      </c>
      <c r="P214" s="22" t="n">
        <f aca="false">100*(P80-P79)</f>
        <v>4.453658448733</v>
      </c>
      <c r="Q214" s="22" t="n">
        <f aca="false">100*(Q80-Q79)</f>
        <v>4.3821821189276</v>
      </c>
      <c r="R214" s="22" t="n">
        <f aca="false">100*(R80-R79)</f>
        <v>4.30535525844937</v>
      </c>
      <c r="S214" s="22" t="n">
        <f aca="false">100*(S80-S79)</f>
        <v>4.2244106380958</v>
      </c>
      <c r="T214" s="22" t="n">
        <f aca="false">100*(T80-T79)</f>
        <v>4.14062988802502</v>
      </c>
      <c r="U214" s="22" t="n">
        <f aca="false">100*(U80-U79)</f>
        <v>4.05523878489951</v>
      </c>
      <c r="V214" s="22" t="n">
        <f aca="false">100*(V80-V79)</f>
        <v>3.96940581947889</v>
      </c>
      <c r="W214" s="22" t="n">
        <f aca="false">100*(W80-W79)</f>
        <v>3.88424434689152</v>
      </c>
      <c r="X214" s="22" t="n">
        <f aca="false">100*(X80-X79)</f>
        <v>3.8007505879889</v>
      </c>
      <c r="Y214" s="22" t="n">
        <f aca="false">100*(Y80-Y79)</f>
        <v>3.7197456570945</v>
      </c>
      <c r="Z214" s="22" t="n">
        <f aca="false">100*(Z80-Z79)</f>
        <v>3.64189024716328</v>
      </c>
      <c r="AA214" s="22" t="n">
        <f aca="false">100*(AA80-AA79)</f>
        <v>3.56769841193771</v>
      </c>
      <c r="AB214" s="22" t="n">
        <f aca="false">100*(AB80-AB79)</f>
        <v>3.49754886847418</v>
      </c>
      <c r="AC214" s="22" t="n">
        <f aca="false">100*(AC80-AC79)</f>
        <v>3.4317004658639</v>
      </c>
      <c r="AD214" s="22" t="n">
        <f aca="false">100*(AD80-AD79)</f>
        <v>3.37030611966287</v>
      </c>
      <c r="AE214" s="22" t="n">
        <f aca="false">100*(AE80-AE79)</f>
        <v>3.31342460289887</v>
      </c>
      <c r="AF214" s="22" t="n">
        <f aca="false">100*(AF80-AF79)</f>
        <v>3.26103033333451</v>
      </c>
      <c r="AG214" s="22" t="n">
        <f aca="false">100*(AG80-AG79)</f>
        <v>3.2130224006611</v>
      </c>
      <c r="AH214" s="22" t="n">
        <f aca="false">100*(AH80-AH79)</f>
        <v>3.16923831842648</v>
      </c>
      <c r="AI214" s="22" t="n">
        <f aca="false">100*(AI80-AI79)</f>
        <v>3.12948023277331</v>
      </c>
      <c r="AJ214" s="22" t="n">
        <f aca="false">100*(AJ80-AJ79)</f>
        <v>3.09352594910042</v>
      </c>
      <c r="AK214" s="22" t="n">
        <f aca="false">100*(AK80-AK79)</f>
        <v>3.0611314995376</v>
      </c>
      <c r="AL214" s="22" t="n">
        <f aca="false">AVERAGE(C214:AK214)</f>
        <v>4.03495489842262</v>
      </c>
    </row>
    <row r="215" customFormat="false" ht="15" hidden="false" customHeight="false" outlineLevel="0" collapsed="false">
      <c r="A215" s="20" t="n">
        <f aca="false">A81</f>
        <v>-44</v>
      </c>
      <c r="B215" s="21" t="n">
        <f aca="false">B81</f>
        <v>41430</v>
      </c>
      <c r="C215" s="22" t="n">
        <f aca="false">100*(C81-C80)</f>
        <v>-2.61010749951491</v>
      </c>
      <c r="D215" s="22" t="n">
        <f aca="false">100*(D81-D80)</f>
        <v>-2.64088947766781</v>
      </c>
      <c r="E215" s="22" t="n">
        <f aca="false">100*(E81-E80)</f>
        <v>-2.66631604373691</v>
      </c>
      <c r="F215" s="22" t="n">
        <f aca="false">100*(F81-F80)</f>
        <v>-2.68564249477832</v>
      </c>
      <c r="G215" s="22" t="n">
        <f aca="false">100*(G81-G80)</f>
        <v>-2.69834310221562</v>
      </c>
      <c r="H215" s="22" t="n">
        <f aca="false">100*(H81-H80)</f>
        <v>-2.70408576265129</v>
      </c>
      <c r="I215" s="22" t="n">
        <f aca="false">100*(I81-I80)</f>
        <v>-2.70268821580943</v>
      </c>
      <c r="J215" s="22" t="n">
        <f aca="false">100*(J81-J80)</f>
        <v>-2.69408546994292</v>
      </c>
      <c r="K215" s="22" t="n">
        <f aca="false">100*(K81-K80)</f>
        <v>-2.67830591863336</v>
      </c>
      <c r="L215" s="22" t="n">
        <f aca="false">100*(L81-L80)</f>
        <v>-2.65548517617362</v>
      </c>
      <c r="M215" s="22" t="n">
        <f aca="false">100*(M81-M80)</f>
        <v>-2.6259297564756</v>
      </c>
      <c r="N215" s="22" t="n">
        <f aca="false">100*(N81-N80)</f>
        <v>-2.5901086343048</v>
      </c>
      <c r="O215" s="22" t="n">
        <f aca="false">100*(O81-O80)</f>
        <v>-2.54862439961223</v>
      </c>
      <c r="P215" s="22" t="n">
        <f aca="false">100*(P81-P80)</f>
        <v>-2.50219022043399</v>
      </c>
      <c r="Q215" s="22" t="n">
        <f aca="false">100*(Q81-Q80)</f>
        <v>-2.45161394968632</v>
      </c>
      <c r="R215" s="22" t="n">
        <f aca="false">100*(R81-R80)</f>
        <v>-2.39780106167951</v>
      </c>
      <c r="S215" s="22" t="n">
        <f aca="false">100*(S81-S80)</f>
        <v>-2.34174462062158</v>
      </c>
      <c r="T215" s="22" t="n">
        <f aca="false">100*(T81-T80)</f>
        <v>-2.28444940233521</v>
      </c>
      <c r="U215" s="22" t="n">
        <f aca="false">100*(U81-U80)</f>
        <v>-2.22686316546827</v>
      </c>
      <c r="V215" s="22" t="n">
        <f aca="false">100*(V81-V80)</f>
        <v>-2.16987806371649</v>
      </c>
      <c r="W215" s="22" t="n">
        <f aca="false">100*(W81-W80)</f>
        <v>-2.11433433508832</v>
      </c>
      <c r="X215" s="22" t="n">
        <f aca="false">100*(X81-X80)</f>
        <v>-2.0609756152477</v>
      </c>
      <c r="Y215" s="22" t="n">
        <f aca="false">100*(Y81-Y80)</f>
        <v>-2.01040424323051</v>
      </c>
      <c r="Z215" s="22" t="n">
        <f aca="false">100*(Z81-Z80)</f>
        <v>-1.96309325367992</v>
      </c>
      <c r="AA215" s="22" t="n">
        <f aca="false">100*(AA81-AA80)</f>
        <v>-1.91940126240211</v>
      </c>
      <c r="AB215" s="22" t="n">
        <f aca="false">100*(AB81-AB80)</f>
        <v>-1.87958493149849</v>
      </c>
      <c r="AC215" s="22" t="n">
        <f aca="false">100*(AC81-AC80)</f>
        <v>-1.84381094217492</v>
      </c>
      <c r="AD215" s="22" t="n">
        <f aca="false">100*(AD81-AD80)</f>
        <v>-1.81216646590459</v>
      </c>
      <c r="AE215" s="22" t="n">
        <f aca="false">100*(AE81-AE80)</f>
        <v>-1.78466885035258</v>
      </c>
      <c r="AF215" s="22" t="n">
        <f aca="false">100*(AF81-AF80)</f>
        <v>-1.76127533445452</v>
      </c>
      <c r="AG215" s="22" t="n">
        <f aca="false">100*(AG81-AG80)</f>
        <v>-1.74189027295943</v>
      </c>
      <c r="AH215" s="22" t="n">
        <f aca="false">100*(AH81-AH80)</f>
        <v>-1.72637475354889</v>
      </c>
      <c r="AI215" s="22" t="n">
        <f aca="false">100*(AI81-AI80)</f>
        <v>-1.7145630050809</v>
      </c>
      <c r="AJ215" s="22" t="n">
        <f aca="false">100*(AJ81-AJ80)</f>
        <v>-1.70626900167741</v>
      </c>
      <c r="AK215" s="22" t="n">
        <f aca="false">100*(AK81-AK80)</f>
        <v>-1.70128853720111</v>
      </c>
      <c r="AL215" s="22" t="n">
        <f aca="false">AVERAGE(C215:AK215)</f>
        <v>-2.24615009257027</v>
      </c>
    </row>
    <row r="216" customFormat="false" ht="15" hidden="false" customHeight="false" outlineLevel="0" collapsed="false">
      <c r="A216" s="20" t="n">
        <f aca="false">A82</f>
        <v>-43</v>
      </c>
      <c r="B216" s="21" t="n">
        <f aca="false">B82</f>
        <v>41431</v>
      </c>
      <c r="C216" s="22" t="n">
        <f aca="false">100*(C82-C81)</f>
        <v>2.1628270851346</v>
      </c>
      <c r="D216" s="22" t="n">
        <f aca="false">100*(D82-D81)</f>
        <v>2.14038718237441</v>
      </c>
      <c r="E216" s="22" t="n">
        <f aca="false">100*(E82-E81)</f>
        <v>2.10732172042738</v>
      </c>
      <c r="F216" s="22" t="n">
        <f aca="false">100*(F82-F81)</f>
        <v>2.06299186304011</v>
      </c>
      <c r="G216" s="22" t="n">
        <f aca="false">100*(G82-G81)</f>
        <v>2.00689539057333</v>
      </c>
      <c r="H216" s="22" t="n">
        <f aca="false">100*(H82-H81)</f>
        <v>1.93886612659551</v>
      </c>
      <c r="I216" s="22" t="n">
        <f aca="false">100*(I82-I81)</f>
        <v>1.85900076528922</v>
      </c>
      <c r="J216" s="22" t="n">
        <f aca="false">100*(J82-J81)</f>
        <v>1.76760172566408</v>
      </c>
      <c r="K216" s="22" t="n">
        <f aca="false">100*(K82-K81)</f>
        <v>1.66513463069218</v>
      </c>
      <c r="L216" s="22" t="n">
        <f aca="false">100*(L82-L81)</f>
        <v>1.55223486394314</v>
      </c>
      <c r="M216" s="22" t="n">
        <f aca="false">100*(M82-M81)</f>
        <v>1.42980764221079</v>
      </c>
      <c r="N216" s="22" t="n">
        <f aca="false">100*(N82-N81)</f>
        <v>1.29902653712382</v>
      </c>
      <c r="O216" s="22" t="n">
        <f aca="false">100*(O82-O81)</f>
        <v>1.16128638071853</v>
      </c>
      <c r="P216" s="22" t="n">
        <f aca="false">100*(P82-P81)</f>
        <v>1.01816511709267</v>
      </c>
      <c r="Q216" s="22" t="n">
        <f aca="false">100*(Q82-Q81)</f>
        <v>0.871385507093603</v>
      </c>
      <c r="R216" s="22" t="n">
        <f aca="false">100*(R82-R81)</f>
        <v>0.722715279045616</v>
      </c>
      <c r="S216" s="22" t="n">
        <f aca="false">100*(S82-S81)</f>
        <v>0.573884234270272</v>
      </c>
      <c r="T216" s="22" t="n">
        <f aca="false">100*(T82-T81)</f>
        <v>0.426506261732618</v>
      </c>
      <c r="U216" s="22" t="n">
        <f aca="false">100*(U82-U81)</f>
        <v>0.28201750720287</v>
      </c>
      <c r="V216" s="22" t="n">
        <f aca="false">100*(V82-V81)</f>
        <v>0.141694459348596</v>
      </c>
      <c r="W216" s="22" t="n">
        <f aca="false">100*(W82-W81)</f>
        <v>0.00666927769912284</v>
      </c>
      <c r="X216" s="22" t="n">
        <f aca="false">100*(X82-X81)</f>
        <v>-0.122129949705929</v>
      </c>
      <c r="Y216" s="22" t="n">
        <f aca="false">100*(Y82-Y81)</f>
        <v>-0.244034091108203</v>
      </c>
      <c r="Z216" s="22" t="n">
        <f aca="false">100*(Z82-Z81)</f>
        <v>-0.358606208866696</v>
      </c>
      <c r="AA216" s="22" t="n">
        <f aca="false">100*(AA82-AA81)</f>
        <v>-0.465596451304684</v>
      </c>
      <c r="AB216" s="22" t="n">
        <f aca="false">100*(AB82-AB81)</f>
        <v>-0.564902447481419</v>
      </c>
      <c r="AC216" s="22" t="n">
        <f aca="false">100*(AC82-AC81)</f>
        <v>-0.656550120511978</v>
      </c>
      <c r="AD216" s="22" t="n">
        <f aca="false">100*(AD82-AD81)</f>
        <v>-0.740678723431021</v>
      </c>
      <c r="AE216" s="22" t="n">
        <f aca="false">100*(AE82-AE81)</f>
        <v>-0.817523691284228</v>
      </c>
      <c r="AF216" s="22" t="n">
        <f aca="false">100*(AF82-AF81)</f>
        <v>-0.887392192357073</v>
      </c>
      <c r="AG216" s="22" t="n">
        <f aca="false">100*(AG82-AG81)</f>
        <v>-0.950650420072075</v>
      </c>
      <c r="AH216" s="22" t="n">
        <f aca="false">100*(AH82-AH81)</f>
        <v>-1.007710229662</v>
      </c>
      <c r="AI216" s="22" t="n">
        <f aca="false">100*(AI82-AI81)</f>
        <v>-1.05900114689761</v>
      </c>
      <c r="AJ216" s="22" t="n">
        <f aca="false">100*(AJ82-AJ81)</f>
        <v>-1.10496017451962</v>
      </c>
      <c r="AK216" s="22" t="n">
        <f aca="false">100*(AK82-AK81)</f>
        <v>-1.1460309051806</v>
      </c>
      <c r="AL216" s="22" t="n">
        <f aca="false">AVERAGE(C216:AK216)</f>
        <v>0.487732937282552</v>
      </c>
    </row>
    <row r="217" customFormat="false" ht="15" hidden="false" customHeight="false" outlineLevel="0" collapsed="false">
      <c r="A217" s="20" t="n">
        <f aca="false">A83</f>
        <v>-42</v>
      </c>
      <c r="B217" s="21" t="n">
        <f aca="false">B83</f>
        <v>41432</v>
      </c>
      <c r="C217" s="22" t="n">
        <f aca="false">100*(C83-C82)</f>
        <v>4.1837693239754</v>
      </c>
      <c r="D217" s="22" t="n">
        <f aca="false">100*(D83-D82)</f>
        <v>4.07612337722929</v>
      </c>
      <c r="E217" s="22" t="n">
        <f aca="false">100*(E83-E82)</f>
        <v>3.9658172775805</v>
      </c>
      <c r="F217" s="22" t="n">
        <f aca="false">100*(F83-F82)</f>
        <v>3.85438496137849</v>
      </c>
      <c r="G217" s="22" t="n">
        <f aca="false">100*(G83-G82)</f>
        <v>3.74285522757467</v>
      </c>
      <c r="H217" s="22" t="n">
        <f aca="false">100*(H83-H82)</f>
        <v>3.631898661973</v>
      </c>
      <c r="I217" s="22" t="n">
        <f aca="false">100*(I83-I82)</f>
        <v>3.52190942787249</v>
      </c>
      <c r="J217" s="22" t="n">
        <f aca="false">100*(J83-J82)</f>
        <v>3.41306535791741</v>
      </c>
      <c r="K217" s="22" t="n">
        <f aca="false">100*(K83-K82)</f>
        <v>3.30537301027909</v>
      </c>
      <c r="L217" s="22" t="n">
        <f aca="false">100*(L83-L82)</f>
        <v>3.19873344448958</v>
      </c>
      <c r="M217" s="22" t="n">
        <f aca="false">100*(M83-M82)</f>
        <v>3.09309370036219</v>
      </c>
      <c r="N217" s="22" t="n">
        <f aca="false">100*(N83-N82)</f>
        <v>2.9884928030754</v>
      </c>
      <c r="O217" s="22" t="n">
        <f aca="false">100*(O83-O82)</f>
        <v>2.88504643732668</v>
      </c>
      <c r="P217" s="22" t="n">
        <f aca="false">100*(P83-P82)</f>
        <v>2.78293373017551</v>
      </c>
      <c r="Q217" s="22" t="n">
        <f aca="false">100*(Q83-Q82)</f>
        <v>2.68238418957449</v>
      </c>
      <c r="R217" s="22" t="n">
        <f aca="false">100*(R83-R82)</f>
        <v>2.58367894060338</v>
      </c>
      <c r="S217" s="22" t="n">
        <f aca="false">100*(S83-S82)</f>
        <v>2.4871733822335</v>
      </c>
      <c r="T217" s="22" t="n">
        <f aca="false">100*(T83-T82)</f>
        <v>2.39323919295287</v>
      </c>
      <c r="U217" s="22" t="n">
        <f aca="false">100*(U83-U82)</f>
        <v>2.3022161089449</v>
      </c>
      <c r="V217" s="22" t="n">
        <f aca="false">100*(V83-V82)</f>
        <v>2.21441319799851</v>
      </c>
      <c r="W217" s="22" t="n">
        <f aca="false">100*(W83-W82)</f>
        <v>2.13010852145699</v>
      </c>
      <c r="X217" s="22" t="n">
        <f aca="false">100*(X83-X82)</f>
        <v>2.04951126738511</v>
      </c>
      <c r="Y217" s="22" t="n">
        <f aca="false">100*(Y83-Y82)</f>
        <v>1.97273591176272</v>
      </c>
      <c r="Z217" s="22" t="n">
        <f aca="false">100*(Z83-Z82)</f>
        <v>1.8998129484614</v>
      </c>
      <c r="AA217" s="22" t="n">
        <f aca="false">100*(AA83-AA82)</f>
        <v>1.83070860291936</v>
      </c>
      <c r="AB217" s="22" t="n">
        <f aca="false">100*(AB83-AB82)</f>
        <v>1.76534167750382</v>
      </c>
      <c r="AC217" s="22" t="n">
        <f aca="false">100*(AC83-AC82)</f>
        <v>1.70358999700411</v>
      </c>
      <c r="AD217" s="22" t="n">
        <f aca="false">100*(AD83-AD82)</f>
        <v>1.64529521712113</v>
      </c>
      <c r="AE217" s="22" t="n">
        <f aca="false">100*(AE83-AE82)</f>
        <v>1.59027045179503</v>
      </c>
      <c r="AF217" s="22" t="n">
        <f aca="false">100*(AF83-AF82)</f>
        <v>1.53831419646471</v>
      </c>
      <c r="AG217" s="22" t="n">
        <f aca="false">100*(AG83-AG82)</f>
        <v>1.48921551980341</v>
      </c>
      <c r="AH217" s="22" t="n">
        <f aca="false">100*(AH83-AH82)</f>
        <v>1.44275785860821</v>
      </c>
      <c r="AI217" s="22" t="n">
        <f aca="false">100*(AI83-AI82)</f>
        <v>1.39873013438079</v>
      </c>
      <c r="AJ217" s="22" t="n">
        <f aca="false">100*(AJ83-AJ82)</f>
        <v>1.35693044100389</v>
      </c>
      <c r="AK217" s="22" t="n">
        <f aca="false">100*(AK83-AK82)</f>
        <v>1.31716521190532</v>
      </c>
      <c r="AL217" s="22" t="n">
        <f aca="false">AVERAGE(C217:AK217)</f>
        <v>2.52677399174552</v>
      </c>
    </row>
    <row r="218" customFormat="false" ht="15" hidden="false" customHeight="false" outlineLevel="0" collapsed="false">
      <c r="A218" s="20" t="n">
        <f aca="false">A84</f>
        <v>-41</v>
      </c>
      <c r="B218" s="21" t="n">
        <f aca="false">B84</f>
        <v>41435</v>
      </c>
      <c r="C218" s="22" t="n">
        <f aca="false">100*(C84-C83)</f>
        <v>6.4646064893177</v>
      </c>
      <c r="D218" s="22" t="n">
        <f aca="false">100*(D84-D83)</f>
        <v>6.5354798801277</v>
      </c>
      <c r="E218" s="22" t="n">
        <f aca="false">100*(E84-E83)</f>
        <v>6.58344427140314</v>
      </c>
      <c r="F218" s="22" t="n">
        <f aca="false">100*(F84-F83)</f>
        <v>6.61041361997929</v>
      </c>
      <c r="G218" s="22" t="n">
        <f aca="false">100*(G84-G83)</f>
        <v>6.6184602312926</v>
      </c>
      <c r="H218" s="22" t="n">
        <f aca="false">100*(H84-H83)</f>
        <v>6.6096573824538</v>
      </c>
      <c r="I218" s="22" t="n">
        <f aca="false">100*(I84-I83)</f>
        <v>6.58607772513169</v>
      </c>
      <c r="J218" s="22" t="n">
        <f aca="false">100*(J84-J83)</f>
        <v>6.54979342151831</v>
      </c>
      <c r="K218" s="22" t="n">
        <f aca="false">100*(K84-K83)</f>
        <v>6.50287516889141</v>
      </c>
      <c r="L218" s="22" t="n">
        <f aca="false">100*(L84-L83)</f>
        <v>6.44732793339733</v>
      </c>
      <c r="M218" s="22" t="n">
        <f aca="false">100*(M84-M83)</f>
        <v>6.38493176598631</v>
      </c>
      <c r="N218" s="22" t="n">
        <f aca="false">100*(N84-N83)</f>
        <v>6.31723375484041</v>
      </c>
      <c r="O218" s="22" t="n">
        <f aca="false">100*(O84-O83)</f>
        <v>6.24558914438373</v>
      </c>
      <c r="P218" s="22" t="n">
        <f aca="false">100*(P84-P83)</f>
        <v>6.1711944117929</v>
      </c>
      <c r="Q218" s="22" t="n">
        <f aca="false">100*(Q84-Q83)</f>
        <v>6.09510731434981</v>
      </c>
      <c r="R218" s="22" t="n">
        <f aca="false">100*(R84-R83)</f>
        <v>6.01821351250051</v>
      </c>
      <c r="S218" s="22" t="n">
        <f aca="false">100*(S84-S83)</f>
        <v>5.94120957177271</v>
      </c>
      <c r="T218" s="22" t="n">
        <f aca="false">100*(T84-T83)</f>
        <v>5.86464358097563</v>
      </c>
      <c r="U218" s="22" t="n">
        <f aca="false">100*(U84-U83)</f>
        <v>5.7889543555476</v>
      </c>
      <c r="V218" s="22" t="n">
        <f aca="false">100*(V84-V83)</f>
        <v>5.71448893747961</v>
      </c>
      <c r="W218" s="22" t="n">
        <f aca="false">100*(W84-W83)</f>
        <v>5.64151532455051</v>
      </c>
      <c r="X218" s="22" t="n">
        <f aca="false">100*(X84-X83)</f>
        <v>5.57023699371841</v>
      </c>
      <c r="Y218" s="22" t="n">
        <f aca="false">100*(Y84-Y83)</f>
        <v>5.50080829048918</v>
      </c>
      <c r="Z218" s="22" t="n">
        <f aca="false">100*(Z84-Z83)</f>
        <v>5.4333419939689</v>
      </c>
      <c r="AA218" s="22" t="n">
        <f aca="false">100*(AA84-AA83)</f>
        <v>5.36791704962383</v>
      </c>
      <c r="AB218" s="22" t="n">
        <f aca="false">100*(AB84-AB83)</f>
        <v>5.30458502535383</v>
      </c>
      <c r="AC218" s="22" t="n">
        <f aca="false">100*(AC84-AC83)</f>
        <v>5.24337355960758</v>
      </c>
      <c r="AD218" s="22" t="n">
        <f aca="false">100*(AD84-AD83)</f>
        <v>5.18428914119089</v>
      </c>
      <c r="AE218" s="22" t="n">
        <f aca="false">100*(AE84-AE83)</f>
        <v>5.12731918384337</v>
      </c>
      <c r="AF218" s="22" t="n">
        <f aca="false">100*(AF84-AF83)</f>
        <v>5.07243300596749</v>
      </c>
      <c r="AG218" s="22" t="n">
        <f aca="false">100*(AG84-AG83)</f>
        <v>5.0195833924461</v>
      </c>
      <c r="AH218" s="22" t="n">
        <f aca="false">100*(AH84-AH83)</f>
        <v>4.96871035766038</v>
      </c>
      <c r="AI218" s="22" t="n">
        <f aca="false">100*(AI84-AI83)</f>
        <v>4.91974912805242</v>
      </c>
      <c r="AJ218" s="22" t="n">
        <f aca="false">100*(AJ84-AJ83)</f>
        <v>4.87263301572991</v>
      </c>
      <c r="AK218" s="22" t="n">
        <f aca="false">100*(AK84-AK83)</f>
        <v>4.82729364837868</v>
      </c>
      <c r="AL218" s="22" t="n">
        <f aca="false">AVERAGE(C218:AK218)</f>
        <v>5.83152833096353</v>
      </c>
    </row>
    <row r="219" customFormat="false" ht="15" hidden="false" customHeight="false" outlineLevel="0" collapsed="false">
      <c r="A219" s="20" t="n">
        <f aca="false">A85</f>
        <v>-40</v>
      </c>
      <c r="B219" s="21" t="n">
        <f aca="false">B85</f>
        <v>41436</v>
      </c>
      <c r="C219" s="22" t="n">
        <f aca="false">100*(C85-C84)</f>
        <v>5.80373101123741</v>
      </c>
      <c r="D219" s="22" t="n">
        <f aca="false">100*(D85-D84)</f>
        <v>5.15937659441019</v>
      </c>
      <c r="E219" s="22" t="n">
        <f aca="false">100*(E85-E84)</f>
        <v>4.55007924108908</v>
      </c>
      <c r="F219" s="22" t="n">
        <f aca="false">100*(F85-F84)</f>
        <v>3.98257939001119</v>
      </c>
      <c r="G219" s="22" t="n">
        <f aca="false">100*(G85-G84)</f>
        <v>3.46018414126692</v>
      </c>
      <c r="H219" s="22" t="n">
        <f aca="false">100*(H85-H84)</f>
        <v>2.983899766024</v>
      </c>
      <c r="I219" s="22" t="n">
        <f aca="false">100*(I85-I84)</f>
        <v>2.55295821889421</v>
      </c>
      <c r="J219" s="22" t="n">
        <f aca="false">100*(J85-J84)</f>
        <v>2.16520285892288</v>
      </c>
      <c r="K219" s="22" t="n">
        <f aca="false">100*(K85-K84)</f>
        <v>1.81738070390463</v>
      </c>
      <c r="L219" s="22" t="n">
        <f aca="false">100*(L85-L84)</f>
        <v>1.50557219029226</v>
      </c>
      <c r="M219" s="22" t="n">
        <f aca="false">100*(M85-M84)</f>
        <v>1.2259249754687</v>
      </c>
      <c r="N219" s="22" t="n">
        <f aca="false">100*(N85-N84)</f>
        <v>0.974831977808499</v>
      </c>
      <c r="O219" s="22" t="n">
        <f aca="false">100*(O85-O84)</f>
        <v>0.748889927142571</v>
      </c>
      <c r="P219" s="22" t="n">
        <f aca="false">100*(P85-P84)</f>
        <v>0.544864224850628</v>
      </c>
      <c r="Q219" s="22" t="n">
        <f aca="false">100*(Q85-Q84)</f>
        <v>0.359676709871204</v>
      </c>
      <c r="R219" s="22" t="n">
        <f aca="false">100*(R85-R84)</f>
        <v>0.190558290665477</v>
      </c>
      <c r="S219" s="22" t="n">
        <f aca="false">100*(S85-S84)</f>
        <v>0.0351758479327113</v>
      </c>
      <c r="T219" s="22" t="n">
        <f aca="false">100*(T85-T84)</f>
        <v>-0.108449289951107</v>
      </c>
      <c r="U219" s="22" t="n">
        <f aca="false">100*(U85-U84)</f>
        <v>-0.242021615261301</v>
      </c>
      <c r="V219" s="22" t="n">
        <f aca="false">100*(V85-V84)</f>
        <v>-0.367012760525309</v>
      </c>
      <c r="W219" s="22" t="n">
        <f aca="false">100*(W85-W84)</f>
        <v>-0.484694772509586</v>
      </c>
      <c r="X219" s="22" t="n">
        <f aca="false">100*(X85-X84)</f>
        <v>-0.596173346917306</v>
      </c>
      <c r="Y219" s="22" t="n">
        <f aca="false">100*(Y85-Y84)</f>
        <v>-0.702412962133492</v>
      </c>
      <c r="Z219" s="22" t="n">
        <f aca="false">100*(Z85-Z84)</f>
        <v>-0.804253154351375</v>
      </c>
      <c r="AA219" s="22" t="n">
        <f aca="false">100*(AA85-AA84)</f>
        <v>-0.902405502012993</v>
      </c>
      <c r="AB219" s="22" t="n">
        <f aca="false">100*(AB85-AB84)</f>
        <v>-0.997451254070914</v>
      </c>
      <c r="AC219" s="22" t="n">
        <f aca="false">100*(AC85-AC84)</f>
        <v>-1.08985527436172</v>
      </c>
      <c r="AD219" s="22" t="n">
        <f aca="false">100*(AD85-AD84)</f>
        <v>-1.17997953336051</v>
      </c>
      <c r="AE219" s="22" t="n">
        <f aca="false">100*(AE85-AE84)</f>
        <v>-1.2680917588618</v>
      </c>
      <c r="AF219" s="22" t="n">
        <f aca="false">100*(AF85-AF84)</f>
        <v>-1.35436695081221</v>
      </c>
      <c r="AG219" s="22" t="n">
        <f aca="false">100*(AG85-AG84)</f>
        <v>-1.43889469652891</v>
      </c>
      <c r="AH219" s="22" t="n">
        <f aca="false">100*(AH85-AH84)</f>
        <v>-1.52169651042118</v>
      </c>
      <c r="AI219" s="22" t="n">
        <f aca="false">100*(AI85-AI84)</f>
        <v>-1.60275705678452</v>
      </c>
      <c r="AJ219" s="22" t="n">
        <f aca="false">100*(AJ85-AJ84)</f>
        <v>-1.68203557843141</v>
      </c>
      <c r="AK219" s="22" t="n">
        <f aca="false">100*(AK85-AK84)</f>
        <v>-1.75946853307409</v>
      </c>
      <c r="AL219" s="22" t="n">
        <f aca="false">AVERAGE(C219:AK219)</f>
        <v>0.570253300554937</v>
      </c>
    </row>
    <row r="220" customFormat="false" ht="15" hidden="false" customHeight="false" outlineLevel="0" collapsed="false">
      <c r="A220" s="20" t="n">
        <f aca="false">A86</f>
        <v>-39</v>
      </c>
      <c r="B220" s="21" t="n">
        <f aca="false">B86</f>
        <v>41437</v>
      </c>
      <c r="C220" s="22" t="n">
        <f aca="false">100*(C86-C85)</f>
        <v>-2.5320411187326</v>
      </c>
      <c r="D220" s="22" t="n">
        <f aca="false">100*(D86-D85)</f>
        <v>-2.3398028374833</v>
      </c>
      <c r="E220" s="22" t="n">
        <f aca="false">100*(E86-E85)</f>
        <v>-2.18065416608</v>
      </c>
      <c r="F220" s="22" t="n">
        <f aca="false">100*(F86-F85)</f>
        <v>-2.0511558528189</v>
      </c>
      <c r="G220" s="22" t="n">
        <f aca="false">100*(G86-G85)</f>
        <v>-1.9469496575188</v>
      </c>
      <c r="H220" s="22" t="n">
        <f aca="false">100*(H86-H85)</f>
        <v>-1.86363991133462</v>
      </c>
      <c r="I220" s="22" t="n">
        <f aca="false">100*(I86-I85)</f>
        <v>-1.7968092889654</v>
      </c>
      <c r="J220" s="22" t="n">
        <f aca="false">100*(J86-J85)</f>
        <v>-1.7420235165805</v>
      </c>
      <c r="K220" s="22" t="n">
        <f aca="false">100*(K86-K85)</f>
        <v>-1.6948395242939</v>
      </c>
      <c r="L220" s="22" t="n">
        <f aca="false">100*(L86-L85)</f>
        <v>-1.6511026465972</v>
      </c>
      <c r="M220" s="22" t="n">
        <f aca="false">100*(M86-M85)</f>
        <v>-1.60770460792961</v>
      </c>
      <c r="N220" s="22" t="n">
        <f aca="false">100*(N86-N85)</f>
        <v>-1.5626345139963</v>
      </c>
      <c r="O220" s="22" t="n">
        <f aca="false">100*(O86-O85)</f>
        <v>-1.51478558751337</v>
      </c>
      <c r="P220" s="22" t="n">
        <f aca="false">100*(P86-P85)</f>
        <v>-1.46379928596763</v>
      </c>
      <c r="Q220" s="22" t="n">
        <f aca="false">100*(Q86-Q85)</f>
        <v>-1.40994969594579</v>
      </c>
      <c r="R220" s="22" t="n">
        <f aca="false">100*(R86-R85)</f>
        <v>-1.35412460890136</v>
      </c>
      <c r="S220" s="22" t="n">
        <f aca="false">100*(S86-S85)</f>
        <v>-1.2977789184955</v>
      </c>
      <c r="T220" s="22" t="n">
        <f aca="false">100*(T86-T85)</f>
        <v>-1.2426240924448</v>
      </c>
      <c r="U220" s="22" t="n">
        <f aca="false">100*(U86-U85)</f>
        <v>-1.19036838875757</v>
      </c>
      <c r="V220" s="22" t="n">
        <f aca="false">100*(V86-V85)</f>
        <v>-1.1426978191976</v>
      </c>
      <c r="W220" s="22" t="n">
        <f aca="false">100*(W86-W85)</f>
        <v>-1.10126087041049</v>
      </c>
      <c r="X220" s="22" t="n">
        <f aca="false">100*(X86-X85)</f>
        <v>-1.06747136312189</v>
      </c>
      <c r="Y220" s="22" t="n">
        <f aca="false">100*(Y86-Y85)</f>
        <v>-1.0423382560445</v>
      </c>
      <c r="Z220" s="22" t="n">
        <f aca="false">100*(Z86-Z85)</f>
        <v>-1.02649922382949</v>
      </c>
      <c r="AA220" s="22" t="n">
        <f aca="false">100*(AA86-AA85)</f>
        <v>-1.02026749631552</v>
      </c>
      <c r="AB220" s="22" t="n">
        <f aca="false">100*(AB86-AB85)</f>
        <v>-1.02367225443301</v>
      </c>
      <c r="AC220" s="22" t="n">
        <f aca="false">100*(AC86-AC85)</f>
        <v>-1.03649256721838</v>
      </c>
      <c r="AD220" s="22" t="n">
        <f aca="false">100*(AD86-AD85)</f>
        <v>-1.05828659196789</v>
      </c>
      <c r="AE220" s="22" t="n">
        <f aca="false">100*(AE86-AE85)</f>
        <v>-1.08842552657999</v>
      </c>
      <c r="AF220" s="22" t="n">
        <f aca="false">100*(AF86-AF85)</f>
        <v>-1.12614072689632</v>
      </c>
      <c r="AG220" s="22" t="n">
        <f aca="false">100*(AG86-AG85)</f>
        <v>-1.17054785192332</v>
      </c>
      <c r="AH220" s="22" t="n">
        <f aca="false">100*(AH86-AH85)</f>
        <v>-1.22068601568412</v>
      </c>
      <c r="AI220" s="22" t="n">
        <f aca="false">100*(AI86-AI85)</f>
        <v>-1.27560340948838</v>
      </c>
      <c r="AJ220" s="22" t="n">
        <f aca="false">100*(AJ86-AJ85)</f>
        <v>-1.33438100700198</v>
      </c>
      <c r="AK220" s="22" t="n">
        <f aca="false">100*(AK86-AK85)</f>
        <v>-1.39612958786812</v>
      </c>
      <c r="AL220" s="22" t="n">
        <f aca="false">AVERAGE(C220:AK220)</f>
        <v>-1.44496253680966</v>
      </c>
    </row>
    <row r="221" customFormat="false" ht="15" hidden="false" customHeight="false" outlineLevel="0" collapsed="false">
      <c r="A221" s="20" t="n">
        <f aca="false">A87</f>
        <v>-38</v>
      </c>
      <c r="B221" s="21" t="n">
        <f aca="false">B87</f>
        <v>41438</v>
      </c>
      <c r="C221" s="22" t="n">
        <f aca="false">100*(C87-C86)</f>
        <v>-3.49293146854011</v>
      </c>
      <c r="D221" s="22" t="n">
        <f aca="false">100*(D87-D86)</f>
        <v>-3.4771873204132</v>
      </c>
      <c r="E221" s="22" t="n">
        <f aca="false">100*(E87-E86)</f>
        <v>-3.43326259628021</v>
      </c>
      <c r="F221" s="22" t="n">
        <f aca="false">100*(F87-F86)</f>
        <v>-3.36354122028228</v>
      </c>
      <c r="G221" s="22" t="n">
        <f aca="false">100*(G87-G86)</f>
        <v>-3.27056344748411</v>
      </c>
      <c r="H221" s="22" t="n">
        <f aca="false">100*(H87-H86)</f>
        <v>-3.1569503576637</v>
      </c>
      <c r="I221" s="22" t="n">
        <f aca="false">100*(I87-I86)</f>
        <v>-3.0253848998159</v>
      </c>
      <c r="J221" s="22" t="n">
        <f aca="false">100*(J87-J86)</f>
        <v>-2.87859844232128</v>
      </c>
      <c r="K221" s="22" t="n">
        <f aca="false">100*(K87-K86)</f>
        <v>-2.71935995858073</v>
      </c>
      <c r="L221" s="22" t="n">
        <f aca="false">100*(L87-L86)</f>
        <v>-2.55040863790397</v>
      </c>
      <c r="M221" s="22" t="n">
        <f aca="false">100*(M87-M86)</f>
        <v>-2.37427894136619</v>
      </c>
      <c r="N221" s="22" t="n">
        <f aca="false">100*(N87-N86)</f>
        <v>-2.19327928723252</v>
      </c>
      <c r="O221" s="22" t="n">
        <f aca="false">100*(O87-O86)</f>
        <v>-2.00953162386903</v>
      </c>
      <c r="P221" s="22" t="n">
        <f aca="false">100*(P87-P86)</f>
        <v>-1.82500357972999</v>
      </c>
      <c r="Q221" s="22" t="n">
        <f aca="false">100*(Q87-Q86)</f>
        <v>-1.64152626396952</v>
      </c>
      <c r="R221" s="22" t="n">
        <f aca="false">100*(R87-R86)</f>
        <v>-1.46072527122532</v>
      </c>
      <c r="S221" s="22" t="n">
        <f aca="false">100*(S87-S86)</f>
        <v>-1.28395744285781</v>
      </c>
      <c r="T221" s="22" t="n">
        <f aca="false">100*(T87-T86)</f>
        <v>-1.11231415486279</v>
      </c>
      <c r="U221" s="22" t="n">
        <f aca="false">100*(U87-U86)</f>
        <v>-0.946632874782516</v>
      </c>
      <c r="V221" s="22" t="n">
        <f aca="false">100*(V87-V86)</f>
        <v>-0.787531062012681</v>
      </c>
      <c r="W221" s="22" t="n">
        <f aca="false">100*(W87-W86)</f>
        <v>-0.635434683078406</v>
      </c>
      <c r="X221" s="22" t="n">
        <f aca="false">100*(X87-X86)</f>
        <v>-0.490581581230609</v>
      </c>
      <c r="Y221" s="22" t="n">
        <f aca="false">100*(Y87-Y86)</f>
        <v>-0.35302383181488</v>
      </c>
      <c r="Z221" s="22" t="n">
        <f aca="false">100*(Z87-Z86)</f>
        <v>-0.2226535510788</v>
      </c>
      <c r="AA221" s="22" t="n">
        <f aca="false">100*(AA87-AA86)</f>
        <v>-0.0992653543597122</v>
      </c>
      <c r="AB221" s="22" t="n">
        <f aca="false">100*(AB87-AB86)</f>
        <v>0.0173908984550941</v>
      </c>
      <c r="AC221" s="22" t="n">
        <f aca="false">100*(AC87-AC86)</f>
        <v>0.127601215909312</v>
      </c>
      <c r="AD221" s="22" t="n">
        <f aca="false">100*(AD87-AD86)</f>
        <v>0.231683192101206</v>
      </c>
      <c r="AE221" s="22" t="n">
        <f aca="false">100*(AE87-AE86)</f>
        <v>0.329974477736617</v>
      </c>
      <c r="AF221" s="22" t="n">
        <f aca="false">100*(AF87-AF86)</f>
        <v>0.422807516048707</v>
      </c>
      <c r="AG221" s="22" t="n">
        <f aca="false">100*(AG87-AG86)</f>
        <v>0.5105027490095</v>
      </c>
      <c r="AH221" s="22" t="n">
        <f aca="false">100*(AH87-AH86)</f>
        <v>0.593367064232009</v>
      </c>
      <c r="AI221" s="22" t="n">
        <f aca="false">100*(AI87-AI86)</f>
        <v>0.671689054568381</v>
      </c>
      <c r="AJ221" s="22" t="n">
        <f aca="false">100*(AJ87-AJ86)</f>
        <v>0.745739513715416</v>
      </c>
      <c r="AK221" s="22" t="n">
        <f aca="false">100*(AK87-AK86)</f>
        <v>0.815773217296822</v>
      </c>
      <c r="AL221" s="22" t="n">
        <f aca="false">AVERAGE(C221:AK221)</f>
        <v>-1.26678282724809</v>
      </c>
    </row>
    <row r="222" customFormat="false" ht="15" hidden="false" customHeight="false" outlineLevel="0" collapsed="false">
      <c r="A222" s="20" t="n">
        <f aca="false">A88</f>
        <v>-37</v>
      </c>
      <c r="B222" s="21" t="n">
        <f aca="false">B88</f>
        <v>41439</v>
      </c>
      <c r="C222" s="22" t="n">
        <f aca="false">100*(C88-C87)</f>
        <v>-5.8533884079202</v>
      </c>
      <c r="D222" s="22" t="n">
        <f aca="false">100*(D88-D87)</f>
        <v>-5.8759141786056</v>
      </c>
      <c r="E222" s="22" t="n">
        <f aca="false">100*(E88-E87)</f>
        <v>-5.8669135922353</v>
      </c>
      <c r="F222" s="22" t="n">
        <f aca="false">100*(F88-F87)</f>
        <v>-5.82816499018848</v>
      </c>
      <c r="G222" s="22" t="n">
        <f aca="false">100*(G88-G87)</f>
        <v>-5.7619067543579</v>
      </c>
      <c r="H222" s="22" t="n">
        <f aca="false">100*(H88-H87)</f>
        <v>-5.67076400341238</v>
      </c>
      <c r="I222" s="22" t="n">
        <f aca="false">100*(I88-I87)</f>
        <v>-5.5576605509819</v>
      </c>
      <c r="J222" s="22" t="n">
        <f aca="false">100*(J88-J87)</f>
        <v>-5.42575397196941</v>
      </c>
      <c r="K222" s="22" t="n">
        <f aca="false">100*(K88-K87)</f>
        <v>-5.27838619531051</v>
      </c>
      <c r="L222" s="22" t="n">
        <f aca="false">100*(L88-L87)</f>
        <v>-5.11897096447891</v>
      </c>
      <c r="M222" s="22" t="n">
        <f aca="false">100*(M88-M87)</f>
        <v>-4.95073795806369</v>
      </c>
      <c r="N222" s="22" t="n">
        <f aca="false">100*(N88-N87)</f>
        <v>-4.77668414392229</v>
      </c>
      <c r="O222" s="22" t="n">
        <f aca="false">100*(O88-O87)</f>
        <v>-4.5996141595658</v>
      </c>
      <c r="P222" s="22" t="n">
        <f aca="false">100*(P88-P87)</f>
        <v>-4.42217347262131</v>
      </c>
      <c r="Q222" s="22" t="n">
        <f aca="false">100*(Q88-Q87)</f>
        <v>-4.2468573099411</v>
      </c>
      <c r="R222" s="22" t="n">
        <f aca="false">100*(R88-R87)</f>
        <v>-4.0758369299188</v>
      </c>
      <c r="S222" s="22" t="n">
        <f aca="false">100*(S88-S87)</f>
        <v>-3.91081350369369</v>
      </c>
      <c r="T222" s="22" t="n">
        <f aca="false">100*(T88-T87)</f>
        <v>-3.75308337307541</v>
      </c>
      <c r="U222" s="22" t="n">
        <f aca="false">100*(U88-U87)</f>
        <v>-3.60360847040591</v>
      </c>
      <c r="V222" s="22" t="n">
        <f aca="false">100*(V88-V87)</f>
        <v>-3.46306496305702</v>
      </c>
      <c r="W222" s="22" t="n">
        <f aca="false">100*(W88-W87)</f>
        <v>-3.33188056653881</v>
      </c>
      <c r="X222" s="22" t="n">
        <f aca="false">100*(X88-X87)</f>
        <v>-3.21024265868379</v>
      </c>
      <c r="Y222" s="22" t="n">
        <f aca="false">100*(Y88-Y87)</f>
        <v>-3.09810510098774</v>
      </c>
      <c r="Z222" s="22" t="n">
        <f aca="false">100*(Z88-Z87)</f>
        <v>-2.9952200944058</v>
      </c>
      <c r="AA222" s="22" t="n">
        <f aca="false">100*(AA88-AA87)</f>
        <v>-2.90120384418127</v>
      </c>
      <c r="AB222" s="22" t="n">
        <f aca="false">100*(AB88-AB87)</f>
        <v>-2.8155900901623</v>
      </c>
      <c r="AC222" s="22" t="n">
        <f aca="false">100*(AC88-AC87)</f>
        <v>-2.73784292253589</v>
      </c>
      <c r="AD222" s="22" t="n">
        <f aca="false">100*(AD88-AD87)</f>
        <v>-2.66736509899252</v>
      </c>
      <c r="AE222" s="22" t="n">
        <f aca="false">100*(AE88-AE87)</f>
        <v>-2.6035183782577</v>
      </c>
      <c r="AF222" s="22" t="n">
        <f aca="false">100*(AF88-AF87)</f>
        <v>-2.54566443196409</v>
      </c>
      <c r="AG222" s="22" t="n">
        <f aca="false">100*(AG88-AG87)</f>
        <v>-2.49317584568689</v>
      </c>
      <c r="AH222" s="22" t="n">
        <f aca="false">100*(AH88-AH87)</f>
        <v>-2.44544473448012</v>
      </c>
      <c r="AI222" s="22" t="n">
        <f aca="false">100*(AI88-AI87)</f>
        <v>-2.40190217060761</v>
      </c>
      <c r="AJ222" s="22" t="n">
        <f aca="false">100*(AJ88-AJ87)</f>
        <v>-2.36201898209423</v>
      </c>
      <c r="AK222" s="22" t="n">
        <f aca="false">100*(AK88-AK87)</f>
        <v>-2.32530177674382</v>
      </c>
      <c r="AL222" s="22" t="n">
        <f aca="false">AVERAGE(C222:AK222)</f>
        <v>-3.97070784542995</v>
      </c>
    </row>
    <row r="223" customFormat="false" ht="15" hidden="false" customHeight="false" outlineLevel="0" collapsed="false">
      <c r="A223" s="20" t="n">
        <f aca="false">A89</f>
        <v>-36</v>
      </c>
      <c r="B223" s="21" t="n">
        <f aca="false">B89</f>
        <v>41442</v>
      </c>
      <c r="C223" s="22" t="n">
        <f aca="false">100*(C89-C88)</f>
        <v>1.47111386959691</v>
      </c>
      <c r="D223" s="22" t="n">
        <f aca="false">100*(D89-D88)</f>
        <v>1.48483227269731</v>
      </c>
      <c r="E223" s="22" t="n">
        <f aca="false">100*(E89-E88)</f>
        <v>1.50057489075133</v>
      </c>
      <c r="F223" s="22" t="n">
        <f aca="false">100*(F89-F88)</f>
        <v>1.51961185165548</v>
      </c>
      <c r="G223" s="22" t="n">
        <f aca="false">100*(G89-G88)</f>
        <v>1.542966951535</v>
      </c>
      <c r="H223" s="22" t="n">
        <f aca="false">100*(H89-H88)</f>
        <v>1.57142454628518</v>
      </c>
      <c r="I223" s="22" t="n">
        <f aca="false">100*(I89-I88)</f>
        <v>1.6055836663762</v>
      </c>
      <c r="J223" s="22" t="n">
        <f aca="false">100*(J89-J88)</f>
        <v>1.64589830498922</v>
      </c>
      <c r="K223" s="22" t="n">
        <f aca="false">100*(K89-K88)</f>
        <v>1.69270704270552</v>
      </c>
      <c r="L223" s="22" t="n">
        <f aca="false">100*(L89-L88)</f>
        <v>1.74623233555549</v>
      </c>
      <c r="M223" s="22" t="n">
        <f aca="false">100*(M89-M88)</f>
        <v>1.80655207834231</v>
      </c>
      <c r="N223" s="22" t="n">
        <f aca="false">100*(N89-N88)</f>
        <v>1.87361526817842</v>
      </c>
      <c r="O223" s="22" t="n">
        <f aca="false">100*(O89-O88)</f>
        <v>1.94726500403912</v>
      </c>
      <c r="P223" s="22" t="n">
        <f aca="false">100*(P89-P88)</f>
        <v>2.0272567450125</v>
      </c>
      <c r="Q223" s="22" t="n">
        <f aca="false">100*(Q89-Q88)</f>
        <v>2.11327215145061</v>
      </c>
      <c r="R223" s="22" t="n">
        <f aca="false">100*(R89-R88)</f>
        <v>2.20493040319698</v>
      </c>
      <c r="S223" s="22" t="n">
        <f aca="false">100*(S89-S88)</f>
        <v>2.30180297353568</v>
      </c>
      <c r="T223" s="22" t="n">
        <f aca="false">100*(T89-T88)</f>
        <v>2.403431051814</v>
      </c>
      <c r="U223" s="22" t="n">
        <f aca="false">100*(U89-U88)</f>
        <v>2.50933857571689</v>
      </c>
      <c r="V223" s="22" t="n">
        <f aca="false">100*(V89-V88)</f>
        <v>2.61903539492532</v>
      </c>
      <c r="W223" s="22" t="n">
        <f aca="false">100*(W89-W88)</f>
        <v>2.73202009953271</v>
      </c>
      <c r="X223" s="22" t="n">
        <f aca="false">100*(X89-X88)</f>
        <v>2.84779030329019</v>
      </c>
      <c r="Y223" s="22" t="n">
        <f aca="false">100*(Y89-Y88)</f>
        <v>2.96585090822874</v>
      </c>
      <c r="Z223" s="22" t="n">
        <f aca="false">100*(Z89-Z88)</f>
        <v>3.0857128352924</v>
      </c>
      <c r="AA223" s="22" t="n">
        <f aca="false">100*(AA89-AA88)</f>
        <v>3.20688314465687</v>
      </c>
      <c r="AB223" s="22" t="n">
        <f aca="false">100*(AB89-AB88)</f>
        <v>3.32885773642579</v>
      </c>
      <c r="AC223" s="22" t="n">
        <f aca="false">100*(AC89-AC88)</f>
        <v>3.45112211071328</v>
      </c>
      <c r="AD223" s="22" t="n">
        <f aca="false">100*(AD89-AD88)</f>
        <v>3.57315257434312</v>
      </c>
      <c r="AE223" s="22" t="n">
        <f aca="false">100*(AE89-AE88)</f>
        <v>3.694417806821</v>
      </c>
      <c r="AF223" s="22" t="n">
        <f aca="false">100*(AF89-AF88)</f>
        <v>3.8143819827396</v>
      </c>
      <c r="AG223" s="22" t="n">
        <f aca="false">100*(AG89-AG88)</f>
        <v>3.93250638550642</v>
      </c>
      <c r="AH223" s="22" t="n">
        <f aca="false">100*(AH89-AH88)</f>
        <v>4.04826258663662</v>
      </c>
      <c r="AI223" s="22" t="n">
        <f aca="false">100*(AI89-AI88)</f>
        <v>4.16116891951392</v>
      </c>
      <c r="AJ223" s="22" t="n">
        <f aca="false">100*(AJ89-AJ88)</f>
        <v>4.27079766035092</v>
      </c>
      <c r="AK223" s="22" t="n">
        <f aca="false">100*(AK89-AK88)</f>
        <v>4.37676978068122</v>
      </c>
      <c r="AL223" s="22" t="n">
        <f aca="false">AVERAGE(C223:AK223)</f>
        <v>2.60220400608835</v>
      </c>
    </row>
    <row r="224" customFormat="false" ht="15" hidden="false" customHeight="false" outlineLevel="0" collapsed="false">
      <c r="A224" s="20" t="n">
        <f aca="false">A90</f>
        <v>-35</v>
      </c>
      <c r="B224" s="21" t="n">
        <f aca="false">B90</f>
        <v>41443</v>
      </c>
      <c r="C224" s="22" t="n">
        <f aca="false">100*(C90-C89)</f>
        <v>5.90655269821969</v>
      </c>
      <c r="D224" s="22" t="n">
        <f aca="false">100*(D90-D89)</f>
        <v>5.94170443287569</v>
      </c>
      <c r="E224" s="22" t="n">
        <f aca="false">100*(E90-E89)</f>
        <v>5.94536430579069</v>
      </c>
      <c r="F224" s="22" t="n">
        <f aca="false">100*(F90-F89)</f>
        <v>5.9185041897019</v>
      </c>
      <c r="G224" s="22" t="n">
        <f aca="false">100*(G90-G89)</f>
        <v>5.86244951314043</v>
      </c>
      <c r="H224" s="22" t="n">
        <f aca="false">100*(H90-H89)</f>
        <v>5.77885396910829</v>
      </c>
      <c r="I224" s="22" t="n">
        <f aca="false">100*(I90-I89)</f>
        <v>5.66962561166911</v>
      </c>
      <c r="J224" s="22" t="n">
        <f aca="false">100*(J90-J89)</f>
        <v>5.53687156006486</v>
      </c>
      <c r="K224" s="22" t="n">
        <f aca="false">100*(K90-K89)</f>
        <v>5.38285646459631</v>
      </c>
      <c r="L224" s="22" t="n">
        <f aca="false">100*(L90-L89)</f>
        <v>5.20997766764602</v>
      </c>
      <c r="M224" s="22" t="n">
        <f aca="false">100*(M90-M89)</f>
        <v>5.02076870612398</v>
      </c>
      <c r="N224" s="22" t="n">
        <f aca="false">100*(N90-N89)</f>
        <v>4.81788572625868</v>
      </c>
      <c r="O224" s="22" t="n">
        <f aca="false">100*(O90-O89)</f>
        <v>4.60408578536611</v>
      </c>
      <c r="P224" s="22" t="n">
        <f aca="false">100*(P90-P89)</f>
        <v>4.38220945329588</v>
      </c>
      <c r="Q224" s="22" t="n">
        <f aca="false">100*(Q90-Q89)</f>
        <v>4.15516159787899</v>
      </c>
      <c r="R224" s="22" t="n">
        <f aca="false">100*(R90-R89)</f>
        <v>3.92585834278312</v>
      </c>
      <c r="S224" s="22" t="n">
        <f aca="false">100*(S90-S89)</f>
        <v>3.69717551604469</v>
      </c>
      <c r="T224" s="22" t="n">
        <f aca="false">100*(T90-T89)</f>
        <v>3.47179188017859</v>
      </c>
      <c r="U224" s="22" t="n">
        <f aca="false">100*(U90-U89)</f>
        <v>3.2520754434866</v>
      </c>
      <c r="V224" s="22" t="n">
        <f aca="false">100*(V90-V89)</f>
        <v>3.04011669682929</v>
      </c>
      <c r="W224" s="22" t="n">
        <f aca="false">100*(W90-W89)</f>
        <v>2.83775276919909</v>
      </c>
      <c r="X224" s="22" t="n">
        <f aca="false">100*(X90-X89)</f>
        <v>2.64646042680372</v>
      </c>
      <c r="Y224" s="22" t="n">
        <f aca="false">100*(Y90-Y89)</f>
        <v>2.46727467354506</v>
      </c>
      <c r="Z224" s="22" t="n">
        <f aca="false">100*(Z90-Z89)</f>
        <v>2.30083780113848</v>
      </c>
      <c r="AA224" s="22" t="n">
        <f aca="false">100*(AA90-AA89)</f>
        <v>2.14747685080923</v>
      </c>
      <c r="AB224" s="22" t="n">
        <f aca="false">100*(AB90-AB89)</f>
        <v>2.00726812759773</v>
      </c>
      <c r="AC224" s="22" t="n">
        <f aca="false">100*(AC90-AC89)</f>
        <v>1.88006918331149</v>
      </c>
      <c r="AD224" s="22" t="n">
        <f aca="false">100*(AD90-AD89)</f>
        <v>1.76554441572452</v>
      </c>
      <c r="AE224" s="22" t="n">
        <f aca="false">100*(AE90-AE89)</f>
        <v>1.66319770571519</v>
      </c>
      <c r="AF224" s="22" t="n">
        <f aca="false">100*(AF90-AF89)</f>
        <v>1.5724202811608</v>
      </c>
      <c r="AG224" s="22" t="n">
        <f aca="false">100*(AG90-AG89)</f>
        <v>1.49251239414889</v>
      </c>
      <c r="AH224" s="22" t="n">
        <f aca="false">100*(AH90-AH89)</f>
        <v>1.4227079876568</v>
      </c>
      <c r="AI224" s="22" t="n">
        <f aca="false">100*(AI90-AI89)</f>
        <v>1.3622237604022</v>
      </c>
      <c r="AJ224" s="22" t="n">
        <f aca="false">100*(AJ90-AJ89)</f>
        <v>1.31027395344718</v>
      </c>
      <c r="AK224" s="22" t="n">
        <f aca="false">100*(AK90-AK89)</f>
        <v>1.26607074497698</v>
      </c>
      <c r="AL224" s="22" t="n">
        <f aca="false">AVERAGE(C224:AK224)</f>
        <v>3.59034230390561</v>
      </c>
    </row>
    <row r="225" customFormat="false" ht="15" hidden="false" customHeight="false" outlineLevel="0" collapsed="false">
      <c r="A225" s="20" t="n">
        <f aca="false">A91</f>
        <v>-34</v>
      </c>
      <c r="B225" s="21" t="n">
        <f aca="false">B91</f>
        <v>41444</v>
      </c>
      <c r="C225" s="22" t="n">
        <f aca="false">100*(C91-C90)</f>
        <v>-0.949137920600807</v>
      </c>
      <c r="D225" s="22" t="n">
        <f aca="false">100*(D91-D90)</f>
        <v>-1.06026084275368</v>
      </c>
      <c r="E225" s="22" t="n">
        <f aca="false">100*(E91-E90)</f>
        <v>-1.1700479995103</v>
      </c>
      <c r="F225" s="22" t="n">
        <f aca="false">100*(F91-F90)</f>
        <v>-1.27681201742669</v>
      </c>
      <c r="G225" s="22" t="n">
        <f aca="false">100*(G91-G90)</f>
        <v>-1.3793359082535</v>
      </c>
      <c r="H225" s="22" t="n">
        <f aca="false">100*(H91-H90)</f>
        <v>-1.476701593108</v>
      </c>
      <c r="I225" s="22" t="n">
        <f aca="false">100*(I91-I90)</f>
        <v>-1.56822129155652</v>
      </c>
      <c r="J225" s="22" t="n">
        <f aca="false">100*(J91-J90)</f>
        <v>-1.65338745673429</v>
      </c>
      <c r="K225" s="22" t="n">
        <f aca="false">100*(K91-K90)</f>
        <v>-1.7318357590701</v>
      </c>
      <c r="L225" s="22" t="n">
        <f aca="false">100*(L91-L90)</f>
        <v>-1.80333503683339</v>
      </c>
      <c r="M225" s="22" t="n">
        <f aca="false">100*(M91-M90)</f>
        <v>-1.86779747062888</v>
      </c>
      <c r="N225" s="22" t="n">
        <f aca="false">100*(N91-N90)</f>
        <v>-1.92525861611501</v>
      </c>
      <c r="O225" s="22" t="n">
        <f aca="false">100*(O91-O90)</f>
        <v>-1.97585534706484</v>
      </c>
      <c r="P225" s="22" t="n">
        <f aca="false">100*(P91-P90)</f>
        <v>-2.01980838689466</v>
      </c>
      <c r="Q225" s="22" t="n">
        <f aca="false">100*(Q91-Q90)</f>
        <v>-2.0574180678596</v>
      </c>
      <c r="R225" s="22" t="n">
        <f aca="false">100*(R91-R90)</f>
        <v>-2.08913346046331</v>
      </c>
      <c r="S225" s="22" t="n">
        <f aca="false">100*(S91-S90)</f>
        <v>-2.11558771252429</v>
      </c>
      <c r="T225" s="22" t="n">
        <f aca="false">100*(T91-T90)</f>
        <v>-2.13750315437067</v>
      </c>
      <c r="U225" s="22" t="n">
        <f aca="false">100*(U91-U90)</f>
        <v>-2.15561377093527</v>
      </c>
      <c r="V225" s="22" t="n">
        <f aca="false">100*(V91-V90)</f>
        <v>-2.17065839207691</v>
      </c>
      <c r="W225" s="22" t="n">
        <f aca="false">100*(W91-W90)</f>
        <v>-2.183375624857</v>
      </c>
      <c r="X225" s="22" t="n">
        <f aca="false">100*(X91-X90)</f>
        <v>-2.19445930294282</v>
      </c>
      <c r="Y225" s="22" t="n">
        <f aca="false">100*(Y91-Y90)</f>
        <v>-2.20452272970828</v>
      </c>
      <c r="Z225" s="22" t="n">
        <f aca="false">100*(Z91-Z90)</f>
        <v>-2.21410395431758</v>
      </c>
      <c r="AA225" s="22" t="n">
        <f aca="false">100*(AA91-AA90)</f>
        <v>-2.22365996811891</v>
      </c>
      <c r="AB225" s="22" t="n">
        <f aca="false">100*(AB91-AB90)</f>
        <v>-2.23356280298392</v>
      </c>
      <c r="AC225" s="22" t="n">
        <f aca="false">100*(AC91-AC90)</f>
        <v>-2.24410853784751</v>
      </c>
      <c r="AD225" s="22" t="n">
        <f aca="false">100*(AD91-AD90)</f>
        <v>-2.25552607409032</v>
      </c>
      <c r="AE225" s="22" t="n">
        <f aca="false">100*(AE91-AE90)</f>
        <v>-2.26798104356858</v>
      </c>
      <c r="AF225" s="22" t="n">
        <f aca="false">100*(AF91-AF90)</f>
        <v>-2.28157235103121</v>
      </c>
      <c r="AG225" s="22" t="n">
        <f aca="false">100*(AG91-AG90)</f>
        <v>-2.29633631601289</v>
      </c>
      <c r="AH225" s="22" t="n">
        <f aca="false">100*(AH91-AH90)</f>
        <v>-2.31225882605579</v>
      </c>
      <c r="AI225" s="22" t="n">
        <f aca="false">100*(AI91-AI90)</f>
        <v>-2.32929433241802</v>
      </c>
      <c r="AJ225" s="22" t="n">
        <f aca="false">100*(AJ91-AJ90)</f>
        <v>-2.34737274443289</v>
      </c>
      <c r="AK225" s="22" t="n">
        <f aca="false">100*(AK91-AK90)</f>
        <v>-2.36640191122648</v>
      </c>
      <c r="AL225" s="22" t="n">
        <f aca="false">AVERAGE(C225:AK225)</f>
        <v>-1.95823562069694</v>
      </c>
    </row>
    <row r="226" customFormat="false" ht="15" hidden="false" customHeight="false" outlineLevel="0" collapsed="false">
      <c r="A226" s="20" t="n">
        <f aca="false">A92</f>
        <v>-33</v>
      </c>
      <c r="B226" s="21" t="n">
        <f aca="false">B92</f>
        <v>41445</v>
      </c>
      <c r="C226" s="22" t="n">
        <f aca="false">100*(C92-C91)</f>
        <v>19.1163087899779</v>
      </c>
      <c r="D226" s="22" t="n">
        <f aca="false">100*(D92-D91)</f>
        <v>18.6387560544836</v>
      </c>
      <c r="E226" s="22" t="n">
        <f aca="false">100*(E92-E91)</f>
        <v>18.1237292500836</v>
      </c>
      <c r="F226" s="22" t="n">
        <f aca="false">100*(F92-F91)</f>
        <v>17.5880348901689</v>
      </c>
      <c r="G226" s="22" t="n">
        <f aca="false">100*(G92-G91)</f>
        <v>17.0441853039104</v>
      </c>
      <c r="H226" s="22" t="n">
        <f aca="false">100*(H92-H91)</f>
        <v>16.5014929449782</v>
      </c>
      <c r="I226" s="22" t="n">
        <f aca="false">100*(I92-I91)</f>
        <v>15.9667983776148</v>
      </c>
      <c r="J226" s="22" t="n">
        <f aca="false">100*(J92-J91)</f>
        <v>15.4450076439001</v>
      </c>
      <c r="K226" s="22" t="n">
        <f aca="false">100*(K92-K91)</f>
        <v>14.9394959714693</v>
      </c>
      <c r="L226" s="22" t="n">
        <f aca="false">100*(L92-L91)</f>
        <v>14.4524595028702</v>
      </c>
      <c r="M226" s="22" t="n">
        <f aca="false">100*(M92-M91)</f>
        <v>13.9852683450108</v>
      </c>
      <c r="N226" s="22" t="n">
        <f aca="false">100*(N92-N91)</f>
        <v>13.5386575382764</v>
      </c>
      <c r="O226" s="22" t="n">
        <f aca="false">100*(O92-O91)</f>
        <v>13.1128408698551</v>
      </c>
      <c r="P226" s="22" t="n">
        <f aca="false">100*(P92-P91)</f>
        <v>12.7076007448639</v>
      </c>
      <c r="Q226" s="22" t="n">
        <f aca="false">100*(Q92-Q91)</f>
        <v>12.3223664565388</v>
      </c>
      <c r="R226" s="22" t="n">
        <f aca="false">100*(R92-R91)</f>
        <v>11.9563372019893</v>
      </c>
      <c r="S226" s="22" t="n">
        <f aca="false">100*(S92-S91)</f>
        <v>11.6085835862589</v>
      </c>
      <c r="T226" s="22" t="n">
        <f aca="false">100*(T92-T91)</f>
        <v>11.2781050110241</v>
      </c>
      <c r="U226" s="22" t="n">
        <f aca="false">100*(U92-U91)</f>
        <v>10.963869449965</v>
      </c>
      <c r="V226" s="22" t="n">
        <f aca="false">100*(V92-V91)</f>
        <v>10.6648202609271</v>
      </c>
      <c r="W226" s="22" t="n">
        <f aca="false">100*(W92-W91)</f>
        <v>10.3798833526258</v>
      </c>
      <c r="X226" s="22" t="n">
        <f aca="false">100*(X92-X91)</f>
        <v>10.108006617018</v>
      </c>
      <c r="Y226" s="22" t="n">
        <f aca="false">100*(Y92-Y91)</f>
        <v>9.8481910307735</v>
      </c>
      <c r="Z226" s="22" t="n">
        <f aca="false">100*(Z92-Z91)</f>
        <v>9.5994909857323</v>
      </c>
      <c r="AA226" s="22" t="n">
        <f aca="false">100*(AA92-AA91)</f>
        <v>9.36104840997851</v>
      </c>
      <c r="AB226" s="22" t="n">
        <f aca="false">100*(AB92-AB91)</f>
        <v>9.1321179726013</v>
      </c>
      <c r="AC226" s="22" t="n">
        <f aca="false">100*(AC92-AC91)</f>
        <v>8.91205642915804</v>
      </c>
      <c r="AD226" s="22" t="n">
        <f aca="false">100*(AD92-AD91)</f>
        <v>8.700310824314</v>
      </c>
      <c r="AE226" s="22" t="n">
        <f aca="false">100*(AE92-AE91)</f>
        <v>8.49641273244179</v>
      </c>
      <c r="AF226" s="22" t="n">
        <f aca="false">100*(AF92-AF91)</f>
        <v>8.29998116319723</v>
      </c>
      <c r="AG226" s="22" t="n">
        <f aca="false">100*(AG92-AG91)</f>
        <v>8.11071652314039</v>
      </c>
      <c r="AH226" s="22" t="n">
        <f aca="false">100*(AH92-AH91)</f>
        <v>7.92838151897288</v>
      </c>
      <c r="AI226" s="22" t="n">
        <f aca="false">100*(AI92-AI91)</f>
        <v>7.75276815706292</v>
      </c>
      <c r="AJ226" s="22" t="n">
        <f aca="false">100*(AJ92-AJ91)</f>
        <v>7.58368747119409</v>
      </c>
      <c r="AK226" s="22" t="n">
        <f aca="false">100*(AK92-AK91)</f>
        <v>7.42096755989898</v>
      </c>
      <c r="AL226" s="22" t="n">
        <f aca="false">AVERAGE(C226:AK226)</f>
        <v>12.0453925412079</v>
      </c>
    </row>
    <row r="227" customFormat="false" ht="15" hidden="false" customHeight="false" outlineLevel="0" collapsed="false">
      <c r="A227" s="20" t="n">
        <f aca="false">A93</f>
        <v>-32</v>
      </c>
      <c r="B227" s="21" t="n">
        <f aca="false">B93</f>
        <v>41446</v>
      </c>
      <c r="C227" s="22" t="n">
        <f aca="false">100*(C93-C92)</f>
        <v>9.5754966068903</v>
      </c>
      <c r="D227" s="22" t="n">
        <f aca="false">100*(D93-D92)</f>
        <v>10.0348266777418</v>
      </c>
      <c r="E227" s="22" t="n">
        <f aca="false">100*(E93-E92)</f>
        <v>10.404939703717</v>
      </c>
      <c r="F227" s="22" t="n">
        <f aca="false">100*(F93-F92)</f>
        <v>10.6884503587344</v>
      </c>
      <c r="G227" s="22" t="n">
        <f aca="false">100*(G93-G92)</f>
        <v>10.889992609315</v>
      </c>
      <c r="H227" s="22" t="n">
        <f aca="false">100*(H93-H92)</f>
        <v>11.0154426553744</v>
      </c>
      <c r="I227" s="22" t="n">
        <f aca="false">100*(I93-I92)</f>
        <v>11.0716347963428</v>
      </c>
      <c r="J227" s="22" t="n">
        <f aca="false">100*(J93-J92)</f>
        <v>11.0661531486632</v>
      </c>
      <c r="K227" s="22" t="n">
        <f aca="false">100*(K93-K92)</f>
        <v>11.0071681140963</v>
      </c>
      <c r="L227" s="22" t="n">
        <f aca="false">100*(L93-L92)</f>
        <v>10.9029942664827</v>
      </c>
      <c r="M227" s="22" t="n">
        <f aca="false">100*(M93-M92)</f>
        <v>10.7613074751981</v>
      </c>
      <c r="N227" s="22" t="n">
        <f aca="false">100*(N93-N92)</f>
        <v>10.589073196464</v>
      </c>
      <c r="O227" s="22" t="n">
        <f aca="false">100*(O93-O92)</f>
        <v>10.3926720906436</v>
      </c>
      <c r="P227" s="22" t="n">
        <f aca="false">100*(P93-P92)</f>
        <v>10.1780008477112</v>
      </c>
      <c r="Q227" s="22" t="n">
        <f aca="false">100*(Q93-Q92)</f>
        <v>9.95052579262881</v>
      </c>
      <c r="R227" s="22" t="n">
        <f aca="false">100*(R93-R92)</f>
        <v>9.71514110640359</v>
      </c>
      <c r="S227" s="22" t="n">
        <f aca="false">100*(S93-S92)</f>
        <v>9.4760911556171</v>
      </c>
      <c r="T227" s="22" t="n">
        <f aca="false">100*(T93-T92)</f>
        <v>9.2369946117647</v>
      </c>
      <c r="U227" s="22" t="n">
        <f aca="false">100*(U93-U92)</f>
        <v>9.0008843605355</v>
      </c>
      <c r="V227" s="22" t="n">
        <f aca="false">100*(V93-V92)</f>
        <v>8.770287628171</v>
      </c>
      <c r="W227" s="22" t="n">
        <f aca="false">100*(W93-W92)</f>
        <v>8.54728862005962</v>
      </c>
      <c r="X227" s="22" t="n">
        <f aca="false">100*(X93-X92)</f>
        <v>8.33352199985651</v>
      </c>
      <c r="Y227" s="22" t="n">
        <f aca="false">100*(Y93-Y92)</f>
        <v>8.13017676327381</v>
      </c>
      <c r="Z227" s="22" t="n">
        <f aca="false">100*(Z93-Z92)</f>
        <v>7.938053806209</v>
      </c>
      <c r="AA227" s="22" t="n">
        <f aca="false">100*(AA93-AA92)</f>
        <v>7.75765204732957</v>
      </c>
      <c r="AB227" s="22" t="n">
        <f aca="false">100*(AB93-AB92)</f>
        <v>7.5892361864137</v>
      </c>
      <c r="AC227" s="22" t="n">
        <f aca="false">100*(AC93-AC92)</f>
        <v>7.4328667547849</v>
      </c>
      <c r="AD227" s="22" t="n">
        <f aca="false">100*(AD93-AD92)</f>
        <v>7.28842399608212</v>
      </c>
      <c r="AE227" s="22" t="n">
        <f aca="false">100*(AE93-AE92)</f>
        <v>7.1556362013284</v>
      </c>
      <c r="AF227" s="22" t="n">
        <f aca="false">100*(AF93-AF92)</f>
        <v>7.03411717092628</v>
      </c>
      <c r="AG227" s="22" t="n">
        <f aca="false">100*(AG93-AG92)</f>
        <v>6.9233846024003</v>
      </c>
      <c r="AH227" s="22" t="n">
        <f aca="false">100*(AH93-AH92)</f>
        <v>6.82287738211351</v>
      </c>
      <c r="AI227" s="22" t="n">
        <f aca="false">100*(AI93-AI92)</f>
        <v>6.73198651554379</v>
      </c>
      <c r="AJ227" s="22" t="n">
        <f aca="false">100*(AJ93-AJ92)</f>
        <v>6.65006777569079</v>
      </c>
      <c r="AK227" s="22" t="n">
        <f aca="false">100*(AK93-AK92)</f>
        <v>6.57644533080681</v>
      </c>
      <c r="AL227" s="22" t="n">
        <f aca="false">AVERAGE(C227:AK227)</f>
        <v>9.01828035300899</v>
      </c>
    </row>
    <row r="228" customFormat="false" ht="15" hidden="false" customHeight="false" outlineLevel="0" collapsed="false">
      <c r="A228" s="20" t="n">
        <f aca="false">A94</f>
        <v>-31</v>
      </c>
      <c r="B228" s="21" t="n">
        <f aca="false">B94</f>
        <v>41449</v>
      </c>
      <c r="C228" s="22" t="n">
        <f aca="false">100*(C94-C93)</f>
        <v>17.1403615859055</v>
      </c>
      <c r="D228" s="22" t="n">
        <f aca="false">100*(D94-D93)</f>
        <v>16.8563700701724</v>
      </c>
      <c r="E228" s="22" t="n">
        <f aca="false">100*(E94-E93)</f>
        <v>16.5333701962501</v>
      </c>
      <c r="F228" s="22" t="n">
        <f aca="false">100*(F94-F93)</f>
        <v>16.1801566075902</v>
      </c>
      <c r="G228" s="22" t="n">
        <f aca="false">100*(G94-G93)</f>
        <v>15.8031830029375</v>
      </c>
      <c r="H228" s="22" t="n">
        <f aca="false">100*(H94-H93)</f>
        <v>15.4072546451956</v>
      </c>
      <c r="I228" s="22" t="n">
        <f aca="false">100*(I94-I93)</f>
        <v>14.9959041527148</v>
      </c>
      <c r="J228" s="22" t="n">
        <f aca="false">100*(J94-J93)</f>
        <v>14.5716681611518</v>
      </c>
      <c r="K228" s="22" t="n">
        <f aca="false">100*(K94-K93)</f>
        <v>14.1362973746922</v>
      </c>
      <c r="L228" s="22" t="n">
        <f aca="false">100*(L94-L93)</f>
        <v>13.6910498776845</v>
      </c>
      <c r="M228" s="22" t="n">
        <f aca="false">100*(M94-M93)</f>
        <v>13.2371306387158</v>
      </c>
      <c r="N228" s="22" t="n">
        <f aca="false">100*(N94-N93)</f>
        <v>12.7757963441111</v>
      </c>
      <c r="O228" s="22" t="n">
        <f aca="false">100*(O94-O93)</f>
        <v>12.3083469809036</v>
      </c>
      <c r="P228" s="22" t="n">
        <f aca="false">100*(P94-P93)</f>
        <v>11.8361183713771</v>
      </c>
      <c r="Q228" s="22" t="n">
        <f aca="false">100*(Q94-Q93)</f>
        <v>11.3605010861865</v>
      </c>
      <c r="R228" s="22" t="n">
        <f aca="false">100*(R94-R93)</f>
        <v>10.8831535297444</v>
      </c>
      <c r="S228" s="22" t="n">
        <f aca="false">100*(S94-S93)</f>
        <v>10.4061238757728</v>
      </c>
      <c r="T228" s="22" t="n">
        <f aca="false">100*(T94-T93)</f>
        <v>9.93160068300818</v>
      </c>
      <c r="U228" s="22" t="n">
        <f aca="false">100*(U94-U93)</f>
        <v>9.4617249635776</v>
      </c>
      <c r="V228" s="22" t="n">
        <f aca="false">100*(V94-V93)</f>
        <v>8.99858525094781</v>
      </c>
      <c r="W228" s="22" t="n">
        <f aca="false">100*(W94-W93)</f>
        <v>8.54420864815948</v>
      </c>
      <c r="X228" s="22" t="n">
        <f aca="false">100*(X94-X93)</f>
        <v>8.1004258353865</v>
      </c>
      <c r="Y228" s="22" t="n">
        <f aca="false">100*(Y94-Y93)</f>
        <v>7.66877655550817</v>
      </c>
      <c r="Z228" s="22" t="n">
        <f aca="false">100*(Z94-Z93)</f>
        <v>7.250537105711</v>
      </c>
      <c r="AA228" s="22" t="n">
        <f aca="false">100*(AA94-AA93)</f>
        <v>6.84674269001442</v>
      </c>
      <c r="AB228" s="22" t="n">
        <f aca="false">100*(AB94-AB93)</f>
        <v>6.458207329199</v>
      </c>
      <c r="AC228" s="22" t="n">
        <f aca="false">100*(AC94-AC93)</f>
        <v>6.08554944397377</v>
      </c>
      <c r="AD228" s="22" t="n">
        <f aca="false">100*(AD94-AD93)</f>
        <v>5.72921446812118</v>
      </c>
      <c r="AE228" s="22" t="n">
        <f aca="false">100*(AE94-AE93)</f>
        <v>5.38948758355127</v>
      </c>
      <c r="AF228" s="22" t="n">
        <f aca="false">100*(AF94-AF93)</f>
        <v>5.06649384936271</v>
      </c>
      <c r="AG228" s="22" t="n">
        <f aca="false">100*(AG94-AG93)</f>
        <v>4.76021076946651</v>
      </c>
      <c r="AH228" s="22" t="n">
        <f aca="false">100*(AH94-AH93)</f>
        <v>4.47048912250989</v>
      </c>
      <c r="AI228" s="22" t="n">
        <f aca="false">100*(AI94-AI93)</f>
        <v>4.19708056111521</v>
      </c>
      <c r="AJ228" s="22" t="n">
        <f aca="false">100*(AJ94-AJ93)</f>
        <v>3.93965207062901</v>
      </c>
      <c r="AK228" s="22" t="n">
        <f aca="false">100*(AK94-AK93)</f>
        <v>3.69779448158871</v>
      </c>
      <c r="AL228" s="22" t="n">
        <f aca="false">AVERAGE(C228:AK228)</f>
        <v>10.1348447975125</v>
      </c>
    </row>
    <row r="229" customFormat="false" ht="15" hidden="false" customHeight="false" outlineLevel="0" collapsed="false">
      <c r="A229" s="20" t="n">
        <f aca="false">A95</f>
        <v>-30</v>
      </c>
      <c r="B229" s="21" t="n">
        <f aca="false">B95</f>
        <v>41450</v>
      </c>
      <c r="C229" s="22" t="n">
        <f aca="false">100*(C95-C94)</f>
        <v>-4.69038572676079</v>
      </c>
      <c r="D229" s="22" t="n">
        <f aca="false">100*(D95-D94)</f>
        <v>-4.29926474529454</v>
      </c>
      <c r="E229" s="22" t="n">
        <f aca="false">100*(E95-E94)</f>
        <v>-3.9393264681773</v>
      </c>
      <c r="F229" s="22" t="n">
        <f aca="false">100*(F95-F94)</f>
        <v>-3.61169918111197</v>
      </c>
      <c r="G229" s="22" t="n">
        <f aca="false">100*(G95-G94)</f>
        <v>-3.3160008114419</v>
      </c>
      <c r="H229" s="22" t="n">
        <f aca="false">100*(H95-H94)</f>
        <v>-3.05082844217379</v>
      </c>
      <c r="I229" s="22" t="n">
        <f aca="false">100*(I95-I94)</f>
        <v>-2.813991041999</v>
      </c>
      <c r="J229" s="22" t="n">
        <f aca="false">100*(J95-J94)</f>
        <v>-2.60268079449189</v>
      </c>
      <c r="K229" s="22" t="n">
        <f aca="false">100*(K95-K94)</f>
        <v>-2.4136070254364</v>
      </c>
      <c r="L229" s="22" t="n">
        <f aca="false">100*(L95-L94)</f>
        <v>-2.24332629109361</v>
      </c>
      <c r="M229" s="22" t="n">
        <f aca="false">100*(M95-M94)</f>
        <v>-2.0888074212547</v>
      </c>
      <c r="N229" s="22" t="n">
        <f aca="false">100*(N95-N94)</f>
        <v>-1.94748829615659</v>
      </c>
      <c r="O229" s="22" t="n">
        <f aca="false">100*(O95-O94)</f>
        <v>-1.81719293577629</v>
      </c>
      <c r="P229" s="22" t="n">
        <f aca="false">100*(P95-P94)</f>
        <v>-1.69606492586549</v>
      </c>
      <c r="Q229" s="22" t="n">
        <f aca="false">100*(Q95-Q94)</f>
        <v>-1.58254950345427</v>
      </c>
      <c r="R229" s="22" t="n">
        <f aca="false">100*(R95-R94)</f>
        <v>-1.47563320823259</v>
      </c>
      <c r="S229" s="22" t="n">
        <f aca="false">100*(S95-S94)</f>
        <v>-1.3749608161425</v>
      </c>
      <c r="T229" s="22" t="n">
        <f aca="false">100*(T95-T94)</f>
        <v>-1.28052517189827</v>
      </c>
      <c r="U229" s="22" t="n">
        <f aca="false">100*(U95-U94)</f>
        <v>-1.19242869864769</v>
      </c>
      <c r="V229" s="22" t="n">
        <f aca="false">100*(V95-V94)</f>
        <v>-1.11085437485969</v>
      </c>
      <c r="W229" s="22" t="n">
        <f aca="false">100*(W95-W94)</f>
        <v>-1.03604073006469</v>
      </c>
      <c r="X229" s="22" t="n">
        <f aca="false">100*(X95-X94)</f>
        <v>-0.968148684150627</v>
      </c>
      <c r="Y229" s="22" t="n">
        <f aca="false">100*(Y95-Y94)</f>
        <v>-0.90716371911479</v>
      </c>
      <c r="Z229" s="22" t="n">
        <f aca="false">100*(Z95-Z94)</f>
        <v>-0.852910916041516</v>
      </c>
      <c r="AA229" s="22" t="n">
        <f aca="false">100*(AA95-AA94)</f>
        <v>-0.805081218087</v>
      </c>
      <c r="AB229" s="22" t="n">
        <f aca="false">100*(AB95-AB94)</f>
        <v>-0.763253460120383</v>
      </c>
      <c r="AC229" s="22" t="n">
        <f aca="false">100*(AC95-AC94)</f>
        <v>-0.726908169954488</v>
      </c>
      <c r="AD229" s="22" t="n">
        <f aca="false">100*(AD95-AD94)</f>
        <v>-0.695439172022594</v>
      </c>
      <c r="AE229" s="22" t="n">
        <f aca="false">100*(AE95-AE94)</f>
        <v>-0.668172106065068</v>
      </c>
      <c r="AF229" s="22" t="n">
        <f aca="false">100*(AF95-AF94)</f>
        <v>-0.644393613004013</v>
      </c>
      <c r="AG229" s="22" t="n">
        <f aca="false">100*(AG95-AG94)</f>
        <v>-0.623361872873218</v>
      </c>
      <c r="AH229" s="22" t="n">
        <f aca="false">100*(AH95-AH94)</f>
        <v>-0.60433062503269</v>
      </c>
      <c r="AI229" s="22" t="n">
        <f aca="false">100*(AI95-AI94)</f>
        <v>-0.586600710356189</v>
      </c>
      <c r="AJ229" s="22" t="n">
        <f aca="false">100*(AJ95-AJ94)</f>
        <v>-0.569528788417584</v>
      </c>
      <c r="AK229" s="22" t="n">
        <f aca="false">100*(AK95-AK94)</f>
        <v>-0.552521856666743</v>
      </c>
      <c r="AL229" s="22" t="n">
        <f aca="false">AVERAGE(C229:AK229)</f>
        <v>-1.70147061492117</v>
      </c>
    </row>
    <row r="230" customFormat="false" ht="15" hidden="false" customHeight="false" outlineLevel="0" collapsed="false">
      <c r="A230" s="20" t="n">
        <f aca="false">A96</f>
        <v>-29</v>
      </c>
      <c r="B230" s="21" t="n">
        <f aca="false">B96</f>
        <v>41451</v>
      </c>
      <c r="C230" s="22" t="n">
        <f aca="false">100*(C96-C95)</f>
        <v>-8.95616749988188</v>
      </c>
      <c r="D230" s="22" t="n">
        <f aca="false">100*(D96-D95)</f>
        <v>-8.61941986276658</v>
      </c>
      <c r="E230" s="22" t="n">
        <f aca="false">100*(E96-E95)</f>
        <v>-8.2933881195419</v>
      </c>
      <c r="F230" s="22" t="n">
        <f aca="false">100*(F96-F95)</f>
        <v>-7.9789522020155</v>
      </c>
      <c r="G230" s="22" t="n">
        <f aca="false">100*(G96-G95)</f>
        <v>-7.67633998611328</v>
      </c>
      <c r="H230" s="22" t="n">
        <f aca="false">100*(H96-H95)</f>
        <v>-7.3854926451618</v>
      </c>
      <c r="I230" s="22" t="n">
        <f aca="false">100*(I96-I95)</f>
        <v>-7.1061309848925</v>
      </c>
      <c r="J230" s="22" t="n">
        <f aca="false">100*(J96-J95)</f>
        <v>-6.83780334944131</v>
      </c>
      <c r="K230" s="22" t="n">
        <f aca="false">100*(K96-K95)</f>
        <v>-6.57992409394463</v>
      </c>
      <c r="L230" s="22" t="n">
        <f aca="false">100*(L96-L95)</f>
        <v>-6.3318939738529</v>
      </c>
      <c r="M230" s="22" t="n">
        <f aca="false">100*(M96-M95)</f>
        <v>-6.09329900186282</v>
      </c>
      <c r="N230" s="22" t="n">
        <f aca="false">100*(N96-N95)</f>
        <v>-5.86391983974339</v>
      </c>
      <c r="O230" s="22" t="n">
        <f aca="false">100*(O96-O95)</f>
        <v>-5.64369721005722</v>
      </c>
      <c r="P230" s="22" t="n">
        <f aca="false">100*(P96-P95)</f>
        <v>-5.43270429967881</v>
      </c>
      <c r="Q230" s="22" t="n">
        <f aca="false">100*(Q96-Q95)</f>
        <v>-5.23111009796793</v>
      </c>
      <c r="R230" s="22" t="n">
        <f aca="false">100*(R96-R95)</f>
        <v>-5.03903225899571</v>
      </c>
      <c r="S230" s="22" t="n">
        <f aca="false">100*(S96-S95)</f>
        <v>-4.85643596100318</v>
      </c>
      <c r="T230" s="22" t="n">
        <f aca="false">100*(T96-T95)</f>
        <v>-4.68317152249993</v>
      </c>
      <c r="U230" s="22" t="n">
        <f aca="false">100*(U96-U95)</f>
        <v>-4.51900863027599</v>
      </c>
      <c r="V230" s="22" t="n">
        <f aca="false">100*(V96-V95)</f>
        <v>-4.36364894614973</v>
      </c>
      <c r="W230" s="22" t="n">
        <f aca="false">100*(W96-W95)</f>
        <v>-4.21673470998072</v>
      </c>
      <c r="X230" s="22" t="n">
        <f aca="false">100*(X96-X95)</f>
        <v>-4.07784732152621</v>
      </c>
      <c r="Y230" s="22" t="n">
        <f aca="false">100*(Y96-Y95)</f>
        <v>-3.94650612738761</v>
      </c>
      <c r="Z230" s="22" t="n">
        <f aca="false">100*(Z96-Z95)</f>
        <v>-3.822182256516</v>
      </c>
      <c r="AA230" s="22" t="n">
        <f aca="false">100*(AA96-AA95)</f>
        <v>-3.70436204895288</v>
      </c>
      <c r="AB230" s="22" t="n">
        <f aca="false">100*(AB96-AB95)</f>
        <v>-3.5925924868522</v>
      </c>
      <c r="AC230" s="22" t="n">
        <f aca="false">100*(AC96-AC95)</f>
        <v>-3.48647730464591</v>
      </c>
      <c r="AD230" s="22" t="n">
        <f aca="false">100*(AD96-AD95)</f>
        <v>-3.38567068364251</v>
      </c>
      <c r="AE230" s="22" t="n">
        <f aca="false">100*(AE96-AE95)</f>
        <v>-3.28988570950619</v>
      </c>
      <c r="AF230" s="22" t="n">
        <f aca="false">100*(AF96-AF95)</f>
        <v>-3.19892257365049</v>
      </c>
      <c r="AG230" s="22" t="n">
        <f aca="false">100*(AG96-AG95)</f>
        <v>-3.1126682158948</v>
      </c>
      <c r="AH230" s="22" t="n">
        <f aca="false">100*(AH96-AH95)</f>
        <v>-3.03107912007881</v>
      </c>
      <c r="AI230" s="22" t="n">
        <f aca="false">100*(AI96-AI95)</f>
        <v>-2.95415247161221</v>
      </c>
      <c r="AJ230" s="22" t="n">
        <f aca="false">100*(AJ96-AJ95)</f>
        <v>-2.88191571406151</v>
      </c>
      <c r="AK230" s="22" t="n">
        <f aca="false">100*(AK96-AK95)</f>
        <v>-2.81442346279439</v>
      </c>
      <c r="AL230" s="22" t="n">
        <f aca="false">AVERAGE(C230:AK230)</f>
        <v>-5.11448459122713</v>
      </c>
    </row>
    <row r="231" customFormat="false" ht="15" hidden="false" customHeight="false" outlineLevel="0" collapsed="false">
      <c r="A231" s="20" t="n">
        <f aca="false">A97</f>
        <v>-28</v>
      </c>
      <c r="B231" s="21" t="n">
        <f aca="false">B97</f>
        <v>41452</v>
      </c>
      <c r="C231" s="22" t="n">
        <f aca="false">100*(C97-C96)</f>
        <v>-1.99979149953222</v>
      </c>
      <c r="D231" s="22" t="n">
        <f aca="false">100*(D97-D96)</f>
        <v>-2.05966607517012</v>
      </c>
      <c r="E231" s="22" t="n">
        <f aca="false">100*(E97-E96)</f>
        <v>-2.1158106667627</v>
      </c>
      <c r="F231" s="22" t="n">
        <f aca="false">100*(F97-F96)</f>
        <v>-2.16824957215573</v>
      </c>
      <c r="G231" s="22" t="n">
        <f aca="false">100*(G97-G96)</f>
        <v>-2.21670453692591</v>
      </c>
      <c r="H231" s="22" t="n">
        <f aca="false">100*(H97-H96)</f>
        <v>-2.26076255100671</v>
      </c>
      <c r="I231" s="22" t="n">
        <f aca="false">100*(I97-I96)</f>
        <v>-2.29990683853969</v>
      </c>
      <c r="J231" s="22" t="n">
        <f aca="false">100*(J97-J96)</f>
        <v>-2.33353941565433</v>
      </c>
      <c r="K231" s="22" t="n">
        <f aca="false">100*(K97-K96)</f>
        <v>-2.36100027134558</v>
      </c>
      <c r="L231" s="22" t="n">
        <f aca="false">100*(L97-L96)</f>
        <v>-2.38165627489297</v>
      </c>
      <c r="M231" s="22" t="n">
        <f aca="false">100*(M97-M96)</f>
        <v>-2.3950478555435</v>
      </c>
      <c r="N231" s="22" t="n">
        <f aca="false">100*(N97-N96)</f>
        <v>-2.4008882406779</v>
      </c>
      <c r="O231" s="22" t="n">
        <f aca="false">100*(O97-O96)</f>
        <v>-2.39903266870467</v>
      </c>
      <c r="P231" s="22" t="n">
        <f aca="false">100*(P97-P96)</f>
        <v>-2.3894539054361</v>
      </c>
      <c r="Q231" s="22" t="n">
        <f aca="false">100*(Q97-Q96)</f>
        <v>-2.37222479239407</v>
      </c>
      <c r="R231" s="22" t="n">
        <f aca="false">100*(R97-R96)</f>
        <v>-2.34750986745889</v>
      </c>
      <c r="S231" s="22" t="n">
        <f aca="false">100*(S97-S96)</f>
        <v>-2.31555094754481</v>
      </c>
      <c r="T231" s="22" t="n">
        <f aca="false">100*(T97-T96)</f>
        <v>-2.27665135302018</v>
      </c>
      <c r="U231" s="22" t="n">
        <f aca="false">100*(U97-U96)</f>
        <v>-2.23116285348253</v>
      </c>
      <c r="V231" s="22" t="n">
        <f aca="false">100*(V97-V96)</f>
        <v>-2.17947835826728</v>
      </c>
      <c r="W231" s="22" t="n">
        <f aca="false">100*(W97-W96)</f>
        <v>-2.1220268570834</v>
      </c>
      <c r="X231" s="22" t="n">
        <f aca="false">100*(X97-X96)</f>
        <v>-2.05927215537227</v>
      </c>
      <c r="Y231" s="22" t="n">
        <f aca="false">100*(Y97-Y96)</f>
        <v>-1.99170996948621</v>
      </c>
      <c r="Z231" s="22" t="n">
        <f aca="false">100*(Z97-Z96)</f>
        <v>-1.91986476033517</v>
      </c>
      <c r="AA231" s="22" t="n">
        <f aca="false">100*(AA97-AA96)</f>
        <v>-1.84429382684361</v>
      </c>
      <c r="AB231" s="22" t="n">
        <f aca="false">100*(AB97-AB96)</f>
        <v>-1.76558940990321</v>
      </c>
      <c r="AC231" s="22" t="n">
        <f aca="false">100*(AC97-AC96)</f>
        <v>-1.68437494116218</v>
      </c>
      <c r="AD231" s="22" t="n">
        <f aca="false">100*(AD97-AD96)</f>
        <v>-1.60130138477661</v>
      </c>
      <c r="AE231" s="22" t="n">
        <f aca="false">100*(AE97-AE96)</f>
        <v>-1.51704191815494</v>
      </c>
      <c r="AF231" s="22" t="n">
        <f aca="false">100*(AF97-AF96)</f>
        <v>-1.43228331058083</v>
      </c>
      <c r="AG231" s="22" t="n">
        <f aca="false">100*(AG97-AG96)</f>
        <v>-1.3477223028918</v>
      </c>
      <c r="AH231" s="22" t="n">
        <f aca="false">100*(AH97-AH96)</f>
        <v>-1.2640498280482</v>
      </c>
      <c r="AI231" s="22" t="n">
        <f aca="false">100*(AI97-AI96)</f>
        <v>-1.18191434566262</v>
      </c>
      <c r="AJ231" s="22" t="n">
        <f aca="false">100*(AJ97-AJ96)</f>
        <v>-1.10191590015098</v>
      </c>
      <c r="AK231" s="22" t="n">
        <f aca="false">100*(AK97-AK96)</f>
        <v>-1.02461087594068</v>
      </c>
      <c r="AL231" s="22" t="n">
        <f aca="false">AVERAGE(C231:AK231)</f>
        <v>-1.98177315231167</v>
      </c>
    </row>
    <row r="232" customFormat="false" ht="15" hidden="false" customHeight="false" outlineLevel="0" collapsed="false">
      <c r="A232" s="20" t="n">
        <f aca="false">A98</f>
        <v>-27</v>
      </c>
      <c r="B232" s="21" t="n">
        <f aca="false">B98</f>
        <v>41453</v>
      </c>
      <c r="C232" s="22" t="n">
        <f aca="false">100*(C98-C97)</f>
        <v>1.77379092995063</v>
      </c>
      <c r="D232" s="22" t="n">
        <f aca="false">100*(D98-D97)</f>
        <v>2.0886249285434</v>
      </c>
      <c r="E232" s="22" t="n">
        <f aca="false">100*(E98-E97)</f>
        <v>2.3472249607337</v>
      </c>
      <c r="F232" s="22" t="n">
        <f aca="false">100*(F98-F97)</f>
        <v>2.55259092736591</v>
      </c>
      <c r="G232" s="22" t="n">
        <f aca="false">100*(G98-G97)</f>
        <v>2.70868629664349</v>
      </c>
      <c r="H232" s="22" t="n">
        <f aca="false">100*(H98-H97)</f>
        <v>2.8199478913177</v>
      </c>
      <c r="I232" s="22" t="n">
        <f aca="false">100*(I98-I97)</f>
        <v>2.89117761098399</v>
      </c>
      <c r="J232" s="22" t="n">
        <f aca="false">100*(J98-J97)</f>
        <v>2.92746306754843</v>
      </c>
      <c r="K232" s="22" t="n">
        <f aca="false">100*(K98-K97)</f>
        <v>2.93411050612922</v>
      </c>
      <c r="L232" s="22" t="n">
        <f aca="false">100*(L98-L97)</f>
        <v>2.91636457405029</v>
      </c>
      <c r="M232" s="22" t="n">
        <f aca="false">100*(M98-M97)</f>
        <v>2.87897268718722</v>
      </c>
      <c r="N232" s="22" t="n">
        <f aca="false">100*(N98-N97)</f>
        <v>2.82619038229859</v>
      </c>
      <c r="O232" s="22" t="n">
        <f aca="false">100*(O98-O97)</f>
        <v>2.76186906309079</v>
      </c>
      <c r="P232" s="22" t="n">
        <f aca="false">100*(P98-P97)</f>
        <v>2.68952567294161</v>
      </c>
      <c r="Q232" s="22" t="n">
        <f aca="false">100*(Q98-Q97)</f>
        <v>2.61238296691859</v>
      </c>
      <c r="R232" s="22" t="n">
        <f aca="false">100*(R98-R97)</f>
        <v>2.5333254888305</v>
      </c>
      <c r="S232" s="22" t="n">
        <f aca="false">100*(S98-S97)</f>
        <v>2.45489032714659</v>
      </c>
      <c r="T232" s="22" t="n">
        <f aca="false">100*(T98-T97)</f>
        <v>2.37924073244429</v>
      </c>
      <c r="U232" s="22" t="n">
        <f aca="false">100*(U98-U97)</f>
        <v>2.30816501304032</v>
      </c>
      <c r="V232" s="22" t="n">
        <f aca="false">100*(V98-V97)</f>
        <v>2.24312684228338</v>
      </c>
      <c r="W232" s="22" t="n">
        <f aca="false">100*(W98-W97)</f>
        <v>2.18530087316653</v>
      </c>
      <c r="X232" s="22" t="n">
        <f aca="false">100*(X98-X97)</f>
        <v>2.13554050612168</v>
      </c>
      <c r="Y232" s="22" t="n">
        <f aca="false">100*(Y98-Y97)</f>
        <v>2.09436770211942</v>
      </c>
      <c r="Z232" s="22" t="n">
        <f aca="false">100*(Z98-Z97)</f>
        <v>2.06201275936997</v>
      </c>
      <c r="AA232" s="22" t="n">
        <f aca="false">100*(AA98-AA97)</f>
        <v>2.03845460687671</v>
      </c>
      <c r="AB232" s="22" t="n">
        <f aca="false">100*(AB98-AB97)</f>
        <v>2.02345490854921</v>
      </c>
      <c r="AC232" s="22" t="n">
        <f aca="false">100*(AC98-AC97)</f>
        <v>2.01658419696837</v>
      </c>
      <c r="AD232" s="22" t="n">
        <f aca="false">100*(AD98-AD97)</f>
        <v>2.0172442097159</v>
      </c>
      <c r="AE232" s="22" t="n">
        <f aca="false">100*(AE98-AE97)</f>
        <v>2.02469383071211</v>
      </c>
      <c r="AF232" s="22" t="n">
        <f aca="false">100*(AF98-AF97)</f>
        <v>2.03808302171851</v>
      </c>
      <c r="AG232" s="22" t="n">
        <f aca="false">100*(AG98-AG97)</f>
        <v>2.05647035150331</v>
      </c>
      <c r="AH232" s="22" t="n">
        <f aca="false">100*(AH98-AH97)</f>
        <v>2.07885635028879</v>
      </c>
      <c r="AI232" s="22" t="n">
        <f aca="false">100*(AI98-AI97)</f>
        <v>2.10424795045694</v>
      </c>
      <c r="AJ232" s="22" t="n">
        <f aca="false">100*(AJ98-AJ97)</f>
        <v>2.13167354123667</v>
      </c>
      <c r="AK232" s="22" t="n">
        <f aca="false">100*(AK98-AK97)</f>
        <v>2.16018094600039</v>
      </c>
      <c r="AL232" s="22" t="n">
        <f aca="false">AVERAGE(C232:AK232)</f>
        <v>2.36613818926437</v>
      </c>
    </row>
    <row r="233" customFormat="false" ht="15" hidden="false" customHeight="false" outlineLevel="0" collapsed="false">
      <c r="A233" s="20" t="n">
        <f aca="false">A99</f>
        <v>-26</v>
      </c>
      <c r="B233" s="21" t="n">
        <f aca="false">B99</f>
        <v>41456</v>
      </c>
      <c r="C233" s="22" t="n">
        <f aca="false">100*(C99-C98)</f>
        <v>-1.69143319017984</v>
      </c>
      <c r="D233" s="22" t="n">
        <f aca="false">100*(D99-D98)</f>
        <v>-1.79352768538248</v>
      </c>
      <c r="E233" s="22" t="n">
        <f aca="false">100*(E99-E98)</f>
        <v>-1.89318999942469</v>
      </c>
      <c r="F233" s="22" t="n">
        <f aca="false">100*(F99-F98)</f>
        <v>-1.98934998577229</v>
      </c>
      <c r="G233" s="22" t="n">
        <f aca="false">100*(G99-G98)</f>
        <v>-2.08146156794289</v>
      </c>
      <c r="H233" s="22" t="n">
        <f aca="false">100*(H99-H98)</f>
        <v>-2.16932409316071</v>
      </c>
      <c r="I233" s="22" t="n">
        <f aca="false">100*(I99-I98)</f>
        <v>-2.25300325265141</v>
      </c>
      <c r="J233" s="22" t="n">
        <f aca="false">100*(J99-J98)</f>
        <v>-2.33277318077163</v>
      </c>
      <c r="K233" s="22" t="n">
        <f aca="false">100*(K99-K98)</f>
        <v>-2.4090726844197</v>
      </c>
      <c r="L233" s="22" t="n">
        <f aca="false">100*(L99-L98)</f>
        <v>-2.48243085399702</v>
      </c>
      <c r="M233" s="22" t="n">
        <f aca="false">100*(M99-M98)</f>
        <v>-2.55332740647551</v>
      </c>
      <c r="N233" s="22" t="n">
        <f aca="false">100*(N99-N98)</f>
        <v>-2.62216470302699</v>
      </c>
      <c r="O233" s="22" t="n">
        <f aca="false">100*(O99-O98)</f>
        <v>-2.6892812077453</v>
      </c>
      <c r="P233" s="22" t="n">
        <f aca="false">100*(P99-P98)</f>
        <v>-2.75496250594309</v>
      </c>
      <c r="Q233" s="22" t="n">
        <f aca="false">100*(Q99-Q98)</f>
        <v>-2.81944744303848</v>
      </c>
      <c r="R233" s="22" t="n">
        <f aca="false">100*(R99-R98)</f>
        <v>-2.88290429928919</v>
      </c>
      <c r="S233" s="22" t="n">
        <f aca="false">100*(S99-S98)</f>
        <v>-2.94541310078666</v>
      </c>
      <c r="T233" s="22" t="n">
        <f aca="false">100*(T99-T98)</f>
        <v>-3.00698437948839</v>
      </c>
      <c r="U233" s="22" t="n">
        <f aca="false">100*(U99-U98)</f>
        <v>-3.06757351455023</v>
      </c>
      <c r="V233" s="22" t="n">
        <f aca="false">100*(V99-V98)</f>
        <v>-3.12708870133478</v>
      </c>
      <c r="W233" s="22" t="n">
        <f aca="false">100*(W99-W98)</f>
        <v>-3.18539918855443</v>
      </c>
      <c r="X233" s="22" t="n">
        <f aca="false">100*(X99-X98)</f>
        <v>-3.2423509866677</v>
      </c>
      <c r="Y233" s="22" t="n">
        <f aca="false">100*(Y99-Y98)</f>
        <v>-3.2977761549597</v>
      </c>
      <c r="Z233" s="22" t="n">
        <f aca="false">100*(Z99-Z98)</f>
        <v>-3.35149580146319</v>
      </c>
      <c r="AA233" s="22" t="n">
        <f aca="false">100*(AA99-AA98)</f>
        <v>-3.40332903008251</v>
      </c>
      <c r="AB233" s="22" t="n">
        <f aca="false">100*(AB99-AB98)</f>
        <v>-3.45309888966039</v>
      </c>
      <c r="AC233" s="22" t="n">
        <f aca="false">100*(AC99-AC98)</f>
        <v>-3.5006322570319</v>
      </c>
      <c r="AD233" s="22" t="n">
        <f aca="false">100*(AD99-AD98)</f>
        <v>-3.5457594926696</v>
      </c>
      <c r="AE233" s="22" t="n">
        <f aca="false">100*(AE99-AE98)</f>
        <v>-3.58831799089221</v>
      </c>
      <c r="AF233" s="22" t="n">
        <f aca="false">100*(AF99-AF98)</f>
        <v>-3.6281600807111</v>
      </c>
      <c r="AG233" s="22" t="n">
        <f aca="false">100*(AG99-AG98)</f>
        <v>-3.66515357327142</v>
      </c>
      <c r="AH233" s="22" t="n">
        <f aca="false">100*(AH99-AH98)</f>
        <v>-3.69918491996799</v>
      </c>
      <c r="AI233" s="22" t="n">
        <f aca="false">100*(AI99-AI98)</f>
        <v>-3.73016804015482</v>
      </c>
      <c r="AJ233" s="22" t="n">
        <f aca="false">100*(AJ99-AJ98)</f>
        <v>-3.75804412804919</v>
      </c>
      <c r="AK233" s="22" t="n">
        <f aca="false">100*(AK99-AK98)</f>
        <v>-3.7827789399846</v>
      </c>
      <c r="AL233" s="22" t="n">
        <f aca="false">AVERAGE(C233:AK233)</f>
        <v>-2.92561037798577</v>
      </c>
    </row>
    <row r="234" customFormat="false" ht="15" hidden="false" customHeight="false" outlineLevel="0" collapsed="false">
      <c r="A234" s="20" t="n">
        <f aca="false">A100</f>
        <v>-25</v>
      </c>
      <c r="B234" s="21" t="n">
        <f aca="false">B100</f>
        <v>41457</v>
      </c>
      <c r="C234" s="22" t="n">
        <f aca="false">100*(C100-C99)</f>
        <v>-3.36823333151948</v>
      </c>
      <c r="D234" s="22" t="n">
        <f aca="false">100*(D100-D99)</f>
        <v>-3.4080775643444</v>
      </c>
      <c r="E234" s="22" t="n">
        <f aca="false">100*(E100-E99)</f>
        <v>-3.43443117078261</v>
      </c>
      <c r="F234" s="22" t="n">
        <f aca="false">100*(F100-F99)</f>
        <v>-3.4455645899754</v>
      </c>
      <c r="G234" s="22" t="n">
        <f aca="false">100*(G100-G99)</f>
        <v>-3.44022432547559</v>
      </c>
      <c r="H234" s="22" t="n">
        <f aca="false">100*(H100-H99)</f>
        <v>-3.41761543454697</v>
      </c>
      <c r="I234" s="22" t="n">
        <f aca="false">100*(I100-I99)</f>
        <v>-3.37729751808769</v>
      </c>
      <c r="J234" s="22" t="n">
        <f aca="false">100*(J100-J99)</f>
        <v>-3.319107645927</v>
      </c>
      <c r="K234" s="22" t="n">
        <f aca="false">100*(K100-K99)</f>
        <v>-3.24310598705964</v>
      </c>
      <c r="L234" s="22" t="n">
        <f aca="false">100*(L100-L99)</f>
        <v>-3.14963573307669</v>
      </c>
      <c r="M234" s="22" t="n">
        <f aca="false">100*(M100-M99)</f>
        <v>-3.03946505187409</v>
      </c>
      <c r="N234" s="22" t="n">
        <f aca="false">100*(N100-N99)</f>
        <v>-2.9137466003577</v>
      </c>
      <c r="O234" s="22" t="n">
        <f aca="false">100*(O100-O99)</f>
        <v>-2.77394892900582</v>
      </c>
      <c r="P234" s="22" t="n">
        <f aca="false">100*(P100-P99)</f>
        <v>-2.62180202167892</v>
      </c>
      <c r="Q234" s="22" t="n">
        <f aca="false">100*(Q100-Q99)</f>
        <v>-2.45926801381984</v>
      </c>
      <c r="R234" s="22" t="n">
        <f aca="false">100*(R100-R99)</f>
        <v>-2.2886008019424</v>
      </c>
      <c r="S234" s="22" t="n">
        <f aca="false">100*(S100-S99)</f>
        <v>-2.11233671317372</v>
      </c>
      <c r="T234" s="22" t="n">
        <f aca="false">100*(T100-T99)</f>
        <v>-1.93302751525182</v>
      </c>
      <c r="U234" s="22" t="n">
        <f aca="false">100*(U100-U99)</f>
        <v>-1.75306540323739</v>
      </c>
      <c r="V234" s="22" t="n">
        <f aca="false">100*(V100-V99)</f>
        <v>-1.57469494787552</v>
      </c>
      <c r="W234" s="22" t="n">
        <f aca="false">100*(W100-W99)</f>
        <v>-1.40001221838211</v>
      </c>
      <c r="X234" s="22" t="n">
        <f aca="false">100*(X100-X99)</f>
        <v>-1.23081245748109</v>
      </c>
      <c r="Y234" s="22" t="n">
        <f aca="false">100*(Y100-Y99)</f>
        <v>-1.06849470845019</v>
      </c>
      <c r="Z234" s="22" t="n">
        <f aca="false">100*(Z100-Z99)</f>
        <v>-0.91410451251841</v>
      </c>
      <c r="AA234" s="22" t="n">
        <f aca="false">100*(AA100-AA99)</f>
        <v>-0.768383599656097</v>
      </c>
      <c r="AB234" s="22" t="n">
        <f aca="false">100*(AB100-AB99)</f>
        <v>-0.631810931287502</v>
      </c>
      <c r="AC234" s="22" t="n">
        <f aca="false">100*(AC100-AC99)</f>
        <v>-0.504634215359401</v>
      </c>
      <c r="AD234" s="22" t="n">
        <f aca="false">100*(AD100-AD99)</f>
        <v>-0.386896948941562</v>
      </c>
      <c r="AE234" s="22" t="n">
        <f aca="false">100*(AE100-AE99)</f>
        <v>-0.278467567234486</v>
      </c>
      <c r="AF234" s="22" t="n">
        <f aca="false">100*(AF100-AF99)</f>
        <v>-0.179071948602605</v>
      </c>
      <c r="AG234" s="22" t="n">
        <f aca="false">100*(AG100-AG99)</f>
        <v>-0.0883124208686859</v>
      </c>
      <c r="AH234" s="22" t="n">
        <f aca="false">100*(AH100-AH99)</f>
        <v>-0.00569841559090456</v>
      </c>
      <c r="AI234" s="22" t="n">
        <f aca="false">100*(AI100-AI99)</f>
        <v>0.0693043065909116</v>
      </c>
      <c r="AJ234" s="22" t="n">
        <f aca="false">100*(AJ100-AJ99)</f>
        <v>0.137259539245305</v>
      </c>
      <c r="AK234" s="22" t="n">
        <f aca="false">100*(AK100-AK99)</f>
        <v>0.19875761834558</v>
      </c>
      <c r="AL234" s="22" t="n">
        <f aca="false">AVERAGE(C234:AK234)</f>
        <v>-1.83213222226297</v>
      </c>
    </row>
    <row r="235" customFormat="false" ht="15" hidden="false" customHeight="false" outlineLevel="0" collapsed="false">
      <c r="A235" s="20" t="n">
        <f aca="false">A101</f>
        <v>-24</v>
      </c>
      <c r="B235" s="21" t="n">
        <f aca="false">B101</f>
        <v>41458</v>
      </c>
      <c r="C235" s="22" t="n">
        <f aca="false">100*(C101-C100)</f>
        <v>1.31980606732989</v>
      </c>
      <c r="D235" s="22" t="n">
        <f aca="false">100*(D101-D100)</f>
        <v>1.15137561103738</v>
      </c>
      <c r="E235" s="22" t="n">
        <f aca="false">100*(E101-E100)</f>
        <v>1.01435675014372</v>
      </c>
      <c r="F235" s="22" t="n">
        <f aca="false">100*(F101-F100)</f>
        <v>0.905847992000508</v>
      </c>
      <c r="G235" s="22" t="n">
        <f aca="false">100*(G101-G100)</f>
        <v>0.822742002595778</v>
      </c>
      <c r="H235" s="22" t="n">
        <f aca="false">100*(H101-H100)</f>
        <v>0.761929263130678</v>
      </c>
      <c r="I235" s="22" t="n">
        <f aca="false">100*(I101-I100)</f>
        <v>0.720299592527196</v>
      </c>
      <c r="J235" s="22" t="n">
        <f aca="false">100*(J101-J100)</f>
        <v>0.694742291402317</v>
      </c>
      <c r="K235" s="22" t="n">
        <f aca="false">100*(K101-K100)</f>
        <v>0.682148967793816</v>
      </c>
      <c r="L235" s="22" t="n">
        <f aca="false">100*(L101-L100)</f>
        <v>0.679543361807111</v>
      </c>
      <c r="M235" s="22" t="n">
        <f aca="false">100*(M101-M100)</f>
        <v>0.684366813234583</v>
      </c>
      <c r="N235" s="22" t="n">
        <f aca="false">100*(N101-N100)</f>
        <v>0.694480836370204</v>
      </c>
      <c r="O235" s="22" t="n">
        <f aca="false">100*(O101-O100)</f>
        <v>0.708092634105206</v>
      </c>
      <c r="P235" s="22" t="n">
        <f aca="false">100*(P101-P100)</f>
        <v>0.723695495404009</v>
      </c>
      <c r="Q235" s="22" t="n">
        <f aca="false">100*(Q101-Q100)</f>
        <v>0.740030398435021</v>
      </c>
      <c r="R235" s="22" t="n">
        <f aca="false">100*(R101-R100)</f>
        <v>0.756126726638806</v>
      </c>
      <c r="S235" s="22" t="n">
        <f aca="false">100*(S101-S100)</f>
        <v>0.771318904443508</v>
      </c>
      <c r="T235" s="22" t="n">
        <f aca="false">100*(T101-T100)</f>
        <v>0.785171701690413</v>
      </c>
      <c r="U235" s="22" t="n">
        <f aca="false">100*(U101-U100)</f>
        <v>0.797421692679912</v>
      </c>
      <c r="V235" s="22" t="n">
        <f aca="false">100*(V101-V100)</f>
        <v>0.807951199552415</v>
      </c>
      <c r="W235" s="22" t="n">
        <f aca="false">100*(W101-W100)</f>
        <v>0.816764348981325</v>
      </c>
      <c r="X235" s="22" t="n">
        <f aca="false">100*(X101-X100)</f>
        <v>0.82394241387731</v>
      </c>
      <c r="Y235" s="22" t="n">
        <f aca="false">100*(Y101-Y100)</f>
        <v>0.829612566997096</v>
      </c>
      <c r="Z235" s="22" t="n">
        <f aca="false">100*(Z101-Z100)</f>
        <v>0.833938566520898</v>
      </c>
      <c r="AA235" s="22" t="n">
        <f aca="false">100*(AA101-AA100)</f>
        <v>0.837100255388901</v>
      </c>
      <c r="AB235" s="22" t="n">
        <f aca="false">100*(AB101-AB100)</f>
        <v>0.839279885666722</v>
      </c>
      <c r="AC235" s="22" t="n">
        <f aca="false">100*(AC101-AC100)</f>
        <v>0.840661131744236</v>
      </c>
      <c r="AD235" s="22" t="n">
        <f aca="false">100*(AD101-AD100)</f>
        <v>0.841428789104004</v>
      </c>
      <c r="AE235" s="22" t="n">
        <f aca="false">100*(AE101-AE100)</f>
        <v>0.841763696483522</v>
      </c>
      <c r="AF235" s="22" t="n">
        <f aca="false">100*(AF101-AF100)</f>
        <v>0.84183270111402</v>
      </c>
      <c r="AG235" s="22" t="n">
        <f aca="false">100*(AG101-AG100)</f>
        <v>0.841787781108483</v>
      </c>
      <c r="AH235" s="22" t="n">
        <f aca="false">100*(AH101-AH100)</f>
        <v>0.841767159386908</v>
      </c>
      <c r="AI235" s="22" t="n">
        <f aca="false">100*(AI101-AI100)</f>
        <v>0.841896648627394</v>
      </c>
      <c r="AJ235" s="22" t="n">
        <f aca="false">100*(AJ101-AJ100)</f>
        <v>0.842291148364716</v>
      </c>
      <c r="AK235" s="22" t="n">
        <f aca="false">100*(AK101-AK100)</f>
        <v>0.843055742517418</v>
      </c>
      <c r="AL235" s="22" t="n">
        <f aca="false">AVERAGE(C235:AK235)</f>
        <v>0.822244889663012</v>
      </c>
    </row>
    <row r="236" customFormat="false" ht="15" hidden="false" customHeight="false" outlineLevel="0" collapsed="false">
      <c r="A236" s="20" t="n">
        <f aca="false">A102</f>
        <v>-23</v>
      </c>
      <c r="B236" s="21" t="n">
        <f aca="false">B102</f>
        <v>41459</v>
      </c>
      <c r="C236" s="22" t="n">
        <f aca="false">100*(C102-C101)</f>
        <v>-1.278574346619</v>
      </c>
      <c r="D236" s="22" t="n">
        <f aca="false">100*(D102-D101)</f>
        <v>-0.888369100460285</v>
      </c>
      <c r="E236" s="22" t="n">
        <f aca="false">100*(E102-E101)</f>
        <v>-0.533914982551798</v>
      </c>
      <c r="F236" s="22" t="n">
        <f aca="false">100*(F102-F101)</f>
        <v>-0.216006810465208</v>
      </c>
      <c r="G236" s="22" t="n">
        <f aca="false">100*(G102-G101)</f>
        <v>0.0658610693633044</v>
      </c>
      <c r="H236" s="22" t="n">
        <f aca="false">100*(H102-H101)</f>
        <v>0.312984912762904</v>
      </c>
      <c r="I236" s="22" t="n">
        <f aca="false">100*(I102-I101)</f>
        <v>0.527271227722004</v>
      </c>
      <c r="J236" s="22" t="n">
        <f aca="false">100*(J102-J101)</f>
        <v>0.711104110874583</v>
      </c>
      <c r="K236" s="22" t="n">
        <f aca="false">100*(K102-K101)</f>
        <v>0.867240877184594</v>
      </c>
      <c r="L236" s="22" t="n">
        <f aca="false">100*(L102-L101)</f>
        <v>0.998585568120891</v>
      </c>
      <c r="M236" s="22" t="n">
        <f aca="false">100*(M102-M101)</f>
        <v>1.1078684459918</v>
      </c>
      <c r="N236" s="22" t="n">
        <f aca="false">100*(N102-N101)</f>
        <v>1.19761882961331</v>
      </c>
      <c r="O236" s="22" t="n">
        <f aca="false">100*(O102-O101)</f>
        <v>1.27020081290299</v>
      </c>
      <c r="P236" s="22" t="n">
        <f aca="false">100*(P102-P101)</f>
        <v>1.32784174926059</v>
      </c>
      <c r="Q236" s="22" t="n">
        <f aca="false">100*(Q102-Q101)</f>
        <v>1.3726552090179</v>
      </c>
      <c r="R236" s="22" t="n">
        <f aca="false">100*(R102-R101)</f>
        <v>1.40667118648437</v>
      </c>
      <c r="S236" s="22" t="n">
        <f aca="false">100*(S102-S101)</f>
        <v>1.43185289648229</v>
      </c>
      <c r="T236" s="22" t="n">
        <f aca="false">100*(T102-T101)</f>
        <v>1.45002620620729</v>
      </c>
      <c r="U236" s="22" t="n">
        <f aca="false">100*(U102-U101)</f>
        <v>1.46283979026278</v>
      </c>
      <c r="V236" s="22" t="n">
        <f aca="false">100*(V102-V101)</f>
        <v>1.471786871444</v>
      </c>
      <c r="W236" s="22" t="n">
        <f aca="false">100*(W102-W101)</f>
        <v>1.47821921899389</v>
      </c>
      <c r="X236" s="22" t="n">
        <f aca="false">100*(X102-X101)</f>
        <v>1.48330903509928</v>
      </c>
      <c r="Y236" s="22" t="n">
        <f aca="false">100*(Y102-Y101)</f>
        <v>1.48803013162597</v>
      </c>
      <c r="Z236" s="22" t="n">
        <f aca="false">100*(Z102-Z101)</f>
        <v>1.49317970521281</v>
      </c>
      <c r="AA236" s="22" t="n">
        <f aca="false">100*(AA102-AA101)</f>
        <v>1.4993928520441</v>
      </c>
      <c r="AB236" s="22" t="n">
        <f aca="false">100*(AB102-AB101)</f>
        <v>1.50715710295928</v>
      </c>
      <c r="AC236" s="22" t="n">
        <f aca="false">100*(AC102-AC101)</f>
        <v>1.5168297075197</v>
      </c>
      <c r="AD236" s="22" t="n">
        <f aca="false">100*(AD102-AD101)</f>
        <v>1.52865273458729</v>
      </c>
      <c r="AE236" s="22" t="n">
        <f aca="false">100*(AE102-AE101)</f>
        <v>1.54276498522479</v>
      </c>
      <c r="AF236" s="22" t="n">
        <f aca="false">100*(AF102-AF101)</f>
        <v>1.55921171996711</v>
      </c>
      <c r="AG236" s="22" t="n">
        <f aca="false">100*(AG102-AG101)</f>
        <v>1.57795479127292</v>
      </c>
      <c r="AH236" s="22" t="n">
        <f aca="false">100*(AH102-AH101)</f>
        <v>1.59888843296487</v>
      </c>
      <c r="AI236" s="22" t="n">
        <f aca="false">100*(AI102-AI101)</f>
        <v>1.62186267673228</v>
      </c>
      <c r="AJ236" s="22" t="n">
        <f aca="false">100*(AJ102-AJ101)</f>
        <v>1.64669205727357</v>
      </c>
      <c r="AK236" s="22" t="n">
        <f aca="false">100*(AK102-AK101)</f>
        <v>1.67315919013302</v>
      </c>
      <c r="AL236" s="22" t="n">
        <f aca="false">AVERAGE(C236:AK236)</f>
        <v>1.06516711043458</v>
      </c>
    </row>
    <row r="237" customFormat="false" ht="15" hidden="false" customHeight="false" outlineLevel="0" collapsed="false">
      <c r="A237" s="20" t="n">
        <f aca="false">A103</f>
        <v>-22</v>
      </c>
      <c r="B237" s="21" t="n">
        <f aca="false">B103</f>
        <v>41460</v>
      </c>
      <c r="C237" s="22" t="n">
        <f aca="false">100*(C103-C102)</f>
        <v>10.287753649808</v>
      </c>
      <c r="D237" s="22" t="n">
        <f aca="false">100*(D103-D102)</f>
        <v>10.5163039900888</v>
      </c>
      <c r="E237" s="22" t="n">
        <f aca="false">100*(E103-E102)</f>
        <v>10.6714759809975</v>
      </c>
      <c r="F237" s="22" t="n">
        <f aca="false">100*(F103-F102)</f>
        <v>10.7579697882968</v>
      </c>
      <c r="G237" s="22" t="n">
        <f aca="false">100*(G103-G102)</f>
        <v>10.7810730606235</v>
      </c>
      <c r="H237" s="22" t="n">
        <f aca="false">100*(H103-H102)</f>
        <v>10.7464477929802</v>
      </c>
      <c r="I237" s="22" t="n">
        <f aca="false">100*(I103-I102)</f>
        <v>10.6600457787194</v>
      </c>
      <c r="J237" s="22" t="n">
        <f aca="false">100*(J103-J102)</f>
        <v>10.5280456099022</v>
      </c>
      <c r="K237" s="22" t="n">
        <f aca="false">100*(K103-K102)</f>
        <v>10.3567966874896</v>
      </c>
      <c r="L237" s="22" t="n">
        <f aca="false">100*(L103-L102)</f>
        <v>10.1525722014926</v>
      </c>
      <c r="M237" s="22" t="n">
        <f aca="false">100*(M103-M102)</f>
        <v>9.9212450339488</v>
      </c>
      <c r="N237" s="22" t="n">
        <f aca="false">100*(N103-N102)</f>
        <v>9.66831151226457</v>
      </c>
      <c r="O237" s="22" t="n">
        <f aca="false">100*(O103-O102)</f>
        <v>9.39895882250763</v>
      </c>
      <c r="P237" s="22" t="n">
        <f aca="false">100*(P103-P102)</f>
        <v>9.11811828864999</v>
      </c>
      <c r="Q237" s="22" t="n">
        <f aca="false">100*(Q103-Q102)</f>
        <v>8.83047138688879</v>
      </c>
      <c r="R237" s="22" t="n">
        <f aca="false">100*(R103-R102)</f>
        <v>8.54026496943074</v>
      </c>
      <c r="S237" s="22" t="n">
        <f aca="false">100*(S103-S102)</f>
        <v>8.25122688276583</v>
      </c>
      <c r="T237" s="22" t="n">
        <f aca="false">100*(T103-T102)</f>
        <v>7.96654781134261</v>
      </c>
      <c r="U237" s="22" t="n">
        <f aca="false">100*(U103-U102)</f>
        <v>7.68889867920581</v>
      </c>
      <c r="V237" s="22" t="n">
        <f aca="false">100*(V103-V102)</f>
        <v>7.42050163091279</v>
      </c>
      <c r="W237" s="22" t="n">
        <f aca="false">100*(W103-W102)</f>
        <v>7.16317670610032</v>
      </c>
      <c r="X237" s="22" t="n">
        <f aca="false">100*(X103-X102)</f>
        <v>6.9182868754806</v>
      </c>
      <c r="Y237" s="22" t="n">
        <f aca="false">100*(Y103-Y102)</f>
        <v>6.68672218152162</v>
      </c>
      <c r="Z237" s="22" t="n">
        <f aca="false">100*(Z103-Z102)</f>
        <v>6.46896263472332</v>
      </c>
      <c r="AA237" s="22" t="n">
        <f aca="false">100*(AA103-AA102)</f>
        <v>6.26517785047769</v>
      </c>
      <c r="AB237" s="22" t="n">
        <f aca="false">100*(AB103-AB102)</f>
        <v>6.07530078079819</v>
      </c>
      <c r="AC237" s="22" t="n">
        <f aca="false">100*(AC103-AC102)</f>
        <v>5.89905806069129</v>
      </c>
      <c r="AD237" s="22" t="n">
        <f aca="false">100*(AD103-AD102)</f>
        <v>5.73599439202468</v>
      </c>
      <c r="AE237" s="22" t="n">
        <f aca="false">100*(AE103-AE102)</f>
        <v>5.58551029394008</v>
      </c>
      <c r="AF237" s="22" t="n">
        <f aca="false">100*(AF103-AF102)</f>
        <v>5.44691772095236</v>
      </c>
      <c r="AG237" s="22" t="n">
        <f aca="false">100*(AG103-AG102)</f>
        <v>5.31946003264241</v>
      </c>
      <c r="AH237" s="22" t="n">
        <f aca="false">100*(AH103-AH102)</f>
        <v>5.20233682854872</v>
      </c>
      <c r="AI237" s="22" t="n">
        <f aca="false">100*(AI103-AI102)</f>
        <v>5.0947483037147</v>
      </c>
      <c r="AJ237" s="22" t="n">
        <f aca="false">100*(AJ103-AJ102)</f>
        <v>4.99590497888152</v>
      </c>
      <c r="AK237" s="22" t="n">
        <f aca="false">100*(AK103-AK102)</f>
        <v>4.90502672614128</v>
      </c>
      <c r="AL237" s="22" t="n">
        <f aca="false">AVERAGE(C237:AK237)</f>
        <v>8.00073182642729</v>
      </c>
    </row>
    <row r="238" customFormat="false" ht="15" hidden="false" customHeight="false" outlineLevel="0" collapsed="false">
      <c r="A238" s="20" t="n">
        <f aca="false">A104</f>
        <v>-21</v>
      </c>
      <c r="B238" s="21" t="n">
        <f aca="false">B104</f>
        <v>41463</v>
      </c>
      <c r="C238" s="22" t="n">
        <f aca="false">100*(C104-C103)</f>
        <v>-0.781070330589007</v>
      </c>
      <c r="D238" s="22" t="n">
        <f aca="false">100*(D104-D103)</f>
        <v>-0.617437398744025</v>
      </c>
      <c r="E238" s="22" t="n">
        <f aca="false">100*(E104-E103)</f>
        <v>-0.463553207857181</v>
      </c>
      <c r="F238" s="22" t="n">
        <f aca="false">100*(F104-F103)</f>
        <v>-0.318191466477602</v>
      </c>
      <c r="G238" s="22" t="n">
        <f aca="false">100*(G104-G103)</f>
        <v>-0.180121450770798</v>
      </c>
      <c r="H238" s="22" t="n">
        <f aca="false">100*(H104-H103)</f>
        <v>-0.0482178211953066</v>
      </c>
      <c r="I238" s="22" t="n">
        <f aca="false">100*(I104-I103)</f>
        <v>0.0785631916542684</v>
      </c>
      <c r="J238" s="22" t="n">
        <f aca="false">100*(J104-J103)</f>
        <v>0.201201519684924</v>
      </c>
      <c r="K238" s="22" t="n">
        <f aca="false">100*(K104-K103)</f>
        <v>0.320622355450295</v>
      </c>
      <c r="L238" s="22" t="n">
        <f aca="false">100*(L104-L103)</f>
        <v>0.437600588229792</v>
      </c>
      <c r="M238" s="22" t="n">
        <f aca="false">100*(M104-M103)</f>
        <v>0.552611433133432</v>
      </c>
      <c r="N238" s="22" t="n">
        <f aca="false">100*(N104-N103)</f>
        <v>0.665856190444192</v>
      </c>
      <c r="O238" s="22" t="n">
        <f aca="false">100*(O104-O103)</f>
        <v>0.777311170887884</v>
      </c>
      <c r="P238" s="22" t="n">
        <f aca="false">100*(P104-P103)</f>
        <v>0.886766479555723</v>
      </c>
      <c r="Q238" s="22" t="n">
        <f aca="false">100*(Q104-Q103)</f>
        <v>0.993851224894105</v>
      </c>
      <c r="R238" s="22" t="n">
        <f aca="false">100*(R104-R103)</f>
        <v>1.0980330420165</v>
      </c>
      <c r="S238" s="22" t="n">
        <f aca="false">100*(S104-S103)</f>
        <v>1.19864559984859</v>
      </c>
      <c r="T238" s="22" t="n">
        <f aca="false">100*(T104-T103)</f>
        <v>1.29500108075837</v>
      </c>
      <c r="U238" s="22" t="n">
        <f aca="false">100*(U104-U103)</f>
        <v>1.38645927040559</v>
      </c>
      <c r="V238" s="22" t="n">
        <f aca="false">100*(V104-V103)</f>
        <v>1.47242455579639</v>
      </c>
      <c r="W238" s="22" t="n">
        <f aca="false">100*(W104-W103)</f>
        <v>1.55234941305298</v>
      </c>
      <c r="X238" s="22" t="n">
        <f aca="false">100*(X104-X103)</f>
        <v>1.62580144713762</v>
      </c>
      <c r="Y238" s="22" t="n">
        <f aca="false">100*(Y104-Y103)</f>
        <v>1.6925030870254</v>
      </c>
      <c r="Z238" s="22" t="n">
        <f aca="false">100*(Z104-Z103)</f>
        <v>1.75231435519287</v>
      </c>
      <c r="AA238" s="22" t="n">
        <f aca="false">100*(AA104-AA103)</f>
        <v>1.80521051972962</v>
      </c>
      <c r="AB238" s="22" t="n">
        <f aca="false">100*(AB104-AB103)</f>
        <v>1.85126440943613</v>
      </c>
      <c r="AC238" s="22" t="n">
        <f aca="false">100*(AC104-AC103)</f>
        <v>1.8906345954572</v>
      </c>
      <c r="AD238" s="22" t="n">
        <f aca="false">100*(AD104-AD103)</f>
        <v>1.92355530040511</v>
      </c>
      <c r="AE238" s="22" t="n">
        <f aca="false">100*(AE104-AE103)</f>
        <v>1.95032375109614</v>
      </c>
      <c r="AF238" s="22" t="n">
        <f aca="false">100*(AF104-AF103)</f>
        <v>1.97128495589154</v>
      </c>
      <c r="AG238" s="22" t="n">
        <f aca="false">100*(AG104-AG103)</f>
        <v>1.9868243818765</v>
      </c>
      <c r="AH238" s="22" t="n">
        <f aca="false">100*(AH104-AH103)</f>
        <v>1.99735120420832</v>
      </c>
      <c r="AI238" s="22" t="n">
        <f aca="false">100*(AI104-AI103)</f>
        <v>2.0032696623582</v>
      </c>
      <c r="AJ238" s="22" t="n">
        <f aca="false">100*(AJ104-AJ103)</f>
        <v>2.00497365111398</v>
      </c>
      <c r="AK238" s="22" t="n">
        <f aca="false">100*(AK104-AK103)</f>
        <v>2.00284772856181</v>
      </c>
      <c r="AL238" s="22" t="n">
        <f aca="false">AVERAGE(C238:AK238)</f>
        <v>1.05619612827627</v>
      </c>
    </row>
    <row r="239" customFormat="false" ht="15" hidden="false" customHeight="false" outlineLevel="0" collapsed="false">
      <c r="A239" s="20" t="n">
        <f aca="false">A105</f>
        <v>-20</v>
      </c>
      <c r="B239" s="21" t="n">
        <f aca="false">B105</f>
        <v>41464</v>
      </c>
      <c r="C239" s="22" t="n">
        <f aca="false">100*(C105-C104)</f>
        <v>-5.85097560647188</v>
      </c>
      <c r="D239" s="22" t="n">
        <f aca="false">100*(D105-D104)</f>
        <v>-5.67677180992008</v>
      </c>
      <c r="E239" s="22" t="n">
        <f aca="false">100*(E105-E104)</f>
        <v>-5.49326134274701</v>
      </c>
      <c r="F239" s="22" t="n">
        <f aca="false">100*(F105-F104)</f>
        <v>-5.30367244179262</v>
      </c>
      <c r="G239" s="22" t="n">
        <f aca="false">100*(G105-G104)</f>
        <v>-5.11065017317751</v>
      </c>
      <c r="H239" s="22" t="n">
        <f aca="false">100*(H105-H104)</f>
        <v>-4.91635202891811</v>
      </c>
      <c r="I239" s="22" t="n">
        <f aca="false">100*(I105-I104)</f>
        <v>-4.72255830076498</v>
      </c>
      <c r="J239" s="22" t="n">
        <f aca="false">100*(J105-J104)</f>
        <v>-4.53075408025834</v>
      </c>
      <c r="K239" s="22" t="n">
        <f aca="false">100*(K105-K104)</f>
        <v>-4.34219239078568</v>
      </c>
      <c r="L239" s="22" t="n">
        <f aca="false">100*(L105-L104)</f>
        <v>-4.15795849819718</v>
      </c>
      <c r="M239" s="22" t="n">
        <f aca="false">100*(M105-M104)</f>
        <v>-3.97899962413533</v>
      </c>
      <c r="N239" s="22" t="n">
        <f aca="false">100*(N105-N104)</f>
        <v>-3.80614083902429</v>
      </c>
      <c r="O239" s="22" t="n">
        <f aca="false">100*(O105-O104)</f>
        <v>-3.64010670634212</v>
      </c>
      <c r="P239" s="22" t="n">
        <f aca="false">100*(P105-P104)</f>
        <v>-3.48153862080451</v>
      </c>
      <c r="Q239" s="22" t="n">
        <f aca="false">100*(Q105-Q104)</f>
        <v>-3.33101719973139</v>
      </c>
      <c r="R239" s="22" t="n">
        <f aca="false">100*(R105-R104)</f>
        <v>-3.1891159355113</v>
      </c>
      <c r="S239" s="22" t="n">
        <f aca="false">100*(S105-S104)</f>
        <v>-3.05641192816521</v>
      </c>
      <c r="T239" s="22" t="n">
        <f aca="false">100*(T105-T104)</f>
        <v>-2.93339909612849</v>
      </c>
      <c r="U239" s="22" t="n">
        <f aca="false">100*(U105-U104)</f>
        <v>-2.82043971135719</v>
      </c>
      <c r="V239" s="22" t="n">
        <f aca="false">100*(V105-V104)</f>
        <v>-2.71777982587866</v>
      </c>
      <c r="W239" s="22" t="n">
        <f aca="false">100*(W105-W104)</f>
        <v>-2.62555949397587</v>
      </c>
      <c r="X239" s="22" t="n">
        <f aca="false">100*(X105-X104)</f>
        <v>-2.54378249553993</v>
      </c>
      <c r="Y239" s="22" t="n">
        <f aca="false">100*(Y105-Y104)</f>
        <v>-2.47230123030149</v>
      </c>
      <c r="Z239" s="22" t="n">
        <f aca="false">100*(Z105-Z104)</f>
        <v>-2.41083905985509</v>
      </c>
      <c r="AA239" s="22" t="n">
        <f aca="false">100*(AA105-AA104)</f>
        <v>-2.35904078168381</v>
      </c>
      <c r="AB239" s="22" t="n">
        <f aca="false">100*(AB105-AB104)</f>
        <v>-2.31650613571803</v>
      </c>
      <c r="AC239" s="22" t="n">
        <f aca="false">100*(AC105-AC104)</f>
        <v>-2.28279648840939</v>
      </c>
      <c r="AD239" s="22" t="n">
        <f aca="false">100*(AD105-AD104)</f>
        <v>-2.2574396032339</v>
      </c>
      <c r="AE239" s="22" t="n">
        <f aca="false">100*(AE105-AE104)</f>
        <v>-2.23994403394121</v>
      </c>
      <c r="AF239" s="22" t="n">
        <f aca="false">100*(AF105-AF104)</f>
        <v>-2.22982303625172</v>
      </c>
      <c r="AG239" s="22" t="n">
        <f aca="false">100*(AG105-AG104)</f>
        <v>-2.22659899898021</v>
      </c>
      <c r="AH239" s="22" t="n">
        <f aca="false">100*(AH105-AH104)</f>
        <v>-2.22980694809292</v>
      </c>
      <c r="AI239" s="22" t="n">
        <f aca="false">100*(AI105-AI104)</f>
        <v>-2.23900200699516</v>
      </c>
      <c r="AJ239" s="22" t="n">
        <f aca="false">100*(AJ105-AJ104)</f>
        <v>-2.2537591788061</v>
      </c>
      <c r="AK239" s="22" t="n">
        <f aca="false">100*(AK105-AK104)</f>
        <v>-2.27367136419931</v>
      </c>
      <c r="AL239" s="22" t="n">
        <f aca="false">AVERAGE(C239:AK239)</f>
        <v>-3.37202762903131</v>
      </c>
    </row>
    <row r="240" customFormat="false" ht="15" hidden="false" customHeight="false" outlineLevel="0" collapsed="false">
      <c r="A240" s="20" t="n">
        <f aca="false">A106</f>
        <v>-19</v>
      </c>
      <c r="B240" s="21" t="n">
        <f aca="false">B106</f>
        <v>41465</v>
      </c>
      <c r="C240" s="22" t="n">
        <f aca="false">100*(C106-C105)</f>
        <v>-1.78878870469141</v>
      </c>
      <c r="D240" s="22" t="n">
        <f aca="false">100*(D106-D105)</f>
        <v>-1.89427909896618</v>
      </c>
      <c r="E240" s="22" t="n">
        <f aca="false">100*(E106-E105)</f>
        <v>-1.96807018075287</v>
      </c>
      <c r="F240" s="22" t="n">
        <f aca="false">100*(F106-F105)</f>
        <v>-2.0201426694741</v>
      </c>
      <c r="G240" s="22" t="n">
        <f aca="false">100*(G106-G105)</f>
        <v>-2.05785512390273</v>
      </c>
      <c r="H240" s="22" t="n">
        <f aca="false">100*(H106-H105)</f>
        <v>-2.08534924802168</v>
      </c>
      <c r="I240" s="22" t="n">
        <f aca="false">100*(I106-I105)</f>
        <v>-2.10505565845951</v>
      </c>
      <c r="J240" s="22" t="n">
        <f aca="false">100*(J106-J105)</f>
        <v>-2.11959685755718</v>
      </c>
      <c r="K240" s="22" t="n">
        <f aca="false">100*(K106-K105)</f>
        <v>-2.13205751428003</v>
      </c>
      <c r="L240" s="22" t="n">
        <f aca="false">100*(L106-L105)</f>
        <v>-2.14548675754651</v>
      </c>
      <c r="M240" s="22" t="n">
        <f aca="false">100*(M106-M105)</f>
        <v>-2.1620689692063</v>
      </c>
      <c r="N240" s="22" t="n">
        <f aca="false">100*(N106-N105)</f>
        <v>-2.18309943427268</v>
      </c>
      <c r="O240" s="22" t="n">
        <f aca="false">100*(O106-O105)</f>
        <v>-2.20914231994369</v>
      </c>
      <c r="P240" s="22" t="n">
        <f aca="false">100*(P106-P105)</f>
        <v>-2.24015675663938</v>
      </c>
      <c r="Q240" s="22" t="n">
        <f aca="false">100*(Q106-Q105)</f>
        <v>-2.2756418599946</v>
      </c>
      <c r="R240" s="22" t="n">
        <f aca="false">100*(R106-R105)</f>
        <v>-2.31499159448441</v>
      </c>
      <c r="S240" s="22" t="n">
        <f aca="false">100*(S106-S105)</f>
        <v>-2.3576844588153</v>
      </c>
      <c r="T240" s="22" t="n">
        <f aca="false">100*(T106-T105)</f>
        <v>-2.40322877487169</v>
      </c>
      <c r="U240" s="22" t="n">
        <f aca="false">100*(U106-U105)</f>
        <v>-2.45112361990429</v>
      </c>
      <c r="V240" s="22" t="n">
        <f aca="false">100*(V106-V105)</f>
        <v>-2.50085828643161</v>
      </c>
      <c r="W240" s="22" t="n">
        <f aca="false">100*(W106-W105)</f>
        <v>-2.55192554032</v>
      </c>
      <c r="X240" s="22" t="n">
        <f aca="false">100*(X106-X105)</f>
        <v>-2.6039029508413</v>
      </c>
      <c r="Y240" s="22" t="n">
        <f aca="false">100*(Y106-Y105)</f>
        <v>-2.65649805640522</v>
      </c>
      <c r="Z240" s="22" t="n">
        <f aca="false">100*(Z106-Z105)</f>
        <v>-2.70953269886909</v>
      </c>
      <c r="AA240" s="22" t="n">
        <f aca="false">100*(AA106-AA105)</f>
        <v>-2.76291398566011</v>
      </c>
      <c r="AB240" s="22" t="n">
        <f aca="false">100*(AB106-AB105)</f>
        <v>-2.81661338234156</v>
      </c>
      <c r="AC240" s="22" t="n">
        <f aca="false">100*(AC106-AC105)</f>
        <v>-2.87065845177703</v>
      </c>
      <c r="AD240" s="22" t="n">
        <f aca="false">100*(AD106-AD105)</f>
        <v>-2.9251261817751</v>
      </c>
      <c r="AE240" s="22" t="n">
        <f aca="false">100*(AE106-AE105)</f>
        <v>-2.98013143729361</v>
      </c>
      <c r="AF240" s="22" t="n">
        <f aca="false">100*(AF106-AF105)</f>
        <v>-3.03580960617751</v>
      </c>
      <c r="AG240" s="22" t="n">
        <f aca="false">100*(AG106-AG105)</f>
        <v>-3.09231083954282</v>
      </c>
      <c r="AH240" s="22" t="n">
        <f aca="false">100*(AH106-AH105)</f>
        <v>-3.1497842283942</v>
      </c>
      <c r="AI240" s="22" t="n">
        <f aca="false">100*(AI106-AI105)</f>
        <v>-3.2083477101299</v>
      </c>
      <c r="AJ240" s="22" t="n">
        <f aca="false">100*(AJ106-AJ105)</f>
        <v>-3.26808436189276</v>
      </c>
      <c r="AK240" s="22" t="n">
        <f aca="false">100*(AK106-AK105)</f>
        <v>-3.32904585474147</v>
      </c>
      <c r="AL240" s="22" t="n">
        <f aca="false">AVERAGE(C240:AK240)</f>
        <v>-2.49643894783937</v>
      </c>
    </row>
    <row r="241" customFormat="false" ht="15" hidden="false" customHeight="false" outlineLevel="0" collapsed="false">
      <c r="A241" s="20" t="n">
        <f aca="false">A107</f>
        <v>-18</v>
      </c>
      <c r="B241" s="21" t="n">
        <f aca="false">B107</f>
        <v>41466</v>
      </c>
      <c r="C241" s="22" t="n">
        <f aca="false">100*(C107-C106)</f>
        <v>-3.35147214531442</v>
      </c>
      <c r="D241" s="22" t="n">
        <f aca="false">100*(D107-D106)</f>
        <v>-3.39569559335784</v>
      </c>
      <c r="E241" s="22" t="n">
        <f aca="false">100*(E107-E106)</f>
        <v>-3.42554081566222</v>
      </c>
      <c r="F241" s="22" t="n">
        <f aca="false">100*(F107-F106)</f>
        <v>-3.4433493480805</v>
      </c>
      <c r="G241" s="22" t="n">
        <f aca="false">100*(G107-G106)</f>
        <v>-3.4514603224697</v>
      </c>
      <c r="H241" s="22" t="n">
        <f aca="false">100*(H107-H106)</f>
        <v>-3.45216710933882</v>
      </c>
      <c r="I241" s="22" t="n">
        <f aca="false">100*(I107-I106)</f>
        <v>-3.4476518904131</v>
      </c>
      <c r="J241" s="22" t="n">
        <f aca="false">100*(J107-J106)</f>
        <v>-3.4398444695845</v>
      </c>
      <c r="K241" s="22" t="n">
        <f aca="false">100*(K107-K106)</f>
        <v>-3.43043496611211</v>
      </c>
      <c r="L241" s="22" t="n">
        <f aca="false">100*(L107-L106)</f>
        <v>-3.4208572282973</v>
      </c>
      <c r="M241" s="22" t="n">
        <f aca="false">100*(M107-M106)</f>
        <v>-3.41218542872968</v>
      </c>
      <c r="N241" s="22" t="n">
        <f aca="false">100*(N107-N106)</f>
        <v>-3.40516250701199</v>
      </c>
      <c r="O241" s="22" t="n">
        <f aca="false">100*(O107-O106)</f>
        <v>-3.4002590999993</v>
      </c>
      <c r="P241" s="22" t="n">
        <f aca="false">100*(P107-P106)</f>
        <v>-3.39772049694922</v>
      </c>
      <c r="Q241" s="22" t="n">
        <f aca="false">100*(Q107-Q106)</f>
        <v>-3.39759724633981</v>
      </c>
      <c r="R241" s="22" t="n">
        <f aca="false">100*(R107-R106)</f>
        <v>-3.39971216445321</v>
      </c>
      <c r="S241" s="22" t="n">
        <f aca="false">100*(S107-S106)</f>
        <v>-3.40366002175818</v>
      </c>
      <c r="T241" s="22" t="n">
        <f aca="false">100*(T107-T106)</f>
        <v>-3.40895427042112</v>
      </c>
      <c r="U241" s="22" t="n">
        <f aca="false">100*(U107-U106)</f>
        <v>-3.41511735705522</v>
      </c>
      <c r="V241" s="22" t="n">
        <f aca="false">100*(V107-V106)</f>
        <v>-3.42168359578863</v>
      </c>
      <c r="W241" s="22" t="n">
        <f aca="false">100*(W107-W106)</f>
        <v>-3.42821003238103</v>
      </c>
      <c r="X241" s="22" t="n">
        <f aca="false">100*(X107-X106)</f>
        <v>-3.43435700043879</v>
      </c>
      <c r="Y241" s="22" t="n">
        <f aca="false">100*(Y107-Y106)</f>
        <v>-3.43993076978371</v>
      </c>
      <c r="Z241" s="22" t="n">
        <f aca="false">100*(Z107-Z106)</f>
        <v>-3.44486617876862</v>
      </c>
      <c r="AA241" s="22" t="n">
        <f aca="false">100*(AA107-AA106)</f>
        <v>-3.44919936064039</v>
      </c>
      <c r="AB241" s="22" t="n">
        <f aca="false">100*(AB107-AB106)</f>
        <v>-3.45304754513283</v>
      </c>
      <c r="AC241" s="22" t="n">
        <f aca="false">100*(AC107-AC106)</f>
        <v>-3.45659896806918</v>
      </c>
      <c r="AD241" s="22" t="n">
        <f aca="false">100*(AD107-AD106)</f>
        <v>-3.4601042636615</v>
      </c>
      <c r="AE241" s="22" t="n">
        <f aca="false">100*(AE107-AE106)</f>
        <v>-3.463856804844</v>
      </c>
      <c r="AF241" s="22" t="n">
        <f aca="false">100*(AF107-AF106)</f>
        <v>-3.46816145746778</v>
      </c>
      <c r="AG241" s="22" t="n">
        <f aca="false">100*(AG107-AG106)</f>
        <v>-3.4733268760232</v>
      </c>
      <c r="AH241" s="22" t="n">
        <f aca="false">100*(AH107-AH106)</f>
        <v>-3.47964936151359</v>
      </c>
      <c r="AI241" s="22" t="n">
        <f aca="false">100*(AI107-AI106)</f>
        <v>-3.48738164520981</v>
      </c>
      <c r="AJ241" s="22" t="n">
        <f aca="false">100*(AJ107-AJ106)</f>
        <v>-3.49673012656884</v>
      </c>
      <c r="AK241" s="22" t="n">
        <f aca="false">100*(AK107-AK106)</f>
        <v>-3.50785947613761</v>
      </c>
      <c r="AL241" s="22" t="n">
        <f aca="false">AVERAGE(C241:AK241)</f>
        <v>-3.43610874125079</v>
      </c>
    </row>
    <row r="242" customFormat="false" ht="15" hidden="false" customHeight="false" outlineLevel="0" collapsed="false">
      <c r="A242" s="20" t="n">
        <f aca="false">A108</f>
        <v>-17</v>
      </c>
      <c r="B242" s="21" t="n">
        <f aca="false">B108</f>
        <v>41467</v>
      </c>
      <c r="C242" s="22" t="n">
        <f aca="false">100*(C108-C107)</f>
        <v>-5.8218952418768</v>
      </c>
      <c r="D242" s="22" t="n">
        <f aca="false">100*(D108-D107)</f>
        <v>-5.96728263512518</v>
      </c>
      <c r="E242" s="22" t="n">
        <f aca="false">100*(E108-E107)</f>
        <v>-6.07592283316372</v>
      </c>
      <c r="F242" s="22" t="n">
        <f aca="false">100*(F108-F107)</f>
        <v>-6.15072139079267</v>
      </c>
      <c r="G242" s="22" t="n">
        <f aca="false">100*(G108-G107)</f>
        <v>-6.1947129963444</v>
      </c>
      <c r="H242" s="22" t="n">
        <f aca="false">100*(H108-H107)</f>
        <v>-6.2109338130818</v>
      </c>
      <c r="I242" s="22" t="n">
        <f aca="false">100*(I108-I107)</f>
        <v>-6.20238504405681</v>
      </c>
      <c r="J242" s="22" t="n">
        <f aca="false">100*(J108-J107)</f>
        <v>-6.17192479468631</v>
      </c>
      <c r="K242" s="22" t="n">
        <f aca="false">100*(K108-K107)</f>
        <v>-6.12226686666406</v>
      </c>
      <c r="L242" s="22" t="n">
        <f aca="false">100*(L108-L107)</f>
        <v>-6.05603726054302</v>
      </c>
      <c r="M242" s="22" t="n">
        <f aca="false">100*(M108-M107)</f>
        <v>-5.97576608353982</v>
      </c>
      <c r="N242" s="22" t="n">
        <f aca="false">100*(N108-N107)</f>
        <v>-5.88388239453481</v>
      </c>
      <c r="O242" s="22" t="n">
        <f aca="false">100*(O108-O107)</f>
        <v>-5.78273195300478</v>
      </c>
      <c r="P242" s="22" t="n">
        <f aca="false">100*(P108-P107)</f>
        <v>-5.67459162180559</v>
      </c>
      <c r="Q242" s="22" t="n">
        <f aca="false">100*(Q108-Q107)</f>
        <v>-5.56169320215312</v>
      </c>
      <c r="R242" s="22" t="n">
        <f aca="false">100*(R108-R107)</f>
        <v>-5.44625652156401</v>
      </c>
      <c r="S242" s="22" t="n">
        <f aca="false">100*(S108-S107)</f>
        <v>-5.33045829568071</v>
      </c>
      <c r="T242" s="22" t="n">
        <f aca="false">100*(T108-T107)</f>
        <v>-5.2162981901493</v>
      </c>
      <c r="U242" s="22" t="n">
        <f aca="false">100*(U108-U107)</f>
        <v>-5.10553361817747</v>
      </c>
      <c r="V242" s="22" t="n">
        <f aca="false">100*(V108-V107)</f>
        <v>-4.99970966179011</v>
      </c>
      <c r="W242" s="22" t="n">
        <f aca="false">100*(W108-W107)</f>
        <v>-4.90017406906231</v>
      </c>
      <c r="X242" s="22" t="n">
        <f aca="false">100*(X108-X107)</f>
        <v>-4.8079956888015</v>
      </c>
      <c r="Y242" s="22" t="n">
        <f aca="false">100*(Y108-Y107)</f>
        <v>-4.7239218936598</v>
      </c>
      <c r="Z242" s="22" t="n">
        <f aca="false">100*(Z108-Z107)</f>
        <v>-4.64841836197749</v>
      </c>
      <c r="AA242" s="22" t="n">
        <f aca="false">100*(AA108-AA107)</f>
        <v>-4.58172477924088</v>
      </c>
      <c r="AB242" s="22" t="n">
        <f aca="false">100*(AB108-AB107)</f>
        <v>-4.52389552581809</v>
      </c>
      <c r="AC242" s="22" t="n">
        <f aca="false">100*(AC108-AC107)</f>
        <v>-4.47482237234991</v>
      </c>
      <c r="AD242" s="22" t="n">
        <f aca="false">100*(AD108-AD107)</f>
        <v>-4.43425376772391</v>
      </c>
      <c r="AE242" s="22" t="n">
        <f aca="false">100*(AE108-AE107)</f>
        <v>-4.40182245522021</v>
      </c>
      <c r="AF242" s="22" t="n">
        <f aca="false">100*(AF108-AF107)</f>
        <v>-4.37707990221941</v>
      </c>
      <c r="AG242" s="22" t="n">
        <f aca="false">100*(AG108-AG107)</f>
        <v>-4.35950998981989</v>
      </c>
      <c r="AH242" s="22" t="n">
        <f aca="false">100*(AH108-AH107)</f>
        <v>-4.34855253223132</v>
      </c>
      <c r="AI242" s="22" t="n">
        <f aca="false">100*(AI108-AI107)</f>
        <v>-4.34364032495589</v>
      </c>
      <c r="AJ242" s="22" t="n">
        <f aca="false">100*(AJ108-AJ107)</f>
        <v>-4.34420675315579</v>
      </c>
      <c r="AK242" s="22" t="n">
        <f aca="false">100*(AK108-AK107)</f>
        <v>-4.34968575735573</v>
      </c>
      <c r="AL242" s="22" t="n">
        <f aca="false">AVERAGE(C242:AK242)</f>
        <v>-5.24487738835219</v>
      </c>
    </row>
    <row r="243" customFormat="false" ht="15" hidden="false" customHeight="false" outlineLevel="0" collapsed="false">
      <c r="A243" s="20" t="n">
        <f aca="false">A109</f>
        <v>-16</v>
      </c>
      <c r="B243" s="21" t="n">
        <f aca="false">B109</f>
        <v>41470</v>
      </c>
      <c r="C243" s="22" t="n">
        <f aca="false">100*(C109-C108)</f>
        <v>2.0914635083666</v>
      </c>
      <c r="D243" s="22" t="n">
        <f aca="false">100*(D109-D108)</f>
        <v>2.11887963117472</v>
      </c>
      <c r="E243" s="22" t="n">
        <f aca="false">100*(E109-E108)</f>
        <v>2.13989558148322</v>
      </c>
      <c r="F243" s="22" t="n">
        <f aca="false">100*(F109-F108)</f>
        <v>2.1545561770338</v>
      </c>
      <c r="G243" s="22" t="n">
        <f aca="false">100*(G109-G108)</f>
        <v>2.16320681183921</v>
      </c>
      <c r="H243" s="22" t="n">
        <f aca="false">100*(H109-H108)</f>
        <v>2.16642865177219</v>
      </c>
      <c r="I243" s="22" t="n">
        <f aca="false">100*(I109-I108)</f>
        <v>2.16497205594499</v>
      </c>
      <c r="J243" s="22" t="n">
        <f aca="false">100*(J109-J108)</f>
        <v>2.15971075790691</v>
      </c>
      <c r="K243" s="22" t="n">
        <f aca="false">100*(K109-K108)</f>
        <v>2.151613914873</v>
      </c>
      <c r="L243" s="22" t="n">
        <f aca="false">100*(L109-L108)</f>
        <v>2.14164151002723</v>
      </c>
      <c r="M243" s="22" t="n">
        <f aca="false">100*(M109-M108)</f>
        <v>2.13061371041121</v>
      </c>
      <c r="N243" s="22" t="n">
        <f aca="false">100*(N109-N108)</f>
        <v>2.11921658759358</v>
      </c>
      <c r="O243" s="22" t="n">
        <f aca="false">100*(O109-O108)</f>
        <v>2.10802607576528</v>
      </c>
      <c r="P243" s="22" t="n">
        <f aca="false">100*(P109-P108)</f>
        <v>2.09752693076219</v>
      </c>
      <c r="Q243" s="22" t="n">
        <f aca="false">100*(Q109-Q108)</f>
        <v>2.088104696645</v>
      </c>
      <c r="R243" s="22" t="n">
        <f aca="false">100*(R109-R108)</f>
        <v>2.07993524487682</v>
      </c>
      <c r="S243" s="22" t="n">
        <f aca="false">100*(S109-S108)</f>
        <v>2.07295965051388</v>
      </c>
      <c r="T243" s="22" t="n">
        <f aca="false">100*(T109-T108)</f>
        <v>2.06699671410142</v>
      </c>
      <c r="U243" s="22" t="n">
        <f aca="false">100*(U109-U108)</f>
        <v>2.06181159546137</v>
      </c>
      <c r="V243" s="22" t="n">
        <f aca="false">100*(V109-V108)</f>
        <v>2.05712591719123</v>
      </c>
      <c r="W243" s="22" t="n">
        <f aca="false">100*(W109-W108)</f>
        <v>2.05263071019193</v>
      </c>
      <c r="X243" s="22" t="n">
        <f aca="false">100*(X109-X108)</f>
        <v>2.04803812544032</v>
      </c>
      <c r="Y243" s="22" t="n">
        <f aca="false">100*(Y109-Y108)</f>
        <v>2.04311147202971</v>
      </c>
      <c r="Z243" s="22" t="n">
        <f aca="false">100*(Z109-Z108)</f>
        <v>2.03766178441822</v>
      </c>
      <c r="AA243" s="22" t="n">
        <f aca="false">100*(AA109-AA108)</f>
        <v>2.03155095848979</v>
      </c>
      <c r="AB243" s="22" t="n">
        <f aca="false">100*(AB109-AB108)</f>
        <v>2.0246917353882</v>
      </c>
      <c r="AC243" s="22" t="n">
        <f aca="false">100*(AC109-AC108)</f>
        <v>2.0170419766242</v>
      </c>
      <c r="AD243" s="22" t="n">
        <f aca="false">100*(AD109-AD108)</f>
        <v>2.0085993609618</v>
      </c>
      <c r="AE243" s="22" t="n">
        <f aca="false">100*(AE109-AE108)</f>
        <v>1.9993956110183</v>
      </c>
      <c r="AF243" s="22" t="n">
        <f aca="false">100*(AF109-AF108)</f>
        <v>1.98949082908739</v>
      </c>
      <c r="AG243" s="22" t="n">
        <f aca="false">100*(AG109-AG108)</f>
        <v>1.97896990473372</v>
      </c>
      <c r="AH243" s="22" t="n">
        <f aca="false">100*(AH109-AH108)</f>
        <v>1.96793246241063</v>
      </c>
      <c r="AI243" s="22" t="n">
        <f aca="false">100*(AI109-AI108)</f>
        <v>1.95647716952418</v>
      </c>
      <c r="AJ243" s="22" t="n">
        <f aca="false">100*(AJ109-AJ108)</f>
        <v>1.94469896704441</v>
      </c>
      <c r="AK243" s="22" t="n">
        <f aca="false">100*(AK109-AK108)</f>
        <v>1.93268943372114</v>
      </c>
      <c r="AL243" s="22" t="n">
        <f aca="false">AVERAGE(C243:AK243)</f>
        <v>2.06764760642365</v>
      </c>
    </row>
    <row r="244" customFormat="false" ht="15" hidden="false" customHeight="false" outlineLevel="0" collapsed="false">
      <c r="A244" s="20" t="n">
        <f aca="false">A110</f>
        <v>-15</v>
      </c>
      <c r="B244" s="21" t="n">
        <f aca="false">B110</f>
        <v>41471</v>
      </c>
      <c r="C244" s="22" t="n">
        <f aca="false">100*(C110-C109)</f>
        <v>-7.0543681609434</v>
      </c>
      <c r="D244" s="22" t="n">
        <f aca="false">100*(D110-D109)</f>
        <v>-6.9411193263476</v>
      </c>
      <c r="E244" s="22" t="n">
        <f aca="false">100*(E110-E109)</f>
        <v>-6.80994920931388</v>
      </c>
      <c r="F244" s="22" t="n">
        <f aca="false">100*(F110-F109)</f>
        <v>-6.66301709536219</v>
      </c>
      <c r="G244" s="22" t="n">
        <f aca="false">100*(G110-G109)</f>
        <v>-6.5021051857995</v>
      </c>
      <c r="H244" s="22" t="n">
        <f aca="false">100*(H110-H109)</f>
        <v>-6.32873736532149</v>
      </c>
      <c r="I244" s="22" t="n">
        <f aca="false">100*(I110-I109)</f>
        <v>-6.14438066328287</v>
      </c>
      <c r="J244" s="22" t="n">
        <f aca="false">100*(J110-J109)</f>
        <v>-5.95070319381521</v>
      </c>
      <c r="K244" s="22" t="n">
        <f aca="false">100*(K110-K109)</f>
        <v>-5.74957544129942</v>
      </c>
      <c r="L244" s="22" t="n">
        <f aca="false">100*(L110-L109)</f>
        <v>-5.54297545196198</v>
      </c>
      <c r="M244" s="22" t="n">
        <f aca="false">100*(M110-M109)</f>
        <v>-5.33284156160012</v>
      </c>
      <c r="N244" s="22" t="n">
        <f aca="false">100*(N110-N109)</f>
        <v>-5.1210492023996</v>
      </c>
      <c r="O244" s="22" t="n">
        <f aca="false">100*(O110-O109)</f>
        <v>-4.90942198850828</v>
      </c>
      <c r="P244" s="22" t="n">
        <f aca="false">100*(P110-P109)</f>
        <v>-4.6997406480993</v>
      </c>
      <c r="Q244" s="22" t="n">
        <f aca="false">100*(Q110-Q109)</f>
        <v>-4.49372794631078</v>
      </c>
      <c r="R244" s="22" t="n">
        <f aca="false">100*(R110-R109)</f>
        <v>-4.29290225956032</v>
      </c>
      <c r="S244" s="22" t="n">
        <f aca="false">100*(S110-S109)</f>
        <v>-4.0984995830085</v>
      </c>
      <c r="T244" s="22" t="n">
        <f aca="false">100*(T110-T109)</f>
        <v>-3.91149979608301</v>
      </c>
      <c r="U244" s="22" t="n">
        <f aca="false">100*(U110-U109)</f>
        <v>-3.73265865193759</v>
      </c>
      <c r="V244" s="22" t="n">
        <f aca="false">100*(V110-V109)</f>
        <v>-3.56253960591411</v>
      </c>
      <c r="W244" s="22" t="n">
        <f aca="false">100*(W110-W109)</f>
        <v>-3.40153675303121</v>
      </c>
      <c r="X244" s="22" t="n">
        <f aca="false">100*(X110-X109)</f>
        <v>-3.24987159874892</v>
      </c>
      <c r="Y244" s="22" t="n">
        <f aca="false">100*(Y110-Y109)</f>
        <v>-3.10759772074372</v>
      </c>
      <c r="Z244" s="22" t="n">
        <f aca="false">100*(Z110-Z109)</f>
        <v>-2.97462747533892</v>
      </c>
      <c r="AA244" s="22" t="n">
        <f aca="false">100*(AA110-AA109)</f>
        <v>-2.85078811788693</v>
      </c>
      <c r="AB244" s="22" t="n">
        <f aca="false">100*(AB110-AB109)</f>
        <v>-2.73585667735912</v>
      </c>
      <c r="AC244" s="22" t="n">
        <f aca="false">100*(AC110-AC109)</f>
        <v>-2.62956711272317</v>
      </c>
      <c r="AD244" s="22" t="n">
        <f aca="false">100*(AD110-AD109)</f>
        <v>-2.53161559310531</v>
      </c>
      <c r="AE244" s="22" t="n">
        <f aca="false">100*(AE110-AE109)</f>
        <v>-2.44167256517609</v>
      </c>
      <c r="AF244" s="22" t="n">
        <f aca="false">100*(AF110-AF109)</f>
        <v>-2.359400077111</v>
      </c>
      <c r="AG244" s="22" t="n">
        <f aca="false">100*(AG110-AG109)</f>
        <v>-2.28445555964951</v>
      </c>
      <c r="AH244" s="22" t="n">
        <f aca="false">100*(AH110-AH109)</f>
        <v>-2.2164926446441</v>
      </c>
      <c r="AI244" s="22" t="n">
        <f aca="false">100*(AI110-AI109)</f>
        <v>-2.1551616927288</v>
      </c>
      <c r="AJ244" s="22" t="n">
        <f aca="false">100*(AJ110-AJ109)</f>
        <v>-2.10011004072759</v>
      </c>
      <c r="AK244" s="22" t="n">
        <f aca="false">100*(AK110-AK109)</f>
        <v>-2.05098230231502</v>
      </c>
      <c r="AL244" s="22" t="n">
        <f aca="false">AVERAGE(C244:AK244)</f>
        <v>-4.1980442362331</v>
      </c>
    </row>
    <row r="245" customFormat="false" ht="15" hidden="false" customHeight="false" outlineLevel="0" collapsed="false">
      <c r="A245" s="20" t="n">
        <f aca="false">A111</f>
        <v>-14</v>
      </c>
      <c r="B245" s="21" t="n">
        <f aca="false">B111</f>
        <v>41472</v>
      </c>
      <c r="C245" s="22" t="n">
        <f aca="false">100*(C111-C110)</f>
        <v>1.8020232967189</v>
      </c>
      <c r="D245" s="22" t="n">
        <f aca="false">100*(D111-D110)</f>
        <v>2.07893231058427</v>
      </c>
      <c r="E245" s="22" t="n">
        <f aca="false">100*(E111-E110)</f>
        <v>2.31561495508199</v>
      </c>
      <c r="F245" s="22" t="n">
        <f aca="false">100*(F111-F110)</f>
        <v>2.51364620837999</v>
      </c>
      <c r="G245" s="22" t="n">
        <f aca="false">100*(G111-G110)</f>
        <v>2.67543459570963</v>
      </c>
      <c r="H245" s="22" t="n">
        <f aca="false">100*(H111-H110)</f>
        <v>2.8039273504969</v>
      </c>
      <c r="I245" s="22" t="n">
        <f aca="false">100*(I111-I110)</f>
        <v>2.9023444338494</v>
      </c>
      <c r="J245" s="22" t="n">
        <f aca="false">100*(J111-J110)</f>
        <v>2.97387857428251</v>
      </c>
      <c r="K245" s="22" t="n">
        <f aca="false">100*(K111-K110)</f>
        <v>3.02165493494599</v>
      </c>
      <c r="L245" s="22" t="n">
        <f aca="false">100*(L111-L110)</f>
        <v>3.0486599139258</v>
      </c>
      <c r="M245" s="22" t="n">
        <f aca="false">100*(M111-M110)</f>
        <v>3.05764086748472</v>
      </c>
      <c r="N245" s="22" t="n">
        <f aca="false">100*(N111-N110)</f>
        <v>3.05113183662482</v>
      </c>
      <c r="O245" s="22" t="n">
        <f aca="false">100*(O111-O110)</f>
        <v>3.03149165540289</v>
      </c>
      <c r="P245" s="22" t="n">
        <f aca="false">100*(P111-P110)</f>
        <v>3.0009341299738</v>
      </c>
      <c r="Q245" s="22" t="n">
        <f aca="false">100*(Q111-Q110)</f>
        <v>2.96153621006368</v>
      </c>
      <c r="R245" s="22" t="n">
        <f aca="false">100*(R111-R110)</f>
        <v>2.91518082864348</v>
      </c>
      <c r="S245" s="22" t="n">
        <f aca="false">100*(S111-S110)</f>
        <v>2.86354313238641</v>
      </c>
      <c r="T245" s="22" t="n">
        <f aca="false">100*(T111-T110)</f>
        <v>2.80809318844191</v>
      </c>
      <c r="U245" s="22" t="n">
        <f aca="false">100*(U111-U110)</f>
        <v>2.75010765812609</v>
      </c>
      <c r="V245" s="22" t="n">
        <f aca="false">100*(V111-V110)</f>
        <v>2.690696462273</v>
      </c>
      <c r="W245" s="22" t="n">
        <f aca="false">100*(W111-W110)</f>
        <v>2.63081876746702</v>
      </c>
      <c r="X245" s="22" t="n">
        <f aca="false">100*(X111-X110)</f>
        <v>2.57125938123131</v>
      </c>
      <c r="Y245" s="22" t="n">
        <f aca="false">100*(Y111-Y110)</f>
        <v>2.51262414878801</v>
      </c>
      <c r="Z245" s="22" t="n">
        <f aca="false">100*(Z111-Z110)</f>
        <v>2.45536243133522</v>
      </c>
      <c r="AA245" s="22" t="n">
        <f aca="false">100*(AA111-AA110)</f>
        <v>2.39979270472381</v>
      </c>
      <c r="AB245" s="22" t="n">
        <f aca="false">100*(AB111-AB110)</f>
        <v>2.3461228424507</v>
      </c>
      <c r="AC245" s="22" t="n">
        <f aca="false">100*(AC111-AC110)</f>
        <v>2.29446352640288</v>
      </c>
      <c r="AD245" s="22" t="n">
        <f aca="false">100*(AD111-AD110)</f>
        <v>2.2448397288501</v>
      </c>
      <c r="AE245" s="22" t="n">
        <f aca="false">100*(AE111-AE110)</f>
        <v>2.19720655939648</v>
      </c>
      <c r="AF245" s="22" t="n">
        <f aca="false">100*(AF111-AF110)</f>
        <v>2.15146947566618</v>
      </c>
      <c r="AG245" s="22" t="n">
        <f aca="false">100*(AG111-AG110)</f>
        <v>2.10749265239718</v>
      </c>
      <c r="AH245" s="22" t="n">
        <f aca="false">100*(AH111-AH110)</f>
        <v>2.06511167303538</v>
      </c>
      <c r="AI245" s="22" t="n">
        <f aca="false">100*(AI111-AI110)</f>
        <v>2.02415278183308</v>
      </c>
      <c r="AJ245" s="22" t="n">
        <f aca="false">100*(AJ111-AJ110)</f>
        <v>1.98443723927668</v>
      </c>
      <c r="AK245" s="22" t="n">
        <f aca="false">100*(AK111-AK110)</f>
        <v>1.94578183185818</v>
      </c>
      <c r="AL245" s="22" t="n">
        <f aca="false">AVERAGE(C245:AK245)</f>
        <v>2.54849737966024</v>
      </c>
    </row>
    <row r="246" customFormat="false" ht="15" hidden="false" customHeight="false" outlineLevel="0" collapsed="false">
      <c r="A246" s="20" t="n">
        <f aca="false">A112</f>
        <v>-13</v>
      </c>
      <c r="B246" s="21" t="n">
        <f aca="false">B112</f>
        <v>41473</v>
      </c>
      <c r="C246" s="22" t="n">
        <f aca="false">100*(C112-C111)</f>
        <v>-3.5416697720033</v>
      </c>
      <c r="D246" s="22" t="n">
        <f aca="false">100*(D112-D111)</f>
        <v>-3.43459962013708</v>
      </c>
      <c r="E246" s="22" t="n">
        <f aca="false">100*(E112-E111)</f>
        <v>-3.31851784002279</v>
      </c>
      <c r="F246" s="22" t="n">
        <f aca="false">100*(F112-F111)</f>
        <v>-3.19587252883591</v>
      </c>
      <c r="G246" s="22" t="n">
        <f aca="false">100*(G112-G111)</f>
        <v>-3.06871446452672</v>
      </c>
      <c r="H246" s="22" t="n">
        <f aca="false">100*(H112-H111)</f>
        <v>-2.9387795911533</v>
      </c>
      <c r="I246" s="22" t="n">
        <f aca="false">100*(I112-I111)</f>
        <v>-2.80750502870224</v>
      </c>
      <c r="J246" s="22" t="n">
        <f aca="false">100*(J112-J111)</f>
        <v>-2.6759740976142</v>
      </c>
      <c r="K246" s="22" t="n">
        <f aca="false">100*(K112-K111)</f>
        <v>-2.544964832048</v>
      </c>
      <c r="L246" s="22" t="n">
        <f aca="false">100*(L112-L111)</f>
        <v>-2.41503775042133</v>
      </c>
      <c r="M246" s="22" t="n">
        <f aca="false">100*(M112-M111)</f>
        <v>-2.28659826572839</v>
      </c>
      <c r="N246" s="22" t="n">
        <f aca="false">100*(N112-N111)</f>
        <v>-2.15992334055359</v>
      </c>
      <c r="O246" s="22" t="n">
        <f aca="false">100*(O112-O111)</f>
        <v>-2.03518435810879</v>
      </c>
      <c r="P246" s="22" t="n">
        <f aca="false">100*(P112-P111)</f>
        <v>-1.9124653537399</v>
      </c>
      <c r="Q246" s="22" t="n">
        <f aca="false">100*(Q112-Q111)</f>
        <v>-1.79178902996946</v>
      </c>
      <c r="R246" s="22" t="n">
        <f aca="false">100*(R112-R111)</f>
        <v>-1.67317638449189</v>
      </c>
      <c r="S246" s="22" t="n">
        <f aca="false">100*(S112-S111)</f>
        <v>-1.55666910746493</v>
      </c>
      <c r="T246" s="22" t="n">
        <f aca="false">100*(T112-T111)</f>
        <v>-1.44233623524999</v>
      </c>
      <c r="U246" s="22" t="n">
        <f aca="false">100*(U112-U111)</f>
        <v>-1.3302769924973</v>
      </c>
      <c r="V246" s="22" t="n">
        <f aca="false">100*(V112-V111)</f>
        <v>-1.22061686887518</v>
      </c>
      <c r="W246" s="22" t="n">
        <f aca="false">100*(W112-W111)</f>
        <v>-1.11350434470623</v>
      </c>
      <c r="X246" s="22" t="n">
        <f aca="false">100*(X112-X111)</f>
        <v>-1.00910800503118</v>
      </c>
      <c r="Y246" s="22" t="n">
        <f aca="false">100*(Y112-Y111)</f>
        <v>-0.907612903119492</v>
      </c>
      <c r="Z246" s="22" t="n">
        <f aca="false">100*(Z112-Z111)</f>
        <v>-0.809214478380005</v>
      </c>
      <c r="AA246" s="22" t="n">
        <f aca="false">100*(AA112-AA111)</f>
        <v>-0.714092918252485</v>
      </c>
      <c r="AB246" s="22" t="n">
        <f aca="false">100*(AB112-AB111)</f>
        <v>-0.622399322735889</v>
      </c>
      <c r="AC246" s="22" t="n">
        <f aca="false">100*(AC112-AC111)</f>
        <v>-0.534258398419985</v>
      </c>
      <c r="AD246" s="22" t="n">
        <f aca="false">100*(AD112-AD111)</f>
        <v>-0.449771273799016</v>
      </c>
      <c r="AE246" s="22" t="n">
        <f aca="false">100*(AE112-AE111)</f>
        <v>-0.369010185660201</v>
      </c>
      <c r="AF246" s="22" t="n">
        <f aca="false">100*(AF112-AF111)</f>
        <v>-0.292005967690168</v>
      </c>
      <c r="AG246" s="22" t="n">
        <f aca="false">100*(AG112-AG111)</f>
        <v>-0.218749251753092</v>
      </c>
      <c r="AH246" s="22" t="n">
        <f aca="false">100*(AH112-AH111)</f>
        <v>-0.1491942870258</v>
      </c>
      <c r="AI246" s="22" t="n">
        <f aca="false">100*(AI112-AI111)</f>
        <v>-0.0832615996941843</v>
      </c>
      <c r="AJ246" s="22" t="n">
        <f aca="false">100*(AJ112-AJ111)</f>
        <v>-0.0208411423109123</v>
      </c>
      <c r="AK246" s="22" t="n">
        <f aca="false">100*(AK112-AK111)</f>
        <v>0.0382046504443956</v>
      </c>
      <c r="AL246" s="22" t="n">
        <f aca="false">AVERAGE(C246:AK246)</f>
        <v>-1.56015688257939</v>
      </c>
    </row>
    <row r="247" customFormat="false" ht="15" hidden="false" customHeight="false" outlineLevel="0" collapsed="false">
      <c r="A247" s="20" t="n">
        <f aca="false">A113</f>
        <v>-12</v>
      </c>
      <c r="B247" s="21" t="n">
        <f aca="false">B113</f>
        <v>41474</v>
      </c>
      <c r="C247" s="22" t="n">
        <f aca="false">100*(C113-C112)</f>
        <v>3.56789043044872</v>
      </c>
      <c r="D247" s="22" t="n">
        <f aca="false">100*(D113-D112)</f>
        <v>3.43239969740639</v>
      </c>
      <c r="E247" s="22" t="n">
        <f aca="false">100*(E113-E112)</f>
        <v>3.317802316865</v>
      </c>
      <c r="F247" s="22" t="n">
        <f aca="false">100*(F113-F112)</f>
        <v>3.22189188290047</v>
      </c>
      <c r="G247" s="22" t="n">
        <f aca="false">100*(G113-G112)</f>
        <v>3.1421334522697</v>
      </c>
      <c r="H247" s="22" t="n">
        <f aca="false">100*(H113-H112)</f>
        <v>3.07576384933501</v>
      </c>
      <c r="I247" s="22" t="n">
        <f aca="false">100*(I113-I112)</f>
        <v>3.01998562883741</v>
      </c>
      <c r="J247" s="22" t="n">
        <f aca="false">100*(J113-J112)</f>
        <v>2.97227654810679</v>
      </c>
      <c r="K247" s="22" t="n">
        <f aca="false">100*(K113-K112)</f>
        <v>2.9303987844421</v>
      </c>
      <c r="L247" s="22" t="n">
        <f aca="false">100*(L113-L112)</f>
        <v>2.8924059657105</v>
      </c>
      <c r="M247" s="22" t="n">
        <f aca="false">100*(M113-M112)</f>
        <v>2.85677783389766</v>
      </c>
      <c r="N247" s="22" t="n">
        <f aca="false">100*(N113-N112)</f>
        <v>2.82239331163758</v>
      </c>
      <c r="O247" s="22" t="n">
        <f aca="false">100*(O113-O112)</f>
        <v>2.78845948906121</v>
      </c>
      <c r="P247" s="22" t="n">
        <f aca="false">100*(P113-P112)</f>
        <v>2.75445498933262</v>
      </c>
      <c r="Q247" s="22" t="n">
        <f aca="false">100*(Q113-Q112)</f>
        <v>2.72009030951206</v>
      </c>
      <c r="R247" s="22" t="n">
        <f aca="false">100*(R113-R112)</f>
        <v>2.68535868379769</v>
      </c>
      <c r="S247" s="22" t="n">
        <f aca="false">100*(S113-S112)</f>
        <v>2.65055293395973</v>
      </c>
      <c r="T247" s="22" t="n">
        <f aca="false">100*(T113-T112)</f>
        <v>2.61610425121428</v>
      </c>
      <c r="U247" s="22" t="n">
        <f aca="false">100*(U113-U112)</f>
        <v>2.58248670006411</v>
      </c>
      <c r="V247" s="22" t="n">
        <f aca="false">100*(V113-V112)</f>
        <v>2.55020760769309</v>
      </c>
      <c r="W247" s="22" t="n">
        <f aca="false">100*(W113-W112)</f>
        <v>2.51978756283711</v>
      </c>
      <c r="X247" s="22" t="n">
        <f aca="false">100*(X113-X112)</f>
        <v>2.49167281250817</v>
      </c>
      <c r="Y247" s="22" t="n">
        <f aca="false">100*(Y113-Y112)</f>
        <v>2.46619563557999</v>
      </c>
      <c r="Z247" s="22" t="n">
        <f aca="false">100*(Z113-Z112)</f>
        <v>2.44358649730638</v>
      </c>
      <c r="AA247" s="22" t="n">
        <f aca="false">100*(AA113-AA112)</f>
        <v>2.4239854999097</v>
      </c>
      <c r="AB247" s="22" t="n">
        <f aca="false">100*(AB113-AB112)</f>
        <v>2.40745338071582</v>
      </c>
      <c r="AC247" s="22" t="n">
        <f aca="false">100*(AC113-AC112)</f>
        <v>2.3939810149062</v>
      </c>
      <c r="AD247" s="22" t="n">
        <f aca="false">100*(AD113-AD112)</f>
        <v>2.38349754646001</v>
      </c>
      <c r="AE247" s="22" t="n">
        <f aca="false">100*(AE113-AE112)</f>
        <v>2.3758787563481</v>
      </c>
      <c r="AF247" s="22" t="n">
        <f aca="false">100*(AF113-AF112)</f>
        <v>2.37095670960827</v>
      </c>
      <c r="AG247" s="22" t="n">
        <f aca="false">100*(AG113-AG112)</f>
        <v>2.36852587749783</v>
      </c>
      <c r="AH247" s="22" t="n">
        <f aca="false">100*(AH113-AH112)</f>
        <v>2.368357964537</v>
      </c>
      <c r="AI247" s="22" t="n">
        <f aca="false">100*(AI113-AI112)</f>
        <v>2.37022473537389</v>
      </c>
      <c r="AJ247" s="22" t="n">
        <f aca="false">100*(AJ113-AJ112)</f>
        <v>2.37390210768091</v>
      </c>
      <c r="AK247" s="22" t="n">
        <f aca="false">100*(AK113-AK112)</f>
        <v>2.37916974845831</v>
      </c>
      <c r="AL247" s="22" t="n">
        <f aca="false">AVERAGE(C247:AK247)</f>
        <v>2.70677172903485</v>
      </c>
    </row>
    <row r="248" customFormat="false" ht="15" hidden="false" customHeight="false" outlineLevel="0" collapsed="false">
      <c r="A248" s="20" t="n">
        <f aca="false">A114</f>
        <v>-11</v>
      </c>
      <c r="B248" s="21" t="n">
        <f aca="false">B114</f>
        <v>41477</v>
      </c>
      <c r="C248" s="22" t="n">
        <f aca="false">100*(C114-C113)</f>
        <v>-2.2269833649494</v>
      </c>
      <c r="D248" s="22" t="n">
        <f aca="false">100*(D114-D113)</f>
        <v>-2.33216682095478</v>
      </c>
      <c r="E248" s="22" t="n">
        <f aca="false">100*(E114-E113)</f>
        <v>-2.41391793768924</v>
      </c>
      <c r="F248" s="22" t="n">
        <f aca="false">100*(F114-F113)</f>
        <v>-2.47466548172848</v>
      </c>
      <c r="G248" s="22" t="n">
        <f aca="false">100*(G114-G113)</f>
        <v>-2.5171657480263</v>
      </c>
      <c r="H248" s="22" t="n">
        <f aca="false">100*(H114-H113)</f>
        <v>-2.54439316273052</v>
      </c>
      <c r="I248" s="22" t="n">
        <f aca="false">100*(I114-I113)</f>
        <v>-2.55938541564187</v>
      </c>
      <c r="J248" s="22" t="n">
        <f aca="false">100*(J114-J113)</f>
        <v>-2.5650350344339</v>
      </c>
      <c r="K248" s="22" t="n">
        <f aca="false">100*(K114-K113)</f>
        <v>-2.56407795466718</v>
      </c>
      <c r="L248" s="22" t="n">
        <f aca="false">100*(L114-L113)</f>
        <v>-2.55901033095638</v>
      </c>
      <c r="M248" s="22" t="n">
        <f aca="false">100*(M114-M113)</f>
        <v>-2.55191527705918</v>
      </c>
      <c r="N248" s="22" t="n">
        <f aca="false">100*(N114-N113)</f>
        <v>-2.5444950850801</v>
      </c>
      <c r="O248" s="22" t="n">
        <f aca="false">100*(O114-O113)</f>
        <v>-2.53813910487062</v>
      </c>
      <c r="P248" s="22" t="n">
        <f aca="false">100*(P114-P113)</f>
        <v>-2.53397769297892</v>
      </c>
      <c r="Q248" s="22" t="n">
        <f aca="false">100*(Q114-Q113)</f>
        <v>-2.5329038796905</v>
      </c>
      <c r="R248" s="22" t="n">
        <f aca="false">100*(R114-R113)</f>
        <v>-2.53547309557609</v>
      </c>
      <c r="S248" s="22" t="n">
        <f aca="false">100*(S114-S113)</f>
        <v>-2.54188013559911</v>
      </c>
      <c r="T248" s="22" t="n">
        <f aca="false">100*(T114-T113)</f>
        <v>-2.55208817559192</v>
      </c>
      <c r="U248" s="22" t="n">
        <f aca="false">100*(U114-U113)</f>
        <v>-2.56590932142458</v>
      </c>
      <c r="V248" s="22" t="n">
        <f aca="false">100*(V114-V113)</f>
        <v>-2.58302818880503</v>
      </c>
      <c r="W248" s="22" t="n">
        <f aca="false">100*(W114-W113)</f>
        <v>-2.60302786429709</v>
      </c>
      <c r="X248" s="22" t="n">
        <f aca="false">100*(X114-X113)</f>
        <v>-2.62544899920307</v>
      </c>
      <c r="Y248" s="22" t="n">
        <f aca="false">100*(Y114-Y113)</f>
        <v>-2.64982123567541</v>
      </c>
      <c r="Z248" s="22" t="n">
        <f aca="false">100*(Z114-Z113)</f>
        <v>-2.6756705833082</v>
      </c>
      <c r="AA248" s="22" t="n">
        <f aca="false">100*(AA114-AA113)</f>
        <v>-2.70254793834641</v>
      </c>
      <c r="AB248" s="22" t="n">
        <f aca="false">100*(AB114-AB113)</f>
        <v>-2.73004256159233</v>
      </c>
      <c r="AC248" s="22" t="n">
        <f aca="false">100*(AC114-AC113)</f>
        <v>-2.75777820993199</v>
      </c>
      <c r="AD248" s="22" t="n">
        <f aca="false">100*(AD114-AD113)</f>
        <v>-2.7854095639599</v>
      </c>
      <c r="AE248" s="22" t="n">
        <f aca="false">100*(AE114-AE113)</f>
        <v>-2.81263015363438</v>
      </c>
      <c r="AF248" s="22" t="n">
        <f aca="false">100*(AF114-AF113)</f>
        <v>-2.83918826896228</v>
      </c>
      <c r="AG248" s="22" t="n">
        <f aca="false">100*(AG114-AG113)</f>
        <v>-2.86488470097863</v>
      </c>
      <c r="AH248" s="22" t="n">
        <f aca="false">100*(AH114-AH113)</f>
        <v>-2.88956549516159</v>
      </c>
      <c r="AI248" s="22" t="n">
        <f aca="false">100*(AI114-AI113)</f>
        <v>-2.91311421532741</v>
      </c>
      <c r="AJ248" s="22" t="n">
        <f aca="false">100*(AJ114-AJ113)</f>
        <v>-2.93544753844608</v>
      </c>
      <c r="AK248" s="22" t="n">
        <f aca="false">100*(AK114-AK113)</f>
        <v>-2.95651194199591</v>
      </c>
      <c r="AL248" s="22" t="n">
        <f aca="false">AVERAGE(C248:AK248)</f>
        <v>-2.62793429940785</v>
      </c>
    </row>
    <row r="249" customFormat="false" ht="15" hidden="false" customHeight="false" outlineLevel="0" collapsed="false">
      <c r="A249" s="20" t="n">
        <f aca="false">A115</f>
        <v>-10</v>
      </c>
      <c r="B249" s="21" t="n">
        <f aca="false">B115</f>
        <v>41478</v>
      </c>
      <c r="C249" s="22" t="n">
        <f aca="false">100*(C115-C114)</f>
        <v>3.9902432046012</v>
      </c>
      <c r="D249" s="22" t="n">
        <f aca="false">100*(D115-D114)</f>
        <v>3.94015127349481</v>
      </c>
      <c r="E249" s="22" t="n">
        <f aca="false">100*(E115-E114)</f>
        <v>3.89802483195072</v>
      </c>
      <c r="F249" s="22" t="n">
        <f aca="false">100*(F115-F114)</f>
        <v>3.8655597148971</v>
      </c>
      <c r="G249" s="22" t="n">
        <f aca="false">100*(G115-G114)</f>
        <v>3.8435931749226</v>
      </c>
      <c r="H249" s="22" t="n">
        <f aca="false">100*(H115-H114)</f>
        <v>3.83232733442198</v>
      </c>
      <c r="I249" s="22" t="n">
        <f aca="false">100*(I115-I114)</f>
        <v>3.83155715678059</v>
      </c>
      <c r="J249" s="22" t="n">
        <f aca="false">100*(J115-J114)</f>
        <v>3.84091280946022</v>
      </c>
      <c r="K249" s="22" t="n">
        <f aca="false">100*(K115-K114)</f>
        <v>3.85992263476078</v>
      </c>
      <c r="L249" s="22" t="n">
        <f aca="false">100*(L115-L114)</f>
        <v>3.88802681884819</v>
      </c>
      <c r="M249" s="22" t="n">
        <f aca="false">100*(M115-M114)</f>
        <v>3.92460545516449</v>
      </c>
      <c r="N249" s="22" t="n">
        <f aca="false">100*(N115-N114)</f>
        <v>3.96899626793061</v>
      </c>
      <c r="O249" s="22" t="n">
        <f aca="false">100*(O115-O114)</f>
        <v>4.020502227984</v>
      </c>
      <c r="P249" s="22" t="n">
        <f aca="false">100*(P115-P114)</f>
        <v>4.07839751219039</v>
      </c>
      <c r="Q249" s="22" t="n">
        <f aca="false">100*(Q115-Q114)</f>
        <v>4.14192404483802</v>
      </c>
      <c r="R249" s="22" t="n">
        <f aca="false">100*(R115-R114)</f>
        <v>4.2102666618081</v>
      </c>
      <c r="S249" s="22" t="n">
        <f aca="false">100*(S115-S114)</f>
        <v>4.28256149359929</v>
      </c>
      <c r="T249" s="22" t="n">
        <f aca="false">100*(T115-T114)</f>
        <v>4.3579552428064</v>
      </c>
      <c r="U249" s="22" t="n">
        <f aca="false">100*(U115-U114)</f>
        <v>4.43563442491008</v>
      </c>
      <c r="V249" s="22" t="n">
        <f aca="false">100*(V115-V114)</f>
        <v>4.51482101513503</v>
      </c>
      <c r="W249" s="22" t="n">
        <f aca="false">100*(W115-W114)</f>
        <v>4.59477303321751</v>
      </c>
      <c r="X249" s="22" t="n">
        <f aca="false">100*(X115-X114)</f>
        <v>4.67481565967178</v>
      </c>
      <c r="Y249" s="22" t="n">
        <f aca="false">100*(Y115-Y114)</f>
        <v>4.75435599957144</v>
      </c>
      <c r="Z249" s="22" t="n">
        <f aca="false">100*(Z115-Z114)</f>
        <v>4.8328727623689</v>
      </c>
      <c r="AA249" s="22" t="n">
        <f aca="false">100*(AA115-AA114)</f>
        <v>4.90990253333989</v>
      </c>
      <c r="AB249" s="22" t="n">
        <f aca="false">100*(AB115-AB114)</f>
        <v>4.98503034590421</v>
      </c>
      <c r="AC249" s="22" t="n">
        <f aca="false">100*(AC115-AC114)</f>
        <v>5.05788384480117</v>
      </c>
      <c r="AD249" s="22" t="n">
        <f aca="false">100*(AD115-AD114)</f>
        <v>5.12812827126341</v>
      </c>
      <c r="AE249" s="22" t="n">
        <f aca="false">100*(AE115-AE114)</f>
        <v>5.19546120038981</v>
      </c>
      <c r="AF249" s="22" t="n">
        <f aca="false">100*(AF115-AF114)</f>
        <v>5.25960780548629</v>
      </c>
      <c r="AG249" s="22" t="n">
        <f aca="false">100*(AG115-AG114)</f>
        <v>5.32031809409421</v>
      </c>
      <c r="AH249" s="22" t="n">
        <f aca="false">100*(AH115-AH114)</f>
        <v>5.37737247282708</v>
      </c>
      <c r="AI249" s="22" t="n">
        <f aca="false">100*(AI115-AI114)</f>
        <v>5.43059310902021</v>
      </c>
      <c r="AJ249" s="22" t="n">
        <f aca="false">100*(AJ115-AJ114)</f>
        <v>5.47984237134207</v>
      </c>
      <c r="AK249" s="22" t="n">
        <f aca="false">100*(AK115-AK114)</f>
        <v>5.52501881519123</v>
      </c>
      <c r="AL249" s="22" t="n">
        <f aca="false">AVERAGE(C249:AK249)</f>
        <v>4.49291313197125</v>
      </c>
    </row>
    <row r="250" customFormat="false" ht="15" hidden="false" customHeight="false" outlineLevel="0" collapsed="false">
      <c r="A250" s="20" t="n">
        <f aca="false">A116</f>
        <v>-9</v>
      </c>
      <c r="B250" s="21" t="n">
        <f aca="false">B116</f>
        <v>41479</v>
      </c>
      <c r="C250" s="22" t="n">
        <f aca="false">100*(C116-C115)</f>
        <v>8.63281192878218</v>
      </c>
      <c r="D250" s="22" t="n">
        <f aca="false">100*(D116-D115)</f>
        <v>8.78224522467508</v>
      </c>
      <c r="E250" s="22" t="n">
        <f aca="false">100*(E116-E115)</f>
        <v>8.87597101021398</v>
      </c>
      <c r="F250" s="22" t="n">
        <f aca="false">100*(F116-F115)</f>
        <v>8.91746374591391</v>
      </c>
      <c r="G250" s="22" t="n">
        <f aca="false">100*(G116-G115)</f>
        <v>8.9106780003505</v>
      </c>
      <c r="H250" s="22" t="n">
        <f aca="false">100*(H116-H115)</f>
        <v>8.85988722044102</v>
      </c>
      <c r="I250" s="22" t="n">
        <f aca="false">100*(I116-I115)</f>
        <v>8.76955144423799</v>
      </c>
      <c r="J250" s="22" t="n">
        <f aca="false">100*(J116-J115)</f>
        <v>8.64418926269361</v>
      </c>
      <c r="K250" s="22" t="n">
        <f aca="false">100*(K116-K115)</f>
        <v>8.4883482875675</v>
      </c>
      <c r="L250" s="22" t="n">
        <f aca="false">100*(L116-L115)</f>
        <v>8.30651393124611</v>
      </c>
      <c r="M250" s="22" t="n">
        <f aca="false">100*(M116-M115)</f>
        <v>8.10300211114221</v>
      </c>
      <c r="N250" s="22" t="n">
        <f aca="false">100*(N116-N115)</f>
        <v>7.8819745785359</v>
      </c>
      <c r="O250" s="22" t="n">
        <f aca="false">100*(O116-O115)</f>
        <v>7.64746646007319</v>
      </c>
      <c r="P250" s="22" t="n">
        <f aca="false">100*(P116-P115)</f>
        <v>7.40340804067783</v>
      </c>
      <c r="Q250" s="22" t="n">
        <f aca="false">100*(Q116-Q115)</f>
        <v>7.15362517833231</v>
      </c>
      <c r="R250" s="22" t="n">
        <f aca="false">100*(R116-R115)</f>
        <v>6.90177897970021</v>
      </c>
      <c r="S250" s="22" t="n">
        <f aca="false">100*(S116-S115)</f>
        <v>6.6513239536234</v>
      </c>
      <c r="T250" s="22" t="n">
        <f aca="false">100*(T116-T115)</f>
        <v>6.4053632216527</v>
      </c>
      <c r="U250" s="22" t="n">
        <f aca="false">100*(U116-U115)</f>
        <v>6.1665993769763</v>
      </c>
      <c r="V250" s="22" t="n">
        <f aca="false">100*(V116-V115)</f>
        <v>5.93738753148148</v>
      </c>
      <c r="W250" s="22" t="n">
        <f aca="false">100*(W116-W115)</f>
        <v>5.7197541306933</v>
      </c>
      <c r="X250" s="22" t="n">
        <f aca="false">100*(X116-X115)</f>
        <v>5.5152759882509</v>
      </c>
      <c r="Y250" s="22" t="n">
        <f aca="false">100*(Y116-Y115)</f>
        <v>5.32504317412679</v>
      </c>
      <c r="Z250" s="22" t="n">
        <f aca="false">100*(Z116-Z115)</f>
        <v>5.14972062078201</v>
      </c>
      <c r="AA250" s="22" t="n">
        <f aca="false">100*(AA116-AA115)</f>
        <v>4.9896202821226</v>
      </c>
      <c r="AB250" s="22" t="n">
        <f aca="false">100*(AB116-AB115)</f>
        <v>4.8447557498478</v>
      </c>
      <c r="AC250" s="22" t="n">
        <f aca="false">100*(AC116-AC115)</f>
        <v>4.7148782889411</v>
      </c>
      <c r="AD250" s="22" t="n">
        <f aca="false">100*(AD116-AD115)</f>
        <v>4.5995077597552</v>
      </c>
      <c r="AE250" s="22" t="n">
        <f aca="false">100*(AE116-AE115)</f>
        <v>4.4979703265454</v>
      </c>
      <c r="AF250" s="22" t="n">
        <f aca="false">100*(AF116-AF115)</f>
        <v>4.40944067667592</v>
      </c>
      <c r="AG250" s="22" t="n">
        <f aca="false">100*(AG116-AG115)</f>
        <v>4.33296365691258</v>
      </c>
      <c r="AH250" s="22" t="n">
        <f aca="false">100*(AH116-AH115)</f>
        <v>4.26749900281922</v>
      </c>
      <c r="AI250" s="22" t="n">
        <f aca="false">100*(AI116-AI115)</f>
        <v>4.2119841138156</v>
      </c>
      <c r="AJ250" s="22" t="n">
        <f aca="false">100*(AJ116-AJ115)</f>
        <v>4.16534618561681</v>
      </c>
      <c r="AK250" s="22" t="n">
        <f aca="false">100*(AK116-AK115)</f>
        <v>4.12650324918968</v>
      </c>
      <c r="AL250" s="22" t="n">
        <f aca="false">AVERAGE(C250:AK250)</f>
        <v>6.52313864841178</v>
      </c>
    </row>
    <row r="251" customFormat="false" ht="15" hidden="false" customHeight="false" outlineLevel="0" collapsed="false">
      <c r="A251" s="20" t="n">
        <f aca="false">A117</f>
        <v>-8</v>
      </c>
      <c r="B251" s="21" t="n">
        <f aca="false">B117</f>
        <v>41480</v>
      </c>
      <c r="C251" s="22" t="n">
        <f aca="false">100*(C117-C116)</f>
        <v>-0.223138206129203</v>
      </c>
      <c r="D251" s="22" t="n">
        <f aca="false">100*(D117-D116)</f>
        <v>-0.157351107264292</v>
      </c>
      <c r="E251" s="22" t="n">
        <f aca="false">100*(E117-E116)</f>
        <v>-0.117125011706065</v>
      </c>
      <c r="F251" s="22" t="n">
        <f aca="false">100*(F117-F116)</f>
        <v>-0.101905874303299</v>
      </c>
      <c r="G251" s="22" t="n">
        <f aca="false">100*(G117-G116)</f>
        <v>-0.110376740572704</v>
      </c>
      <c r="H251" s="22" t="n">
        <f aca="false">100*(H117-H116)</f>
        <v>-0.140653292403004</v>
      </c>
      <c r="I251" s="22" t="n">
        <f aca="false">100*(I117-I116)</f>
        <v>-0.190382299274994</v>
      </c>
      <c r="J251" s="22" t="n">
        <f aca="false">100*(J117-J116)</f>
        <v>-0.256780862151329</v>
      </c>
      <c r="K251" s="22" t="n">
        <f aca="false">100*(K117-K116)</f>
        <v>-0.336722816320822</v>
      </c>
      <c r="L251" s="22" t="n">
        <f aca="false">100*(L117-L116)</f>
        <v>-0.4270190145097</v>
      </c>
      <c r="M251" s="22" t="n">
        <f aca="false">100*(M117-M116)</f>
        <v>-0.5247523592121</v>
      </c>
      <c r="N251" s="22" t="n">
        <f aca="false">100*(N117-N116)</f>
        <v>-0.62727768789701</v>
      </c>
      <c r="O251" s="22" t="n">
        <f aca="false">100*(O117-O116)</f>
        <v>-0.732173248613899</v>
      </c>
      <c r="P251" s="22" t="n">
        <f aca="false">100*(P117-P116)</f>
        <v>-0.837202305917639</v>
      </c>
      <c r="Q251" s="22" t="n">
        <f aca="false">100*(Q117-Q116)</f>
        <v>-0.940342341187694</v>
      </c>
      <c r="R251" s="22" t="n">
        <f aca="false">100*(R117-R116)</f>
        <v>-1.04005683238761</v>
      </c>
      <c r="S251" s="22" t="n">
        <f aca="false">100*(S117-S116)</f>
        <v>-1.13536578450821</v>
      </c>
      <c r="T251" s="22" t="n">
        <f aca="false">100*(T117-T116)</f>
        <v>-1.2256693541183</v>
      </c>
      <c r="U251" s="22" t="n">
        <f aca="false">100*(U117-U116)</f>
        <v>-1.3106346995484</v>
      </c>
      <c r="V251" s="22" t="n">
        <f aca="false">100*(V117-V116)</f>
        <v>-1.39015543276559</v>
      </c>
      <c r="W251" s="22" t="n">
        <f aca="false">100*(W117-W116)</f>
        <v>-1.46431429256602</v>
      </c>
      <c r="X251" s="22" t="n">
        <f aca="false">100*(X117-X116)</f>
        <v>-1.53331863010431</v>
      </c>
      <c r="Y251" s="22" t="n">
        <f aca="false">100*(Y117-Y116)</f>
        <v>-1.59745830333202</v>
      </c>
      <c r="Z251" s="22" t="n">
        <f aca="false">100*(Z117-Z116)</f>
        <v>-1.65708645456162</v>
      </c>
      <c r="AA251" s="22" t="n">
        <f aca="false">100*(AA117-AA116)</f>
        <v>-1.71257009166479</v>
      </c>
      <c r="AB251" s="22" t="n">
        <f aca="false">100*(AB117-AB116)</f>
        <v>-1.7642641368067</v>
      </c>
      <c r="AC251" s="22" t="n">
        <f aca="false">100*(AC117-AC116)</f>
        <v>-1.81251184909019</v>
      </c>
      <c r="AD251" s="22" t="n">
        <f aca="false">100*(AD117-AD116)</f>
        <v>-1.85764565260471</v>
      </c>
      <c r="AE251" s="22" t="n">
        <f aca="false">100*(AE117-AE116)</f>
        <v>-1.89997465259659</v>
      </c>
      <c r="AF251" s="22" t="n">
        <f aca="false">100*(AF117-AF116)</f>
        <v>-1.93976301827892</v>
      </c>
      <c r="AG251" s="22" t="n">
        <f aca="false">100*(AG117-AG116)</f>
        <v>-1.97723043969127</v>
      </c>
      <c r="AH251" s="22" t="n">
        <f aca="false">100*(AH117-AH116)</f>
        <v>-2.01255914147969</v>
      </c>
      <c r="AI251" s="22" t="n">
        <f aca="false">100*(AI117-AI116)</f>
        <v>-2.04590257316979</v>
      </c>
      <c r="AJ251" s="22" t="n">
        <f aca="false">100*(AJ117-AJ116)</f>
        <v>-2.07738938740452</v>
      </c>
      <c r="AK251" s="22" t="n">
        <f aca="false">100*(AK117-AK116)</f>
        <v>-2.10712592307409</v>
      </c>
      <c r="AL251" s="22" t="n">
        <f aca="false">AVERAGE(C251:AK251)</f>
        <v>-1.12240570906335</v>
      </c>
    </row>
    <row r="252" customFormat="false" ht="15" hidden="false" customHeight="false" outlineLevel="0" collapsed="false">
      <c r="A252" s="20" t="n">
        <f aca="false">A118</f>
        <v>-7</v>
      </c>
      <c r="B252" s="21" t="n">
        <f aca="false">B118</f>
        <v>41481</v>
      </c>
      <c r="C252" s="22" t="n">
        <f aca="false">100*(C118-C117)</f>
        <v>-6.43042158902971</v>
      </c>
      <c r="D252" s="22" t="n">
        <f aca="false">100*(D118-D117)</f>
        <v>-6.34849578787149</v>
      </c>
      <c r="E252" s="22" t="n">
        <f aca="false">100*(E118-E117)</f>
        <v>-6.24086208939922</v>
      </c>
      <c r="F252" s="22" t="n">
        <f aca="false">100*(F118-F117)</f>
        <v>-6.10932966942324</v>
      </c>
      <c r="G252" s="22" t="n">
        <f aca="false">100*(G118-G117)</f>
        <v>-5.9557398404293</v>
      </c>
      <c r="H252" s="22" t="n">
        <f aca="false">100*(H118-H117)</f>
        <v>-5.7819490988853</v>
      </c>
      <c r="I252" s="22" t="n">
        <f aca="false">100*(I118-I117)</f>
        <v>-5.58995733912471</v>
      </c>
      <c r="J252" s="22" t="n">
        <f aca="false">100*(J118-J117)</f>
        <v>-5.38204953438028</v>
      </c>
      <c r="K252" s="22" t="n">
        <f aca="false">100*(K118-K117)</f>
        <v>-5.160761563311</v>
      </c>
      <c r="L252" s="22" t="n">
        <f aca="false">100*(L118-L117)</f>
        <v>-4.92883625572231</v>
      </c>
      <c r="M252" s="22" t="n">
        <f aca="false">100*(M118-M117)</f>
        <v>-4.6891117399313</v>
      </c>
      <c r="N252" s="22" t="n">
        <f aca="false">100*(N118-N117)</f>
        <v>-4.444475678575</v>
      </c>
      <c r="O252" s="22" t="n">
        <f aca="false">100*(O118-O117)</f>
        <v>-4.19785627619711</v>
      </c>
      <c r="P252" s="22" t="n">
        <f aca="false">100*(P118-P117)</f>
        <v>-3.95221538204109</v>
      </c>
      <c r="Q252" s="22" t="n">
        <f aca="false">100*(Q118-Q117)</f>
        <v>-3.71053593708393</v>
      </c>
      <c r="R252" s="22" t="n">
        <f aca="false">100*(R118-R117)</f>
        <v>-3.47571957699269</v>
      </c>
      <c r="S252" s="22" t="n">
        <f aca="false">100*(S118-S117)</f>
        <v>-3.2504807356891</v>
      </c>
      <c r="T252" s="22" t="n">
        <f aca="false">100*(T118-T117)</f>
        <v>-3.03718463188889</v>
      </c>
      <c r="U252" s="22" t="n">
        <f aca="false">100*(U118-U117)</f>
        <v>-2.83779461553739</v>
      </c>
      <c r="V252" s="22" t="n">
        <f aca="false">100*(V118-V117)</f>
        <v>-2.6539254573132</v>
      </c>
      <c r="W252" s="22" t="n">
        <f aca="false">100*(W118-W117)</f>
        <v>-2.48686253495722</v>
      </c>
      <c r="X252" s="22" t="n">
        <f aca="false">100*(X118-X117)</f>
        <v>-2.33743269924771</v>
      </c>
      <c r="Y252" s="22" t="n">
        <f aca="false">100*(Y118-Y117)</f>
        <v>-2.2059588828895</v>
      </c>
      <c r="Z252" s="22" t="n">
        <f aca="false">100*(Z118-Z117)</f>
        <v>-2.09232664172729</v>
      </c>
      <c r="AA252" s="22" t="n">
        <f aca="false">100*(AA118-AA117)</f>
        <v>-1.99607388612488</v>
      </c>
      <c r="AB252" s="22" t="n">
        <f aca="false">100*(AB118-AB117)</f>
        <v>-1.9164526113038</v>
      </c>
      <c r="AC252" s="22" t="n">
        <f aca="false">100*(AC118-AC117)</f>
        <v>-1.85246366958141</v>
      </c>
      <c r="AD252" s="22" t="n">
        <f aca="false">100*(AD118-AD117)</f>
        <v>-1.80288704617499</v>
      </c>
      <c r="AE252" s="22" t="n">
        <f aca="false">100*(AE118-AE117)</f>
        <v>-1.76633221373543</v>
      </c>
      <c r="AF252" s="22" t="n">
        <f aca="false">100*(AF118-AF117)</f>
        <v>-1.7412991149008</v>
      </c>
      <c r="AG252" s="22" t="n">
        <f aca="false">100*(AG118-AG117)</f>
        <v>-1.72619947966801</v>
      </c>
      <c r="AH252" s="22" t="n">
        <f aca="false">100*(AH118-AH117)</f>
        <v>-1.71941878414383</v>
      </c>
      <c r="AI252" s="22" t="n">
        <f aca="false">100*(AI118-AI117)</f>
        <v>-1.71940892558351</v>
      </c>
      <c r="AJ252" s="22" t="n">
        <f aca="false">100*(AJ118-AJ117)</f>
        <v>-1.7246975265842</v>
      </c>
      <c r="AK252" s="22" t="n">
        <f aca="false">100*(AK118-AK117)</f>
        <v>-1.73388038995901</v>
      </c>
      <c r="AL252" s="22" t="n">
        <f aca="false">AVERAGE(C252:AK252)</f>
        <v>-3.51426849158308</v>
      </c>
    </row>
    <row r="253" customFormat="false" ht="15" hidden="false" customHeight="false" outlineLevel="0" collapsed="false">
      <c r="A253" s="20" t="n">
        <f aca="false">A119</f>
        <v>-6</v>
      </c>
      <c r="B253" s="21" t="n">
        <f aca="false">B119</f>
        <v>41484</v>
      </c>
      <c r="C253" s="22" t="n">
        <f aca="false">100*(C119-C118)</f>
        <v>-0.351711857641179</v>
      </c>
      <c r="D253" s="22" t="n">
        <f aca="false">100*(D119-D118)</f>
        <v>-0.378006622866733</v>
      </c>
      <c r="E253" s="22" t="n">
        <f aca="false">100*(E119-E118)</f>
        <v>-0.386716463044978</v>
      </c>
      <c r="F253" s="22" t="n">
        <f aca="false">100*(F119-F118)</f>
        <v>-0.381225207854996</v>
      </c>
      <c r="G253" s="22" t="n">
        <f aca="false">100*(G119-G118)</f>
        <v>-0.364895890908601</v>
      </c>
      <c r="H253" s="22" t="n">
        <f aca="false">100*(H119-H118)</f>
        <v>-0.341002964170389</v>
      </c>
      <c r="I253" s="22" t="n">
        <f aca="false">100*(I119-I118)</f>
        <v>-0.312610095661281</v>
      </c>
      <c r="J253" s="22" t="n">
        <f aca="false">100*(J119-J118)</f>
        <v>-0.282379779237107</v>
      </c>
      <c r="K253" s="22" t="n">
        <f aca="false">100*(K119-K118)</f>
        <v>-0.252614081048064</v>
      </c>
      <c r="L253" s="22" t="n">
        <f aca="false">100*(L119-L118)</f>
        <v>-0.225257217383579</v>
      </c>
      <c r="M253" s="22" t="n">
        <f aca="false">100*(M119-M118)</f>
        <v>-0.201829287621402</v>
      </c>
      <c r="N253" s="22" t="n">
        <f aca="false">100*(N119-N118)</f>
        <v>-0.183477882452898</v>
      </c>
      <c r="O253" s="22" t="n">
        <f aca="false">100*(O119-O118)</f>
        <v>-0.17104454273178</v>
      </c>
      <c r="P253" s="22" t="n">
        <f aca="false">100*(P119-P118)</f>
        <v>-0.165117545234406</v>
      </c>
      <c r="Q253" s="22" t="n">
        <f aca="false">100*(Q119-Q118)</f>
        <v>-0.16606522709659</v>
      </c>
      <c r="R253" s="22" t="n">
        <f aca="false">100*(R119-R118)</f>
        <v>-0.174006371551716</v>
      </c>
      <c r="S253" s="22" t="n">
        <f aca="false">100*(S119-S118)</f>
        <v>-0.188815328884173</v>
      </c>
      <c r="T253" s="22" t="n">
        <f aca="false">100*(T119-T118)</f>
        <v>-0.210211249834202</v>
      </c>
      <c r="U253" s="22" t="n">
        <f aca="false">100*(U119-U118)</f>
        <v>-0.237810952875517</v>
      </c>
      <c r="V253" s="22" t="n">
        <f aca="false">100*(V119-V118)</f>
        <v>-0.271144707091997</v>
      </c>
      <c r="W253" s="22" t="n">
        <f aca="false">100*(W119-W118)</f>
        <v>-0.30967390763128</v>
      </c>
      <c r="X253" s="22" t="n">
        <f aca="false">100*(X119-X118)</f>
        <v>-0.352827863495175</v>
      </c>
      <c r="Y253" s="22" t="n">
        <f aca="false">100*(Y119-Y118)</f>
        <v>-0.400022039150683</v>
      </c>
      <c r="Z253" s="22" t="n">
        <f aca="false">100*(Z119-Z118)</f>
        <v>-0.450661689815579</v>
      </c>
      <c r="AA253" s="22" t="n">
        <f aca="false">100*(AA119-AA118)</f>
        <v>-0.504149900863027</v>
      </c>
      <c r="AB253" s="22" t="n">
        <f aca="false">100*(AB119-AB118)</f>
        <v>-0.55989128363958</v>
      </c>
      <c r="AC253" s="22" t="n">
        <f aca="false">100*(AC119-AC118)</f>
        <v>-0.617291905005679</v>
      </c>
      <c r="AD253" s="22" t="n">
        <f aca="false">100*(AD119-AD118)</f>
        <v>-0.675759347250393</v>
      </c>
      <c r="AE253" s="22" t="n">
        <f aca="false">100*(AE119-AE118)</f>
        <v>-0.734707290876191</v>
      </c>
      <c r="AF253" s="22" t="n">
        <f aca="false">100*(AF119-AF118)</f>
        <v>-0.79356211208812</v>
      </c>
      <c r="AG253" s="22" t="n">
        <f aca="false">100*(AG119-AG118)</f>
        <v>-0.851763237068592</v>
      </c>
      <c r="AH253" s="22" t="n">
        <f aca="false">100*(AH119-AH118)</f>
        <v>-0.908775429311692</v>
      </c>
      <c r="AI253" s="22" t="n">
        <f aca="false">100*(AI119-AI118)</f>
        <v>-0.964108376191986</v>
      </c>
      <c r="AJ253" s="22" t="n">
        <f aca="false">100*(AJ119-AJ118)</f>
        <v>-1.01731584374289</v>
      </c>
      <c r="AK253" s="22" t="n">
        <f aca="false">100*(AK119-AK118)</f>
        <v>-1.06799127339179</v>
      </c>
      <c r="AL253" s="22" t="n">
        <f aca="false">AVERAGE(C253:AK253)</f>
        <v>-0.441555564991836</v>
      </c>
    </row>
    <row r="254" customFormat="false" ht="15" hidden="false" customHeight="false" outlineLevel="0" collapsed="false">
      <c r="A254" s="20" t="n">
        <f aca="false">A120</f>
        <v>-5</v>
      </c>
      <c r="B254" s="21" t="n">
        <f aca="false">B120</f>
        <v>41485</v>
      </c>
      <c r="C254" s="22" t="n">
        <f aca="false">100*(C120-C119)</f>
        <v>-1.3941421882758</v>
      </c>
      <c r="D254" s="22" t="n">
        <f aca="false">100*(D120-D119)</f>
        <v>-1.40887917983958</v>
      </c>
      <c r="E254" s="22" t="n">
        <f aca="false">100*(E120-E119)</f>
        <v>-1.40908361989132</v>
      </c>
      <c r="F254" s="22" t="n">
        <f aca="false">100*(F120-F119)</f>
        <v>-1.39635047832387</v>
      </c>
      <c r="G254" s="22" t="n">
        <f aca="false">100*(G120-G119)</f>
        <v>-1.3723175820803</v>
      </c>
      <c r="H254" s="22" t="n">
        <f aca="false">100*(H120-H119)</f>
        <v>-1.33862376323592</v>
      </c>
      <c r="I254" s="22" t="n">
        <f aca="false">100*(I120-I119)</f>
        <v>-1.29689502854853</v>
      </c>
      <c r="J254" s="22" t="n">
        <f aca="false">100*(J120-J119)</f>
        <v>-1.24871523648897</v>
      </c>
      <c r="K254" s="22" t="n">
        <f aca="false">100*(K120-K119)</f>
        <v>-1.19562697970892</v>
      </c>
      <c r="L254" s="22" t="n">
        <f aca="false">100*(L120-L119)</f>
        <v>-1.13910050537429</v>
      </c>
      <c r="M254" s="22" t="n">
        <f aca="false">100*(M120-M119)</f>
        <v>-1.08046193263789</v>
      </c>
      <c r="N254" s="22" t="n">
        <f aca="false">100*(N120-N119)</f>
        <v>-1.02090153287238</v>
      </c>
      <c r="O254" s="22" t="n">
        <f aca="false">100*(O120-O119)</f>
        <v>-0.961497942061929</v>
      </c>
      <c r="P254" s="22" t="n">
        <f aca="false">100*(P120-P119)</f>
        <v>-0.903237418721181</v>
      </c>
      <c r="Q254" s="22" t="n">
        <f aca="false">100*(Q120-Q119)</f>
        <v>-0.847017259294303</v>
      </c>
      <c r="R254" s="22" t="n">
        <f aca="false">100*(R120-R119)</f>
        <v>-0.793581071363514</v>
      </c>
      <c r="S254" s="22" t="n">
        <f aca="false">100*(S120-S119)</f>
        <v>-0.743494760313412</v>
      </c>
      <c r="T254" s="22" t="n">
        <f aca="false">100*(T120-T119)</f>
        <v>-0.69718467019908</v>
      </c>
      <c r="U254" s="22" t="n">
        <f aca="false">100*(U120-U119)</f>
        <v>-0.654965532758878</v>
      </c>
      <c r="V254" s="22" t="n">
        <f aca="false">100*(V120-V119)</f>
        <v>-0.617056697035912</v>
      </c>
      <c r="W254" s="22" t="n">
        <f aca="false">100*(W120-W119)</f>
        <v>-0.583595395171699</v>
      </c>
      <c r="X254" s="22" t="n">
        <f aca="false">100*(X120-X119)</f>
        <v>-0.554644834040596</v>
      </c>
      <c r="Y254" s="22" t="n">
        <f aca="false">100*(Y120-Y119)</f>
        <v>-0.530200793694302</v>
      </c>
      <c r="Z254" s="22" t="n">
        <f aca="false">100*(Z120-Z119)</f>
        <v>-0.510201346923411</v>
      </c>
      <c r="AA254" s="22" t="n">
        <f aca="false">100*(AA120-AA119)</f>
        <v>-0.494540067001914</v>
      </c>
      <c r="AB254" s="22" t="n">
        <f aca="false">100*(AB120-AB119)</f>
        <v>-0.483074382666615</v>
      </c>
      <c r="AC254" s="22" t="n">
        <f aca="false">100*(AC120-AC119)</f>
        <v>-0.47562996861501</v>
      </c>
      <c r="AD254" s="22" t="n">
        <f aca="false">100*(AD120-AD119)</f>
        <v>-0.472004638770107</v>
      </c>
      <c r="AE254" s="22" t="n">
        <f aca="false">100*(AE120-AE119)</f>
        <v>-0.471975428190996</v>
      </c>
      <c r="AF254" s="22" t="n">
        <f aca="false">100*(AF120-AF119)</f>
        <v>-0.475306623774197</v>
      </c>
      <c r="AG254" s="22" t="n">
        <f aca="false">100*(AG120-AG119)</f>
        <v>-0.481752238289612</v>
      </c>
      <c r="AH254" s="22" t="n">
        <f aca="false">100*(AH120-AH119)</f>
        <v>-0.49106233695877</v>
      </c>
      <c r="AI254" s="22" t="n">
        <f aca="false">100*(AI120-AI119)</f>
        <v>-0.502991396067332</v>
      </c>
      <c r="AJ254" s="22" t="n">
        <f aca="false">100*(AJ120-AJ119)</f>
        <v>-0.517299077620192</v>
      </c>
      <c r="AK254" s="22" t="n">
        <f aca="false">100*(AK120-AK119)</f>
        <v>-0.533749711496911</v>
      </c>
      <c r="AL254" s="22" t="n">
        <f aca="false">AVERAGE(C254:AK254)</f>
        <v>-0.83134747480879</v>
      </c>
    </row>
    <row r="255" customFormat="false" ht="15" hidden="false" customHeight="false" outlineLevel="0" collapsed="false">
      <c r="A255" s="20" t="n">
        <f aca="false">A121</f>
        <v>-4</v>
      </c>
      <c r="B255" s="21" t="n">
        <f aca="false">B121</f>
        <v>41486</v>
      </c>
      <c r="C255" s="22" t="n">
        <f aca="false">100*(C121-C120)</f>
        <v>3.61692200538091</v>
      </c>
      <c r="D255" s="22" t="n">
        <f aca="false">100*(D121-D120)</f>
        <v>3.80152655457788</v>
      </c>
      <c r="E255" s="22" t="n">
        <f aca="false">100*(E121-E120)</f>
        <v>3.9441347502569</v>
      </c>
      <c r="F255" s="22" t="n">
        <f aca="false">100*(F121-F120)</f>
        <v>4.04604710305216</v>
      </c>
      <c r="G255" s="22" t="n">
        <f aca="false">100*(G121-G120)</f>
        <v>4.10930604401218</v>
      </c>
      <c r="H255" s="22" t="n">
        <f aca="false">100*(H121-H120)</f>
        <v>4.13651136535211</v>
      </c>
      <c r="I255" s="22" t="n">
        <f aca="false">100*(I121-I120)</f>
        <v>4.13065012874854</v>
      </c>
      <c r="J255" s="22" t="n">
        <f aca="false">100*(J121-J120)</f>
        <v>4.09495704545537</v>
      </c>
      <c r="K255" s="22" t="n">
        <f aca="false">100*(K121-K120)</f>
        <v>4.03284776416051</v>
      </c>
      <c r="L255" s="22" t="n">
        <f aca="false">100*(L121-L120)</f>
        <v>3.94773347673048</v>
      </c>
      <c r="M255" s="22" t="n">
        <f aca="false">100*(M121-M120)</f>
        <v>3.84281843163721</v>
      </c>
      <c r="N255" s="22" t="n">
        <f aca="false">100*(N121-N120)</f>
        <v>3.72111096587999</v>
      </c>
      <c r="O255" s="22" t="n">
        <f aca="false">100*(O121-O120)</f>
        <v>3.58545849013843</v>
      </c>
      <c r="P255" s="22" t="n">
        <f aca="false">100*(P121-P120)</f>
        <v>3.4385751012521</v>
      </c>
      <c r="Q255" s="22" t="n">
        <f aca="false">100*(Q121-Q120)</f>
        <v>3.283024881061</v>
      </c>
      <c r="R255" s="22" t="n">
        <f aca="false">100*(R121-R120)</f>
        <v>3.12107097321004</v>
      </c>
      <c r="S255" s="22" t="n">
        <f aca="false">100*(S121-S120)</f>
        <v>2.9546353182317</v>
      </c>
      <c r="T255" s="22" t="n">
        <f aca="false">100*(T121-T120)</f>
        <v>2.78532804485319</v>
      </c>
      <c r="U255" s="22" t="n">
        <f aca="false">100*(U121-U120)</f>
        <v>2.61448271772946</v>
      </c>
      <c r="V255" s="22" t="n">
        <f aca="false">100*(V121-V120)</f>
        <v>2.443195443254</v>
      </c>
      <c r="W255" s="22" t="n">
        <f aca="false">100*(W121-W120)</f>
        <v>2.27235000081572</v>
      </c>
      <c r="X255" s="22" t="n">
        <f aca="false">100*(X121-X120)</f>
        <v>2.10260881694579</v>
      </c>
      <c r="Y255" s="22" t="n">
        <f aca="false">100*(Y121-Y120)</f>
        <v>1.93442302079689</v>
      </c>
      <c r="Z255" s="22" t="n">
        <f aca="false">100*(Z121-Z120)</f>
        <v>1.76807163522832</v>
      </c>
      <c r="AA255" s="22" t="n">
        <f aca="false">100*(AA121-AA120)</f>
        <v>1.60374869671061</v>
      </c>
      <c r="AB255" s="22" t="n">
        <f aca="false">100*(AB121-AB120)</f>
        <v>1.44160914883309</v>
      </c>
      <c r="AC255" s="22" t="n">
        <f aca="false">100*(AC121-AC120)</f>
        <v>1.28177480616838</v>
      </c>
      <c r="AD255" s="22" t="n">
        <f aca="false">100*(AD121-AD120)</f>
        <v>1.12433916726991</v>
      </c>
      <c r="AE255" s="22" t="n">
        <f aca="false">100*(AE121-AE120)</f>
        <v>0.969392912886802</v>
      </c>
      <c r="AF255" s="22" t="n">
        <f aca="false">100*(AF121-AF120)</f>
        <v>0.817060977200601</v>
      </c>
      <c r="AG255" s="22" t="n">
        <f aca="false">100*(AG121-AG120)</f>
        <v>0.667504789237805</v>
      </c>
      <c r="AH255" s="22" t="n">
        <f aca="false">100*(AH121-AH120)</f>
        <v>0.520911684050374</v>
      </c>
      <c r="AI255" s="22" t="n">
        <f aca="false">100*(AI121-AI120)</f>
        <v>0.377482069864321</v>
      </c>
      <c r="AJ255" s="22" t="n">
        <f aca="false">100*(AJ121-AJ120)</f>
        <v>0.237426542202979</v>
      </c>
      <c r="AK255" s="22" t="n">
        <f aca="false">100*(AK121-AK120)</f>
        <v>0.100964864243824</v>
      </c>
      <c r="AL255" s="22" t="n">
        <f aca="false">AVERAGE(C255:AK255)</f>
        <v>2.53914302106942</v>
      </c>
    </row>
    <row r="256" customFormat="false" ht="15" hidden="false" customHeight="false" outlineLevel="0" collapsed="false">
      <c r="A256" s="20" t="n">
        <f aca="false">A122</f>
        <v>-3</v>
      </c>
      <c r="B256" s="21" t="n">
        <f aca="false">B122</f>
        <v>41487</v>
      </c>
      <c r="C256" s="22" t="n">
        <f aca="false">100*(C122-C121)</f>
        <v>5.04434317449389</v>
      </c>
      <c r="D256" s="22" t="n">
        <f aca="false">100*(D122-D121)</f>
        <v>5.17800939023863</v>
      </c>
      <c r="E256" s="22" t="n">
        <f aca="false">100*(E122-E121)</f>
        <v>5.25420769164411</v>
      </c>
      <c r="F256" s="22" t="n">
        <f aca="false">100*(F122-F121)</f>
        <v>5.27521125666812</v>
      </c>
      <c r="G256" s="22" t="n">
        <f aca="false">100*(G122-G121)</f>
        <v>5.24433243814491</v>
      </c>
      <c r="H256" s="22" t="n">
        <f aca="false">100*(H122-H121)</f>
        <v>5.16566991594942</v>
      </c>
      <c r="I256" s="22" t="n">
        <f aca="false">100*(I122-I121)</f>
        <v>5.04394400091996</v>
      </c>
      <c r="J256" s="22" t="n">
        <f aca="false">100*(J122-J121)</f>
        <v>4.8843940553025</v>
      </c>
      <c r="K256" s="22" t="n">
        <f aca="false">100*(K122-K121)</f>
        <v>4.69266716286629</v>
      </c>
      <c r="L256" s="22" t="n">
        <f aca="false">100*(L122-L121)</f>
        <v>4.47455473784149</v>
      </c>
      <c r="M256" s="22" t="n">
        <f aca="false">100*(M122-M121)</f>
        <v>4.23571738788438</v>
      </c>
      <c r="N256" s="22" t="n">
        <f aca="false">100*(N122-N121)</f>
        <v>3.98167590397809</v>
      </c>
      <c r="O256" s="22" t="n">
        <f aca="false">100*(O122-O121)</f>
        <v>3.71783622649708</v>
      </c>
      <c r="P256" s="22" t="n">
        <f aca="false">100*(P122-P121)</f>
        <v>3.4495090560084</v>
      </c>
      <c r="Q256" s="22" t="n">
        <f aca="false">100*(Q122-Q121)</f>
        <v>3.18186987865681</v>
      </c>
      <c r="R256" s="22" t="n">
        <f aca="false">100*(R122-R121)</f>
        <v>2.91972783614978</v>
      </c>
      <c r="S256" s="22" t="n">
        <f aca="false">100*(S122-S121)</f>
        <v>2.66741555244439</v>
      </c>
      <c r="T256" s="22" t="n">
        <f aca="false">100*(T122-T121)</f>
        <v>2.42862936895412</v>
      </c>
      <c r="U256" s="22" t="n">
        <f aca="false">100*(U122-U121)</f>
        <v>2.20640337645022</v>
      </c>
      <c r="V256" s="22" t="n">
        <f aca="false">100*(V122-V121)</f>
        <v>2.00319974741743</v>
      </c>
      <c r="W256" s="22" t="n">
        <f aca="false">100*(W122-W121)</f>
        <v>1.82094396063008</v>
      </c>
      <c r="X256" s="22" t="n">
        <f aca="false">100*(X122-X121)</f>
        <v>1.66087444256298</v>
      </c>
      <c r="Y256" s="22" t="n">
        <f aca="false">100*(Y122-Y121)</f>
        <v>1.52351471410372</v>
      </c>
      <c r="Z256" s="22" t="n">
        <f aca="false">100*(Z122-Z121)</f>
        <v>1.40877396755648</v>
      </c>
      <c r="AA256" s="22" t="n">
        <f aca="false">100*(AA122-AA121)</f>
        <v>1.31608976057453</v>
      </c>
      <c r="AB256" s="22" t="n">
        <f aca="false">100*(AB122-AB121)</f>
        <v>1.24452037066103</v>
      </c>
      <c r="AC256" s="22" t="n">
        <f aca="false">100*(AC122-AC121)</f>
        <v>1.19279117965632</v>
      </c>
      <c r="AD256" s="22" t="n">
        <f aca="false">100*(AD122-AD121)</f>
        <v>1.1593351917127</v>
      </c>
      <c r="AE256" s="22" t="n">
        <f aca="false">100*(AE122-AE121)</f>
        <v>1.14236633186771</v>
      </c>
      <c r="AF256" s="22" t="n">
        <f aca="false">100*(AF122-AF121)</f>
        <v>1.13996808936943</v>
      </c>
      <c r="AG256" s="22" t="n">
        <f aca="false">100*(AG122-AG121)</f>
        <v>1.1501215015159</v>
      </c>
      <c r="AH256" s="22" t="n">
        <f aca="false">100*(AH122-AH121)</f>
        <v>1.170785388183</v>
      </c>
      <c r="AI256" s="22" t="n">
        <f aca="false">100*(AI122-AI121)</f>
        <v>1.2000096428062</v>
      </c>
      <c r="AJ256" s="22" t="n">
        <f aca="false">100*(AJ122-AJ121)</f>
        <v>1.2359442843453</v>
      </c>
      <c r="AK256" s="22" t="n">
        <f aca="false">100*(AK122-AK121)</f>
        <v>1.27682946538097</v>
      </c>
      <c r="AL256" s="22" t="n">
        <f aca="false">AVERAGE(C256:AK256)</f>
        <v>2.87691961284104</v>
      </c>
    </row>
    <row r="257" customFormat="false" ht="15" hidden="false" customHeight="false" outlineLevel="0" collapsed="false">
      <c r="A257" s="20" t="n">
        <f aca="false">A123</f>
        <v>-2</v>
      </c>
      <c r="B257" s="21" t="n">
        <f aca="false">B123</f>
        <v>41488</v>
      </c>
      <c r="C257" s="22" t="n">
        <f aca="false">100*(C123-C122)</f>
        <v>2.91828684128879</v>
      </c>
      <c r="D257" s="22" t="n">
        <f aca="false">100*(D123-D122)</f>
        <v>2.73629011624648</v>
      </c>
      <c r="E257" s="22" t="n">
        <f aca="false">100*(E123-E122)</f>
        <v>2.57526280092968</v>
      </c>
      <c r="F257" s="22" t="n">
        <f aca="false">100*(F123-F122)</f>
        <v>2.43498377951732</v>
      </c>
      <c r="G257" s="22" t="n">
        <f aca="false">100*(G123-G122)</f>
        <v>2.3138402524578</v>
      </c>
      <c r="H257" s="22" t="n">
        <f aca="false">100*(H123-H122)</f>
        <v>2.20926303641638</v>
      </c>
      <c r="I257" s="22" t="n">
        <f aca="false">100*(I123-I122)</f>
        <v>2.11822324694473</v>
      </c>
      <c r="J257" s="22" t="n">
        <f aca="false">100*(J123-J122)</f>
        <v>2.03777090664663</v>
      </c>
      <c r="K257" s="22" t="n">
        <f aca="false">100*(K123-K122)</f>
        <v>1.9650899978775</v>
      </c>
      <c r="L257" s="22" t="n">
        <f aca="false">100*(L123-L122)</f>
        <v>1.89756991426671</v>
      </c>
      <c r="M257" s="22" t="n">
        <f aca="false">100*(M123-M122)</f>
        <v>1.83299563539561</v>
      </c>
      <c r="N257" s="22" t="n">
        <f aca="false">100*(N123-N122)</f>
        <v>1.7695245431177</v>
      </c>
      <c r="O257" s="22" t="n">
        <f aca="false">100*(O123-O122)</f>
        <v>1.7056200279959</v>
      </c>
      <c r="P257" s="22" t="n">
        <f aca="false">100*(P123-P122)</f>
        <v>1.63999851937069</v>
      </c>
      <c r="Q257" s="22" t="n">
        <f aca="false">100*(Q123-Q122)</f>
        <v>1.5715757840908</v>
      </c>
      <c r="R257" s="22" t="n">
        <f aca="false">100*(R123-R122)</f>
        <v>1.49945015289861</v>
      </c>
      <c r="S257" s="22" t="n">
        <f aca="false">100*(S123-S122)</f>
        <v>1.42292197737302</v>
      </c>
      <c r="T257" s="22" t="n">
        <f aca="false">100*(T123-T122)</f>
        <v>1.34151743092539</v>
      </c>
      <c r="U257" s="22" t="n">
        <f aca="false">100*(U123-U122)</f>
        <v>1.2549856617377</v>
      </c>
      <c r="V257" s="22" t="n">
        <f aca="false">100*(V123-V122)</f>
        <v>1.16326816085</v>
      </c>
      <c r="W257" s="22" t="n">
        <f aca="false">100*(W123-W122)</f>
        <v>1.0664710078689</v>
      </c>
      <c r="X257" s="22" t="n">
        <f aca="false">100*(X123-X122)</f>
        <v>0.964857103311223</v>
      </c>
      <c r="Y257" s="22" t="n">
        <f aca="false">100*(Y123-Y122)</f>
        <v>0.858842230159373</v>
      </c>
      <c r="Z257" s="22" t="n">
        <f aca="false">100*(Z123-Z122)</f>
        <v>0.748967913570198</v>
      </c>
      <c r="AA257" s="22" t="n">
        <f aca="false">100*(AA123-AA122)</f>
        <v>0.63584070645919</v>
      </c>
      <c r="AB257" s="22" t="n">
        <f aca="false">100*(AB123-AB122)</f>
        <v>0.520099837623089</v>
      </c>
      <c r="AC257" s="22" t="n">
        <f aca="false">100*(AC123-AC122)</f>
        <v>0.40241242034198</v>
      </c>
      <c r="AD257" s="22" t="n">
        <f aca="false">100*(AD123-AD122)</f>
        <v>0.283469434652117</v>
      </c>
      <c r="AE257" s="22" t="n">
        <f aca="false">100*(AE123-AE122)</f>
        <v>0.163965588803494</v>
      </c>
      <c r="AF257" s="22" t="n">
        <f aca="false">100*(AF123-AF122)</f>
        <v>0.0445707123611694</v>
      </c>
      <c r="AG257" s="22" t="n">
        <f aca="false">100*(AG123-AG122)</f>
        <v>-0.0740728813211966</v>
      </c>
      <c r="AH257" s="22" t="n">
        <f aca="false">100*(AH123-AH122)</f>
        <v>-0.19136191341409</v>
      </c>
      <c r="AI257" s="22" t="n">
        <f aca="false">100*(AI123-AI122)</f>
        <v>-0.306751801681093</v>
      </c>
      <c r="AJ257" s="22" t="n">
        <f aca="false">100*(AJ123-AJ122)</f>
        <v>-0.419754706149611</v>
      </c>
      <c r="AK257" s="22" t="n">
        <f aca="false">100*(AK123-AK122)</f>
        <v>-0.529933860012566</v>
      </c>
      <c r="AL257" s="22" t="n">
        <f aca="false">AVERAGE(C257:AK257)</f>
        <v>1.21645887368342</v>
      </c>
    </row>
    <row r="258" customFormat="false" ht="15" hidden="false" customHeight="false" outlineLevel="0" collapsed="false">
      <c r="A258" s="20" t="n">
        <f aca="false">A124</f>
        <v>-1</v>
      </c>
      <c r="B258" s="21" t="n">
        <f aca="false">B124</f>
        <v>41491</v>
      </c>
      <c r="C258" s="22" t="n">
        <f aca="false">100*(C124-C123)</f>
        <v>5.21211977048983</v>
      </c>
      <c r="D258" s="22" t="n">
        <f aca="false">100*(D124-D123)</f>
        <v>5.11037588225611</v>
      </c>
      <c r="E258" s="22" t="n">
        <f aca="false">100*(E124-E123)</f>
        <v>5.02972708945859</v>
      </c>
      <c r="F258" s="22" t="n">
        <f aca="false">100*(F124-F123)</f>
        <v>4.96833629680067</v>
      </c>
      <c r="G258" s="22" t="n">
        <f aca="false">100*(G124-G123)</f>
        <v>4.92328136568481</v>
      </c>
      <c r="H258" s="22" t="n">
        <f aca="false">100*(H124-H123)</f>
        <v>4.8908908983559</v>
      </c>
      <c r="I258" s="22" t="n">
        <f aca="false">100*(I124-I123)</f>
        <v>4.86720147656667</v>
      </c>
      <c r="J258" s="22" t="n">
        <f aca="false">100*(J124-J123)</f>
        <v>4.84843906286878</v>
      </c>
      <c r="K258" s="22" t="n">
        <f aca="false">100*(K124-K123)</f>
        <v>4.8310495879206</v>
      </c>
      <c r="L258" s="22" t="n">
        <f aca="false">100*(L124-L123)</f>
        <v>4.81183258684821</v>
      </c>
      <c r="M258" s="22" t="n">
        <f aca="false">100*(M124-M123)</f>
        <v>4.78815470044238</v>
      </c>
      <c r="N258" s="22" t="n">
        <f aca="false">100*(N124-N123)</f>
        <v>4.75789042585109</v>
      </c>
      <c r="O258" s="22" t="n">
        <f aca="false">100*(O124-O123)</f>
        <v>4.719331472899</v>
      </c>
      <c r="P258" s="22" t="n">
        <f aca="false">100*(P124-P123)</f>
        <v>4.67111482288263</v>
      </c>
      <c r="Q258" s="22" t="n">
        <f aca="false">100*(Q124-Q123)</f>
        <v>4.61218232991709</v>
      </c>
      <c r="R258" s="22" t="n">
        <f aca="false">100*(R124-R123)</f>
        <v>4.54183399282941</v>
      </c>
      <c r="S258" s="22" t="n">
        <f aca="false">100*(S124-S123)</f>
        <v>4.45973315838959</v>
      </c>
      <c r="T258" s="22" t="n">
        <f aca="false">100*(T124-T123)</f>
        <v>4.36585909119258</v>
      </c>
      <c r="U258" s="22" t="n">
        <f aca="false">100*(U124-U123)</f>
        <v>4.26046422313089</v>
      </c>
      <c r="V258" s="22" t="n">
        <f aca="false">100*(V124-V123)</f>
        <v>4.14403530364758</v>
      </c>
      <c r="W258" s="22" t="n">
        <f aca="false">100*(W124-W123)</f>
        <v>4.01726222856942</v>
      </c>
      <c r="X258" s="22" t="n">
        <f aca="false">100*(X124-X123)</f>
        <v>3.8810236282929</v>
      </c>
      <c r="Y258" s="22" t="n">
        <f aca="false">100*(Y124-Y123)</f>
        <v>3.73637159956011</v>
      </c>
      <c r="Z258" s="22" t="n">
        <f aca="false">100*(Z124-Z123)</f>
        <v>3.58449964268033</v>
      </c>
      <c r="AA258" s="22" t="n">
        <f aca="false">100*(AA124-AA123)</f>
        <v>3.42667546594897</v>
      </c>
      <c r="AB258" s="22" t="n">
        <f aca="false">100*(AB124-AB123)</f>
        <v>3.26420675455892</v>
      </c>
      <c r="AC258" s="22" t="n">
        <f aca="false">100*(AC124-AC123)</f>
        <v>3.09843557929952</v>
      </c>
      <c r="AD258" s="22" t="n">
        <f aca="false">100*(AD124-AD123)</f>
        <v>2.93073265926997</v>
      </c>
      <c r="AE258" s="22" t="n">
        <f aca="false">100*(AE124-AE123)</f>
        <v>2.7624585929396</v>
      </c>
      <c r="AF258" s="22" t="n">
        <f aca="false">100*(AF124-AF123)</f>
        <v>2.59491081356362</v>
      </c>
      <c r="AG258" s="22" t="n">
        <f aca="false">100*(AG124-AG123)</f>
        <v>2.4293201926747</v>
      </c>
      <c r="AH258" s="22" t="n">
        <f aca="false">100*(AH124-AH123)</f>
        <v>2.26682137703018</v>
      </c>
      <c r="AI258" s="22" t="n">
        <f aca="false">100*(AI124-AI123)</f>
        <v>2.1084069023106</v>
      </c>
      <c r="AJ258" s="22" t="n">
        <f aca="false">100*(AJ124-AJ123)</f>
        <v>1.95493299340672</v>
      </c>
      <c r="AK258" s="22" t="n">
        <f aca="false">100*(AK124-AK123)</f>
        <v>1.80713318865458</v>
      </c>
      <c r="AL258" s="22" t="n">
        <f aca="false">AVERAGE(C258:AK258)</f>
        <v>3.9622012902055</v>
      </c>
    </row>
    <row r="259" customFormat="false" ht="15" hidden="false" customHeight="false" outlineLevel="0" collapsed="false">
      <c r="A259" s="20" t="n">
        <f aca="false">A125</f>
        <v>0</v>
      </c>
      <c r="B259" s="21" t="n">
        <f aca="false">B125</f>
        <v>41492</v>
      </c>
      <c r="C259" s="22" t="n">
        <f aca="false">100*(C125-C124)</f>
        <v>0.849932913577778</v>
      </c>
      <c r="D259" s="22" t="n">
        <f aca="false">100*(D125-D124)</f>
        <v>0.738108162963913</v>
      </c>
      <c r="E259" s="22" t="n">
        <f aca="false">100*(E125-E124)</f>
        <v>0.62541016164932</v>
      </c>
      <c r="F259" s="22" t="n">
        <f aca="false">100*(F125-F124)</f>
        <v>0.516055620025613</v>
      </c>
      <c r="G259" s="22" t="n">
        <f aca="false">100*(G125-G124)</f>
        <v>0.412969880134106</v>
      </c>
      <c r="H259" s="22" t="n">
        <f aca="false">100*(H125-H124)</f>
        <v>0.318087445946302</v>
      </c>
      <c r="I259" s="22" t="n">
        <f aca="false">100*(I125-I124)</f>
        <v>0.232499678094822</v>
      </c>
      <c r="J259" s="22" t="n">
        <f aca="false">100*(J125-J124)</f>
        <v>0.1565289485701</v>
      </c>
      <c r="K259" s="22" t="n">
        <f aca="false">100*(K125-K124)</f>
        <v>0.0898769965988144</v>
      </c>
      <c r="L259" s="22" t="n">
        <f aca="false">100*(L125-L124)</f>
        <v>0.031842216717326</v>
      </c>
      <c r="M259" s="22" t="n">
        <f aca="false">100*(M125-M124)</f>
        <v>-0.0184473831245757</v>
      </c>
      <c r="N259" s="22" t="n">
        <f aca="false">100*(N125-N124)</f>
        <v>-0.0619762056365047</v>
      </c>
      <c r="O259" s="22" t="n">
        <f aca="false">100*(O125-O124)</f>
        <v>-0.0998209619314849</v>
      </c>
      <c r="P259" s="22" t="n">
        <f aca="false">100*(P125-P124)</f>
        <v>-0.133134689123837</v>
      </c>
      <c r="Q259" s="22" t="n">
        <f aca="false">100*(Q125-Q124)</f>
        <v>-0.163096374217186</v>
      </c>
      <c r="R259" s="22" t="n">
        <f aca="false">100*(R125-R124)</f>
        <v>-0.190713304808421</v>
      </c>
      <c r="S259" s="22" t="n">
        <f aca="false">100*(S125-S124)</f>
        <v>-0.216753559914107</v>
      </c>
      <c r="T259" s="22" t="n">
        <f aca="false">100*(T125-T124)</f>
        <v>-0.241818739695665</v>
      </c>
      <c r="U259" s="22" t="n">
        <f aca="false">100*(U125-U124)</f>
        <v>-0.266387163748671</v>
      </c>
      <c r="V259" s="22" t="n">
        <f aca="false">100*(V125-V124)</f>
        <v>-0.290832025443288</v>
      </c>
      <c r="W259" s="22" t="n">
        <f aca="false">100*(W125-W124)</f>
        <v>-0.315436929305823</v>
      </c>
      <c r="X259" s="22" t="n">
        <f aca="false">100*(X125-X124)</f>
        <v>-0.340406281476691</v>
      </c>
      <c r="Y259" s="22" t="n">
        <f aca="false">100*(Y125-Y124)</f>
        <v>-0.365872052183391</v>
      </c>
      <c r="Z259" s="22" t="n">
        <f aca="false">100*(Z125-Z124)</f>
        <v>-0.391904190006098</v>
      </c>
      <c r="AA259" s="22" t="n">
        <f aca="false">100*(AA125-AA124)</f>
        <v>-0.418524756821581</v>
      </c>
      <c r="AB259" s="22" t="n">
        <f aca="false">100*(AB125-AB124)</f>
        <v>-0.445716838523724</v>
      </c>
      <c r="AC259" s="22" t="n">
        <f aca="false">100*(AC125-AC124)</f>
        <v>-0.473429276551718</v>
      </c>
      <c r="AD259" s="22" t="n">
        <f aca="false">100*(AD125-AD124)</f>
        <v>-0.501580909639676</v>
      </c>
      <c r="AE259" s="22" t="n">
        <f aca="false">100*(AE125-AE124)</f>
        <v>-0.530068628598812</v>
      </c>
      <c r="AF259" s="22" t="n">
        <f aca="false">100*(AF125-AF124)</f>
        <v>-0.558776274394512</v>
      </c>
      <c r="AG259" s="22" t="n">
        <f aca="false">100*(AG125-AG124)</f>
        <v>-0.58757743634521</v>
      </c>
      <c r="AH259" s="22" t="n">
        <f aca="false">100*(AH125-AH124)</f>
        <v>-0.616345761959991</v>
      </c>
      <c r="AI259" s="22" t="n">
        <f aca="false">100*(AI125-AI124)</f>
        <v>-0.644968337623508</v>
      </c>
      <c r="AJ259" s="22" t="n">
        <f aca="false">100*(AJ125-AJ124)</f>
        <v>-0.673346282493315</v>
      </c>
      <c r="AK259" s="22" t="n">
        <f aca="false">100*(AK125-AK124)</f>
        <v>-0.701393346218904</v>
      </c>
      <c r="AL259" s="22" t="n">
        <f aca="false">AVERAGE(C259:AK259)</f>
        <v>-0.150771876728817</v>
      </c>
    </row>
    <row r="260" customFormat="false" ht="15" hidden="false" customHeight="false" outlineLevel="0" collapsed="false">
      <c r="A260" s="20" t="n">
        <f aca="false">A126</f>
        <v>1</v>
      </c>
      <c r="B260" s="21" t="n">
        <f aca="false">B126</f>
        <v>41493</v>
      </c>
      <c r="C260" s="22" t="n">
        <f aca="false">100*(C126-C125)</f>
        <v>0.81566194148861</v>
      </c>
      <c r="D260" s="22" t="n">
        <f aca="false">100*(D126-D125)</f>
        <v>0.660052229366404</v>
      </c>
      <c r="E260" s="22" t="n">
        <f aca="false">100*(E126-E125)</f>
        <v>0.522209983659483</v>
      </c>
      <c r="F260" s="22" t="n">
        <f aca="false">100*(F126-F125)</f>
        <v>0.40422999329941</v>
      </c>
      <c r="G260" s="22" t="n">
        <f aca="false">100*(G126-G125)</f>
        <v>0.306594407890071</v>
      </c>
      <c r="H260" s="22" t="n">
        <f aca="false">100*(H126-H125)</f>
        <v>0.228600165449677</v>
      </c>
      <c r="I260" s="22" t="n">
        <f aca="false">100*(I126-I125)</f>
        <v>0.168760881957208</v>
      </c>
      <c r="J260" s="22" t="n">
        <f aca="false">100*(J126-J125)</f>
        <v>0.125165096669289</v>
      </c>
      <c r="K260" s="22" t="n">
        <f aca="false">100*(K126-K125)</f>
        <v>0.0955994164456797</v>
      </c>
      <c r="L260" s="22" t="n">
        <f aca="false">100*(L126-L125)</f>
        <v>0.0777682947835867</v>
      </c>
      <c r="M260" s="22" t="n">
        <f aca="false">100*(M126-M125)</f>
        <v>0.0695545699593847</v>
      </c>
      <c r="N260" s="22" t="n">
        <f aca="false">100*(N126-N125)</f>
        <v>0.0690248017392037</v>
      </c>
      <c r="O260" s="22" t="n">
        <f aca="false">100*(O126-O125)</f>
        <v>0.0743964945690845</v>
      </c>
      <c r="P260" s="22" t="n">
        <f aca="false">100*(P126-P125)</f>
        <v>0.0840121419527051</v>
      </c>
      <c r="Q260" s="22" t="n">
        <f aca="false">100*(Q126-Q125)</f>
        <v>0.0963533210680989</v>
      </c>
      <c r="R260" s="22" t="n">
        <f aca="false">100*(R126-R125)</f>
        <v>0.110194428273225</v>
      </c>
      <c r="S260" s="22" t="n">
        <f aca="false">100*(S126-S125)</f>
        <v>0.124637875031119</v>
      </c>
      <c r="T260" s="22" t="n">
        <f aca="false">100*(T126-T125)</f>
        <v>0.139016158376393</v>
      </c>
      <c r="U260" s="22" t="n">
        <f aca="false">100*(U126-U125)</f>
        <v>0.152834281399272</v>
      </c>
      <c r="V260" s="22" t="n">
        <f aca="false">100*(V126-V125)</f>
        <v>0.165744425054193</v>
      </c>
      <c r="W260" s="22" t="n">
        <f aca="false">100*(W126-W125)</f>
        <v>0.17752102728199</v>
      </c>
      <c r="X260" s="22" t="n">
        <f aca="false">100*(X126-X125)</f>
        <v>0.188029296073777</v>
      </c>
      <c r="Y260" s="22" t="n">
        <f aca="false">100*(Y126-Y125)</f>
        <v>0.197208506937185</v>
      </c>
      <c r="Z260" s="22" t="n">
        <f aca="false">100*(Z126-Z125)</f>
        <v>0.205056987321095</v>
      </c>
      <c r="AA260" s="22" t="n">
        <f aca="false">100*(AA126-AA125)</f>
        <v>0.211599486255398</v>
      </c>
      <c r="AB260" s="22" t="n">
        <f aca="false">100*(AB126-AB125)</f>
        <v>0.216871664220308</v>
      </c>
      <c r="AC260" s="22" t="n">
        <f aca="false">100*(AC126-AC125)</f>
        <v>0.220918419094929</v>
      </c>
      <c r="AD260" s="22" t="n">
        <f aca="false">100*(AD126-AD125)</f>
        <v>0.223792390243283</v>
      </c>
      <c r="AE260" s="22" t="n">
        <f aca="false">100*(AE126-AE125)</f>
        <v>0.225545438964314</v>
      </c>
      <c r="AF260" s="22" t="n">
        <f aca="false">100*(AF126-AF125)</f>
        <v>0.226217986033817</v>
      </c>
      <c r="AG260" s="22" t="n">
        <f aca="false">100*(AG126-AG125)</f>
        <v>0.225838980974391</v>
      </c>
      <c r="AH260" s="22" t="n">
        <f aca="false">100*(AH126-AH125)</f>
        <v>0.2244323865781</v>
      </c>
      <c r="AI260" s="22" t="n">
        <f aca="false">100*(AI126-AI125)</f>
        <v>0.222026058634617</v>
      </c>
      <c r="AJ260" s="22" t="n">
        <f aca="false">100*(AJ126-AJ125)</f>
        <v>0.218652711225698</v>
      </c>
      <c r="AK260" s="22" t="n">
        <f aca="false">100*(AK126-AK125)</f>
        <v>0.214349432218119</v>
      </c>
      <c r="AL260" s="22" t="n">
        <f aca="false">AVERAGE(C260:AK260)</f>
        <v>0.219670619442546</v>
      </c>
    </row>
    <row r="261" customFormat="false" ht="15" hidden="false" customHeight="false" outlineLevel="0" collapsed="false">
      <c r="A261" s="20" t="n">
        <f aca="false">A127</f>
        <v>2</v>
      </c>
      <c r="B261" s="21" t="n">
        <f aca="false">B127</f>
        <v>41494</v>
      </c>
      <c r="C261" s="22" t="n">
        <f aca="false">100*(C127-C126)</f>
        <v>0.169956878600397</v>
      </c>
      <c r="D261" s="22" t="n">
        <f aca="false">100*(D127-D126)</f>
        <v>0.274311500867075</v>
      </c>
      <c r="E261" s="22" t="n">
        <f aca="false">100*(E127-E126)</f>
        <v>0.360217098960636</v>
      </c>
      <c r="F261" s="22" t="n">
        <f aca="false">100*(F127-F126)</f>
        <v>0.432033611426386</v>
      </c>
      <c r="G261" s="22" t="n">
        <f aca="false">100*(G127-G126)</f>
        <v>0.49390044888673</v>
      </c>
      <c r="H261" s="22" t="n">
        <f aca="false">100*(H127-H126)</f>
        <v>0.549706010117035</v>
      </c>
      <c r="I261" s="22" t="n">
        <f aca="false">100*(I127-I126)</f>
        <v>0.602858766030101</v>
      </c>
      <c r="J261" s="22" t="n">
        <f aca="false">100*(J127-J126)</f>
        <v>0.655995293780931</v>
      </c>
      <c r="K261" s="22" t="n">
        <f aca="false">100*(K127-K126)</f>
        <v>0.711079307206708</v>
      </c>
      <c r="L261" s="22" t="n">
        <f aca="false">100*(L127-L126)</f>
        <v>0.769443605777109</v>
      </c>
      <c r="M261" s="22" t="n">
        <f aca="false">100*(M127-M126)</f>
        <v>0.83180168734569</v>
      </c>
      <c r="N261" s="22" t="n">
        <f aca="false">100*(N127-N126)</f>
        <v>0.898350326900799</v>
      </c>
      <c r="O261" s="22" t="n">
        <f aca="false">100*(O127-O126)</f>
        <v>0.96886185403422</v>
      </c>
      <c r="P261" s="22" t="n">
        <f aca="false">100*(P127-P126)</f>
        <v>1.04275723424752</v>
      </c>
      <c r="Q261" s="22" t="n">
        <f aca="false">100*(Q127-Q126)</f>
        <v>1.1191528083967</v>
      </c>
      <c r="R261" s="22" t="n">
        <f aca="false">100*(R127-R126)</f>
        <v>1.19687367902559</v>
      </c>
      <c r="S261" s="22" t="n">
        <f aca="false">100*(S127-S126)</f>
        <v>1.27453387873722</v>
      </c>
      <c r="T261" s="22" t="n">
        <f aca="false">100*(T127-T126)</f>
        <v>1.35077317195069</v>
      </c>
      <c r="U261" s="22" t="n">
        <f aca="false">100*(U127-U126)</f>
        <v>1.4243533894069</v>
      </c>
      <c r="V261" s="22" t="n">
        <f aca="false">100*(V127-V126)</f>
        <v>1.49414417030243</v>
      </c>
      <c r="W261" s="22" t="n">
        <f aca="false">100*(W127-W126)</f>
        <v>1.5591384448034</v>
      </c>
      <c r="X261" s="22" t="n">
        <f aca="false">100*(X127-X126)</f>
        <v>1.61858375117601</v>
      </c>
      <c r="Y261" s="22" t="n">
        <f aca="false">100*(Y127-Y126)</f>
        <v>1.67202469654342</v>
      </c>
      <c r="Z261" s="22" t="n">
        <f aca="false">100*(Z127-Z126)</f>
        <v>1.7192585847166</v>
      </c>
      <c r="AA261" s="22" t="n">
        <f aca="false">100*(AA127-AA126)</f>
        <v>1.76026413847339</v>
      </c>
      <c r="AB261" s="22" t="n">
        <f aca="false">100*(AB127-AB126)</f>
        <v>1.79516035836498</v>
      </c>
      <c r="AC261" s="22" t="n">
        <f aca="false">100*(AC127-AC126)</f>
        <v>1.82418925903338</v>
      </c>
      <c r="AD261" s="22" t="n">
        <f aca="false">100*(AD127-AD126)</f>
        <v>1.84770050295251</v>
      </c>
      <c r="AE261" s="22" t="n">
        <f aca="false">100*(AE127-AE126)</f>
        <v>1.86611949779092</v>
      </c>
      <c r="AF261" s="22" t="n">
        <f aca="false">100*(AF127-AF126)</f>
        <v>1.8799108316673</v>
      </c>
      <c r="AG261" s="22" t="n">
        <f aca="false">100*(AG127-AG126)</f>
        <v>1.88956915277729</v>
      </c>
      <c r="AH261" s="22" t="n">
        <f aca="false">100*(AH127-AH126)</f>
        <v>1.89560121785912</v>
      </c>
      <c r="AI261" s="22" t="n">
        <f aca="false">100*(AI127-AI126)</f>
        <v>1.89850354429928</v>
      </c>
      <c r="AJ261" s="22" t="n">
        <f aca="false">100*(AJ127-AJ126)</f>
        <v>1.89876041605332</v>
      </c>
      <c r="AK261" s="22" t="n">
        <f aca="false">100*(AK127-AK126)</f>
        <v>1.89684510561539</v>
      </c>
      <c r="AL261" s="22" t="n">
        <f aca="false">AVERAGE(C261:AK261)</f>
        <v>1.24693526354649</v>
      </c>
    </row>
    <row r="262" customFormat="false" ht="15" hidden="false" customHeight="false" outlineLevel="0" collapsed="false">
      <c r="A262" s="20" t="n">
        <f aca="false">A128</f>
        <v>3</v>
      </c>
      <c r="B262" s="21" t="n">
        <f aca="false">B128</f>
        <v>41495</v>
      </c>
      <c r="C262" s="22" t="n">
        <f aca="false">100*(C128-C127)</f>
        <v>-2.05346150305918</v>
      </c>
      <c r="D262" s="22" t="n">
        <f aca="false">100*(D128-D127)</f>
        <v>-2.01613498816737</v>
      </c>
      <c r="E262" s="22" t="n">
        <f aca="false">100*(E128-E127)</f>
        <v>-1.97412750578923</v>
      </c>
      <c r="F262" s="22" t="n">
        <f aca="false">100*(F128-F127)</f>
        <v>-1.92722745305538</v>
      </c>
      <c r="G262" s="22" t="n">
        <f aca="false">100*(G128-G127)</f>
        <v>-1.87533456025282</v>
      </c>
      <c r="H262" s="22" t="n">
        <f aca="false">100*(H128-H127)</f>
        <v>-1.81849171248452</v>
      </c>
      <c r="I262" s="22" t="n">
        <f aca="false">100*(I128-I127)</f>
        <v>-1.75693039578873</v>
      </c>
      <c r="J262" s="22" t="n">
        <f aca="false">100*(J128-J127)</f>
        <v>-1.69112024202023</v>
      </c>
      <c r="K262" s="22" t="n">
        <f aca="false">100*(K128-K127)</f>
        <v>-1.62173219706458</v>
      </c>
      <c r="L262" s="22" t="n">
        <f aca="false">100*(L128-L127)</f>
        <v>-1.54958517437711</v>
      </c>
      <c r="M262" s="22" t="n">
        <f aca="false">100*(M128-M127)</f>
        <v>-1.47554145623428</v>
      </c>
      <c r="N262" s="22" t="n">
        <f aca="false">100*(N128-N127)</f>
        <v>-1.40047849042078</v>
      </c>
      <c r="O262" s="22" t="n">
        <f aca="false">100*(O128-O127)</f>
        <v>-1.3252861480022</v>
      </c>
      <c r="P262" s="22" t="n">
        <f aca="false">100*(P128-P127)</f>
        <v>-1.25086474088718</v>
      </c>
      <c r="Q262" s="22" t="n">
        <f aca="false">100*(Q128-Q127)</f>
        <v>-1.17811915071249</v>
      </c>
      <c r="R262" s="22" t="n">
        <f aca="false">100*(R128-R127)</f>
        <v>-1.1078901444844</v>
      </c>
      <c r="S262" s="22" t="n">
        <f aca="false">100*(S128-S127)</f>
        <v>-1.040900578545</v>
      </c>
      <c r="T262" s="22" t="n">
        <f aca="false">100*(T128-T127)</f>
        <v>-0.977719229307628</v>
      </c>
      <c r="U262" s="22" t="n">
        <f aca="false">100*(U128-U127)</f>
        <v>-0.918758385093499</v>
      </c>
      <c r="V262" s="22" t="n">
        <f aca="false">100*(V128-V127)</f>
        <v>-0.864295447124031</v>
      </c>
      <c r="W262" s="22" t="n">
        <f aca="false">100*(W128-W127)</f>
        <v>-0.814485614410376</v>
      </c>
      <c r="X262" s="22" t="n">
        <f aca="false">100*(X128-X127)</f>
        <v>-0.769338644101891</v>
      </c>
      <c r="Y262" s="22" t="n">
        <f aca="false">100*(Y128-Y127)</f>
        <v>-0.728713435342909</v>
      </c>
      <c r="Z262" s="22" t="n">
        <f aca="false">100*(Z128-Z127)</f>
        <v>-0.692341275177011</v>
      </c>
      <c r="AA262" s="22" t="n">
        <f aca="false">100*(AA128-AA127)</f>
        <v>-0.659859900464976</v>
      </c>
      <c r="AB262" s="22" t="n">
        <f aca="false">100*(AB128-AB127)</f>
        <v>-0.630831841919077</v>
      </c>
      <c r="AC262" s="22" t="n">
        <f aca="false">100*(AC128-AC127)</f>
        <v>-0.604753488853405</v>
      </c>
      <c r="AD262" s="22" t="n">
        <f aca="false">100*(AD128-AD127)</f>
        <v>-0.58106347797251</v>
      </c>
      <c r="AE262" s="22" t="n">
        <f aca="false">100*(AE128-AE127)</f>
        <v>-0.559158672973315</v>
      </c>
      <c r="AF262" s="22" t="n">
        <f aca="false">100*(AF128-AF127)</f>
        <v>-0.538408984982608</v>
      </c>
      <c r="AG262" s="22" t="n">
        <f aca="false">100*(AG128-AG127)</f>
        <v>-0.518162817971568</v>
      </c>
      <c r="AH262" s="22" t="n">
        <f aca="false">100*(AH128-AH127)</f>
        <v>-0.497776627378732</v>
      </c>
      <c r="AI262" s="22" t="n">
        <f aca="false">100*(AI128-AI127)</f>
        <v>-0.476650387650901</v>
      </c>
      <c r="AJ262" s="22" t="n">
        <f aca="false">100*(AJ128-AJ127)</f>
        <v>-0.454227915714522</v>
      </c>
      <c r="AK262" s="22" t="n">
        <f aca="false">100*(AK128-AK127)</f>
        <v>-0.4299924872877</v>
      </c>
      <c r="AL262" s="22" t="n">
        <f aca="false">AVERAGE(C262:AK262)</f>
        <v>-1.1079932878592</v>
      </c>
    </row>
    <row r="263" customFormat="false" ht="15" hidden="false" customHeight="false" outlineLevel="0" collapsed="false">
      <c r="A263" s="20" t="n">
        <f aca="false">A129</f>
        <v>4</v>
      </c>
      <c r="B263" s="21" t="n">
        <f aca="false">B129</f>
        <v>41498</v>
      </c>
      <c r="C263" s="22" t="n">
        <f aca="false">100*(C129-C128)</f>
        <v>0.73498453758627</v>
      </c>
      <c r="D263" s="22" t="n">
        <f aca="false">100*(D129-D128)</f>
        <v>0.622811416106783</v>
      </c>
      <c r="E263" s="22" t="n">
        <f aca="false">100*(E129-E128)</f>
        <v>0.523892050188612</v>
      </c>
      <c r="F263" s="22" t="n">
        <f aca="false">100*(F129-F128)</f>
        <v>0.437820734382299</v>
      </c>
      <c r="G263" s="22" t="n">
        <f aca="false">100*(G129-G128)</f>
        <v>0.363742836278602</v>
      </c>
      <c r="H263" s="22" t="n">
        <f aca="false">100*(H129-H128)</f>
        <v>0.300453331887507</v>
      </c>
      <c r="I263" s="22" t="n">
        <f aca="false">100*(I129-I128)</f>
        <v>0.246530400799694</v>
      </c>
      <c r="J263" s="22" t="n">
        <f aca="false">100*(J129-J128)</f>
        <v>0.20045952073402</v>
      </c>
      <c r="K263" s="22" t="n">
        <f aca="false">100*(K129-K128)</f>
        <v>0.160669522837065</v>
      </c>
      <c r="L263" s="22" t="n">
        <f aca="false">100*(L129-L128)</f>
        <v>0.125658301845011</v>
      </c>
      <c r="M263" s="22" t="n">
        <f aca="false">100*(M129-M128)</f>
        <v>0.0941493759573753</v>
      </c>
      <c r="N263" s="22" t="n">
        <f aca="false">100*(N129-N128)</f>
        <v>0.065075542839077</v>
      </c>
      <c r="O263" s="22" t="n">
        <f aca="false">100*(O129-O128)</f>
        <v>0.0375415219314057</v>
      </c>
      <c r="P263" s="22" t="n">
        <f aca="false">100*(P129-P128)</f>
        <v>0.01079435942688</v>
      </c>
      <c r="Q263" s="22" t="n">
        <f aca="false">100*(Q129-Q128)</f>
        <v>-0.0157771420059127</v>
      </c>
      <c r="R263" s="22" t="n">
        <f aca="false">100*(R129-R128)</f>
        <v>-0.0425519664806195</v>
      </c>
      <c r="S263" s="22" t="n">
        <f aca="false">100*(S129-S128)</f>
        <v>-0.0696699731673967</v>
      </c>
      <c r="T263" s="22" t="n">
        <f aca="false">100*(T129-T128)</f>
        <v>-0.0971286979062569</v>
      </c>
      <c r="U263" s="22" t="n">
        <f aca="false">100*(U129-U128)</f>
        <v>-0.124832806242781</v>
      </c>
      <c r="V263" s="22" t="n">
        <f aca="false">100*(V129-V128)</f>
        <v>-0.152608186722203</v>
      </c>
      <c r="W263" s="22" t="n">
        <f aca="false">100*(W129-W128)</f>
        <v>-0.180221792298818</v>
      </c>
      <c r="X263" s="22" t="n">
        <f aca="false">100*(X129-X128)</f>
        <v>-0.207425050483101</v>
      </c>
      <c r="Y263" s="22" t="n">
        <f aca="false">100*(Y129-Y128)</f>
        <v>-0.2339710221543</v>
      </c>
      <c r="Z263" s="22" t="n">
        <f aca="false">100*(Z129-Z128)</f>
        <v>-0.259618519689298</v>
      </c>
      <c r="AA263" s="22" t="n">
        <f aca="false">100*(AA129-AA128)</f>
        <v>-0.284147151644731</v>
      </c>
      <c r="AB263" s="22" t="n">
        <f aca="false">100*(AB129-AB128)</f>
        <v>-0.30736148114241</v>
      </c>
      <c r="AC263" s="22" t="n">
        <f aca="false">100*(AC129-AC128)</f>
        <v>-0.329088209470685</v>
      </c>
      <c r="AD263" s="22" t="n">
        <f aca="false">100*(AD129-AD128)</f>
        <v>-0.349174149297982</v>
      </c>
      <c r="AE263" s="22" t="n">
        <f aca="false">100*(AE129-AE128)</f>
        <v>-0.367492449069218</v>
      </c>
      <c r="AF263" s="22" t="n">
        <f aca="false">100*(AF129-AF128)</f>
        <v>-0.383950390495791</v>
      </c>
      <c r="AG263" s="22" t="n">
        <f aca="false">100*(AG129-AG128)</f>
        <v>-0.398487159490291</v>
      </c>
      <c r="AH263" s="22" t="n">
        <f aca="false">100*(AH129-AH128)</f>
        <v>-0.411072399186097</v>
      </c>
      <c r="AI263" s="22" t="n">
        <f aca="false">100*(AI129-AI128)</f>
        <v>-0.421704594486316</v>
      </c>
      <c r="AJ263" s="22" t="n">
        <f aca="false">100*(AJ129-AJ128)</f>
        <v>-0.430408146109063</v>
      </c>
      <c r="AK263" s="22" t="n">
        <f aca="false">100*(AK129-AK128)</f>
        <v>-0.437230778396902</v>
      </c>
      <c r="AL263" s="22" t="n">
        <f aca="false">AVERAGE(C263:AK263)</f>
        <v>-0.0451239603754163</v>
      </c>
    </row>
    <row r="264" customFormat="false" ht="15" hidden="false" customHeight="false" outlineLevel="0" collapsed="false">
      <c r="A264" s="20" t="n">
        <f aca="false">A130</f>
        <v>5</v>
      </c>
      <c r="B264" s="21" t="n">
        <f aca="false">B130</f>
        <v>41499</v>
      </c>
      <c r="C264" s="22" t="n">
        <f aca="false">100*(C130-C129)</f>
        <v>13.3043485602748</v>
      </c>
      <c r="D264" s="22" t="n">
        <f aca="false">100*(D130-D129)</f>
        <v>13.4345915144393</v>
      </c>
      <c r="E264" s="22" t="n">
        <f aca="false">100*(E130-E129)</f>
        <v>13.5235939095393</v>
      </c>
      <c r="F264" s="22" t="n">
        <f aca="false">100*(F130-F129)</f>
        <v>13.5719532472191</v>
      </c>
      <c r="G264" s="22" t="n">
        <f aca="false">100*(G130-G129)</f>
        <v>13.5803091338184</v>
      </c>
      <c r="H264" s="22" t="n">
        <f aca="false">100*(H130-H129)</f>
        <v>13.5493637141486</v>
      </c>
      <c r="I264" s="22" t="n">
        <f aca="false">100*(I130-I129)</f>
        <v>13.4800850121458</v>
      </c>
      <c r="J264" s="22" t="n">
        <f aca="false">100*(J130-J129)</f>
        <v>13.3739378406421</v>
      </c>
      <c r="K264" s="22" t="n">
        <f aca="false">100*(K130-K129)</f>
        <v>13.2328186217002</v>
      </c>
      <c r="L264" s="22" t="n">
        <f aca="false">100*(L130-L129)</f>
        <v>13.0589887557561</v>
      </c>
      <c r="M264" s="22" t="n">
        <f aca="false">100*(M130-M129)</f>
        <v>12.8550469583342</v>
      </c>
      <c r="N264" s="22" t="n">
        <f aca="false">100*(N130-N129)</f>
        <v>12.6238750455653</v>
      </c>
      <c r="O264" s="22" t="n">
        <f aca="false">100*(O130-O129)</f>
        <v>12.3685873881763</v>
      </c>
      <c r="P264" s="22" t="n">
        <f aca="false">100*(P130-P129)</f>
        <v>12.0924906729585</v>
      </c>
      <c r="Q264" s="22" t="n">
        <f aca="false">100*(Q130-Q129)</f>
        <v>11.7990347376663</v>
      </c>
      <c r="R264" s="22" t="n">
        <f aca="false">100*(R130-R129)</f>
        <v>11.4917327159303</v>
      </c>
      <c r="S264" s="22" t="n">
        <f aca="false">100*(S130-S129)</f>
        <v>11.1740910085589</v>
      </c>
      <c r="T264" s="22" t="n">
        <f aca="false">100*(T130-T129)</f>
        <v>10.8494391024984</v>
      </c>
      <c r="U264" s="22" t="n">
        <f aca="false">100*(U130-U129)</f>
        <v>10.5208786191176</v>
      </c>
      <c r="V264" s="22" t="n">
        <f aca="false">100*(V130-V129)</f>
        <v>10.1913136573039</v>
      </c>
      <c r="W264" s="22" t="n">
        <f aca="false">100*(W130-W129)</f>
        <v>9.86344224356883</v>
      </c>
      <c r="X264" s="22" t="n">
        <f aca="false">100*(X130-X129)</f>
        <v>9.53963205501469</v>
      </c>
      <c r="Y264" s="22" t="n">
        <f aca="false">100*(Y130-Y129)</f>
        <v>9.22189485124818</v>
      </c>
      <c r="Z264" s="22" t="n">
        <f aca="false">100*(Z130-Z129)</f>
        <v>8.91192601353019</v>
      </c>
      <c r="AA264" s="22" t="n">
        <f aca="false">100*(AA130-AA129)</f>
        <v>8.61112764477072</v>
      </c>
      <c r="AB264" s="22" t="n">
        <f aca="false">100*(AB130-AB129)</f>
        <v>8.32063749791629</v>
      </c>
      <c r="AC264" s="22" t="n">
        <f aca="false">100*(AC130-AC129)</f>
        <v>8.04136029593039</v>
      </c>
      <c r="AD264" s="22" t="n">
        <f aca="false">100*(AD130-AD129)</f>
        <v>7.77399398910497</v>
      </c>
      <c r="AE264" s="22" t="n">
        <f aca="false">100*(AE130-AE129)</f>
        <v>7.5190399434915</v>
      </c>
      <c r="AF264" s="22" t="n">
        <f aca="false">100*(AF130-AF129)</f>
        <v>7.27680769271948</v>
      </c>
      <c r="AG264" s="22" t="n">
        <f aca="false">100*(AG130-AG129)</f>
        <v>7.04743428198968</v>
      </c>
      <c r="AH264" s="22" t="n">
        <f aca="false">100*(AH130-AH129)</f>
        <v>6.8309149435541</v>
      </c>
      <c r="AI264" s="22" t="n">
        <f aca="false">100*(AI130-AI129)</f>
        <v>6.62713601065681</v>
      </c>
      <c r="AJ264" s="22" t="n">
        <f aca="false">100*(AJ130-AJ129)</f>
        <v>6.43588873008079</v>
      </c>
      <c r="AK264" s="22" t="n">
        <f aca="false">100*(AK130-AK129)</f>
        <v>6.25687877224812</v>
      </c>
      <c r="AL264" s="22" t="n">
        <f aca="false">AVERAGE(C264:AK264)</f>
        <v>10.5244170051891</v>
      </c>
    </row>
    <row r="265" customFormat="false" ht="15" hidden="false" customHeight="false" outlineLevel="0" collapsed="false">
      <c r="A265" s="20" t="n">
        <f aca="false">A131</f>
        <v>6</v>
      </c>
      <c r="B265" s="21" t="n">
        <f aca="false">B131</f>
        <v>41500</v>
      </c>
      <c r="C265" s="22" t="n">
        <f aca="false">100*(C131-C130)</f>
        <v>4.42969996641249</v>
      </c>
      <c r="D265" s="22" t="n">
        <f aca="false">100*(D131-D130)</f>
        <v>4.37043109412252</v>
      </c>
      <c r="E265" s="22" t="n">
        <f aca="false">100*(E131-E130)</f>
        <v>4.3167880185353</v>
      </c>
      <c r="F265" s="22" t="n">
        <f aca="false">100*(F131-F130)</f>
        <v>4.27097429349752</v>
      </c>
      <c r="G265" s="22" t="n">
        <f aca="false">100*(G131-G130)</f>
        <v>4.23426240418499</v>
      </c>
      <c r="H265" s="22" t="n">
        <f aca="false">100*(H131-H130)</f>
        <v>4.2072151292162</v>
      </c>
      <c r="I265" s="22" t="n">
        <f aca="false">100*(I131-I130)</f>
        <v>4.18985954680853</v>
      </c>
      <c r="J265" s="22" t="n">
        <f aca="false">100*(J131-J130)</f>
        <v>4.18182122090953</v>
      </c>
      <c r="K265" s="22" t="n">
        <f aca="false">100*(K131-K130)</f>
        <v>4.18241175164891</v>
      </c>
      <c r="L265" s="22" t="n">
        <f aca="false">100*(L131-L130)</f>
        <v>4.19073263094361</v>
      </c>
      <c r="M265" s="22" t="n">
        <f aca="false">100*(M131-M130)</f>
        <v>4.2057849141842</v>
      </c>
      <c r="N265" s="22" t="n">
        <f aca="false">100*(N131-N130)</f>
        <v>4.22649928815533</v>
      </c>
      <c r="O265" s="22" t="n">
        <f aca="false">100*(O131-O130)</f>
        <v>4.25174864413629</v>
      </c>
      <c r="P265" s="22" t="n">
        <f aca="false">100*(P131-P130)</f>
        <v>4.28035806261424</v>
      </c>
      <c r="Q265" s="22" t="n">
        <f aca="false">100*(Q131-Q130)</f>
        <v>4.31112912311562</v>
      </c>
      <c r="R265" s="22" t="n">
        <f aca="false">100*(R131-R130)</f>
        <v>4.34292580865971</v>
      </c>
      <c r="S265" s="22" t="n">
        <f aca="false">100*(S131-S130)</f>
        <v>4.37471458651961</v>
      </c>
      <c r="T265" s="22" t="n">
        <f aca="false">100*(T131-T130)</f>
        <v>4.40558461756599</v>
      </c>
      <c r="U265" s="22" t="n">
        <f aca="false">100*(U131-U130)</f>
        <v>4.43474645796349</v>
      </c>
      <c r="V265" s="22" t="n">
        <f aca="false">100*(V131-V130)</f>
        <v>4.46151523278848</v>
      </c>
      <c r="W265" s="22" t="n">
        <f aca="false">100*(W131-W130)</f>
        <v>4.48530272282617</v>
      </c>
      <c r="X265" s="22" t="n">
        <f aca="false">100*(X131-X130)</f>
        <v>4.50563888606208</v>
      </c>
      <c r="Y265" s="22" t="n">
        <f aca="false">100*(Y131-Y130)</f>
        <v>4.52217483333022</v>
      </c>
      <c r="Z265" s="22" t="n">
        <f aca="false">100*(Z131-Z130)</f>
        <v>4.5346691540197</v>
      </c>
      <c r="AA265" s="22" t="n">
        <f aca="false">100*(AA131-AA130)</f>
        <v>4.54298144361349</v>
      </c>
      <c r="AB265" s="22" t="n">
        <f aca="false">100*(AB131-AB130)</f>
        <v>4.54706391216919</v>
      </c>
      <c r="AC265" s="22" t="n">
        <f aca="false">100*(AC131-AC130)</f>
        <v>4.54695050340921</v>
      </c>
      <c r="AD265" s="22" t="n">
        <f aca="false">100*(AD131-AD130)</f>
        <v>4.54274755239181</v>
      </c>
      <c r="AE265" s="22" t="n">
        <f aca="false">100*(AE131-AE130)</f>
        <v>4.5346299933299</v>
      </c>
      <c r="AF265" s="22" t="n">
        <f aca="false">100*(AF131-AF130)</f>
        <v>4.52284131305922</v>
      </c>
      <c r="AG265" s="22" t="n">
        <f aca="false">100*(AG131-AG130)</f>
        <v>4.50768647600119</v>
      </c>
      <c r="AH265" s="22" t="n">
        <f aca="false">100*(AH131-AH130)</f>
        <v>4.48951075264632</v>
      </c>
      <c r="AI265" s="22" t="n">
        <f aca="false">100*(AI131-AI130)</f>
        <v>4.46867657531822</v>
      </c>
      <c r="AJ265" s="22" t="n">
        <f aca="false">100*(AJ131-AJ130)</f>
        <v>4.44555937778168</v>
      </c>
      <c r="AK265" s="22" t="n">
        <f aca="false">100*(AK131-AK130)</f>
        <v>4.42054629482507</v>
      </c>
      <c r="AL265" s="22" t="n">
        <f aca="false">AVERAGE(C265:AK265)</f>
        <v>4.38531950236474</v>
      </c>
    </row>
    <row r="266" customFormat="false" ht="15" hidden="false" customHeight="false" outlineLevel="0" collapsed="false">
      <c r="A266" s="20" t="n">
        <f aca="false">A132</f>
        <v>7</v>
      </c>
      <c r="B266" s="21" t="n">
        <f aca="false">B132</f>
        <v>41501</v>
      </c>
      <c r="C266" s="22" t="n">
        <f aca="false">100*(C132-C131)</f>
        <v>5.35354791027332</v>
      </c>
      <c r="D266" s="22" t="n">
        <f aca="false">100*(D132-D131)</f>
        <v>5.18773547272029</v>
      </c>
      <c r="E266" s="22" t="n">
        <f aca="false">100*(E132-E131)</f>
        <v>5.014252062576</v>
      </c>
      <c r="F266" s="22" t="n">
        <f aca="false">100*(F132-F131)</f>
        <v>4.8389625584734</v>
      </c>
      <c r="G266" s="22" t="n">
        <f aca="false">100*(G132-G131)</f>
        <v>4.66587923832877</v>
      </c>
      <c r="H266" s="22" t="n">
        <f aca="false">100*(H132-H131)</f>
        <v>4.49759435234918</v>
      </c>
      <c r="I266" s="22" t="n">
        <f aca="false">100*(I132-I131)</f>
        <v>4.3356263475804</v>
      </c>
      <c r="J266" s="22" t="n">
        <f aca="false">100*(J132-J131)</f>
        <v>4.18068436816808</v>
      </c>
      <c r="K266" s="22" t="n">
        <f aca="false">100*(K132-K131)</f>
        <v>4.03284765954171</v>
      </c>
      <c r="L266" s="22" t="n">
        <f aca="false">100*(L132-L131)</f>
        <v>3.8918140228918</v>
      </c>
      <c r="M266" s="22" t="n">
        <f aca="false">100*(M132-M131)</f>
        <v>3.75714464945989</v>
      </c>
      <c r="N266" s="22" t="n">
        <f aca="false">100*(N132-N131)</f>
        <v>3.62831344627779</v>
      </c>
      <c r="O266" s="22" t="n">
        <f aca="false">100*(O132-O131)</f>
        <v>3.5047226308909</v>
      </c>
      <c r="P266" s="22" t="n">
        <f aca="false">100*(P132-P131)</f>
        <v>3.38571520140656</v>
      </c>
      <c r="Q266" s="22" t="n">
        <f aca="false">100*(Q132-Q131)</f>
        <v>3.2706166598087</v>
      </c>
      <c r="R266" s="22" t="n">
        <f aca="false">100*(R132-R131)</f>
        <v>3.15888052230702</v>
      </c>
      <c r="S266" s="22" t="n">
        <f aca="false">100*(S132-S131)</f>
        <v>3.05012540832528</v>
      </c>
      <c r="T266" s="22" t="n">
        <f aca="false">100*(T132-T131)</f>
        <v>2.94407071221192</v>
      </c>
      <c r="U266" s="22" t="n">
        <f aca="false">100*(U132-U131)</f>
        <v>2.84050472490982</v>
      </c>
      <c r="V266" s="22" t="n">
        <f aca="false">100*(V132-V131)</f>
        <v>2.73927437297461</v>
      </c>
      <c r="W266" s="22" t="n">
        <f aca="false">100*(W132-W131)</f>
        <v>2.64027304076442</v>
      </c>
      <c r="X266" s="22" t="n">
        <f aca="false">100*(X132-X131)</f>
        <v>2.54342300192074</v>
      </c>
      <c r="Y266" s="22" t="n">
        <f aca="false">100*(Y132-Y131)</f>
        <v>2.44866886975772</v>
      </c>
      <c r="Z266" s="22" t="n">
        <f aca="false">100*(Z132-Z131)</f>
        <v>2.35597119829181</v>
      </c>
      <c r="AA266" s="22" t="n">
        <f aca="false">100*(AA132-AA131)</f>
        <v>2.2652913666287</v>
      </c>
      <c r="AB266" s="22" t="n">
        <f aca="false">100*(AB132-AB131)</f>
        <v>2.17658634489881</v>
      </c>
      <c r="AC266" s="22" t="n">
        <f aca="false">100*(AC132-AC131)</f>
        <v>2.0898091224931</v>
      </c>
      <c r="AD266" s="22" t="n">
        <f aca="false">100*(AD132-AD131)</f>
        <v>2.00490906227251</v>
      </c>
      <c r="AE266" s="22" t="n">
        <f aca="false">100*(AE132-AE131)</f>
        <v>1.92183203437031</v>
      </c>
      <c r="AF266" s="22" t="n">
        <f aca="false">100*(AF132-AF131)</f>
        <v>1.8405218547116</v>
      </c>
      <c r="AG266" s="22" t="n">
        <f aca="false">100*(AG132-AG131)</f>
        <v>1.76092121058749</v>
      </c>
      <c r="AH266" s="22" t="n">
        <f aca="false">100*(AH132-AH131)</f>
        <v>1.68297847234067</v>
      </c>
      <c r="AI266" s="22" t="n">
        <f aca="false">100*(AI132-AI131)</f>
        <v>1.60665727761118</v>
      </c>
      <c r="AJ266" s="22" t="n">
        <f aca="false">100*(AJ132-AJ131)</f>
        <v>1.5319365326175</v>
      </c>
      <c r="AK266" s="22" t="n">
        <f aca="false">100*(AK132-AK131)</f>
        <v>1.45880888616854</v>
      </c>
      <c r="AL266" s="22" t="n">
        <f aca="false">AVERAGE(C266:AK266)</f>
        <v>3.10305430276887</v>
      </c>
    </row>
    <row r="267" customFormat="false" ht="15" hidden="false" customHeight="false" outlineLevel="0" collapsed="false">
      <c r="A267" s="20" t="n">
        <f aca="false">A133</f>
        <v>8</v>
      </c>
      <c r="B267" s="21" t="n">
        <f aca="false">B133</f>
        <v>41502</v>
      </c>
      <c r="C267" s="22" t="n">
        <f aca="false">100*(C133-C132)</f>
        <v>2.01987109998179</v>
      </c>
      <c r="D267" s="22" t="n">
        <f aca="false">100*(D133-D132)</f>
        <v>2.10731270896272</v>
      </c>
      <c r="E267" s="22" t="n">
        <f aca="false">100*(E133-E132)</f>
        <v>2.16678424807184</v>
      </c>
      <c r="F267" s="22" t="n">
        <f aca="false">100*(F133-F132)</f>
        <v>2.19880389225788</v>
      </c>
      <c r="G267" s="22" t="n">
        <f aca="false">100*(G133-G132)</f>
        <v>2.20433683928074</v>
      </c>
      <c r="H267" s="22" t="n">
        <f aca="false">100*(H133-H132)</f>
        <v>2.18466238940191</v>
      </c>
      <c r="I267" s="22" t="n">
        <f aca="false">100*(I133-I132)</f>
        <v>2.14138012652327</v>
      </c>
      <c r="J267" s="22" t="n">
        <f aca="false">100*(J133-J132)</f>
        <v>2.07643790745311</v>
      </c>
      <c r="K267" s="22" t="n">
        <f aca="false">100*(K133-K132)</f>
        <v>1.99206297883419</v>
      </c>
      <c r="L267" s="22" t="n">
        <f aca="false">100*(L133-L132)</f>
        <v>1.89062626194949</v>
      </c>
      <c r="M267" s="22" t="n">
        <f aca="false">100*(M133-M132)</f>
        <v>1.7745566159443</v>
      </c>
      <c r="N267" s="22" t="n">
        <f aca="false">100*(N133-N132)</f>
        <v>1.6463293935987</v>
      </c>
      <c r="O267" s="22" t="n">
        <f aca="false">100*(O133-O132)</f>
        <v>1.50845814782787</v>
      </c>
      <c r="P267" s="22" t="n">
        <f aca="false">100*(P133-P132)</f>
        <v>1.36348763951442</v>
      </c>
      <c r="Q267" s="22" t="n">
        <f aca="false">100*(Q133-Q132)</f>
        <v>1.21395080043989</v>
      </c>
      <c r="R267" s="22" t="n">
        <f aca="false">100*(R133-R132)</f>
        <v>1.06225932113491</v>
      </c>
      <c r="S267" s="22" t="n">
        <f aca="false">100*(S133-S132)</f>
        <v>0.910660283945708</v>
      </c>
      <c r="T267" s="22" t="n">
        <f aca="false">100*(T133-T132)</f>
        <v>0.761152697571665</v>
      </c>
      <c r="U267" s="22" t="n">
        <f aca="false">100*(U133-U132)</f>
        <v>0.615481960909792</v>
      </c>
      <c r="V267" s="22" t="n">
        <f aca="false">100*(V133-V132)</f>
        <v>0.475175050748122</v>
      </c>
      <c r="W267" s="22" t="n">
        <f aca="false">100*(W133-W132)</f>
        <v>0.341539132770397</v>
      </c>
      <c r="X267" s="22" t="n">
        <f aca="false">100*(X133-X132)</f>
        <v>0.215579825333379</v>
      </c>
      <c r="Y267" s="22" t="n">
        <f aca="false">100*(Y133-Y132)</f>
        <v>0.0979993041873684</v>
      </c>
      <c r="Z267" s="22" t="n">
        <f aca="false">100*(Z133-Z132)</f>
        <v>-0.0107645182061855</v>
      </c>
      <c r="AA267" s="22" t="n">
        <f aca="false">100*(AA133-AA132)</f>
        <v>-0.110495429165303</v>
      </c>
      <c r="AB267" s="22" t="n">
        <f aca="false">100*(AB133-AB132)</f>
        <v>-0.201165420391813</v>
      </c>
      <c r="AC267" s="22" t="n">
        <f aca="false">100*(AC133-AC132)</f>
        <v>-0.282912009034497</v>
      </c>
      <c r="AD267" s="22" t="n">
        <f aca="false">100*(AD133-AD132)</f>
        <v>-0.3560187441356</v>
      </c>
      <c r="AE267" s="22" t="n">
        <f aca="false">100*(AE133-AE132)</f>
        <v>-0.420890088885084</v>
      </c>
      <c r="AF267" s="22" t="n">
        <f aca="false">100*(AF133-AF132)</f>
        <v>-0.478022693287894</v>
      </c>
      <c r="AG267" s="22" t="n">
        <f aca="false">100*(AG133-AG132)</f>
        <v>-0.527991468897282</v>
      </c>
      <c r="AH267" s="22" t="n">
        <f aca="false">100*(AH133-AH132)</f>
        <v>-0.571418058718187</v>
      </c>
      <c r="AI267" s="22" t="n">
        <f aca="false">100*(AI133-AI132)</f>
        <v>-0.608932734495182</v>
      </c>
      <c r="AJ267" s="22" t="n">
        <f aca="false">100*(AJ133-AJ132)</f>
        <v>-0.641168744159604</v>
      </c>
      <c r="AK267" s="22" t="n">
        <f aca="false">100*(AK133-AK132)</f>
        <v>-0.668762012372604</v>
      </c>
      <c r="AL267" s="22" t="n">
        <f aca="false">AVERAGE(C267:AK267)</f>
        <v>0.802581905854121</v>
      </c>
    </row>
    <row r="268" customFormat="false" ht="15" hidden="false" customHeight="false" outlineLevel="0" collapsed="false">
      <c r="A268" s="20" t="n">
        <f aca="false">A134</f>
        <v>9</v>
      </c>
      <c r="B268" s="21" t="n">
        <f aca="false">B134</f>
        <v>41505</v>
      </c>
      <c r="C268" s="22" t="n">
        <f aca="false">100*(C134-C133)</f>
        <v>4.48316223647662</v>
      </c>
      <c r="D268" s="22" t="n">
        <f aca="false">100*(D134-D133)</f>
        <v>4.48986820356261</v>
      </c>
      <c r="E268" s="22" t="n">
        <f aca="false">100*(E134-E133)</f>
        <v>4.45837887670888</v>
      </c>
      <c r="F268" s="22" t="n">
        <f aca="false">100*(F134-F133)</f>
        <v>4.39184827413581</v>
      </c>
      <c r="G268" s="22" t="n">
        <f aca="false">100*(G134-G133)</f>
        <v>4.29343568522018</v>
      </c>
      <c r="H268" s="22" t="n">
        <f aca="false">100*(H134-H133)</f>
        <v>4.16630551052308</v>
      </c>
      <c r="I268" s="22" t="n">
        <f aca="false">100*(I134-I133)</f>
        <v>4.01372193839062</v>
      </c>
      <c r="J268" s="22" t="n">
        <f aca="false">100*(J134-J133)</f>
        <v>3.83914327698101</v>
      </c>
      <c r="K268" s="22" t="n">
        <f aca="false">100*(K134-K133)</f>
        <v>3.64618463978301</v>
      </c>
      <c r="L268" s="22" t="n">
        <f aca="false">100*(L134-L133)</f>
        <v>3.4384488452786</v>
      </c>
      <c r="M268" s="22" t="n">
        <f aca="false">100*(M134-M133)</f>
        <v>3.2193757493832</v>
      </c>
      <c r="N268" s="22" t="n">
        <f aca="false">100*(N134-N133)</f>
        <v>2.99225644531371</v>
      </c>
      <c r="O268" s="22" t="n">
        <f aca="false">100*(O134-O133)</f>
        <v>2.76025982939174</v>
      </c>
      <c r="P268" s="22" t="n">
        <f aca="false">100*(P134-P133)</f>
        <v>2.52645319275509</v>
      </c>
      <c r="Q268" s="22" t="n">
        <f aca="false">100*(Q134-Q133)</f>
        <v>2.2937560378105</v>
      </c>
      <c r="R268" s="22" t="n">
        <f aca="false">100*(R134-R133)</f>
        <v>2.06473550587529</v>
      </c>
      <c r="S268" s="22" t="n">
        <f aca="false">100*(S134-S133)</f>
        <v>1.84156334728192</v>
      </c>
      <c r="T268" s="22" t="n">
        <f aca="false">100*(T134-T133)</f>
        <v>1.62604523992602</v>
      </c>
      <c r="U268" s="22" t="n">
        <f aca="false">100*(U134-U133)</f>
        <v>1.4196644137916</v>
      </c>
      <c r="V268" s="22" t="n">
        <f aca="false">100*(V134-V133)</f>
        <v>1.22362742285289</v>
      </c>
      <c r="W268" s="22" t="n">
        <f aca="false">100*(W134-W133)</f>
        <v>1.0388828552482</v>
      </c>
      <c r="X268" s="22" t="n">
        <f aca="false">100*(X134-X133)</f>
        <v>0.866084496150599</v>
      </c>
      <c r="Y268" s="22" t="n">
        <f aca="false">100*(Y134-Y133)</f>
        <v>0.705602078930223</v>
      </c>
      <c r="Z268" s="22" t="n">
        <f aca="false">100*(Z134-Z133)</f>
        <v>0.55756136519487</v>
      </c>
      <c r="AA268" s="22" t="n">
        <f aca="false">100*(AA134-AA133)</f>
        <v>0.421893008125629</v>
      </c>
      <c r="AB268" s="22" t="n">
        <f aca="false">100*(AB134-AB133)</f>
        <v>0.298364877714308</v>
      </c>
      <c r="AC268" s="22" t="n">
        <f aca="false">100*(AC134-AC133)</f>
        <v>0.186601675727793</v>
      </c>
      <c r="AD268" s="22" t="n">
        <f aca="false">100*(AD134-AD133)</f>
        <v>0.0861021236573833</v>
      </c>
      <c r="AE268" s="22" t="n">
        <f aca="false">100*(AE134-AE133)</f>
        <v>-0.00373681180940721</v>
      </c>
      <c r="AF268" s="22" t="n">
        <f aca="false">100*(AF134-AF133)</f>
        <v>-0.0835946263068266</v>
      </c>
      <c r="AG268" s="22" t="n">
        <f aca="false">100*(AG134-AG133)</f>
        <v>-0.15421521076302</v>
      </c>
      <c r="AH268" s="22" t="n">
        <f aca="false">100*(AH134-AH133)</f>
        <v>-0.21637129856269</v>
      </c>
      <c r="AI268" s="22" t="n">
        <f aca="false">100*(AI134-AI133)</f>
        <v>-0.270824018866911</v>
      </c>
      <c r="AJ268" s="22" t="n">
        <f aca="false">100*(AJ134-AJ133)</f>
        <v>-0.318319256002786</v>
      </c>
      <c r="AK268" s="22" t="n">
        <f aca="false">100*(AK134-AK133)</f>
        <v>-0.359589173090713</v>
      </c>
      <c r="AL268" s="22" t="n">
        <f aca="false">AVERAGE(C268:AK268)</f>
        <v>1.8840764787654</v>
      </c>
    </row>
    <row r="269" customFormat="false" ht="15" hidden="false" customHeight="false" outlineLevel="0" collapsed="false">
      <c r="A269" s="20" t="n">
        <f aca="false">A135</f>
        <v>10</v>
      </c>
      <c r="B269" s="21" t="n">
        <f aca="false">B135</f>
        <v>41506</v>
      </c>
      <c r="C269" s="22" t="n">
        <f aca="false">100*(C135-C134)</f>
        <v>-6.91175196627749</v>
      </c>
      <c r="D269" s="22" t="n">
        <f aca="false">100*(D135-D134)</f>
        <v>-6.79983314538921</v>
      </c>
      <c r="E269" s="22" t="n">
        <f aca="false">100*(E135-E134)</f>
        <v>-6.6899546272702</v>
      </c>
      <c r="F269" s="22" t="n">
        <f aca="false">100*(F135-F134)</f>
        <v>-6.5813450577211</v>
      </c>
      <c r="G269" s="22" t="n">
        <f aca="false">100*(G135-G134)</f>
        <v>-6.4731702873797</v>
      </c>
      <c r="H269" s="22" t="n">
        <f aca="false">100*(H135-H134)</f>
        <v>-6.3645923400141</v>
      </c>
      <c r="I269" s="22" t="n">
        <f aca="false">100*(I135-I134)</f>
        <v>-6.25497321095421</v>
      </c>
      <c r="J269" s="22" t="n">
        <f aca="false">100*(J135-J134)</f>
        <v>-6.14407676695699</v>
      </c>
      <c r="K269" s="22" t="n">
        <f aca="false">100*(K135-K134)</f>
        <v>-6.03201420524209</v>
      </c>
      <c r="L269" s="22" t="n">
        <f aca="false">100*(L135-L134)</f>
        <v>-5.91915879392699</v>
      </c>
      <c r="M269" s="22" t="n">
        <f aca="false">100*(M135-M134)</f>
        <v>-5.8060605354191</v>
      </c>
      <c r="N269" s="22" t="n">
        <f aca="false">100*(N135-N134)</f>
        <v>-5.69340697382561</v>
      </c>
      <c r="O269" s="22" t="n">
        <f aca="false">100*(O135-O134)</f>
        <v>-5.58199863116813</v>
      </c>
      <c r="P269" s="22" t="n">
        <f aca="false">100*(P135-P134)</f>
        <v>-5.47272951607427</v>
      </c>
      <c r="Q269" s="22" t="n">
        <f aca="false">100*(Q135-Q134)</f>
        <v>-5.36655628496332</v>
      </c>
      <c r="R269" s="22" t="n">
        <f aca="false">100*(R135-R134)</f>
        <v>-5.2644139124006</v>
      </c>
      <c r="S269" s="22" t="n">
        <f aca="false">100*(S135-S134)</f>
        <v>-5.1671680209429</v>
      </c>
      <c r="T269" s="22" t="n">
        <f aca="false">100*(T135-T134)</f>
        <v>-5.07556412472301</v>
      </c>
      <c r="U269" s="22" t="n">
        <f aca="false">100*(U135-U134)</f>
        <v>-4.99021825741171</v>
      </c>
      <c r="V269" s="22" t="n">
        <f aca="false">100*(V135-V134)</f>
        <v>-4.91163473890333</v>
      </c>
      <c r="W269" s="22" t="n">
        <f aca="false">100*(W135-W134)</f>
        <v>-4.8402110718333</v>
      </c>
      <c r="X269" s="22" t="n">
        <f aca="false">100*(X135-X134)</f>
        <v>-4.77620209559828</v>
      </c>
      <c r="Y269" s="22" t="n">
        <f aca="false">100*(Y135-Y134)</f>
        <v>-4.71971402136422</v>
      </c>
      <c r="Z269" s="22" t="n">
        <f aca="false">100*(Z135-Z134)</f>
        <v>-4.67072856342208</v>
      </c>
      <c r="AA269" s="22" t="n">
        <f aca="false">100*(AA135-AA134)</f>
        <v>-4.62913958655022</v>
      </c>
      <c r="AB269" s="22" t="n">
        <f aca="false">100*(AB135-AB134)</f>
        <v>-4.59477206670589</v>
      </c>
      <c r="AC269" s="22" t="n">
        <f aca="false">100*(AC135-AC134)</f>
        <v>-4.5673904537304</v>
      </c>
      <c r="AD269" s="22" t="n">
        <f aca="false">100*(AD135-AD134)</f>
        <v>-4.54670625555247</v>
      </c>
      <c r="AE269" s="22" t="n">
        <f aca="false">100*(AE135-AE134)</f>
        <v>-4.53239131364529</v>
      </c>
      <c r="AF269" s="22" t="n">
        <f aca="false">100*(AF135-AF134)</f>
        <v>-4.5240903783315</v>
      </c>
      <c r="AG269" s="22" t="n">
        <f aca="false">100*(AG135-AG134)</f>
        <v>-4.5214253594597</v>
      </c>
      <c r="AH269" s="22" t="n">
        <f aca="false">100*(AH135-AH134)</f>
        <v>-4.52400449682289</v>
      </c>
      <c r="AI269" s="22" t="n">
        <f aca="false">100*(AI135-AI134)</f>
        <v>-4.53143209668379</v>
      </c>
      <c r="AJ269" s="22" t="n">
        <f aca="false">100*(AJ135-AJ134)</f>
        <v>-4.5433099301321</v>
      </c>
      <c r="AK269" s="22" t="n">
        <f aca="false">100*(AK135-AK134)</f>
        <v>-4.55923748667351</v>
      </c>
      <c r="AL269" s="22" t="n">
        <f aca="false">AVERAGE(C269:AK269)</f>
        <v>-5.33089647352771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6" t="s">
        <v>157</v>
      </c>
    </row>
    <row r="3" customFormat="false" ht="39.55" hidden="false" customHeight="false" outlineLevel="0" collapsed="false">
      <c r="A3" s="3" t="s">
        <v>85</v>
      </c>
      <c r="B3" s="3" t="s">
        <v>72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  <c r="I3" s="3" t="s">
        <v>164</v>
      </c>
      <c r="J3" s="3" t="s">
        <v>165</v>
      </c>
      <c r="K3" s="3" t="s">
        <v>166</v>
      </c>
    </row>
    <row r="4" customFormat="false" ht="15" hidden="false" customHeight="false" outlineLevel="0" collapsed="false">
      <c r="A4" s="10" t="n">
        <v>-121</v>
      </c>
      <c r="B4" s="8" t="n">
        <v>41317</v>
      </c>
      <c r="C4" s="15" t="n">
        <v>1.1533277857</v>
      </c>
      <c r="F4" s="10" t="n">
        <v>0</v>
      </c>
    </row>
    <row r="5" customFormat="false" ht="15" hidden="false" customHeight="false" outlineLevel="0" collapsed="false">
      <c r="A5" s="10" t="n">
        <v>-120</v>
      </c>
      <c r="B5" s="8" t="n">
        <v>41318</v>
      </c>
      <c r="C5" s="15" t="n">
        <v>1.23101339584</v>
      </c>
      <c r="D5" s="22" t="n">
        <f aca="false">100*(C5-C4)</f>
        <v>7.76856101400001</v>
      </c>
      <c r="E5" s="23" t="n">
        <f aca="false">'A1 control'!AL139</f>
        <v>9.61902711481353</v>
      </c>
      <c r="F5" s="10" t="n">
        <v>1</v>
      </c>
    </row>
    <row r="6" customFormat="false" ht="15" hidden="false" customHeight="false" outlineLevel="0" collapsed="false">
      <c r="A6" s="10" t="n">
        <v>-119</v>
      </c>
      <c r="B6" s="8" t="n">
        <v>41319</v>
      </c>
      <c r="C6" s="15" t="n">
        <v>1.20223388206</v>
      </c>
      <c r="D6" s="22" t="n">
        <f aca="false">100*(C6-C5)</f>
        <v>-2.877951378</v>
      </c>
      <c r="E6" s="23" t="n">
        <f aca="false">'A1 control'!AL140</f>
        <v>-1.27645687125764</v>
      </c>
      <c r="F6" s="10" t="n">
        <v>1</v>
      </c>
    </row>
    <row r="7" customFormat="false" ht="15" hidden="false" customHeight="false" outlineLevel="0" collapsed="false">
      <c r="A7" s="10" t="n">
        <v>-118</v>
      </c>
      <c r="B7" s="8" t="n">
        <v>41320</v>
      </c>
      <c r="C7" s="15" t="n">
        <v>1.20606017834</v>
      </c>
      <c r="D7" s="22" t="n">
        <f aca="false">100*(C7-C6)</f>
        <v>0.382629627999997</v>
      </c>
      <c r="E7" s="23" t="n">
        <f aca="false">'A1 control'!AL141</f>
        <v>-0.077583349190398</v>
      </c>
      <c r="F7" s="10" t="n">
        <v>1</v>
      </c>
    </row>
    <row r="8" customFormat="false" ht="15" hidden="false" customHeight="false" outlineLevel="0" collapsed="false">
      <c r="A8" s="10" t="n">
        <v>-117</v>
      </c>
      <c r="B8" s="8" t="n">
        <v>41323</v>
      </c>
      <c r="C8" s="15" t="n">
        <v>1.20540041607</v>
      </c>
      <c r="D8" s="22" t="n">
        <f aca="false">100*(C8-C7)</f>
        <v>-0.0659762269999975</v>
      </c>
      <c r="E8" s="23" t="n">
        <f aca="false">'A1 control'!AL142</f>
        <v>0.696136962687181</v>
      </c>
      <c r="F8" s="10" t="n">
        <v>1</v>
      </c>
    </row>
    <row r="9" customFormat="false" ht="15" hidden="false" customHeight="false" outlineLevel="0" collapsed="false">
      <c r="A9" s="10" t="n">
        <v>-116</v>
      </c>
      <c r="B9" s="8" t="n">
        <v>41324</v>
      </c>
      <c r="C9" s="15" t="n">
        <v>1.19159553408</v>
      </c>
      <c r="D9" s="22" t="n">
        <f aca="false">100*(C9-C8)</f>
        <v>-1.38048819900001</v>
      </c>
      <c r="E9" s="23" t="n">
        <f aca="false">'A1 control'!AL143</f>
        <v>-0.563997213047904</v>
      </c>
      <c r="F9" s="10" t="n">
        <v>1</v>
      </c>
    </row>
    <row r="10" customFormat="false" ht="15" hidden="false" customHeight="false" outlineLevel="0" collapsed="false">
      <c r="A10" s="10" t="n">
        <v>-115</v>
      </c>
      <c r="B10" s="8" t="n">
        <v>41325</v>
      </c>
      <c r="C10" s="15" t="n">
        <v>1.17468388177</v>
      </c>
      <c r="D10" s="22" t="n">
        <f aca="false">100*(C10-C9)</f>
        <v>-1.69116523099999</v>
      </c>
      <c r="E10" s="23" t="n">
        <f aca="false">'A1 control'!AL144</f>
        <v>1.71923856818959</v>
      </c>
      <c r="F10" s="10" t="n">
        <v>1</v>
      </c>
    </row>
    <row r="11" customFormat="false" ht="15" hidden="false" customHeight="false" outlineLevel="0" collapsed="false">
      <c r="A11" s="10" t="n">
        <v>-114</v>
      </c>
      <c r="B11" s="8" t="n">
        <v>41326</v>
      </c>
      <c r="C11" s="15" t="n">
        <v>1.09755574382</v>
      </c>
      <c r="D11" s="22" t="n">
        <f aca="false">100*(C11-C10)</f>
        <v>-7.712813795</v>
      </c>
      <c r="E11" s="23" t="n">
        <f aca="false">'A1 control'!AL145</f>
        <v>-8.66353047166023</v>
      </c>
      <c r="F11" s="10" t="n">
        <v>1</v>
      </c>
    </row>
    <row r="12" customFormat="false" ht="15" hidden="false" customHeight="false" outlineLevel="0" collapsed="false">
      <c r="A12" s="10" t="n">
        <v>-113</v>
      </c>
      <c r="B12" s="8" t="n">
        <v>41327</v>
      </c>
      <c r="C12" s="15" t="n">
        <v>1.10741659814</v>
      </c>
      <c r="D12" s="22" t="n">
        <f aca="false">100*(C12-C11)</f>
        <v>0.986085431999983</v>
      </c>
      <c r="E12" s="23" t="n">
        <f aca="false">'A1 control'!AL146</f>
        <v>0.254656247538212</v>
      </c>
      <c r="F12" s="10" t="n">
        <v>1</v>
      </c>
    </row>
    <row r="13" customFormat="false" ht="15" hidden="false" customHeight="false" outlineLevel="0" collapsed="false">
      <c r="A13" s="10" t="n">
        <v>-112</v>
      </c>
      <c r="B13" s="8" t="n">
        <v>41330</v>
      </c>
      <c r="C13" s="15" t="n">
        <v>1.0754335339</v>
      </c>
      <c r="D13" s="22" t="n">
        <f aca="false">100*(C13-C12)</f>
        <v>-3.19830642399999</v>
      </c>
      <c r="E13" s="23" t="n">
        <f aca="false">'A1 control'!AL147</f>
        <v>-1.98182315895342</v>
      </c>
      <c r="F13" s="10" t="n">
        <v>1</v>
      </c>
    </row>
    <row r="14" customFormat="false" ht="15" hidden="false" customHeight="false" outlineLevel="0" collapsed="false">
      <c r="A14" s="10" t="n">
        <v>-111</v>
      </c>
      <c r="B14" s="8" t="n">
        <v>41331</v>
      </c>
      <c r="C14" s="15" t="n">
        <v>1.00115336511</v>
      </c>
      <c r="D14" s="22" t="n">
        <f aca="false">100*(C14-C13)</f>
        <v>-7.42801687900001</v>
      </c>
      <c r="E14" s="23" t="n">
        <f aca="false">'A1 control'!AL148</f>
        <v>-9.25569000000531</v>
      </c>
      <c r="F14" s="10" t="n">
        <v>1</v>
      </c>
    </row>
    <row r="15" customFormat="false" ht="15" hidden="false" customHeight="false" outlineLevel="0" collapsed="false">
      <c r="A15" s="10" t="n">
        <v>-110</v>
      </c>
      <c r="B15" s="8" t="n">
        <v>41332</v>
      </c>
      <c r="C15" s="15" t="n">
        <v>1.00490876975</v>
      </c>
      <c r="D15" s="22" t="n">
        <f aca="false">100*(C15-C14)</f>
        <v>0.375540464000013</v>
      </c>
      <c r="E15" s="23" t="n">
        <f aca="false">'A1 control'!AL149</f>
        <v>-1.62429954534176</v>
      </c>
      <c r="F15" s="10" t="n">
        <v>1</v>
      </c>
    </row>
    <row r="16" customFormat="false" ht="15" hidden="false" customHeight="false" outlineLevel="0" collapsed="false">
      <c r="A16" s="10" t="n">
        <v>-109</v>
      </c>
      <c r="B16" s="8" t="n">
        <v>41333</v>
      </c>
      <c r="C16" s="15" t="n">
        <v>1.01600473898</v>
      </c>
      <c r="D16" s="22" t="n">
        <f aca="false">100*(C16-C15)</f>
        <v>1.10959692299999</v>
      </c>
      <c r="E16" s="23" t="n">
        <f aca="false">'A1 control'!AL150</f>
        <v>-0.376702814254528</v>
      </c>
      <c r="F16" s="10" t="n">
        <v>1</v>
      </c>
    </row>
    <row r="17" customFormat="false" ht="15" hidden="false" customHeight="false" outlineLevel="0" collapsed="false">
      <c r="A17" s="10" t="n">
        <v>-108</v>
      </c>
      <c r="B17" s="8" t="n">
        <v>41334</v>
      </c>
      <c r="C17" s="15" t="n">
        <v>0.937480584021</v>
      </c>
      <c r="D17" s="22" t="n">
        <f aca="false">100*(C17-C16)</f>
        <v>-7.8524154959</v>
      </c>
      <c r="E17" s="23" t="n">
        <f aca="false">'A1 control'!AL151</f>
        <v>-10.5727014523451</v>
      </c>
      <c r="F17" s="10" t="n">
        <v>1</v>
      </c>
    </row>
    <row r="18" customFormat="false" ht="15" hidden="false" customHeight="false" outlineLevel="0" collapsed="false">
      <c r="A18" s="10" t="n">
        <v>-107</v>
      </c>
      <c r="B18" s="8" t="n">
        <v>41337</v>
      </c>
      <c r="C18" s="15" t="n">
        <v>0.965790124318</v>
      </c>
      <c r="D18" s="22" t="n">
        <f aca="false">100*(C18-C17)</f>
        <v>2.83095402970001</v>
      </c>
      <c r="E18" s="23" t="n">
        <f aca="false">'A1 control'!AL152</f>
        <v>3.9178021763642</v>
      </c>
      <c r="F18" s="10" t="n">
        <v>1</v>
      </c>
    </row>
    <row r="19" customFormat="false" ht="15" hidden="false" customHeight="false" outlineLevel="0" collapsed="false">
      <c r="A19" s="10" t="n">
        <v>-106</v>
      </c>
      <c r="B19" s="8" t="n">
        <v>41338</v>
      </c>
      <c r="C19" s="15" t="n">
        <v>1.00027940851</v>
      </c>
      <c r="D19" s="22" t="n">
        <f aca="false">100*(C19-C18)</f>
        <v>3.44892841919999</v>
      </c>
      <c r="E19" s="23" t="n">
        <f aca="false">'A1 control'!AL153</f>
        <v>5.94402473034611</v>
      </c>
      <c r="F19" s="10" t="n">
        <v>1</v>
      </c>
    </row>
    <row r="20" customFormat="false" ht="15" hidden="false" customHeight="false" outlineLevel="0" collapsed="false">
      <c r="A20" s="10" t="n">
        <v>-105</v>
      </c>
      <c r="B20" s="8" t="n">
        <v>41339</v>
      </c>
      <c r="C20" s="15" t="n">
        <v>0.979819930112</v>
      </c>
      <c r="D20" s="22" t="n">
        <f aca="false">100*(C20-C19)</f>
        <v>-2.0459478398</v>
      </c>
      <c r="E20" s="23" t="n">
        <f aca="false">'A1 control'!AL154</f>
        <v>-0.622866907839825</v>
      </c>
      <c r="F20" s="10" t="n">
        <v>1</v>
      </c>
    </row>
    <row r="21" customFormat="false" ht="15" hidden="false" customHeight="false" outlineLevel="0" collapsed="false">
      <c r="A21" s="10" t="n">
        <v>-104</v>
      </c>
      <c r="B21" s="8" t="n">
        <v>41340</v>
      </c>
      <c r="C21" s="15" t="n">
        <v>1.02524214016</v>
      </c>
      <c r="D21" s="22" t="n">
        <f aca="false">100*(C21-C20)</f>
        <v>4.54222100480001</v>
      </c>
      <c r="E21" s="23" t="n">
        <f aca="false">'A1 control'!AL155</f>
        <v>5.97720505226637</v>
      </c>
      <c r="F21" s="10" t="n">
        <v>1</v>
      </c>
    </row>
    <row r="22" customFormat="false" ht="15" hidden="false" customHeight="false" outlineLevel="0" collapsed="false">
      <c r="A22" s="10" t="n">
        <v>-103</v>
      </c>
      <c r="B22" s="8" t="n">
        <v>41341</v>
      </c>
      <c r="C22" s="15" t="n">
        <v>1.05577479969</v>
      </c>
      <c r="D22" s="22" t="n">
        <f aca="false">100*(C22-C21)</f>
        <v>3.053265953</v>
      </c>
      <c r="E22" s="23" t="n">
        <f aca="false">'A1 control'!AL156</f>
        <v>4.12150896520802</v>
      </c>
      <c r="F22" s="10" t="n">
        <v>1</v>
      </c>
    </row>
    <row r="23" customFormat="false" ht="15" hidden="false" customHeight="false" outlineLevel="0" collapsed="false">
      <c r="A23" s="10" t="n">
        <v>-102</v>
      </c>
      <c r="B23" s="8" t="n">
        <v>41344</v>
      </c>
      <c r="C23" s="15" t="n">
        <v>1.01295234788</v>
      </c>
      <c r="D23" s="22" t="n">
        <f aca="false">100*(C23-C22)</f>
        <v>-4.282245181</v>
      </c>
      <c r="E23" s="23" t="n">
        <f aca="false">'A1 control'!AL157</f>
        <v>-3.77645634121872</v>
      </c>
      <c r="F23" s="10" t="n">
        <v>1</v>
      </c>
    </row>
    <row r="24" customFormat="false" ht="15" hidden="false" customHeight="false" outlineLevel="0" collapsed="false">
      <c r="A24" s="10" t="n">
        <v>-101</v>
      </c>
      <c r="B24" s="8" t="n">
        <v>41345</v>
      </c>
      <c r="C24" s="15" t="n">
        <v>0.968871296456</v>
      </c>
      <c r="D24" s="22" t="n">
        <f aca="false">100*(C24-C23)</f>
        <v>-4.4081051424</v>
      </c>
      <c r="E24" s="23" t="n">
        <f aca="false">'A1 control'!AL158</f>
        <v>-3.09700848572874</v>
      </c>
      <c r="F24" s="10" t="n">
        <v>1</v>
      </c>
    </row>
    <row r="25" customFormat="false" ht="15" hidden="false" customHeight="false" outlineLevel="0" collapsed="false">
      <c r="A25" s="10" t="n">
        <v>-100</v>
      </c>
      <c r="B25" s="8" t="n">
        <v>41346</v>
      </c>
      <c r="C25" s="15" t="n">
        <v>0.972749486783</v>
      </c>
      <c r="D25" s="22" t="n">
        <f aca="false">100*(C25-C24)</f>
        <v>0.387819032699999</v>
      </c>
      <c r="E25" s="23" t="n">
        <f aca="false">'A1 control'!AL159</f>
        <v>0.565931306479162</v>
      </c>
      <c r="F25" s="10" t="n">
        <v>1</v>
      </c>
    </row>
    <row r="26" customFormat="false" ht="15" hidden="false" customHeight="false" outlineLevel="0" collapsed="false">
      <c r="A26" s="10" t="n">
        <v>-99</v>
      </c>
      <c r="B26" s="8" t="n">
        <v>41347</v>
      </c>
      <c r="C26" s="15" t="n">
        <v>0.966868229727</v>
      </c>
      <c r="D26" s="22" t="n">
        <f aca="false">100*(C26-C25)</f>
        <v>-0.588125705599996</v>
      </c>
      <c r="E26" s="23" t="n">
        <f aca="false">'A1 control'!AL160</f>
        <v>0.464258902741544</v>
      </c>
      <c r="F26" s="10" t="n">
        <v>1</v>
      </c>
    </row>
    <row r="27" customFormat="false" ht="15" hidden="false" customHeight="false" outlineLevel="0" collapsed="false">
      <c r="A27" s="10" t="n">
        <v>-98</v>
      </c>
      <c r="B27" s="8" t="n">
        <v>41348</v>
      </c>
      <c r="C27" s="15" t="n">
        <v>0.948335133136</v>
      </c>
      <c r="D27" s="22" t="n">
        <f aca="false">100*(C27-C26)</f>
        <v>-1.8533096591</v>
      </c>
      <c r="E27" s="23" t="n">
        <f aca="false">'A1 control'!AL161</f>
        <v>-2.7775434482681</v>
      </c>
      <c r="F27" s="10" t="n">
        <v>1</v>
      </c>
    </row>
    <row r="28" customFormat="false" ht="15" hidden="false" customHeight="false" outlineLevel="0" collapsed="false">
      <c r="A28" s="10" t="n">
        <v>-97</v>
      </c>
      <c r="B28" s="8" t="n">
        <v>41351</v>
      </c>
      <c r="C28" s="15" t="n">
        <v>0.908787919168</v>
      </c>
      <c r="D28" s="22" t="n">
        <f aca="false">100*(C28-C27)</f>
        <v>-3.95472139680001</v>
      </c>
      <c r="E28" s="23" t="n">
        <f aca="false">'A1 control'!AL162</f>
        <v>-4.77280373128376</v>
      </c>
      <c r="F28" s="10" t="n">
        <v>1</v>
      </c>
    </row>
    <row r="29" customFormat="false" ht="15" hidden="false" customHeight="false" outlineLevel="0" collapsed="false">
      <c r="A29" s="10" t="n">
        <v>-96</v>
      </c>
      <c r="B29" s="8" t="n">
        <v>41352</v>
      </c>
      <c r="C29" s="15" t="n">
        <v>0.858869597466</v>
      </c>
      <c r="D29" s="22" t="n">
        <f aca="false">100*(C29-C28)</f>
        <v>-4.9918321702</v>
      </c>
      <c r="E29" s="23" t="n">
        <f aca="false">'A1 control'!AL163</f>
        <v>-7.49544111712697</v>
      </c>
      <c r="F29" s="10" t="n">
        <v>1</v>
      </c>
    </row>
    <row r="30" customFormat="false" ht="15" hidden="false" customHeight="false" outlineLevel="0" collapsed="false">
      <c r="A30" s="10" t="n">
        <v>-95</v>
      </c>
      <c r="B30" s="8" t="n">
        <v>41353</v>
      </c>
      <c r="C30" s="15" t="n">
        <v>0.876632419345</v>
      </c>
      <c r="D30" s="22" t="n">
        <f aca="false">100*(C30-C29)</f>
        <v>1.7762821879</v>
      </c>
      <c r="E30" s="23" t="n">
        <f aca="false">'A1 control'!AL164</f>
        <v>3.21290542429934</v>
      </c>
      <c r="F30" s="10" t="n">
        <v>1</v>
      </c>
    </row>
    <row r="31" customFormat="false" ht="15" hidden="false" customHeight="false" outlineLevel="0" collapsed="false">
      <c r="A31" s="10" t="n">
        <v>-94</v>
      </c>
      <c r="B31" s="8" t="n">
        <v>41354</v>
      </c>
      <c r="C31" s="15" t="n">
        <v>0.874277876185</v>
      </c>
      <c r="D31" s="22" t="n">
        <f aca="false">100*(C31-C30)</f>
        <v>-0.235454316000006</v>
      </c>
      <c r="E31" s="23" t="n">
        <f aca="false">'A1 control'!AL165</f>
        <v>-0.379344856004971</v>
      </c>
      <c r="F31" s="10" t="n">
        <v>1</v>
      </c>
    </row>
    <row r="32" customFormat="false" ht="15" hidden="false" customHeight="false" outlineLevel="0" collapsed="false">
      <c r="A32" s="10" t="n">
        <v>-93</v>
      </c>
      <c r="B32" s="8" t="n">
        <v>41355</v>
      </c>
      <c r="C32" s="15" t="n">
        <v>0.874986863156</v>
      </c>
      <c r="D32" s="22" t="n">
        <f aca="false">100*(C32-C31)</f>
        <v>0.0708986971000081</v>
      </c>
      <c r="E32" s="23" t="n">
        <f aca="false">'A1 control'!AL166</f>
        <v>-1.45844454232467</v>
      </c>
      <c r="F32" s="10" t="n">
        <v>1</v>
      </c>
    </row>
    <row r="33" customFormat="false" ht="15" hidden="false" customHeight="false" outlineLevel="0" collapsed="false">
      <c r="A33" s="10" t="n">
        <v>-92</v>
      </c>
      <c r="B33" s="8" t="n">
        <v>41358</v>
      </c>
      <c r="C33" s="15" t="n">
        <v>0.837016771681</v>
      </c>
      <c r="D33" s="22" t="n">
        <f aca="false">100*(C33-C32)</f>
        <v>-3.79700914750001</v>
      </c>
      <c r="E33" s="23" t="n">
        <f aca="false">'A1 control'!AL167</f>
        <v>-4.52107256240007</v>
      </c>
      <c r="F33" s="10" t="n">
        <v>1</v>
      </c>
    </row>
    <row r="34" customFormat="false" ht="15" hidden="false" customHeight="false" outlineLevel="0" collapsed="false">
      <c r="A34" s="10" t="n">
        <v>-91</v>
      </c>
      <c r="B34" s="8" t="n">
        <v>41359</v>
      </c>
      <c r="C34" s="15" t="n">
        <v>0.835663311539</v>
      </c>
      <c r="D34" s="22" t="n">
        <f aca="false">100*(C34-C33)</f>
        <v>-0.1353460142</v>
      </c>
      <c r="E34" s="23" t="n">
        <f aca="false">'A1 control'!AL168</f>
        <v>0.0304256738471358</v>
      </c>
      <c r="F34" s="10" t="n">
        <v>1</v>
      </c>
    </row>
    <row r="35" customFormat="false" ht="15" hidden="false" customHeight="false" outlineLevel="0" collapsed="false">
      <c r="A35" s="10" t="n">
        <v>-90</v>
      </c>
      <c r="B35" s="8" t="n">
        <v>41360</v>
      </c>
      <c r="C35" s="15" t="n">
        <v>0.783416121182</v>
      </c>
      <c r="D35" s="22" t="n">
        <f aca="false">100*(C35-C34)</f>
        <v>-5.2247190357</v>
      </c>
      <c r="E35" s="23" t="n">
        <f aca="false">'A1 control'!AL169</f>
        <v>-6.21727041287709</v>
      </c>
      <c r="F35" s="10" t="n">
        <v>1</v>
      </c>
    </row>
    <row r="36" customFormat="false" ht="15" hidden="false" customHeight="false" outlineLevel="0" collapsed="false">
      <c r="A36" s="10" t="n">
        <v>-89</v>
      </c>
      <c r="B36" s="8" t="n">
        <v>41361</v>
      </c>
      <c r="C36" s="15" t="n">
        <v>0.820408622246</v>
      </c>
      <c r="D36" s="22" t="n">
        <f aca="false">100*(C36-C35)</f>
        <v>3.6992501064</v>
      </c>
      <c r="E36" s="23" t="n">
        <f aca="false">'A1 control'!AL170</f>
        <v>4.24275717622197</v>
      </c>
      <c r="F36" s="10" t="n">
        <v>1</v>
      </c>
    </row>
    <row r="37" customFormat="false" ht="15" hidden="false" customHeight="false" outlineLevel="0" collapsed="false">
      <c r="A37" s="10" t="n">
        <v>-88</v>
      </c>
      <c r="B37" s="8" t="n">
        <v>41366</v>
      </c>
      <c r="C37" s="15" t="n">
        <v>0.824955411117</v>
      </c>
      <c r="D37" s="22" t="n">
        <f aca="false">100*(C37-C36)</f>
        <v>0.454678887100002</v>
      </c>
      <c r="E37" s="23" t="n">
        <f aca="false">'A1 control'!AL171</f>
        <v>0.514400323279397</v>
      </c>
      <c r="F37" s="10" t="n">
        <v>1</v>
      </c>
    </row>
    <row r="38" customFormat="false" ht="15" hidden="false" customHeight="false" outlineLevel="0" collapsed="false">
      <c r="A38" s="10" t="n">
        <v>-87</v>
      </c>
      <c r="B38" s="8" t="n">
        <v>41367</v>
      </c>
      <c r="C38" s="15" t="n">
        <v>0.803609232346</v>
      </c>
      <c r="D38" s="22" t="n">
        <f aca="false">100*(C38-C37)</f>
        <v>-2.1346178771</v>
      </c>
      <c r="E38" s="23" t="n">
        <f aca="false">'A1 control'!AL172</f>
        <v>-2.98610613496415</v>
      </c>
      <c r="F38" s="10" t="n">
        <v>1</v>
      </c>
    </row>
    <row r="39" customFormat="false" ht="15" hidden="false" customHeight="false" outlineLevel="0" collapsed="false">
      <c r="A39" s="10" t="n">
        <v>-86</v>
      </c>
      <c r="B39" s="8" t="n">
        <v>41368</v>
      </c>
      <c r="C39" s="15" t="n">
        <v>0.779385477983</v>
      </c>
      <c r="D39" s="22" t="n">
        <f aca="false">100*(C39-C38)</f>
        <v>-2.42237543630001</v>
      </c>
      <c r="E39" s="23" t="n">
        <f aca="false">'A1 control'!AL173</f>
        <v>-5.38297098006865</v>
      </c>
      <c r="F39" s="10" t="n">
        <v>1</v>
      </c>
    </row>
    <row r="40" customFormat="false" ht="15" hidden="false" customHeight="false" outlineLevel="0" collapsed="false">
      <c r="A40" s="10" t="n">
        <v>-85</v>
      </c>
      <c r="B40" s="8" t="n">
        <v>41369</v>
      </c>
      <c r="C40" s="15" t="n">
        <v>0.726635476872</v>
      </c>
      <c r="D40" s="22" t="n">
        <f aca="false">100*(C40-C39)</f>
        <v>-5.27500011109999</v>
      </c>
      <c r="E40" s="23" t="n">
        <f aca="false">'A1 control'!AL174</f>
        <v>-11.0248878211999</v>
      </c>
      <c r="F40" s="10" t="n">
        <v>1</v>
      </c>
    </row>
    <row r="41" customFormat="false" ht="15" hidden="false" customHeight="false" outlineLevel="0" collapsed="false">
      <c r="A41" s="10" t="n">
        <v>-84</v>
      </c>
      <c r="B41" s="8" t="n">
        <v>41372</v>
      </c>
      <c r="C41" s="15" t="n">
        <v>0.782464795524</v>
      </c>
      <c r="D41" s="22" t="n">
        <f aca="false">100*(C41-C40)</f>
        <v>5.58293186519999</v>
      </c>
      <c r="E41" s="23" t="n">
        <f aca="false">'A1 control'!AL175</f>
        <v>5.2368565251965</v>
      </c>
      <c r="F41" s="10" t="n">
        <v>1</v>
      </c>
    </row>
    <row r="42" customFormat="false" ht="15" hidden="false" customHeight="false" outlineLevel="0" collapsed="false">
      <c r="A42" s="10" t="n">
        <v>-83</v>
      </c>
      <c r="B42" s="8" t="n">
        <v>41373</v>
      </c>
      <c r="C42" s="15" t="n">
        <v>0.808922472137</v>
      </c>
      <c r="D42" s="22" t="n">
        <f aca="false">100*(C42-C41)</f>
        <v>2.6457676613</v>
      </c>
      <c r="E42" s="23" t="n">
        <f aca="false">'A1 control'!AL176</f>
        <v>4.75409140841806</v>
      </c>
      <c r="F42" s="10" t="n">
        <v>1</v>
      </c>
    </row>
    <row r="43" customFormat="false" ht="15" hidden="false" customHeight="false" outlineLevel="0" collapsed="false">
      <c r="A43" s="10" t="n">
        <v>-82</v>
      </c>
      <c r="B43" s="8" t="n">
        <v>41374</v>
      </c>
      <c r="C43" s="15" t="n">
        <v>0.848373009114</v>
      </c>
      <c r="D43" s="22" t="n">
        <f aca="false">100*(C43-C42)</f>
        <v>3.94505369770001</v>
      </c>
      <c r="E43" s="23" t="n">
        <f aca="false">'A1 control'!AL177</f>
        <v>5.274710537142</v>
      </c>
      <c r="F43" s="10" t="n">
        <v>1</v>
      </c>
    </row>
    <row r="44" customFormat="false" ht="15" hidden="false" customHeight="false" outlineLevel="0" collapsed="false">
      <c r="A44" s="10" t="n">
        <v>-81</v>
      </c>
      <c r="B44" s="8" t="n">
        <v>41375</v>
      </c>
      <c r="C44" s="15" t="n">
        <v>0.832736118081</v>
      </c>
      <c r="D44" s="22" t="n">
        <f aca="false">100*(C44-C43)</f>
        <v>-1.5636891033</v>
      </c>
      <c r="E44" s="23" t="n">
        <f aca="false">'A1 control'!AL178</f>
        <v>0.23015587496815</v>
      </c>
      <c r="F44" s="10" t="n">
        <v>1</v>
      </c>
    </row>
    <row r="45" customFormat="false" ht="15" hidden="false" customHeight="false" outlineLevel="0" collapsed="false">
      <c r="A45" s="10" t="n">
        <v>-80</v>
      </c>
      <c r="B45" s="8" t="n">
        <v>41376</v>
      </c>
      <c r="C45" s="15" t="n">
        <v>0.799761332257</v>
      </c>
      <c r="D45" s="22" t="n">
        <f aca="false">100*(C45-C44)</f>
        <v>-3.2974785824</v>
      </c>
      <c r="E45" s="23" t="n">
        <f aca="false">'A1 control'!AL179</f>
        <v>-2.66777871447801</v>
      </c>
      <c r="F45" s="10" t="n">
        <v>1</v>
      </c>
    </row>
    <row r="46" customFormat="false" ht="15" hidden="false" customHeight="false" outlineLevel="0" collapsed="false">
      <c r="A46" s="10" t="n">
        <v>-79</v>
      </c>
      <c r="B46" s="8" t="n">
        <v>41379</v>
      </c>
      <c r="C46" s="15" t="n">
        <v>0.784866435449</v>
      </c>
      <c r="D46" s="22" t="n">
        <f aca="false">100*(C46-C45)</f>
        <v>-1.48948968079999</v>
      </c>
      <c r="E46" s="23" t="n">
        <f aca="false">'A1 control'!AL180</f>
        <v>-2.3300654483591</v>
      </c>
      <c r="F46" s="10" t="n">
        <v>1</v>
      </c>
    </row>
    <row r="47" customFormat="false" ht="15" hidden="false" customHeight="false" outlineLevel="0" collapsed="false">
      <c r="A47" s="10" t="n">
        <v>-78</v>
      </c>
      <c r="B47" s="8" t="n">
        <v>41380</v>
      </c>
      <c r="C47" s="15" t="n">
        <v>0.809254495219</v>
      </c>
      <c r="D47" s="22" t="n">
        <f aca="false">100*(C47-C46)</f>
        <v>2.43880597699999</v>
      </c>
      <c r="E47" s="23" t="n">
        <f aca="false">'A1 control'!AL181</f>
        <v>2.15537464557792</v>
      </c>
      <c r="F47" s="10" t="n">
        <v>1</v>
      </c>
    </row>
    <row r="48" customFormat="false" ht="15" hidden="false" customHeight="false" outlineLevel="0" collapsed="false">
      <c r="A48" s="10" t="n">
        <v>-77</v>
      </c>
      <c r="B48" s="8" t="n">
        <v>41381</v>
      </c>
      <c r="C48" s="15" t="n">
        <v>0.77024697912</v>
      </c>
      <c r="D48" s="22" t="n">
        <f aca="false">100*(C48-C47)</f>
        <v>-3.9007516099</v>
      </c>
      <c r="E48" s="23" t="n">
        <f aca="false">'A1 control'!AL182</f>
        <v>-4.33576483691243</v>
      </c>
      <c r="F48" s="10" t="n">
        <v>1</v>
      </c>
    </row>
    <row r="49" customFormat="false" ht="15" hidden="false" customHeight="false" outlineLevel="0" collapsed="false">
      <c r="A49" s="10" t="n">
        <v>-76</v>
      </c>
      <c r="B49" s="8" t="n">
        <v>41382</v>
      </c>
      <c r="C49" s="15" t="n">
        <v>0.755042241616</v>
      </c>
      <c r="D49" s="22" t="n">
        <f aca="false">100*(C49-C48)</f>
        <v>-1.5204737504</v>
      </c>
      <c r="E49" s="23" t="n">
        <f aca="false">'A1 control'!AL183</f>
        <v>-2.80139918928392</v>
      </c>
      <c r="F49" s="10" t="n">
        <v>1</v>
      </c>
    </row>
    <row r="50" customFormat="false" ht="15" hidden="false" customHeight="false" outlineLevel="0" collapsed="false">
      <c r="A50" s="10" t="n">
        <v>-75</v>
      </c>
      <c r="B50" s="8" t="n">
        <v>41383</v>
      </c>
      <c r="C50" s="15" t="n">
        <v>0.769068768773</v>
      </c>
      <c r="D50" s="22" t="n">
        <f aca="false">100*(C50-C49)</f>
        <v>1.4026527157</v>
      </c>
      <c r="E50" s="23" t="n">
        <f aca="false">'A1 control'!AL184</f>
        <v>0.486339939230296</v>
      </c>
      <c r="F50" s="10" t="n">
        <v>1</v>
      </c>
    </row>
    <row r="51" customFormat="false" ht="15" hidden="false" customHeight="false" outlineLevel="0" collapsed="false">
      <c r="A51" s="10" t="n">
        <v>-74</v>
      </c>
      <c r="B51" s="8" t="n">
        <v>41386</v>
      </c>
      <c r="C51" s="15" t="n">
        <v>0.762810234653</v>
      </c>
      <c r="D51" s="22" t="n">
        <f aca="false">100*(C51-C50)</f>
        <v>-0.625853411999999</v>
      </c>
      <c r="E51" s="23" t="n">
        <f aca="false">'A1 control'!AL185</f>
        <v>-0.953286948166487</v>
      </c>
      <c r="F51" s="10" t="n">
        <v>1</v>
      </c>
    </row>
    <row r="52" customFormat="false" ht="15" hidden="false" customHeight="false" outlineLevel="0" collapsed="false">
      <c r="A52" s="10" t="n">
        <v>-73</v>
      </c>
      <c r="B52" s="8" t="n">
        <v>41387</v>
      </c>
      <c r="C52" s="15" t="n">
        <v>0.815779560771</v>
      </c>
      <c r="D52" s="22" t="n">
        <f aca="false">100*(C52-C51)</f>
        <v>5.2969326118</v>
      </c>
      <c r="E52" s="23" t="n">
        <f aca="false">'A1 control'!AL186</f>
        <v>6.06726002842599</v>
      </c>
      <c r="F52" s="10" t="n">
        <v>1</v>
      </c>
    </row>
    <row r="53" customFormat="false" ht="15" hidden="false" customHeight="false" outlineLevel="0" collapsed="false">
      <c r="A53" s="10" t="n">
        <v>-72</v>
      </c>
      <c r="B53" s="8" t="n">
        <v>41388</v>
      </c>
      <c r="C53" s="15" t="n">
        <v>0.788197462723</v>
      </c>
      <c r="D53" s="22" t="n">
        <f aca="false">100*(C53-C52)</f>
        <v>-2.7582098048</v>
      </c>
      <c r="E53" s="23" t="n">
        <f aca="false">'A1 control'!AL187</f>
        <v>-2.14530365582827</v>
      </c>
      <c r="F53" s="10" t="n">
        <v>1</v>
      </c>
    </row>
    <row r="54" customFormat="false" ht="15" hidden="false" customHeight="false" outlineLevel="0" collapsed="false">
      <c r="A54" s="10" t="n">
        <v>-71</v>
      </c>
      <c r="B54" s="8" t="n">
        <v>41389</v>
      </c>
      <c r="C54" s="15" t="n">
        <v>0.822479152744</v>
      </c>
      <c r="D54" s="22" t="n">
        <f aca="false">100*(C54-C53)</f>
        <v>3.4281690021</v>
      </c>
      <c r="E54" s="23" t="n">
        <f aca="false">'A1 control'!AL188</f>
        <v>2.87758976407787</v>
      </c>
      <c r="F54" s="10" t="n">
        <v>1</v>
      </c>
    </row>
    <row r="55" customFormat="false" ht="15" hidden="false" customHeight="false" outlineLevel="0" collapsed="false">
      <c r="A55" s="10" t="n">
        <v>-70</v>
      </c>
      <c r="B55" s="8" t="n">
        <v>41390</v>
      </c>
      <c r="C55" s="15" t="n">
        <v>0.787322531507</v>
      </c>
      <c r="D55" s="22" t="n">
        <f aca="false">100*(C55-C54)</f>
        <v>-3.51566212369999</v>
      </c>
      <c r="E55" s="23" t="n">
        <f aca="false">'A1 control'!AL189</f>
        <v>-4.62851513777257</v>
      </c>
      <c r="F55" s="10" t="n">
        <v>1</v>
      </c>
    </row>
    <row r="56" customFormat="false" ht="15" hidden="false" customHeight="false" outlineLevel="0" collapsed="false">
      <c r="A56" s="10" t="n">
        <v>-69</v>
      </c>
      <c r="B56" s="8" t="n">
        <v>41393</v>
      </c>
      <c r="C56" s="15" t="n">
        <v>0.763663809526</v>
      </c>
      <c r="D56" s="22" t="n">
        <f aca="false">100*(C56-C55)</f>
        <v>-2.36587219810001</v>
      </c>
      <c r="E56" s="23" t="n">
        <f aca="false">'A1 control'!AL190</f>
        <v>-2.5436398020158</v>
      </c>
      <c r="F56" s="10" t="n">
        <v>1</v>
      </c>
    </row>
    <row r="57" customFormat="false" ht="15" hidden="false" customHeight="false" outlineLevel="0" collapsed="false">
      <c r="A57" s="10" t="n">
        <v>-68</v>
      </c>
      <c r="B57" s="8" t="n">
        <v>41394</v>
      </c>
      <c r="C57" s="15" t="n">
        <v>0.775638667363</v>
      </c>
      <c r="D57" s="22" t="n">
        <f aca="false">100*(C57-C56)</f>
        <v>1.1974857837</v>
      </c>
      <c r="E57" s="23" t="n">
        <f aca="false">'A1 control'!AL191</f>
        <v>0.619323762132898</v>
      </c>
      <c r="F57" s="10" t="n">
        <v>1</v>
      </c>
    </row>
    <row r="58" customFormat="false" ht="15" hidden="false" customHeight="false" outlineLevel="0" collapsed="false">
      <c r="A58" s="10" t="n">
        <v>-67</v>
      </c>
      <c r="B58" s="8" t="n">
        <v>41395</v>
      </c>
      <c r="C58" s="15" t="n">
        <v>0.769741168942</v>
      </c>
      <c r="D58" s="22" t="n">
        <f aca="false">100*(C58-C57)</f>
        <v>-0.589749842100007</v>
      </c>
      <c r="E58" s="23" t="n">
        <f aca="false">'A1 control'!AL192</f>
        <v>-1.45591797478634</v>
      </c>
      <c r="F58" s="10" t="n">
        <v>1</v>
      </c>
    </row>
    <row r="59" customFormat="false" ht="15" hidden="false" customHeight="false" outlineLevel="0" collapsed="false">
      <c r="A59" s="10" t="n">
        <v>-66</v>
      </c>
      <c r="B59" s="8" t="n">
        <v>41396</v>
      </c>
      <c r="C59" s="15" t="n">
        <v>0.72868822334</v>
      </c>
      <c r="D59" s="22" t="n">
        <f aca="false">100*(C59-C58)</f>
        <v>-4.10529456019999</v>
      </c>
      <c r="E59" s="23" t="n">
        <f aca="false">'A1 control'!AL193</f>
        <v>-5.33423187892037</v>
      </c>
      <c r="F59" s="10" t="n">
        <v>1</v>
      </c>
    </row>
    <row r="60" customFormat="false" ht="15" hidden="false" customHeight="false" outlineLevel="0" collapsed="false">
      <c r="A60" s="10" t="n">
        <v>-65</v>
      </c>
      <c r="B60" s="8" t="n">
        <v>41397</v>
      </c>
      <c r="C60" s="15" t="n">
        <v>0.830142240008</v>
      </c>
      <c r="D60" s="22" t="n">
        <f aca="false">100*(C60-C59)</f>
        <v>10.1454016668</v>
      </c>
      <c r="E60" s="23" t="n">
        <f aca="false">'A1 control'!AL194</f>
        <v>11.4493176284277</v>
      </c>
      <c r="F60" s="10" t="n">
        <v>1</v>
      </c>
    </row>
    <row r="61" customFormat="false" ht="15" hidden="false" customHeight="false" outlineLevel="0" collapsed="false">
      <c r="A61" s="10" t="n">
        <v>-64</v>
      </c>
      <c r="B61" s="8" t="n">
        <v>41401</v>
      </c>
      <c r="C61" s="15" t="n">
        <v>0.884486261797</v>
      </c>
      <c r="D61" s="22" t="n">
        <f aca="false">100*(C61-C60)</f>
        <v>5.4344021789</v>
      </c>
      <c r="E61" s="23" t="n">
        <f aca="false">'A1 control'!AL195</f>
        <v>6.17141317770772</v>
      </c>
      <c r="F61" s="10" t="n">
        <v>1</v>
      </c>
    </row>
    <row r="62" customFormat="false" ht="15" hidden="false" customHeight="false" outlineLevel="0" collapsed="false">
      <c r="A62" s="10" t="n">
        <v>-63</v>
      </c>
      <c r="B62" s="8" t="n">
        <v>41402</v>
      </c>
      <c r="C62" s="15" t="n">
        <v>0.861883365013</v>
      </c>
      <c r="D62" s="22" t="n">
        <f aca="false">100*(C62-C61)</f>
        <v>-2.2602896784</v>
      </c>
      <c r="E62" s="23" t="n">
        <f aca="false">'A1 control'!AL196</f>
        <v>-2.30859820409372</v>
      </c>
      <c r="F62" s="10" t="n">
        <v>1</v>
      </c>
    </row>
    <row r="63" customFormat="false" ht="15" hidden="false" customHeight="false" outlineLevel="0" collapsed="false">
      <c r="A63" s="10" t="n">
        <v>-62</v>
      </c>
      <c r="B63" s="8" t="n">
        <v>41403</v>
      </c>
      <c r="C63" s="15" t="n">
        <v>0.874386802348</v>
      </c>
      <c r="D63" s="22" t="n">
        <f aca="false">100*(C63-C62)</f>
        <v>1.2503437335</v>
      </c>
      <c r="E63" s="23" t="n">
        <f aca="false">'A1 control'!AL197</f>
        <v>3.33463092934006</v>
      </c>
      <c r="F63" s="10" t="n">
        <v>1</v>
      </c>
    </row>
    <row r="64" customFormat="false" ht="15" hidden="false" customHeight="false" outlineLevel="0" collapsed="false">
      <c r="A64" s="10" t="n">
        <v>-61</v>
      </c>
      <c r="B64" s="8" t="n">
        <v>41404</v>
      </c>
      <c r="C64" s="15" t="n">
        <v>0.950761569424</v>
      </c>
      <c r="D64" s="22" t="n">
        <f aca="false">100*(C64-C63)</f>
        <v>7.6374767076</v>
      </c>
      <c r="E64" s="23" t="n">
        <f aca="false">'A1 control'!AL198</f>
        <v>9.2315650945318</v>
      </c>
      <c r="F64" s="10" t="n">
        <v>1</v>
      </c>
    </row>
    <row r="65" customFormat="false" ht="15" hidden="false" customHeight="false" outlineLevel="0" collapsed="false">
      <c r="A65" s="10" t="n">
        <v>-60</v>
      </c>
      <c r="B65" s="8" t="n">
        <v>41407</v>
      </c>
      <c r="C65" s="15" t="n">
        <v>0.943142010165</v>
      </c>
      <c r="D65" s="22" t="n">
        <f aca="false">100*(C65-C64)</f>
        <v>-0.761955925900004</v>
      </c>
      <c r="E65" s="23" t="n">
        <f aca="false">'A1 control'!AL199</f>
        <v>-0.461588532877265</v>
      </c>
      <c r="F65" s="10" t="n">
        <v>1</v>
      </c>
    </row>
    <row r="66" customFormat="false" ht="15" hidden="false" customHeight="false" outlineLevel="0" collapsed="false">
      <c r="A66" s="10" t="n">
        <v>-59</v>
      </c>
      <c r="B66" s="8" t="n">
        <v>41408</v>
      </c>
      <c r="C66" s="15" t="n">
        <v>0.955874011068</v>
      </c>
      <c r="D66" s="22" t="n">
        <f aca="false">100*(C66-C65)</f>
        <v>1.2732000903</v>
      </c>
      <c r="E66" s="23" t="n">
        <f aca="false">'A1 control'!AL200</f>
        <v>1.41062881576839</v>
      </c>
      <c r="F66" s="10" t="n">
        <v>1</v>
      </c>
    </row>
    <row r="67" customFormat="false" ht="15" hidden="false" customHeight="false" outlineLevel="0" collapsed="false">
      <c r="A67" s="10" t="n">
        <v>-58</v>
      </c>
      <c r="B67" s="8" t="n">
        <v>41409</v>
      </c>
      <c r="C67" s="15" t="n">
        <v>0.982433117957</v>
      </c>
      <c r="D67" s="22" t="n">
        <f aca="false">100*(C67-C66)</f>
        <v>2.6559106889</v>
      </c>
      <c r="E67" s="23" t="n">
        <f aca="false">'A1 control'!AL201</f>
        <v>3.047365004995</v>
      </c>
      <c r="F67" s="10" t="n">
        <v>1</v>
      </c>
    </row>
    <row r="68" customFormat="false" ht="15" hidden="false" customHeight="false" outlineLevel="0" collapsed="false">
      <c r="A68" s="10" t="n">
        <v>-57</v>
      </c>
      <c r="B68" s="8" t="n">
        <v>41410</v>
      </c>
      <c r="C68" s="15" t="n">
        <v>0.931193958553</v>
      </c>
      <c r="D68" s="22" t="n">
        <f aca="false">100*(C68-C67)</f>
        <v>-5.12391594039999</v>
      </c>
      <c r="E68" s="23" t="n">
        <f aca="false">'A1 control'!AL202</f>
        <v>-4.816550863189</v>
      </c>
      <c r="F68" s="10" t="n">
        <v>1</v>
      </c>
    </row>
    <row r="69" customFormat="false" ht="15" hidden="false" customHeight="false" outlineLevel="0" collapsed="false">
      <c r="A69" s="10" t="n">
        <v>-56</v>
      </c>
      <c r="B69" s="8" t="n">
        <v>41411</v>
      </c>
      <c r="C69" s="15" t="n">
        <v>0.944625067832</v>
      </c>
      <c r="D69" s="22" t="n">
        <f aca="false">100*(C69-C68)</f>
        <v>1.34311092789999</v>
      </c>
      <c r="E69" s="23" t="n">
        <f aca="false">'A1 control'!AL203</f>
        <v>2.60627272318419</v>
      </c>
      <c r="F69" s="10" t="n">
        <v>1</v>
      </c>
    </row>
    <row r="70" customFormat="false" ht="15" hidden="false" customHeight="false" outlineLevel="0" collapsed="false">
      <c r="A70" s="10" t="n">
        <v>-55</v>
      </c>
      <c r="B70" s="8" t="n">
        <v>41414</v>
      </c>
      <c r="C70" s="15" t="n">
        <v>0.965029507138</v>
      </c>
      <c r="D70" s="22" t="n">
        <f aca="false">100*(C70-C69)</f>
        <v>2.0404439306</v>
      </c>
      <c r="E70" s="23" t="n">
        <f aca="false">'A1 control'!AL204</f>
        <v>2.84578527088297</v>
      </c>
      <c r="F70" s="10" t="n">
        <v>1</v>
      </c>
    </row>
    <row r="71" customFormat="false" ht="15" hidden="false" customHeight="false" outlineLevel="0" collapsed="false">
      <c r="A71" s="10" t="n">
        <v>-54</v>
      </c>
      <c r="B71" s="8" t="n">
        <v>41415</v>
      </c>
      <c r="C71" s="15" t="n">
        <v>0.97580575652</v>
      </c>
      <c r="D71" s="22" t="n">
        <f aca="false">100*(C71-C70)</f>
        <v>1.07762493820001</v>
      </c>
      <c r="E71" s="23" t="n">
        <f aca="false">'A1 control'!AL205</f>
        <v>1.72977671698576</v>
      </c>
      <c r="F71" s="10" t="n">
        <v>1</v>
      </c>
    </row>
    <row r="72" customFormat="false" ht="15" hidden="false" customHeight="false" outlineLevel="0" collapsed="false">
      <c r="A72" s="10" t="n">
        <v>-53</v>
      </c>
      <c r="B72" s="8" t="n">
        <v>41416</v>
      </c>
      <c r="C72" s="15" t="n">
        <v>0.94175325649</v>
      </c>
      <c r="D72" s="22" t="n">
        <f aca="false">100*(C72-C71)</f>
        <v>-3.405250003</v>
      </c>
      <c r="E72" s="23" t="n">
        <f aca="false">'A1 control'!AL206</f>
        <v>-3.17676686277392</v>
      </c>
      <c r="F72" s="10" t="n">
        <v>1</v>
      </c>
    </row>
    <row r="73" customFormat="false" ht="15" hidden="false" customHeight="false" outlineLevel="0" collapsed="false">
      <c r="A73" s="10" t="n">
        <v>-52</v>
      </c>
      <c r="B73" s="8" t="n">
        <v>41417</v>
      </c>
      <c r="C73" s="15" t="n">
        <v>0.960989650501</v>
      </c>
      <c r="D73" s="22" t="n">
        <f aca="false">100*(C73-C72)</f>
        <v>1.92363940110001</v>
      </c>
      <c r="E73" s="23" t="n">
        <f aca="false">'A1 control'!AL207</f>
        <v>0.451051101671665</v>
      </c>
      <c r="F73" s="10" t="n">
        <v>1</v>
      </c>
    </row>
    <row r="74" customFormat="false" ht="15" hidden="false" customHeight="false" outlineLevel="0" collapsed="false">
      <c r="A74" s="10" t="n">
        <v>-51</v>
      </c>
      <c r="B74" s="8" t="n">
        <v>41418</v>
      </c>
      <c r="C74" s="15" t="n">
        <v>0.954669636736</v>
      </c>
      <c r="D74" s="22" t="n">
        <f aca="false">100*(C74-C73)</f>
        <v>-0.632001376500002</v>
      </c>
      <c r="E74" s="23" t="n">
        <f aca="false">'A1 control'!AL208</f>
        <v>-2.840164416988</v>
      </c>
      <c r="F74" s="10" t="n">
        <v>1</v>
      </c>
    </row>
    <row r="75" customFormat="false" ht="15" hidden="false" customHeight="false" outlineLevel="0" collapsed="false">
      <c r="A75" s="10" t="n">
        <v>-50</v>
      </c>
      <c r="B75" s="8" t="n">
        <v>41422</v>
      </c>
      <c r="C75" s="15" t="n">
        <v>1.00440198639</v>
      </c>
      <c r="D75" s="22" t="n">
        <f aca="false">100*(C75-C74)</f>
        <v>4.9732349654</v>
      </c>
      <c r="E75" s="23" t="n">
        <f aca="false">'A1 control'!AL209</f>
        <v>5.7921128500438</v>
      </c>
      <c r="F75" s="10" t="n">
        <v>1</v>
      </c>
    </row>
    <row r="76" customFormat="false" ht="15" hidden="false" customHeight="false" outlineLevel="0" collapsed="false">
      <c r="A76" s="10" t="n">
        <v>-49</v>
      </c>
      <c r="B76" s="8" t="n">
        <v>41423</v>
      </c>
      <c r="C76" s="15" t="n">
        <v>1.04295347955</v>
      </c>
      <c r="D76" s="22" t="n">
        <f aca="false">100*(C76-C75)</f>
        <v>3.855149316</v>
      </c>
      <c r="E76" s="23" t="n">
        <f aca="false">'A1 control'!AL210</f>
        <v>4.3516108272172</v>
      </c>
      <c r="F76" s="10" t="n">
        <v>1</v>
      </c>
    </row>
    <row r="77" customFormat="false" ht="15" hidden="false" customHeight="false" outlineLevel="0" collapsed="false">
      <c r="A77" s="10" t="n">
        <v>-48</v>
      </c>
      <c r="B77" s="8" t="n">
        <v>41424</v>
      </c>
      <c r="C77" s="15" t="n">
        <v>1.01399528004</v>
      </c>
      <c r="D77" s="22" t="n">
        <f aca="false">100*(C77-C76)</f>
        <v>-2.89581995099999</v>
      </c>
      <c r="E77" s="23" t="n">
        <f aca="false">'A1 control'!AL211</f>
        <v>-3.51426832020143</v>
      </c>
      <c r="F77" s="10" t="n">
        <v>1</v>
      </c>
    </row>
    <row r="78" customFormat="false" ht="15" hidden="false" customHeight="false" outlineLevel="0" collapsed="false">
      <c r="A78" s="10" t="n">
        <v>-47</v>
      </c>
      <c r="B78" s="8" t="n">
        <v>41425</v>
      </c>
      <c r="C78" s="15" t="n">
        <v>1.04795587038</v>
      </c>
      <c r="D78" s="22" t="n">
        <f aca="false">100*(C78-C77)</f>
        <v>3.396059034</v>
      </c>
      <c r="E78" s="23" t="n">
        <f aca="false">'A1 control'!AL212</f>
        <v>4.84614675969563</v>
      </c>
      <c r="F78" s="10" t="n">
        <v>1</v>
      </c>
    </row>
    <row r="79" customFormat="false" ht="15" hidden="false" customHeight="false" outlineLevel="0" collapsed="false">
      <c r="A79" s="10" t="n">
        <v>-46</v>
      </c>
      <c r="B79" s="8" t="n">
        <v>41428</v>
      </c>
      <c r="C79" s="15" t="n">
        <v>1.04148974905</v>
      </c>
      <c r="D79" s="22" t="n">
        <f aca="false">100*(C79-C78)</f>
        <v>-0.646612133000013</v>
      </c>
      <c r="E79" s="23" t="n">
        <f aca="false">'A1 control'!AL213</f>
        <v>0.163011376590122</v>
      </c>
      <c r="F79" s="10" t="n">
        <v>1</v>
      </c>
    </row>
    <row r="80" customFormat="false" ht="15" hidden="false" customHeight="false" outlineLevel="0" collapsed="false">
      <c r="A80" s="10" t="n">
        <v>-45</v>
      </c>
      <c r="B80" s="8" t="n">
        <v>41429</v>
      </c>
      <c r="C80" s="15" t="n">
        <v>1.08019090325</v>
      </c>
      <c r="D80" s="22" t="n">
        <f aca="false">100*(C80-C79)</f>
        <v>3.87011542</v>
      </c>
      <c r="E80" s="23" t="n">
        <f aca="false">'A1 control'!AL214</f>
        <v>4.03495489842262</v>
      </c>
      <c r="F80" s="10" t="n">
        <v>1</v>
      </c>
    </row>
    <row r="81" customFormat="false" ht="15" hidden="false" customHeight="false" outlineLevel="0" collapsed="false">
      <c r="A81" s="10" t="n">
        <v>-44</v>
      </c>
      <c r="B81" s="8" t="n">
        <v>41430</v>
      </c>
      <c r="C81" s="15" t="n">
        <v>1.05585203844</v>
      </c>
      <c r="D81" s="22" t="n">
        <f aca="false">100*(C81-C80)</f>
        <v>-2.43388648099998</v>
      </c>
      <c r="E81" s="23" t="n">
        <f aca="false">'A1 control'!AL215</f>
        <v>-2.24615009257027</v>
      </c>
      <c r="F81" s="10" t="n">
        <v>1</v>
      </c>
    </row>
    <row r="82" customFormat="false" ht="15" hidden="false" customHeight="false" outlineLevel="0" collapsed="false">
      <c r="A82" s="10" t="n">
        <v>-43</v>
      </c>
      <c r="B82" s="8" t="n">
        <v>41431</v>
      </c>
      <c r="C82" s="15" t="n">
        <v>1.07583569227</v>
      </c>
      <c r="D82" s="22" t="n">
        <f aca="false">100*(C82-C81)</f>
        <v>1.998365383</v>
      </c>
      <c r="E82" s="23" t="n">
        <f aca="false">'A1 control'!AL216</f>
        <v>0.487732937282552</v>
      </c>
      <c r="F82" s="10" t="n">
        <v>1</v>
      </c>
    </row>
    <row r="83" customFormat="false" ht="15" hidden="false" customHeight="false" outlineLevel="0" collapsed="false">
      <c r="A83" s="10" t="n">
        <v>-42</v>
      </c>
      <c r="B83" s="8" t="n">
        <v>41432</v>
      </c>
      <c r="C83" s="15" t="n">
        <v>1.11922252996</v>
      </c>
      <c r="D83" s="22" t="n">
        <f aca="false">100*(C83-C82)</f>
        <v>4.338683769</v>
      </c>
      <c r="E83" s="23" t="n">
        <f aca="false">'A1 control'!AL217</f>
        <v>2.52677399174552</v>
      </c>
      <c r="F83" s="10" t="n">
        <v>1</v>
      </c>
    </row>
    <row r="84" customFormat="false" ht="15" hidden="false" customHeight="false" outlineLevel="0" collapsed="false">
      <c r="A84" s="10" t="n">
        <v>-41</v>
      </c>
      <c r="B84" s="8" t="n">
        <v>41435</v>
      </c>
      <c r="C84" s="15" t="n">
        <v>1.17410582256</v>
      </c>
      <c r="D84" s="22" t="n">
        <f aca="false">100*(C84-C83)</f>
        <v>5.48832926</v>
      </c>
      <c r="E84" s="23" t="n">
        <f aca="false">'A1 control'!AL218</f>
        <v>5.83152833096353</v>
      </c>
      <c r="F84" s="10" t="n">
        <v>1</v>
      </c>
    </row>
    <row r="85" customFormat="false" ht="15" hidden="false" customHeight="false" outlineLevel="0" collapsed="false">
      <c r="A85" s="10" t="n">
        <v>-40</v>
      </c>
      <c r="B85" s="8" t="n">
        <v>41436</v>
      </c>
      <c r="C85" s="15" t="n">
        <v>1.26504483942</v>
      </c>
      <c r="D85" s="22" t="n">
        <f aca="false">100*(C85-C84)</f>
        <v>9.093901686</v>
      </c>
      <c r="E85" s="23" t="n">
        <f aca="false">'A1 control'!AL219</f>
        <v>0.570253300554937</v>
      </c>
      <c r="F85" s="10" t="n">
        <v>1</v>
      </c>
    </row>
    <row r="86" customFormat="false" ht="15" hidden="false" customHeight="false" outlineLevel="0" collapsed="false">
      <c r="A86" s="10" t="n">
        <v>-39</v>
      </c>
      <c r="B86" s="8" t="n">
        <v>41437</v>
      </c>
      <c r="C86" s="15" t="n">
        <v>1.22393005612</v>
      </c>
      <c r="D86" s="22" t="n">
        <f aca="false">100*(C86-C85)</f>
        <v>-4.11147833000001</v>
      </c>
      <c r="E86" s="23" t="n">
        <f aca="false">'A1 control'!AL220</f>
        <v>-1.44496253680966</v>
      </c>
      <c r="F86" s="10" t="n">
        <v>1</v>
      </c>
    </row>
    <row r="87" customFormat="false" ht="15" hidden="false" customHeight="false" outlineLevel="0" collapsed="false">
      <c r="A87" s="10" t="n">
        <v>-38</v>
      </c>
      <c r="B87" s="8" t="n">
        <v>41438</v>
      </c>
      <c r="C87" s="15" t="n">
        <v>1.19370220097</v>
      </c>
      <c r="D87" s="22" t="n">
        <f aca="false">100*(C87-C86)</f>
        <v>-3.02278551499999</v>
      </c>
      <c r="E87" s="23" t="n">
        <f aca="false">'A1 control'!AL221</f>
        <v>-1.26678282724809</v>
      </c>
      <c r="F87" s="10" t="n">
        <v>1</v>
      </c>
    </row>
    <row r="88" customFormat="false" ht="15" hidden="false" customHeight="false" outlineLevel="0" collapsed="false">
      <c r="A88" s="10" t="n">
        <v>-37</v>
      </c>
      <c r="B88" s="8" t="n">
        <v>41439</v>
      </c>
      <c r="C88" s="15" t="n">
        <v>1.14077165771</v>
      </c>
      <c r="D88" s="22" t="n">
        <f aca="false">100*(C88-C87)</f>
        <v>-5.293054326</v>
      </c>
      <c r="E88" s="23" t="n">
        <f aca="false">'A1 control'!AL222</f>
        <v>-3.97070784542995</v>
      </c>
      <c r="F88" s="10" t="n">
        <v>1</v>
      </c>
    </row>
    <row r="89" customFormat="false" ht="15" hidden="false" customHeight="false" outlineLevel="0" collapsed="false">
      <c r="A89" s="10" t="n">
        <v>-36</v>
      </c>
      <c r="B89" s="8" t="n">
        <v>41442</v>
      </c>
      <c r="C89" s="15" t="n">
        <v>1.15349537871</v>
      </c>
      <c r="D89" s="22" t="n">
        <f aca="false">100*(C89-C88)</f>
        <v>1.2723721</v>
      </c>
      <c r="E89" s="23" t="n">
        <f aca="false">'A1 control'!AL223</f>
        <v>2.60220400608835</v>
      </c>
      <c r="F89" s="10" t="n">
        <v>1</v>
      </c>
    </row>
    <row r="90" customFormat="false" ht="15" hidden="false" customHeight="false" outlineLevel="0" collapsed="false">
      <c r="A90" s="10" t="n">
        <v>-35</v>
      </c>
      <c r="B90" s="8" t="n">
        <v>41443</v>
      </c>
      <c r="C90" s="15" t="n">
        <v>1.20347460634</v>
      </c>
      <c r="D90" s="22" t="n">
        <f aca="false">100*(C90-C89)</f>
        <v>4.997922763</v>
      </c>
      <c r="E90" s="23" t="n">
        <f aca="false">'A1 control'!AL224</f>
        <v>3.59034230390561</v>
      </c>
      <c r="F90" s="10" t="n">
        <v>1</v>
      </c>
    </row>
    <row r="91" customFormat="false" ht="15" hidden="false" customHeight="false" outlineLevel="0" collapsed="false">
      <c r="A91" s="10" t="n">
        <v>-34</v>
      </c>
      <c r="B91" s="8" t="n">
        <v>41444</v>
      </c>
      <c r="C91" s="15" t="n">
        <v>1.19833815641</v>
      </c>
      <c r="D91" s="22" t="n">
        <f aca="false">100*(C91-C90)</f>
        <v>-0.513644992999995</v>
      </c>
      <c r="E91" s="23" t="n">
        <f aca="false">'A1 control'!AL225</f>
        <v>-1.95823562069694</v>
      </c>
      <c r="F91" s="10" t="n">
        <v>1</v>
      </c>
    </row>
    <row r="92" customFormat="false" ht="15" hidden="false" customHeight="false" outlineLevel="0" collapsed="false">
      <c r="A92" s="10" t="n">
        <v>-33</v>
      </c>
      <c r="B92" s="8" t="n">
        <v>41445</v>
      </c>
      <c r="C92" s="15" t="n">
        <v>1.39264343111</v>
      </c>
      <c r="D92" s="22" t="n">
        <f aca="false">100*(C92-C91)</f>
        <v>19.43052747</v>
      </c>
      <c r="E92" s="23" t="n">
        <f aca="false">'A1 control'!AL226</f>
        <v>12.0453925412079</v>
      </c>
      <c r="F92" s="10" t="n">
        <v>1</v>
      </c>
    </row>
    <row r="93" customFormat="false" ht="15" hidden="false" customHeight="false" outlineLevel="0" collapsed="false">
      <c r="A93" s="10" t="n">
        <v>-32</v>
      </c>
      <c r="B93" s="8" t="n">
        <v>41446</v>
      </c>
      <c r="C93" s="15" t="n">
        <v>1.44502817199</v>
      </c>
      <c r="D93" s="22" t="n">
        <f aca="false">100*(C93-C92)</f>
        <v>5.238474088</v>
      </c>
      <c r="E93" s="23" t="n">
        <f aca="false">'A1 control'!AL227</f>
        <v>9.01828035300899</v>
      </c>
      <c r="F93" s="10" t="n">
        <v>1</v>
      </c>
    </row>
    <row r="94" customFormat="false" ht="15" hidden="false" customHeight="false" outlineLevel="0" collapsed="false">
      <c r="A94" s="10" t="n">
        <v>-31</v>
      </c>
      <c r="B94" s="8" t="n">
        <v>41449</v>
      </c>
      <c r="C94" s="15" t="n">
        <v>1.61455291714</v>
      </c>
      <c r="D94" s="22" t="n">
        <f aca="false">100*(C94-C93)</f>
        <v>16.952474515</v>
      </c>
      <c r="E94" s="23" t="n">
        <f aca="false">'A1 control'!AL228</f>
        <v>10.1348447975125</v>
      </c>
      <c r="F94" s="10" t="n">
        <v>1</v>
      </c>
    </row>
    <row r="95" customFormat="false" ht="15" hidden="false" customHeight="false" outlineLevel="0" collapsed="false">
      <c r="A95" s="10" t="n">
        <v>-30</v>
      </c>
      <c r="B95" s="8" t="n">
        <v>41450</v>
      </c>
      <c r="C95" s="15" t="n">
        <v>1.54159787555</v>
      </c>
      <c r="D95" s="22" t="n">
        <f aca="false">100*(C95-C94)</f>
        <v>-7.295504159</v>
      </c>
      <c r="E95" s="23" t="n">
        <f aca="false">'A1 control'!AL229</f>
        <v>-1.70147061492117</v>
      </c>
      <c r="F95" s="10" t="n">
        <v>1</v>
      </c>
    </row>
    <row r="96" customFormat="false" ht="15" hidden="false" customHeight="false" outlineLevel="0" collapsed="false">
      <c r="A96" s="10" t="n">
        <v>-29</v>
      </c>
      <c r="B96" s="8" t="n">
        <v>41451</v>
      </c>
      <c r="C96" s="15" t="n">
        <v>1.43186587676</v>
      </c>
      <c r="D96" s="22" t="n">
        <f aca="false">100*(C96-C95)</f>
        <v>-10.973199879</v>
      </c>
      <c r="E96" s="23" t="n">
        <f aca="false">'A1 control'!AL230</f>
        <v>-5.11448459122713</v>
      </c>
      <c r="F96" s="10" t="n">
        <v>1</v>
      </c>
    </row>
    <row r="97" customFormat="false" ht="15" hidden="false" customHeight="false" outlineLevel="0" collapsed="false">
      <c r="A97" s="10" t="n">
        <v>-28</v>
      </c>
      <c r="B97" s="8" t="n">
        <v>41452</v>
      </c>
      <c r="C97" s="15" t="n">
        <v>1.41672553525</v>
      </c>
      <c r="D97" s="22" t="n">
        <f aca="false">100*(C97-C96)</f>
        <v>-1.51403415100002</v>
      </c>
      <c r="E97" s="23" t="n">
        <f aca="false">'A1 control'!AL231</f>
        <v>-1.98177315231167</v>
      </c>
      <c r="F97" s="10" t="n">
        <v>1</v>
      </c>
    </row>
    <row r="98" customFormat="false" ht="15" hidden="false" customHeight="false" outlineLevel="0" collapsed="false">
      <c r="A98" s="10" t="n">
        <v>-27</v>
      </c>
      <c r="B98" s="8" t="n">
        <v>41453</v>
      </c>
      <c r="C98" s="15" t="n">
        <v>1.40372567262</v>
      </c>
      <c r="D98" s="22" t="n">
        <f aca="false">100*(C98-C97)</f>
        <v>-1.29998626299999</v>
      </c>
      <c r="E98" s="23" t="n">
        <f aca="false">'A1 control'!AL232</f>
        <v>2.36613818926437</v>
      </c>
      <c r="F98" s="10" t="n">
        <v>1</v>
      </c>
    </row>
    <row r="99" customFormat="false" ht="15" hidden="false" customHeight="false" outlineLevel="0" collapsed="false">
      <c r="A99" s="10" t="n">
        <v>-26</v>
      </c>
      <c r="B99" s="8" t="n">
        <v>41456</v>
      </c>
      <c r="C99" s="15" t="n">
        <v>1.39082753414</v>
      </c>
      <c r="D99" s="22" t="n">
        <f aca="false">100*(C99-C98)</f>
        <v>-1.289813848</v>
      </c>
      <c r="E99" s="23" t="n">
        <f aca="false">'A1 control'!AL233</f>
        <v>-2.92561037798577</v>
      </c>
      <c r="F99" s="10" t="n">
        <v>1</v>
      </c>
    </row>
    <row r="100" customFormat="false" ht="15" hidden="false" customHeight="false" outlineLevel="0" collapsed="false">
      <c r="A100" s="10" t="n">
        <v>-25</v>
      </c>
      <c r="B100" s="8" t="n">
        <v>41457</v>
      </c>
      <c r="C100" s="15" t="n">
        <v>1.36095689355</v>
      </c>
      <c r="D100" s="22" t="n">
        <f aca="false">100*(C100-C99)</f>
        <v>-2.987064059</v>
      </c>
      <c r="E100" s="23" t="n">
        <f aca="false">'A1 control'!AL234</f>
        <v>-1.83213222226297</v>
      </c>
      <c r="F100" s="10" t="n">
        <v>1</v>
      </c>
    </row>
    <row r="101" customFormat="false" ht="15" hidden="false" customHeight="false" outlineLevel="0" collapsed="false">
      <c r="A101" s="10" t="n">
        <v>-24</v>
      </c>
      <c r="B101" s="8" t="n">
        <v>41458</v>
      </c>
      <c r="C101" s="15" t="n">
        <v>1.39000347572</v>
      </c>
      <c r="D101" s="22" t="n">
        <f aca="false">100*(C101-C100)</f>
        <v>2.90465821699999</v>
      </c>
      <c r="E101" s="23" t="n">
        <f aca="false">'A1 control'!AL235</f>
        <v>0.822244889663012</v>
      </c>
      <c r="F101" s="10" t="n">
        <v>1</v>
      </c>
    </row>
    <row r="102" customFormat="false" ht="15" hidden="false" customHeight="false" outlineLevel="0" collapsed="false">
      <c r="A102" s="10" t="n">
        <v>-23</v>
      </c>
      <c r="B102" s="8" t="n">
        <v>41459</v>
      </c>
      <c r="C102" s="15" t="n">
        <v>1.35020322642</v>
      </c>
      <c r="D102" s="22" t="n">
        <f aca="false">100*(C102-C101)</f>
        <v>-3.98002493</v>
      </c>
      <c r="E102" s="23" t="n">
        <f aca="false">'A1 control'!AL236</f>
        <v>1.06516711043458</v>
      </c>
      <c r="F102" s="10" t="n">
        <v>1</v>
      </c>
    </row>
    <row r="103" customFormat="false" ht="15" hidden="false" customHeight="false" outlineLevel="0" collapsed="false">
      <c r="A103" s="10" t="n">
        <v>-22</v>
      </c>
      <c r="B103" s="8" t="n">
        <v>41460</v>
      </c>
      <c r="C103" s="15" t="n">
        <v>1.42053901432</v>
      </c>
      <c r="D103" s="22" t="n">
        <f aca="false">100*(C103-C102)</f>
        <v>7.03357879000002</v>
      </c>
      <c r="E103" s="23" t="n">
        <f aca="false">'A1 control'!AL237</f>
        <v>8.00073182642729</v>
      </c>
      <c r="F103" s="10" t="n">
        <v>1</v>
      </c>
    </row>
    <row r="104" customFormat="false" ht="15" hidden="false" customHeight="false" outlineLevel="0" collapsed="false">
      <c r="A104" s="10" t="n">
        <v>-21</v>
      </c>
      <c r="B104" s="8" t="n">
        <v>41463</v>
      </c>
      <c r="C104" s="15" t="n">
        <v>1.40042616232</v>
      </c>
      <c r="D104" s="22" t="n">
        <f aca="false">100*(C104-C103)</f>
        <v>-2.0112852</v>
      </c>
      <c r="E104" s="23" t="n">
        <f aca="false">'A1 control'!AL238</f>
        <v>1.05619612827627</v>
      </c>
      <c r="F104" s="10" t="n">
        <v>1</v>
      </c>
    </row>
    <row r="105" customFormat="false" ht="15" hidden="false" customHeight="false" outlineLevel="0" collapsed="false">
      <c r="A105" s="10" t="n">
        <v>-20</v>
      </c>
      <c r="B105" s="8" t="n">
        <v>41464</v>
      </c>
      <c r="C105" s="15" t="n">
        <v>1.3350852663</v>
      </c>
      <c r="D105" s="22" t="n">
        <f aca="false">100*(C105-C104)</f>
        <v>-6.53408960200002</v>
      </c>
      <c r="E105" s="23" t="n">
        <f aca="false">'A1 control'!AL239</f>
        <v>-3.37202762903131</v>
      </c>
      <c r="F105" s="10" t="n">
        <v>0</v>
      </c>
    </row>
    <row r="106" customFormat="false" ht="15" hidden="false" customHeight="false" outlineLevel="0" collapsed="false">
      <c r="A106" s="10" t="n">
        <v>-19</v>
      </c>
      <c r="B106" s="8" t="n">
        <v>41465</v>
      </c>
      <c r="C106" s="15" t="n">
        <v>1.33214269326</v>
      </c>
      <c r="D106" s="22" t="n">
        <f aca="false">100*(C106-C105)</f>
        <v>-0.29425730399999</v>
      </c>
      <c r="E106" s="23" t="n">
        <f aca="false">'A1 control'!AL240</f>
        <v>-2.49643894783937</v>
      </c>
      <c r="F106" s="10" t="n">
        <v>0</v>
      </c>
    </row>
    <row r="107" customFormat="false" ht="15" hidden="false" customHeight="false" outlineLevel="0" collapsed="false">
      <c r="A107" s="10" t="n">
        <v>-18</v>
      </c>
      <c r="B107" s="8" t="n">
        <v>41466</v>
      </c>
      <c r="C107" s="15" t="n">
        <v>1.30482748508</v>
      </c>
      <c r="D107" s="22" t="n">
        <f aca="false">100*(C107-C106)</f>
        <v>-2.73152081800001</v>
      </c>
      <c r="E107" s="23" t="n">
        <f aca="false">'A1 control'!AL241</f>
        <v>-3.43610874125079</v>
      </c>
      <c r="F107" s="10" t="n">
        <v>0</v>
      </c>
    </row>
    <row r="108" customFormat="false" ht="15" hidden="false" customHeight="false" outlineLevel="0" collapsed="false">
      <c r="A108" s="10" t="n">
        <v>-17</v>
      </c>
      <c r="B108" s="8" t="n">
        <v>41467</v>
      </c>
      <c r="C108" s="15" t="n">
        <v>1.26114930317</v>
      </c>
      <c r="D108" s="22" t="n">
        <f aca="false">100*(C108-C107)</f>
        <v>-4.36781819099998</v>
      </c>
      <c r="E108" s="23" t="n">
        <f aca="false">'A1 control'!AL242</f>
        <v>-5.24487738835219</v>
      </c>
      <c r="F108" s="10" t="n">
        <v>0</v>
      </c>
    </row>
    <row r="109" customFormat="false" ht="15" hidden="false" customHeight="false" outlineLevel="0" collapsed="false">
      <c r="A109" s="10" t="n">
        <v>-16</v>
      </c>
      <c r="B109" s="8" t="n">
        <v>41470</v>
      </c>
      <c r="C109" s="15" t="n">
        <v>1.27882982342</v>
      </c>
      <c r="D109" s="22" t="n">
        <f aca="false">100*(C109-C108)</f>
        <v>1.76805202499999</v>
      </c>
      <c r="E109" s="23" t="n">
        <f aca="false">'A1 control'!AL243</f>
        <v>2.06764760642365</v>
      </c>
      <c r="F109" s="10" t="n">
        <v>0</v>
      </c>
    </row>
    <row r="110" customFormat="false" ht="15" hidden="false" customHeight="false" outlineLevel="0" collapsed="false">
      <c r="A110" s="10" t="n">
        <v>-15</v>
      </c>
      <c r="B110" s="8" t="n">
        <v>41471</v>
      </c>
      <c r="C110" s="15" t="n">
        <v>1.20679777108</v>
      </c>
      <c r="D110" s="22" t="n">
        <f aca="false">100*(C110-C109)</f>
        <v>-7.203205234</v>
      </c>
      <c r="E110" s="23" t="n">
        <f aca="false">'A1 control'!AL244</f>
        <v>-4.1980442362331</v>
      </c>
      <c r="F110" s="10" t="n">
        <v>0</v>
      </c>
    </row>
    <row r="111" customFormat="false" ht="15" hidden="false" customHeight="false" outlineLevel="0" collapsed="false">
      <c r="A111" s="10" t="n">
        <v>-14</v>
      </c>
      <c r="B111" s="8" t="n">
        <v>41472</v>
      </c>
      <c r="C111" s="15" t="n">
        <v>1.2007913916</v>
      </c>
      <c r="D111" s="22" t="n">
        <f aca="false">100*(C111-C110)</f>
        <v>-0.600637948000005</v>
      </c>
      <c r="E111" s="23" t="n">
        <f aca="false">'A1 control'!AL245</f>
        <v>2.54849737966024</v>
      </c>
      <c r="F111" s="10" t="n">
        <v>0</v>
      </c>
    </row>
    <row r="112" customFormat="false" ht="15" hidden="false" customHeight="false" outlineLevel="0" collapsed="false">
      <c r="A112" s="10" t="n">
        <v>-13</v>
      </c>
      <c r="B112" s="8" t="n">
        <v>41473</v>
      </c>
      <c r="C112" s="15" t="n">
        <v>1.16179506416</v>
      </c>
      <c r="D112" s="22" t="n">
        <f aca="false">100*(C112-C111)</f>
        <v>-3.899632744</v>
      </c>
      <c r="E112" s="23" t="n">
        <f aca="false">'A1 control'!AL246</f>
        <v>-1.56015688257939</v>
      </c>
      <c r="F112" s="10" t="n">
        <v>0</v>
      </c>
    </row>
    <row r="113" customFormat="false" ht="15" hidden="false" customHeight="false" outlineLevel="0" collapsed="false">
      <c r="A113" s="10" t="n">
        <v>-12</v>
      </c>
      <c r="B113" s="8" t="n">
        <v>41474</v>
      </c>
      <c r="C113" s="15" t="n">
        <v>1.20710635762</v>
      </c>
      <c r="D113" s="22" t="n">
        <f aca="false">100*(C113-C112)</f>
        <v>4.53112934600002</v>
      </c>
      <c r="E113" s="23" t="n">
        <f aca="false">'A1 control'!AL247</f>
        <v>2.70677172903485</v>
      </c>
      <c r="F113" s="10" t="n">
        <v>0</v>
      </c>
    </row>
    <row r="114" customFormat="false" ht="15" hidden="false" customHeight="false" outlineLevel="0" collapsed="false">
      <c r="A114" s="10" t="n">
        <v>-11</v>
      </c>
      <c r="B114" s="8" t="n">
        <v>41477</v>
      </c>
      <c r="C114" s="15" t="n">
        <v>1.19551617082</v>
      </c>
      <c r="D114" s="22" t="n">
        <f aca="false">100*(C114-C113)</f>
        <v>-1.15901868000001</v>
      </c>
      <c r="E114" s="23" t="n">
        <f aca="false">'A1 control'!AL248</f>
        <v>-2.62793429940785</v>
      </c>
      <c r="F114" s="10" t="n">
        <v>0</v>
      </c>
    </row>
    <row r="115" customFormat="false" ht="15" hidden="false" customHeight="false" outlineLevel="0" collapsed="false">
      <c r="A115" s="10" t="n">
        <v>-10</v>
      </c>
      <c r="B115" s="8" t="n">
        <v>41478</v>
      </c>
      <c r="C115" s="15" t="n">
        <v>1.23625395503</v>
      </c>
      <c r="D115" s="22" t="n">
        <f aca="false">100*(C115-C114)</f>
        <v>4.07377842100001</v>
      </c>
      <c r="E115" s="23" t="n">
        <f aca="false">'A1 control'!AL249</f>
        <v>4.49291313197125</v>
      </c>
      <c r="F115" s="10" t="n">
        <v>0</v>
      </c>
      <c r="G115" s="22" t="n">
        <f aca="false">D115-$B$137*E115</f>
        <v>-0.0318332726280595</v>
      </c>
      <c r="H115" s="22" t="n">
        <f aca="false">H116-G116</f>
        <v>2.4378533249516</v>
      </c>
      <c r="I115" s="22" t="n">
        <f aca="false">D115-E115</f>
        <v>-0.419134710971244</v>
      </c>
      <c r="J115" s="22" t="n">
        <f aca="false">J116-I116</f>
        <v>2.56240843477352</v>
      </c>
      <c r="K115" s="22" t="n">
        <f aca="false">K116-D116</f>
        <v>1.117499552</v>
      </c>
    </row>
    <row r="116" customFormat="false" ht="15" hidden="false" customHeight="false" outlineLevel="0" collapsed="false">
      <c r="A116" s="10" t="n">
        <v>-9</v>
      </c>
      <c r="B116" s="8" t="n">
        <v>41479</v>
      </c>
      <c r="C116" s="15" t="n">
        <v>1.30009568925</v>
      </c>
      <c r="D116" s="22" t="n">
        <f aca="false">100*(C116-C115)</f>
        <v>6.384173422</v>
      </c>
      <c r="E116" s="23" t="n">
        <f aca="false">'A1 control'!AL250</f>
        <v>6.52313864841178</v>
      </c>
      <c r="F116" s="10" t="n">
        <v>0</v>
      </c>
      <c r="G116" s="22" t="n">
        <f aca="false">D116-$B$137*E116</f>
        <v>0.423347221399427</v>
      </c>
      <c r="H116" s="22" t="n">
        <f aca="false">H117-G117</f>
        <v>2.86120054635103</v>
      </c>
      <c r="I116" s="22" t="n">
        <f aca="false">D116-E116</f>
        <v>-0.138965226411787</v>
      </c>
      <c r="J116" s="22" t="n">
        <f aca="false">J117-I117</f>
        <v>2.42344320836173</v>
      </c>
      <c r="K116" s="22" t="n">
        <f aca="false">K117-D117</f>
        <v>7.501672974</v>
      </c>
    </row>
    <row r="117" customFormat="false" ht="15" hidden="false" customHeight="false" outlineLevel="0" collapsed="false">
      <c r="A117" s="10" t="n">
        <v>-8</v>
      </c>
      <c r="B117" s="8" t="n">
        <v>41480</v>
      </c>
      <c r="C117" s="15" t="n">
        <v>1.28827738211</v>
      </c>
      <c r="D117" s="22" t="n">
        <f aca="false">100*(C117-C116)</f>
        <v>-1.181830714</v>
      </c>
      <c r="E117" s="23" t="n">
        <f aca="false">'A1 control'!AL251</f>
        <v>-1.12240570906335</v>
      </c>
      <c r="F117" s="10" t="n">
        <v>0</v>
      </c>
      <c r="G117" s="22" t="n">
        <f aca="false">D117-$B$137*E117</f>
        <v>-0.156179456392987</v>
      </c>
      <c r="H117" s="22" t="n">
        <f aca="false">H118-G118</f>
        <v>2.70502108995804</v>
      </c>
      <c r="I117" s="22" t="n">
        <f aca="false">D117-E117</f>
        <v>-0.0594250049366529</v>
      </c>
      <c r="J117" s="22" t="n">
        <f aca="false">J118-I118</f>
        <v>2.36401820342508</v>
      </c>
      <c r="K117" s="22" t="n">
        <f aca="false">K118-D118</f>
        <v>6.31984226</v>
      </c>
    </row>
    <row r="118" customFormat="false" ht="15" hidden="false" customHeight="false" outlineLevel="0" collapsed="false">
      <c r="A118" s="10" t="n">
        <v>-7</v>
      </c>
      <c r="B118" s="8" t="n">
        <v>41481</v>
      </c>
      <c r="C118" s="15" t="n">
        <v>1.22285829836</v>
      </c>
      <c r="D118" s="22" t="n">
        <f aca="false">100*(C118-C117)</f>
        <v>-6.54190837499999</v>
      </c>
      <c r="E118" s="23" t="n">
        <f aca="false">'A1 control'!AL252</f>
        <v>-3.51426849158308</v>
      </c>
      <c r="F118" s="10" t="n">
        <v>0</v>
      </c>
      <c r="G118" s="22" t="n">
        <f aca="false">D118-$B$137*E118</f>
        <v>-3.33057946883398</v>
      </c>
      <c r="H118" s="22" t="n">
        <f aca="false">H119-G119</f>
        <v>-0.625558378875939</v>
      </c>
      <c r="I118" s="22" t="n">
        <f aca="false">D118-E118</f>
        <v>-3.02763988341691</v>
      </c>
      <c r="J118" s="22" t="n">
        <f aca="false">J119-I119</f>
        <v>-0.663621679991833</v>
      </c>
      <c r="K118" s="22" t="n">
        <f aca="false">K119-D119</f>
        <v>-0.222066114999997</v>
      </c>
    </row>
    <row r="119" customFormat="false" ht="15" hidden="false" customHeight="false" outlineLevel="0" collapsed="false">
      <c r="A119" s="10" t="n">
        <v>-6</v>
      </c>
      <c r="B119" s="8" t="n">
        <v>41484</v>
      </c>
      <c r="C119" s="15" t="n">
        <v>1.22507895951</v>
      </c>
      <c r="D119" s="22" t="n">
        <f aca="false">100*(C119-C118)</f>
        <v>0.222066114999997</v>
      </c>
      <c r="E119" s="23" t="n">
        <f aca="false">'A1 control'!AL253</f>
        <v>-0.441555564991836</v>
      </c>
      <c r="F119" s="10" t="n">
        <v>0</v>
      </c>
      <c r="G119" s="22" t="n">
        <f aca="false">D119-$B$137*E119</f>
        <v>0.625558378875939</v>
      </c>
      <c r="H119" s="22" t="n">
        <v>0</v>
      </c>
      <c r="I119" s="22" t="n">
        <f aca="false">D119-E119</f>
        <v>0.663621679991833</v>
      </c>
      <c r="J119" s="22" t="n">
        <v>0</v>
      </c>
      <c r="K119" s="22" t="n">
        <v>0</v>
      </c>
    </row>
    <row r="120" customFormat="false" ht="15" hidden="false" customHeight="false" outlineLevel="0" collapsed="false">
      <c r="A120" s="10" t="n">
        <v>-5</v>
      </c>
      <c r="B120" s="8" t="n">
        <v>41485</v>
      </c>
      <c r="C120" s="15" t="n">
        <v>1.21507651735</v>
      </c>
      <c r="D120" s="22" t="n">
        <f aca="false">100*(C120-C119)</f>
        <v>-1.000244216</v>
      </c>
      <c r="E120" s="23" t="n">
        <f aca="false">'A1 control'!AL254</f>
        <v>-0.83134747480879</v>
      </c>
      <c r="F120" s="10" t="n">
        <v>0</v>
      </c>
      <c r="G120" s="22" t="n">
        <f aca="false">D120-$B$137*E120</f>
        <v>-0.240561174332644</v>
      </c>
      <c r="H120" s="22" t="n">
        <f aca="false">H119+G120</f>
        <v>-0.240561174332644</v>
      </c>
      <c r="I120" s="22" t="n">
        <f aca="false">D120-E120</f>
        <v>-0.168896741191211</v>
      </c>
      <c r="J120" s="22" t="n">
        <f aca="false">J119+I120</f>
        <v>-0.168896741191211</v>
      </c>
      <c r="K120" s="22" t="n">
        <f aca="false">K119+D120</f>
        <v>-1.000244216</v>
      </c>
    </row>
    <row r="121" customFormat="false" ht="15" hidden="false" customHeight="false" outlineLevel="0" collapsed="false">
      <c r="A121" s="10" t="n">
        <v>-4</v>
      </c>
      <c r="B121" s="8" t="n">
        <v>41486</v>
      </c>
      <c r="C121" s="15" t="n">
        <v>1.23107060137</v>
      </c>
      <c r="D121" s="22" t="n">
        <f aca="false">100*(C121-C120)</f>
        <v>1.59940840199999</v>
      </c>
      <c r="E121" s="23" t="n">
        <f aca="false">'A1 control'!AL255</f>
        <v>2.53914302106942</v>
      </c>
      <c r="F121" s="10" t="n">
        <v>0</v>
      </c>
      <c r="G121" s="22" t="n">
        <f aca="false">D121-$B$137*E121</f>
        <v>-0.720853524480406</v>
      </c>
      <c r="H121" s="22" t="n">
        <f aca="false">H120+G121</f>
        <v>-0.96141469881305</v>
      </c>
      <c r="I121" s="22" t="n">
        <f aca="false">D121-E121</f>
        <v>-0.939734619069425</v>
      </c>
      <c r="J121" s="22" t="n">
        <f aca="false">J120+I121</f>
        <v>-1.10863136026064</v>
      </c>
      <c r="K121" s="22" t="n">
        <f aca="false">K120+D121</f>
        <v>0.59916418599999</v>
      </c>
    </row>
    <row r="122" customFormat="false" ht="15" hidden="false" customHeight="false" outlineLevel="0" collapsed="false">
      <c r="A122" s="10" t="n">
        <v>-3</v>
      </c>
      <c r="B122" s="8" t="n">
        <v>41487</v>
      </c>
      <c r="C122" s="15" t="n">
        <v>1.2611928247</v>
      </c>
      <c r="D122" s="22" t="n">
        <f aca="false">100*(C122-C121)</f>
        <v>3.012222333</v>
      </c>
      <c r="E122" s="23" t="n">
        <f aca="false">'A1 control'!AL256</f>
        <v>2.87691961284104</v>
      </c>
      <c r="F122" s="10" t="n">
        <v>0</v>
      </c>
      <c r="G122" s="22" t="n">
        <f aca="false">D122-$B$137*E122</f>
        <v>0.383301083653295</v>
      </c>
      <c r="H122" s="22" t="n">
        <f aca="false">H121+G122</f>
        <v>-0.578113615159755</v>
      </c>
      <c r="I122" s="22" t="n">
        <f aca="false">D122-E122</f>
        <v>0.135302720158965</v>
      </c>
      <c r="J122" s="22" t="n">
        <f aca="false">J121+I122</f>
        <v>-0.973328640101671</v>
      </c>
      <c r="K122" s="22" t="n">
        <f aca="false">K121+D122</f>
        <v>3.61138651899999</v>
      </c>
    </row>
    <row r="123" customFormat="false" ht="15" hidden="false" customHeight="false" outlineLevel="0" collapsed="false">
      <c r="A123" s="10" t="n">
        <v>-2</v>
      </c>
      <c r="B123" s="8" t="n">
        <v>41488</v>
      </c>
      <c r="C123" s="15" t="n">
        <v>1.29959572497</v>
      </c>
      <c r="D123" s="22" t="n">
        <f aca="false">100*(C123-C122)</f>
        <v>3.84029002700002</v>
      </c>
      <c r="E123" s="23" t="n">
        <f aca="false">'A1 control'!AL257</f>
        <v>1.21645887368342</v>
      </c>
      <c r="F123" s="10" t="n">
        <v>0</v>
      </c>
      <c r="G123" s="22" t="n">
        <f aca="false">D123-$B$137*E123</f>
        <v>2.7286932455993</v>
      </c>
      <c r="H123" s="22" t="n">
        <f aca="false">H122+G123</f>
        <v>2.15057963043954</v>
      </c>
      <c r="I123" s="22" t="n">
        <f aca="false">D123-E123</f>
        <v>2.6238311533166</v>
      </c>
      <c r="J123" s="22" t="n">
        <f aca="false">J122+I123</f>
        <v>1.65050251321493</v>
      </c>
      <c r="K123" s="22" t="n">
        <f aca="false">K122+D123</f>
        <v>7.45167654600001</v>
      </c>
    </row>
    <row r="124" customFormat="false" ht="15" hidden="false" customHeight="false" outlineLevel="0" collapsed="false">
      <c r="A124" s="10" t="n">
        <v>-1</v>
      </c>
      <c r="B124" s="8" t="n">
        <v>41491</v>
      </c>
      <c r="C124" s="15" t="n">
        <v>1.35912216499</v>
      </c>
      <c r="D124" s="22" t="n">
        <f aca="false">100*(C124-C123)</f>
        <v>5.952644002</v>
      </c>
      <c r="E124" s="23" t="n">
        <f aca="false">'A1 control'!AL258</f>
        <v>3.9622012902055</v>
      </c>
      <c r="F124" s="10" t="n">
        <v>0</v>
      </c>
      <c r="G124" s="22" t="n">
        <f aca="false">D124-$B$137*E124</f>
        <v>2.33199533336244</v>
      </c>
      <c r="H124" s="22" t="n">
        <f aca="false">H123+G124</f>
        <v>4.48257496380198</v>
      </c>
      <c r="I124" s="22" t="n">
        <f aca="false">D124-E124</f>
        <v>1.99044271179449</v>
      </c>
      <c r="J124" s="22" t="n">
        <f aca="false">J123+I124</f>
        <v>3.64094522500942</v>
      </c>
      <c r="K124" s="22" t="n">
        <f aca="false">K123+D124</f>
        <v>13.404320548</v>
      </c>
    </row>
    <row r="125" customFormat="false" ht="15" hidden="false" customHeight="false" outlineLevel="0" collapsed="false">
      <c r="A125" s="10" t="n">
        <v>0</v>
      </c>
      <c r="B125" s="8" t="n">
        <v>41492</v>
      </c>
      <c r="C125" s="15" t="n">
        <v>1.36870448403</v>
      </c>
      <c r="D125" s="22" t="n">
        <f aca="false">100*(C125-C124)</f>
        <v>0.958231903999995</v>
      </c>
      <c r="E125" s="23" t="n">
        <f aca="false">'A1 control'!AL259</f>
        <v>-0.150771876728817</v>
      </c>
      <c r="F125" s="10" t="n">
        <v>0</v>
      </c>
      <c r="G125" s="22" t="n">
        <f aca="false">D125-$B$137*E125</f>
        <v>1.09600683131013</v>
      </c>
      <c r="H125" s="22" t="n">
        <f aca="false">H124+G125</f>
        <v>5.57858179511211</v>
      </c>
      <c r="I125" s="22" t="n">
        <f aca="false">D125-E125</f>
        <v>1.10900378072881</v>
      </c>
      <c r="J125" s="22" t="n">
        <f aca="false">J124+I125</f>
        <v>4.74994900573824</v>
      </c>
      <c r="K125" s="22" t="n">
        <f aca="false">K124+D125</f>
        <v>14.362552452</v>
      </c>
    </row>
    <row r="126" customFormat="false" ht="15" hidden="false" customHeight="false" outlineLevel="0" collapsed="false">
      <c r="A126" s="10" t="n">
        <v>1</v>
      </c>
      <c r="B126" s="8" t="n">
        <v>41493</v>
      </c>
      <c r="C126" s="15" t="n">
        <v>1.38440734559</v>
      </c>
      <c r="D126" s="22" t="n">
        <f aca="false">100*(C126-C125)</f>
        <v>1.57028615599999</v>
      </c>
      <c r="E126" s="23" t="n">
        <f aca="false">'A1 control'!AL260</f>
        <v>0.219670619442546</v>
      </c>
      <c r="F126" s="10" t="n">
        <v>0</v>
      </c>
      <c r="G126" s="22" t="n">
        <f aca="false">D126-$B$137*E126</f>
        <v>1.36955174662267</v>
      </c>
      <c r="H126" s="22" t="n">
        <f aca="false">H125+G126</f>
        <v>6.94813354173478</v>
      </c>
      <c r="I126" s="22" t="n">
        <f aca="false">D126-E126</f>
        <v>1.35061553655744</v>
      </c>
      <c r="J126" s="22" t="n">
        <f aca="false">J125+I126</f>
        <v>6.10056454229568</v>
      </c>
      <c r="K126" s="22" t="n">
        <f aca="false">K125+D126</f>
        <v>15.932838608</v>
      </c>
    </row>
    <row r="127" customFormat="false" ht="15" hidden="false" customHeight="false" outlineLevel="0" collapsed="false">
      <c r="A127" s="10" t="n">
        <v>2</v>
      </c>
      <c r="B127" s="8" t="n">
        <v>41494</v>
      </c>
      <c r="C127" s="15" t="n">
        <v>1.37359459157</v>
      </c>
      <c r="D127" s="22" t="n">
        <f aca="false">100*(C127-C126)</f>
        <v>-1.08127540199998</v>
      </c>
      <c r="E127" s="23" t="n">
        <f aca="false">'A1 control'!AL261</f>
        <v>1.24693526354649</v>
      </c>
      <c r="F127" s="10" t="n">
        <v>0</v>
      </c>
      <c r="G127" s="22" t="n">
        <f aca="false">D127-$B$137*E127</f>
        <v>-2.22072142484519</v>
      </c>
      <c r="H127" s="22" t="n">
        <f aca="false">H126+G127</f>
        <v>4.72741211688959</v>
      </c>
      <c r="I127" s="22" t="n">
        <f aca="false">D127-E127</f>
        <v>-2.32821066554647</v>
      </c>
      <c r="J127" s="22" t="n">
        <f aca="false">J126+I127</f>
        <v>3.77235387674921</v>
      </c>
      <c r="K127" s="22" t="n">
        <f aca="false">K126+D127</f>
        <v>14.851563206</v>
      </c>
    </row>
    <row r="128" customFormat="false" ht="15" hidden="false" customHeight="false" outlineLevel="0" collapsed="false">
      <c r="A128" s="10" t="n">
        <v>3</v>
      </c>
      <c r="B128" s="8" t="n">
        <v>41495</v>
      </c>
      <c r="C128" s="15" t="n">
        <v>1.34892232242</v>
      </c>
      <c r="D128" s="22" t="n">
        <f aca="false">100*(C128-C127)</f>
        <v>-2.46722691500001</v>
      </c>
      <c r="E128" s="23" t="n">
        <f aca="false">'A1 control'!AL262</f>
        <v>-1.1079932878592</v>
      </c>
      <c r="F128" s="10" t="n">
        <v>0</v>
      </c>
      <c r="G128" s="22" t="n">
        <f aca="false">D128-$B$137*E128</f>
        <v>-1.45474568834867</v>
      </c>
      <c r="H128" s="22" t="n">
        <f aca="false">H127+G128</f>
        <v>3.27266642854092</v>
      </c>
      <c r="I128" s="22" t="n">
        <f aca="false">D128-E128</f>
        <v>-1.35923362714081</v>
      </c>
      <c r="J128" s="22" t="n">
        <f aca="false">J127+I128</f>
        <v>2.4131202496084</v>
      </c>
      <c r="K128" s="22" t="n">
        <f aca="false">K127+D128</f>
        <v>12.384336291</v>
      </c>
    </row>
    <row r="129" customFormat="false" ht="15" hidden="false" customHeight="false" outlineLevel="0" collapsed="false">
      <c r="A129" s="10" t="n">
        <v>4</v>
      </c>
      <c r="B129" s="8" t="n">
        <v>41498</v>
      </c>
      <c r="C129" s="15" t="n">
        <v>1.36448333252</v>
      </c>
      <c r="D129" s="22" t="n">
        <f aca="false">100*(C129-C128)</f>
        <v>1.55610101000001</v>
      </c>
      <c r="E129" s="23" t="n">
        <f aca="false">'A1 control'!AL263</f>
        <v>-0.0451239603754163</v>
      </c>
      <c r="F129" s="10" t="n">
        <v>0</v>
      </c>
      <c r="G129" s="22" t="n">
        <f aca="false">D129-$B$137*E129</f>
        <v>1.59733516119288</v>
      </c>
      <c r="H129" s="22" t="n">
        <f aca="false">H128+G129</f>
        <v>4.87000158973379</v>
      </c>
      <c r="I129" s="22" t="n">
        <f aca="false">D129-E129</f>
        <v>1.60122497037543</v>
      </c>
      <c r="J129" s="22" t="n">
        <f aca="false">J128+I129</f>
        <v>4.01434521998383</v>
      </c>
      <c r="K129" s="22" t="n">
        <f aca="false">K128+D129</f>
        <v>13.940437301</v>
      </c>
    </row>
    <row r="130" customFormat="false" ht="15" hidden="false" customHeight="false" outlineLevel="0" collapsed="false">
      <c r="A130" s="10" t="n">
        <v>5</v>
      </c>
      <c r="B130" s="8" t="n">
        <v>41499</v>
      </c>
      <c r="C130" s="15" t="n">
        <v>1.47837881427</v>
      </c>
      <c r="D130" s="22" t="n">
        <f aca="false">100*(C130-C129)</f>
        <v>11.389548175</v>
      </c>
      <c r="E130" s="23" t="n">
        <f aca="false">'A1 control'!AL264</f>
        <v>10.5244170051891</v>
      </c>
      <c r="F130" s="10" t="n">
        <v>0</v>
      </c>
      <c r="G130" s="22" t="n">
        <f aca="false">D130-$B$137*E130</f>
        <v>1.77236478953701</v>
      </c>
      <c r="H130" s="22" t="n">
        <f aca="false">H129+G130</f>
        <v>6.64236637927081</v>
      </c>
      <c r="I130" s="22" t="n">
        <f aca="false">D130-E130</f>
        <v>0.865131169810912</v>
      </c>
      <c r="J130" s="22" t="n">
        <f aca="false">J129+I130</f>
        <v>4.87947638979474</v>
      </c>
      <c r="K130" s="22" t="n">
        <f aca="false">K129+D130</f>
        <v>25.329985476</v>
      </c>
    </row>
    <row r="131" customFormat="false" ht="15" hidden="false" customHeight="false" outlineLevel="0" collapsed="false">
      <c r="A131" s="10" t="n">
        <v>6</v>
      </c>
      <c r="B131" s="8" t="n">
        <v>41500</v>
      </c>
      <c r="C131" s="15" t="n">
        <v>1.52284579055</v>
      </c>
      <c r="D131" s="22" t="n">
        <f aca="false">100*(C131-C130)</f>
        <v>4.44669762799999</v>
      </c>
      <c r="E131" s="23" t="n">
        <f aca="false">'A1 control'!AL265</f>
        <v>4.38531950236474</v>
      </c>
      <c r="F131" s="10" t="n">
        <v>0</v>
      </c>
      <c r="G131" s="22" t="n">
        <f aca="false">D131-$B$137*E131</f>
        <v>0.439404697921784</v>
      </c>
      <c r="H131" s="22" t="n">
        <f aca="false">H130+G131</f>
        <v>7.08177107719259</v>
      </c>
      <c r="I131" s="22" t="n">
        <f aca="false">D131-E131</f>
        <v>0.0613781256352413</v>
      </c>
      <c r="J131" s="22" t="n">
        <f aca="false">J130+I131</f>
        <v>4.94085451542998</v>
      </c>
      <c r="K131" s="22" t="n">
        <f aca="false">K130+D131</f>
        <v>29.776683104</v>
      </c>
    </row>
    <row r="132" customFormat="false" ht="15" hidden="false" customHeight="false" outlineLevel="0" collapsed="false">
      <c r="A132" s="10" t="n">
        <v>7</v>
      </c>
      <c r="B132" s="8" t="n">
        <v>41501</v>
      </c>
      <c r="C132" s="15" t="n">
        <v>1.57619427402</v>
      </c>
      <c r="D132" s="22" t="n">
        <f aca="false">100*(C132-C131)</f>
        <v>5.334848347</v>
      </c>
      <c r="E132" s="23" t="n">
        <f aca="false">'A1 control'!AL266</f>
        <v>3.10305430276887</v>
      </c>
      <c r="F132" s="10" t="n">
        <v>0</v>
      </c>
      <c r="G132" s="22" t="n">
        <f aca="false">D132-$B$137*E132</f>
        <v>2.49928583840078</v>
      </c>
      <c r="H132" s="22" t="n">
        <f aca="false">H131+G132</f>
        <v>9.58105691559337</v>
      </c>
      <c r="I132" s="22" t="n">
        <f aca="false">D132-E132</f>
        <v>2.23179404423113</v>
      </c>
      <c r="J132" s="22" t="n">
        <f aca="false">J131+I132</f>
        <v>7.17264855966111</v>
      </c>
      <c r="K132" s="22" t="n">
        <f aca="false">K131+D132</f>
        <v>35.111531451</v>
      </c>
    </row>
    <row r="133" customFormat="false" ht="15" hidden="false" customHeight="false" outlineLevel="0" collapsed="false">
      <c r="A133" s="10" t="n">
        <v>8</v>
      </c>
      <c r="B133" s="8" t="n">
        <v>41502</v>
      </c>
      <c r="C133" s="15" t="n">
        <v>1.58269914991</v>
      </c>
      <c r="D133" s="22" t="n">
        <f aca="false">100*(C133-C132)</f>
        <v>0.650487589000015</v>
      </c>
      <c r="E133" s="23" t="n">
        <f aca="false">'A1 control'!AL267</f>
        <v>0.802581905854121</v>
      </c>
      <c r="F133" s="10" t="n">
        <v>0</v>
      </c>
      <c r="G133" s="22" t="n">
        <f aca="false">D133-$B$137*E133</f>
        <v>-0.0829095546752884</v>
      </c>
      <c r="H133" s="22" t="n">
        <f aca="false">H132+G133</f>
        <v>9.49814736091809</v>
      </c>
      <c r="I133" s="22" t="n">
        <f aca="false">D133-E133</f>
        <v>-0.152094316854106</v>
      </c>
      <c r="J133" s="22" t="n">
        <f aca="false">J132+I133</f>
        <v>7.020554242807</v>
      </c>
      <c r="K133" s="22" t="n">
        <f aca="false">K132+D133</f>
        <v>35.76201904</v>
      </c>
    </row>
    <row r="134" customFormat="false" ht="15" hidden="false" customHeight="false" outlineLevel="0" collapsed="false">
      <c r="A134" s="10" t="n">
        <v>9</v>
      </c>
      <c r="B134" s="8" t="n">
        <v>41505</v>
      </c>
      <c r="C134" s="15" t="n">
        <v>1.61610599025</v>
      </c>
      <c r="D134" s="22" t="n">
        <f aca="false">100*(C134-C133)</f>
        <v>3.34068403399999</v>
      </c>
      <c r="E134" s="23" t="n">
        <f aca="false">'A1 control'!AL268</f>
        <v>1.8840764787654</v>
      </c>
      <c r="F134" s="10" t="n">
        <v>0</v>
      </c>
      <c r="G134" s="22" t="n">
        <f aca="false">D134-$B$137*E134</f>
        <v>1.61902011669318</v>
      </c>
      <c r="H134" s="22" t="n">
        <f aca="false">H133+G134</f>
        <v>11.1171674776113</v>
      </c>
      <c r="I134" s="22" t="n">
        <f aca="false">D134-E134</f>
        <v>1.45660755523458</v>
      </c>
      <c r="J134" s="22" t="n">
        <f aca="false">J133+I134</f>
        <v>8.47716179804159</v>
      </c>
      <c r="K134" s="22" t="n">
        <f aca="false">K133+D134</f>
        <v>39.102703074</v>
      </c>
    </row>
    <row r="135" customFormat="false" ht="15" hidden="false" customHeight="false" outlineLevel="0" collapsed="false">
      <c r="A135" s="10" t="n">
        <v>10</v>
      </c>
      <c r="B135" s="8" t="n">
        <v>41506</v>
      </c>
      <c r="C135" s="15" t="n">
        <v>1.53961224868</v>
      </c>
      <c r="D135" s="22" t="n">
        <f aca="false">100*(C135-C134)</f>
        <v>-7.649374157</v>
      </c>
      <c r="E135" s="23" t="n">
        <f aca="false">'A1 control'!AL269</f>
        <v>-5.33089647352771</v>
      </c>
      <c r="F135" s="10" t="n">
        <v>0</v>
      </c>
      <c r="G135" s="22" t="n">
        <f aca="false">D135-$B$137*E135</f>
        <v>-2.77801558487615</v>
      </c>
      <c r="H135" s="22" t="n">
        <f aca="false">H134+G135</f>
        <v>8.33915189273511</v>
      </c>
      <c r="I135" s="22" t="n">
        <f aca="false">D135-E135</f>
        <v>-2.31847768347229</v>
      </c>
      <c r="J135" s="22" t="n">
        <f aca="false">J134+I135</f>
        <v>6.15868411456929</v>
      </c>
      <c r="K135" s="22" t="n">
        <f aca="false">K134+D135</f>
        <v>31.453328917</v>
      </c>
    </row>
    <row r="137" customFormat="false" ht="15" hidden="false" customHeight="false" outlineLevel="0" collapsed="false">
      <c r="A137" s="7" t="s">
        <v>167</v>
      </c>
      <c r="B137" s="24" t="n">
        <f aca="false">SLOPE(D5:D104,E5:E104)</f>
        <v>0.913797256486627</v>
      </c>
    </row>
    <row r="138" customFormat="false" ht="15" hidden="false" customHeight="false" outlineLevel="0" collapsed="false">
      <c r="A138" s="7" t="s">
        <v>168</v>
      </c>
      <c r="B138" s="22" t="n">
        <f aca="false">INTERCEPT(D5:D104,E5:E104)</f>
        <v>-0.0353042881589493</v>
      </c>
    </row>
    <row r="139" customFormat="false" ht="15" hidden="false" customHeight="false" outlineLevel="0" collapsed="false">
      <c r="A139" s="7" t="s">
        <v>169</v>
      </c>
      <c r="B139" s="18" t="n">
        <f aca="false">RSQ(D5:D104,E5:E104)</f>
        <v>0.783262004636923</v>
      </c>
    </row>
    <row r="140" customFormat="false" ht="15" hidden="false" customHeight="false" outlineLevel="0" collapsed="false">
      <c r="A140" s="7" t="s">
        <v>170</v>
      </c>
      <c r="B140" s="19" t="n">
        <f aca="false">COUNT(D5:D104)</f>
        <v>100</v>
      </c>
    </row>
    <row r="141" customFormat="false" ht="15" hidden="false" customHeight="false" outlineLevel="0" collapsed="false">
      <c r="A141" s="7" t="s">
        <v>171</v>
      </c>
      <c r="B141" s="25" t="n">
        <v>0.913797256486627</v>
      </c>
    </row>
    <row r="143" customFormat="false" ht="26.85" hidden="false" customHeight="false" outlineLevel="0" collapsed="false">
      <c r="A143" s="3" t="s">
        <v>172</v>
      </c>
      <c r="B143" s="3" t="s">
        <v>173</v>
      </c>
      <c r="C143" s="3" t="s">
        <v>174</v>
      </c>
      <c r="D143" s="3" t="s">
        <v>175</v>
      </c>
      <c r="E143" s="3" t="s">
        <v>176</v>
      </c>
    </row>
    <row r="144" customFormat="false" ht="15" hidden="false" customHeight="false" outlineLevel="0" collapsed="false">
      <c r="A144" s="7" t="s">
        <v>177</v>
      </c>
      <c r="B144" s="17" t="n">
        <f aca="false">H124-H119</f>
        <v>4.48257496380198</v>
      </c>
      <c r="C144" s="18" t="n">
        <f aca="false">J124-J119</f>
        <v>3.64094522500942</v>
      </c>
      <c r="D144" s="18" t="n">
        <f aca="false">K124-K119</f>
        <v>13.404320548</v>
      </c>
      <c r="E144" s="9" t="n">
        <v>4.48257496380197</v>
      </c>
    </row>
    <row r="145" customFormat="false" ht="15" hidden="false" customHeight="false" outlineLevel="0" collapsed="false">
      <c r="A145" s="7" t="s">
        <v>178</v>
      </c>
      <c r="B145" s="17" t="n">
        <f aca="false">H125-H124</f>
        <v>1.09600683131013</v>
      </c>
      <c r="C145" s="18" t="n">
        <f aca="false">J125-J124</f>
        <v>1.10900378072881</v>
      </c>
      <c r="D145" s="18" t="n">
        <f aca="false">K125-K124</f>
        <v>0.958231903999995</v>
      </c>
      <c r="E145" s="9" t="n">
        <v>1.09600683131014</v>
      </c>
    </row>
    <row r="146" customFormat="false" ht="15" hidden="false" customHeight="false" outlineLevel="0" collapsed="false">
      <c r="A146" s="7" t="s">
        <v>179</v>
      </c>
      <c r="B146" s="17" t="n">
        <f aca="false">H130-H125</f>
        <v>1.0637845841587</v>
      </c>
      <c r="C146" s="18" t="n">
        <f aca="false">J130-J125</f>
        <v>0.129527384056505</v>
      </c>
      <c r="D146" s="18" t="n">
        <f aca="false">K130-K125</f>
        <v>10.967433024</v>
      </c>
      <c r="E146" s="9" t="n">
        <v>1.06378458415868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6" t="s">
        <v>180</v>
      </c>
    </row>
    <row r="3" customFormat="false" ht="15" hidden="false" customHeight="false" outlineLevel="0" collapsed="false">
      <c r="A3" s="7" t="s">
        <v>33</v>
      </c>
      <c r="B3" s="8" t="n">
        <v>40472</v>
      </c>
    </row>
    <row r="4" customFormat="false" ht="15" hidden="false" customHeight="false" outlineLevel="0" collapsed="false">
      <c r="A4" s="7" t="s">
        <v>34</v>
      </c>
      <c r="B4" s="8" t="n">
        <v>40473</v>
      </c>
    </row>
    <row r="5" customFormat="false" ht="15" hidden="false" customHeight="false" outlineLevel="0" collapsed="false">
      <c r="A5" s="7" t="s">
        <v>35</v>
      </c>
      <c r="B5" s="8" t="n">
        <v>40473</v>
      </c>
    </row>
    <row r="6" customFormat="false" ht="15" hidden="false" customHeight="false" outlineLevel="0" collapsed="false">
      <c r="A6" s="7" t="s">
        <v>36</v>
      </c>
      <c r="B6" s="8" t="n">
        <v>40471</v>
      </c>
    </row>
    <row r="7" customFormat="false" ht="15" hidden="false" customHeight="false" outlineLevel="0" collapsed="false">
      <c r="A7" s="7" t="s">
        <v>37</v>
      </c>
      <c r="B7" s="9" t="n">
        <v>3.75</v>
      </c>
    </row>
    <row r="8" customFormat="false" ht="15" hidden="false" customHeight="false" outlineLevel="0" collapsed="false">
      <c r="A8" s="7" t="s">
        <v>38</v>
      </c>
      <c r="B8" s="8" t="n">
        <v>44081</v>
      </c>
    </row>
    <row r="9" customFormat="false" ht="15" hidden="false" customHeight="false" outlineLevel="0" collapsed="false">
      <c r="A9" s="7" t="s">
        <v>39</v>
      </c>
      <c r="B9" s="8" t="n">
        <v>40339</v>
      </c>
    </row>
    <row r="10" customFormat="false" ht="15" hidden="false" customHeight="false" outlineLevel="0" collapsed="false">
      <c r="A10" s="7" t="s">
        <v>40</v>
      </c>
      <c r="B10" s="8" t="n">
        <v>40428</v>
      </c>
    </row>
    <row r="11" customFormat="false" ht="15" hidden="false" customHeight="false" outlineLevel="0" collapsed="false">
      <c r="A11" s="7" t="s">
        <v>41</v>
      </c>
      <c r="B11" s="10" t="s">
        <v>42</v>
      </c>
    </row>
    <row r="12" customFormat="false" ht="15" hidden="false" customHeight="false" outlineLevel="0" collapsed="false">
      <c r="A12" s="7" t="s">
        <v>43</v>
      </c>
      <c r="B12" s="11" t="n">
        <v>0.466160220994475</v>
      </c>
    </row>
    <row r="13" customFormat="false" ht="15" hidden="false" customHeight="false" outlineLevel="0" collapsed="false">
      <c r="A13" s="7" t="s">
        <v>44</v>
      </c>
      <c r="B13" s="11" t="n">
        <v>3.055442</v>
      </c>
    </row>
    <row r="14" customFormat="false" ht="15" hidden="false" customHeight="false" outlineLevel="0" collapsed="false">
      <c r="A14" s="7" t="s">
        <v>45</v>
      </c>
      <c r="B14" s="12" t="n">
        <v>25</v>
      </c>
    </row>
    <row r="15" customFormat="false" ht="15" hidden="false" customHeight="false" outlineLevel="0" collapsed="false">
      <c r="A15" s="7" t="s">
        <v>46</v>
      </c>
      <c r="B15" s="11" t="n">
        <v>4.36732118942586</v>
      </c>
    </row>
    <row r="16" customFormat="false" ht="15" hidden="false" customHeight="false" outlineLevel="0" collapsed="false">
      <c r="A16" s="7" t="s">
        <v>47</v>
      </c>
      <c r="B16" s="11" t="n">
        <v>4.71360043958617</v>
      </c>
    </row>
    <row r="19" customFormat="false" ht="39.55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58</v>
      </c>
      <c r="L19" s="3" t="s">
        <v>59</v>
      </c>
      <c r="M19" s="3" t="s">
        <v>60</v>
      </c>
      <c r="N19" s="3" t="s">
        <v>61</v>
      </c>
    </row>
    <row r="20" customFormat="false" ht="15" hidden="false" customHeight="false" outlineLevel="0" collapsed="false">
      <c r="A20" s="8" t="n">
        <v>40609</v>
      </c>
      <c r="B20" s="11" t="n">
        <v>1.875</v>
      </c>
      <c r="C20" s="13" t="n">
        <f aca="false">(A20-$B$5)/365.25</f>
        <v>0.372347707049966</v>
      </c>
      <c r="D20" s="11" t="n">
        <v>0.543134287861666</v>
      </c>
      <c r="E20" s="14" t="n">
        <f aca="false">EXP(-D20/100*C20)</f>
        <v>0.997979695500963</v>
      </c>
      <c r="F20" s="13" t="n">
        <f aca="false">B20*E20</f>
        <v>1.87121192906431</v>
      </c>
      <c r="G20" s="11" t="n">
        <v>0.751381215469613</v>
      </c>
      <c r="H20" s="14" t="n">
        <f aca="false">(1/(1+$B$44/200))^G20</f>
        <v>0.98875242729149</v>
      </c>
      <c r="I20" s="13" t="n">
        <f aca="false">B20*H20</f>
        <v>1.85391080117154</v>
      </c>
      <c r="J20" s="9" t="n">
        <v>0.333333</v>
      </c>
      <c r="K20" s="11" t="n">
        <v>0.54234810602933</v>
      </c>
      <c r="L20" s="9" t="n">
        <v>0.416667</v>
      </c>
      <c r="M20" s="11" t="n">
        <v>0.5449076953079</v>
      </c>
      <c r="N20" s="13" t="n">
        <f aca="false">IF(L20=J20,K20,K20+(M20-K20)*(C20-J20)/(L20-J20))</f>
        <v>0.54354643595315</v>
      </c>
    </row>
    <row r="21" customFormat="false" ht="15" hidden="false" customHeight="false" outlineLevel="0" collapsed="false">
      <c r="A21" s="8" t="n">
        <v>40793</v>
      </c>
      <c r="B21" s="11" t="n">
        <v>1.875</v>
      </c>
      <c r="C21" s="13" t="n">
        <f aca="false">(A21-$B$5)/365.25</f>
        <v>0.876112251882272</v>
      </c>
      <c r="D21" s="11" t="n">
        <v>0.567439607503757</v>
      </c>
      <c r="E21" s="14" t="n">
        <f aca="false">EXP(-D21/100*C21)</f>
        <v>0.995040929072451</v>
      </c>
      <c r="F21" s="13" t="n">
        <f aca="false">B21*E21</f>
        <v>1.86570174201085</v>
      </c>
      <c r="G21" s="11" t="n">
        <v>1.75138121546961</v>
      </c>
      <c r="H21" s="14" t="n">
        <f aca="false">(1/(1+$B$44/200))^G21</f>
        <v>0.973979209354446</v>
      </c>
      <c r="I21" s="13" t="n">
        <f aca="false">B21*H21</f>
        <v>1.82621101753959</v>
      </c>
      <c r="J21" s="9" t="n">
        <v>0.833333</v>
      </c>
      <c r="K21" s="11" t="n">
        <v>0.565596830633732</v>
      </c>
      <c r="L21" s="9" t="n">
        <v>0.916667</v>
      </c>
      <c r="M21" s="11" t="n">
        <v>0.5692981844729</v>
      </c>
      <c r="N21" s="13" t="n">
        <f aca="false">IF(L21=J21,K21,K21+(M21-K21)*(C21-J21)/(L21-J21))</f>
        <v>0.567496909211397</v>
      </c>
    </row>
    <row r="22" customFormat="false" ht="15" hidden="false" customHeight="false" outlineLevel="0" collapsed="false">
      <c r="A22" s="8" t="n">
        <v>40975</v>
      </c>
      <c r="B22" s="11" t="n">
        <v>1.875</v>
      </c>
      <c r="C22" s="13" t="n">
        <f aca="false">(A22-$B$5)/365.25</f>
        <v>1.37440109514032</v>
      </c>
      <c r="D22" s="11" t="n">
        <v>0.60768663380571</v>
      </c>
      <c r="E22" s="14" t="n">
        <f aca="false">EXP(-D22/100*C22)</f>
        <v>0.99168272973456</v>
      </c>
      <c r="F22" s="13" t="n">
        <f aca="false">B22*E22</f>
        <v>1.8594051182523</v>
      </c>
      <c r="G22" s="11" t="n">
        <v>2.75138121546961</v>
      </c>
      <c r="H22" s="14" t="n">
        <f aca="false">(1/(1+$B$44/200))^G22</f>
        <v>0.959426722069678</v>
      </c>
      <c r="I22" s="13" t="n">
        <f aca="false">B22*H22</f>
        <v>1.79892510388065</v>
      </c>
      <c r="J22" s="9" t="n">
        <v>1.333333</v>
      </c>
      <c r="K22" s="11" t="n">
        <v>0.602596277056083</v>
      </c>
      <c r="L22" s="9" t="n">
        <v>1.416667</v>
      </c>
      <c r="M22" s="11" t="n">
        <v>0.613285599114741</v>
      </c>
      <c r="N22" s="13" t="n">
        <f aca="false">IF(L22=J22,K22,K22+(M22-K22)*(C22-J22)/(L22-J22))</f>
        <v>0.607864116056856</v>
      </c>
    </row>
    <row r="23" customFormat="false" ht="15" hidden="false" customHeight="false" outlineLevel="0" collapsed="false">
      <c r="A23" s="8" t="n">
        <v>41159</v>
      </c>
      <c r="B23" s="11" t="n">
        <v>1.875</v>
      </c>
      <c r="C23" s="13" t="n">
        <f aca="false">(A23-$B$5)/365.25</f>
        <v>1.87816563997262</v>
      </c>
      <c r="D23" s="11" t="n">
        <v>0.69677248901239</v>
      </c>
      <c r="E23" s="14" t="n">
        <f aca="false">EXP(-D23/100*C23)</f>
        <v>0.986998714997153</v>
      </c>
      <c r="F23" s="13" t="n">
        <f aca="false">B23*E23</f>
        <v>1.85062259061966</v>
      </c>
      <c r="G23" s="11" t="n">
        <v>3.75138121546961</v>
      </c>
      <c r="H23" s="14" t="n">
        <f aca="false">(1/(1+$B$44/200))^G23</f>
        <v>0.945091667440699</v>
      </c>
      <c r="I23" s="13" t="n">
        <f aca="false">B23*H23</f>
        <v>1.77204687645131</v>
      </c>
      <c r="J23" s="9" t="n">
        <v>1.833333</v>
      </c>
      <c r="K23" s="11" t="n">
        <v>0.686998843744985</v>
      </c>
      <c r="L23" s="9" t="n">
        <v>1.916667</v>
      </c>
      <c r="M23" s="11" t="n">
        <v>0.705424518082437</v>
      </c>
      <c r="N23" s="13" t="n">
        <f aca="false">IF(L23=J23,K23,K23+(M23-K23)*(C23-J23)/(L23-J23))</f>
        <v>0.696911623928629</v>
      </c>
    </row>
    <row r="24" customFormat="false" ht="15" hidden="false" customHeight="false" outlineLevel="0" collapsed="false">
      <c r="A24" s="8" t="n">
        <v>41340</v>
      </c>
      <c r="B24" s="11" t="n">
        <v>1.875</v>
      </c>
      <c r="C24" s="13" t="n">
        <f aca="false">(A24-$B$5)/365.25</f>
        <v>2.37371663244353</v>
      </c>
      <c r="D24" s="11" t="n">
        <v>0.824324380402476</v>
      </c>
      <c r="E24" s="14" t="n">
        <f aca="false">EXP(-D24/100*C24)</f>
        <v>0.98062306873151</v>
      </c>
      <c r="F24" s="13" t="n">
        <f aca="false">B24*E24</f>
        <v>1.83866825387158</v>
      </c>
      <c r="G24" s="11" t="n">
        <v>4.75138121546961</v>
      </c>
      <c r="H24" s="14" t="n">
        <f aca="false">(1/(1+$B$44/200))^G24</f>
        <v>0.930970796747281</v>
      </c>
      <c r="I24" s="13" t="n">
        <f aca="false">B24*H24</f>
        <v>1.74557024390115</v>
      </c>
      <c r="J24" s="9" t="n">
        <v>2.333333</v>
      </c>
      <c r="K24" s="11" t="n">
        <v>0.812744792562516</v>
      </c>
      <c r="L24" s="9" t="n">
        <v>2.416667</v>
      </c>
      <c r="M24" s="11" t="n">
        <v>0.836838384989774</v>
      </c>
      <c r="N24" s="13" t="n">
        <f aca="false">IF(L24=J24,K24,K24+(M24-K24)*(C24-J24)/(L24-J24))</f>
        <v>0.824420540526452</v>
      </c>
    </row>
    <row r="25" customFormat="false" ht="15" hidden="false" customHeight="false" outlineLevel="0" collapsed="false">
      <c r="A25" s="8" t="n">
        <v>41524</v>
      </c>
      <c r="B25" s="11" t="n">
        <v>1.875</v>
      </c>
      <c r="C25" s="13" t="n">
        <f aca="false">(A25-$B$5)/365.25</f>
        <v>2.87748117727584</v>
      </c>
      <c r="D25" s="11" t="n">
        <v>0.981997783017861</v>
      </c>
      <c r="E25" s="14" t="n">
        <f aca="false">EXP(-D25/100*C25)</f>
        <v>0.972138688199085</v>
      </c>
      <c r="F25" s="13" t="n">
        <f aca="false">B25*E25</f>
        <v>1.82276004037328</v>
      </c>
      <c r="G25" s="11" t="n">
        <v>5.75138121546961</v>
      </c>
      <c r="H25" s="14" t="n">
        <f aca="false">(1/(1+$B$44/200))^G25</f>
        <v>0.917060909809207</v>
      </c>
      <c r="I25" s="13" t="n">
        <f aca="false">B25*H25</f>
        <v>1.71948920589226</v>
      </c>
      <c r="J25" s="9" t="n">
        <v>2.833333</v>
      </c>
      <c r="K25" s="11" t="n">
        <v>0.967350328236018</v>
      </c>
      <c r="L25" s="9" t="n">
        <v>2.916667</v>
      </c>
      <c r="M25" s="11" t="n">
        <v>0.995108239775723</v>
      </c>
      <c r="N25" s="13" t="n">
        <f aca="false">IF(L25=J25,K25,K25+(M25-K25)*(C25-J25)/(L25-J25))</f>
        <v>0.982055744986228</v>
      </c>
    </row>
    <row r="26" customFormat="false" ht="15" hidden="false" customHeight="false" outlineLevel="0" collapsed="false">
      <c r="A26" s="8" t="n">
        <v>41705</v>
      </c>
      <c r="B26" s="11" t="n">
        <v>1.875</v>
      </c>
      <c r="C26" s="13" t="n">
        <f aca="false">(A26-$B$5)/365.25</f>
        <v>3.37303216974675</v>
      </c>
      <c r="D26" s="11" t="n">
        <v>1.15391242011136</v>
      </c>
      <c r="E26" s="14" t="n">
        <f aca="false">EXP(-D26/100*C26)</f>
        <v>0.961825885269334</v>
      </c>
      <c r="F26" s="13" t="n">
        <f aca="false">B26*E26</f>
        <v>1.80342353488</v>
      </c>
      <c r="G26" s="11" t="n">
        <v>6.75138121546961</v>
      </c>
      <c r="H26" s="14" t="n">
        <f aca="false">(1/(1+$B$44/200))^G26</f>
        <v>0.903358854261018</v>
      </c>
      <c r="I26" s="13" t="n">
        <f aca="false">B26*H26</f>
        <v>1.69379785173941</v>
      </c>
      <c r="J26" s="9" t="n">
        <v>3.333333</v>
      </c>
      <c r="K26" s="11" t="n">
        <v>1.13973345147984</v>
      </c>
      <c r="L26" s="9" t="n">
        <v>3.416667</v>
      </c>
      <c r="M26" s="11" t="n">
        <v>1.16955913555547</v>
      </c>
      <c r="N26" s="13" t="n">
        <f aca="false">IF(L26=J26,K26,K26+(M26-K26)*(C26-J26)/(L26-J26))</f>
        <v>1.15394199655066</v>
      </c>
    </row>
    <row r="27" customFormat="false" ht="15" hidden="false" customHeight="false" outlineLevel="0" collapsed="false">
      <c r="A27" s="8" t="n">
        <v>41889</v>
      </c>
      <c r="B27" s="11" t="n">
        <v>1.875</v>
      </c>
      <c r="C27" s="13" t="n">
        <f aca="false">(A27-$B$5)/365.25</f>
        <v>3.87679671457906</v>
      </c>
      <c r="D27" s="11" t="n">
        <v>1.33746167761408</v>
      </c>
      <c r="E27" s="14" t="n">
        <f aca="false">EXP(-D27/100*C27)</f>
        <v>0.949470640350385</v>
      </c>
      <c r="F27" s="13" t="n">
        <f aca="false">B27*E27</f>
        <v>1.78025745065697</v>
      </c>
      <c r="G27" s="11" t="n">
        <v>7.75138121546961</v>
      </c>
      <c r="H27" s="14" t="n">
        <f aca="false">(1/(1+$B$44/200))^G27</f>
        <v>0.889861524837601</v>
      </c>
      <c r="I27" s="13" t="n">
        <f aca="false">B27*H27</f>
        <v>1.6684903590705</v>
      </c>
      <c r="J27" s="9" t="n">
        <v>3.833333</v>
      </c>
      <c r="K27" s="11" t="n">
        <v>1.32143731250948</v>
      </c>
      <c r="L27" s="9" t="n">
        <v>3.916667</v>
      </c>
      <c r="M27" s="11" t="n">
        <v>1.35218022809173</v>
      </c>
      <c r="N27" s="13" t="n">
        <f aca="false">IF(L27=J27,K27,K27+(M27-K27)*(C27-J27)/(L27-J27))</f>
        <v>1.33747159993352</v>
      </c>
    </row>
    <row r="28" customFormat="false" ht="15" hidden="false" customHeight="false" outlineLevel="0" collapsed="false">
      <c r="A28" s="8" t="n">
        <v>42070</v>
      </c>
      <c r="B28" s="11" t="n">
        <v>1.875</v>
      </c>
      <c r="C28" s="13" t="n">
        <f aca="false">(A28-$B$5)/365.25</f>
        <v>4.37234770704997</v>
      </c>
      <c r="D28" s="11" t="n">
        <v>1.52101433060689</v>
      </c>
      <c r="E28" s="14" t="n">
        <f aca="false">EXP(-D28/100*C28)</f>
        <v>0.935659140269286</v>
      </c>
      <c r="F28" s="13" t="n">
        <f aca="false">B28*E28</f>
        <v>1.75436088800491</v>
      </c>
      <c r="G28" s="11" t="n">
        <v>8.75138121546961</v>
      </c>
      <c r="H28" s="14" t="n">
        <f aca="false">(1/(1+$B$44/200))^G28</f>
        <v>0.876565862670452</v>
      </c>
      <c r="I28" s="13" t="n">
        <f aca="false">B28*H28</f>
        <v>1.6435609925071</v>
      </c>
      <c r="J28" s="9" t="n">
        <v>4.333333</v>
      </c>
      <c r="K28" s="11" t="n">
        <v>1.50655219337027</v>
      </c>
      <c r="L28" s="9" t="n">
        <v>4.416666</v>
      </c>
      <c r="M28" s="11" t="n">
        <v>1.53743552824986</v>
      </c>
      <c r="N28" s="13" t="n">
        <f aca="false">IF(L28=J28,K28,K28+(M28-K28)*(C28-J28)/(L28-J28))</f>
        <v>1.52101110236254</v>
      </c>
    </row>
    <row r="29" customFormat="false" ht="15" hidden="false" customHeight="false" outlineLevel="0" collapsed="false">
      <c r="A29" s="8" t="n">
        <v>42254</v>
      </c>
      <c r="B29" s="11" t="n">
        <v>1.875</v>
      </c>
      <c r="C29" s="13" t="n">
        <f aca="false">(A29-$B$5)/365.25</f>
        <v>4.87611225188227</v>
      </c>
      <c r="D29" s="11" t="n">
        <v>1.70677714129404</v>
      </c>
      <c r="E29" s="14" t="n">
        <f aca="false">EXP(-D29/100*C29)</f>
        <v>0.920144671842656</v>
      </c>
      <c r="F29" s="13" t="n">
        <f aca="false">B29*E29</f>
        <v>1.72527125970498</v>
      </c>
      <c r="G29" s="11" t="n">
        <v>9.75138121546961</v>
      </c>
      <c r="H29" s="14" t="n">
        <f aca="false">(1/(1+$B$44/200))^G29</f>
        <v>0.863468854594449</v>
      </c>
      <c r="I29" s="13" t="n">
        <f aca="false">B29*H29</f>
        <v>1.61900410236459</v>
      </c>
      <c r="J29" s="9" t="n">
        <v>4.833333</v>
      </c>
      <c r="K29" s="11" t="n">
        <v>1.69110659878805</v>
      </c>
      <c r="L29" s="9" t="n">
        <v>4.916666</v>
      </c>
      <c r="M29" s="11" t="n">
        <v>1.72160879118564</v>
      </c>
      <c r="N29" s="13" t="n">
        <f aca="false">IF(L29=J29,K29,K29+(M29-K29)*(C29-J29)/(L29-J29))</f>
        <v>1.70676499308008</v>
      </c>
    </row>
    <row r="30" customFormat="false" ht="15" hidden="false" customHeight="false" outlineLevel="0" collapsed="false">
      <c r="A30" s="8" t="n">
        <v>42436</v>
      </c>
      <c r="B30" s="11" t="n">
        <v>1.875</v>
      </c>
      <c r="C30" s="13" t="n">
        <f aca="false">(A30-$B$5)/365.25</f>
        <v>5.37440109514032</v>
      </c>
      <c r="D30" s="11" t="n">
        <v>1.88709366976611</v>
      </c>
      <c r="E30" s="14" t="n">
        <f aca="false">EXP(-D30/100*C30)</f>
        <v>0.903553476219902</v>
      </c>
      <c r="F30" s="13" t="n">
        <f aca="false">B30*E30</f>
        <v>1.69416276791232</v>
      </c>
      <c r="G30" s="11" t="n">
        <v>10.7513812154696</v>
      </c>
      <c r="H30" s="14" t="n">
        <f aca="false">(1/(1+$B$44/200))^G30</f>
        <v>0.850567532464989</v>
      </c>
      <c r="I30" s="13" t="n">
        <f aca="false">B30*H30</f>
        <v>1.59481412337185</v>
      </c>
      <c r="J30" s="9" t="n">
        <v>5</v>
      </c>
      <c r="K30" s="11" t="n">
        <v>1.75200910358794</v>
      </c>
      <c r="L30" s="9" t="n">
        <v>5.5</v>
      </c>
      <c r="M30" s="11" t="n">
        <v>1.93177796385147</v>
      </c>
      <c r="N30" s="13" t="n">
        <f aca="false">IF(L30=J30,K30,K30+(M30-K30)*(C30-J30)/(L30-J30))</f>
        <v>1.88662041989752</v>
      </c>
    </row>
    <row r="31" customFormat="false" ht="15" hidden="false" customHeight="false" outlineLevel="0" collapsed="false">
      <c r="A31" s="8" t="n">
        <v>42620</v>
      </c>
      <c r="B31" s="11" t="n">
        <v>1.875</v>
      </c>
      <c r="C31" s="13" t="n">
        <f aca="false">(A31-$B$5)/365.25</f>
        <v>5.87816563997262</v>
      </c>
      <c r="D31" s="11" t="n">
        <v>2.06405634764875</v>
      </c>
      <c r="E31" s="14" t="n">
        <f aca="false">EXP(-D31/100*C31)</f>
        <v>0.885742811476498</v>
      </c>
      <c r="F31" s="13" t="n">
        <f aca="false">B31*E31</f>
        <v>1.66076777151843</v>
      </c>
      <c r="G31" s="11" t="n">
        <v>11.7513812154696</v>
      </c>
      <c r="H31" s="14" t="n">
        <f aca="false">(1/(1+$B$44/200))^G31</f>
        <v>0.837858972485318</v>
      </c>
      <c r="I31" s="13" t="n">
        <f aca="false">B31*H31</f>
        <v>1.57098557340997</v>
      </c>
      <c r="J31" s="9" t="n">
        <v>5.5</v>
      </c>
      <c r="K31" s="11" t="n">
        <v>1.93177796385147</v>
      </c>
      <c r="L31" s="9" t="n">
        <v>6</v>
      </c>
      <c r="M31" s="11" t="n">
        <v>2.10588594947901</v>
      </c>
      <c r="N31" s="13" t="n">
        <f aca="false">IF(L31=J31,K31,K31+(M31-K31)*(C31-J31)/(L31-J31))</f>
        <v>2.06346127946983</v>
      </c>
    </row>
    <row r="32" customFormat="false" ht="15" hidden="false" customHeight="false" outlineLevel="0" collapsed="false">
      <c r="A32" s="8" t="n">
        <v>42801</v>
      </c>
      <c r="B32" s="11" t="n">
        <v>1.875</v>
      </c>
      <c r="C32" s="13" t="n">
        <f aca="false">(A32-$B$5)/365.25</f>
        <v>6.37371663244353</v>
      </c>
      <c r="D32" s="11" t="n">
        <v>2.2315623623885</v>
      </c>
      <c r="E32" s="14" t="n">
        <f aca="false">EXP(-D32/100*C32)</f>
        <v>0.867418724007751</v>
      </c>
      <c r="F32" s="13" t="n">
        <f aca="false">B32*E32</f>
        <v>1.62641010751453</v>
      </c>
      <c r="G32" s="11" t="n">
        <v>12.7513812154696</v>
      </c>
      <c r="H32" s="14" t="n">
        <f aca="false">(1/(1+$B$44/200))^G32</f>
        <v>0.825340294543925</v>
      </c>
      <c r="I32" s="13" t="n">
        <f aca="false">B32*H32</f>
        <v>1.54751305226986</v>
      </c>
      <c r="J32" s="9" t="n">
        <v>6</v>
      </c>
      <c r="K32" s="11" t="n">
        <v>2.10588594947901</v>
      </c>
      <c r="L32" s="9" t="n">
        <v>6.5</v>
      </c>
      <c r="M32" s="11" t="n">
        <v>2.27308578730797</v>
      </c>
      <c r="N32" s="13" t="n">
        <f aca="false">IF(L32=J32,K32,K32+(M32-K32)*(C32-J32)/(L32-J32))</f>
        <v>2.2308566701561</v>
      </c>
    </row>
    <row r="33" customFormat="false" ht="15" hidden="false" customHeight="false" outlineLevel="0" collapsed="false">
      <c r="A33" s="8" t="n">
        <v>42985</v>
      </c>
      <c r="B33" s="11" t="n">
        <v>1.875</v>
      </c>
      <c r="C33" s="13" t="n">
        <f aca="false">(A33-$B$5)/365.25</f>
        <v>6.87748117727584</v>
      </c>
      <c r="D33" s="11" t="n">
        <v>2.39418913595922</v>
      </c>
      <c r="E33" s="14" t="n">
        <f aca="false">EXP(-D33/100*C33)</f>
        <v>0.848182115694484</v>
      </c>
      <c r="F33" s="13" t="n">
        <f aca="false">B33*E33</f>
        <v>1.59034146692716</v>
      </c>
      <c r="G33" s="11" t="n">
        <v>13.7513812154696</v>
      </c>
      <c r="H33" s="14" t="n">
        <f aca="false">(1/(1+$B$44/200))^G33</f>
        <v>0.813008661561822</v>
      </c>
      <c r="I33" s="13" t="n">
        <f aca="false">B33*H33</f>
        <v>1.52439124042842</v>
      </c>
      <c r="J33" s="9" t="n">
        <v>6.5</v>
      </c>
      <c r="K33" s="11" t="n">
        <v>2.27308578730797</v>
      </c>
      <c r="L33" s="9" t="n">
        <v>7</v>
      </c>
      <c r="M33" s="11" t="n">
        <v>2.43249333918703</v>
      </c>
      <c r="N33" s="13" t="n">
        <f aca="false">IF(L33=J33,K33,K33+(M33-K33)*(C33-J33)/(L33-J33))</f>
        <v>2.3934324880079</v>
      </c>
    </row>
    <row r="34" customFormat="false" ht="15" hidden="false" customHeight="false" outlineLevel="0" collapsed="false">
      <c r="A34" s="8" t="n">
        <v>43166</v>
      </c>
      <c r="B34" s="11" t="n">
        <v>1.875</v>
      </c>
      <c r="C34" s="13" t="n">
        <f aca="false">(A34-$B$5)/365.25</f>
        <v>7.37303216974675</v>
      </c>
      <c r="D34" s="11" t="n">
        <v>2.54598595112518</v>
      </c>
      <c r="E34" s="14" t="n">
        <f aca="false">EXP(-D34/100*C34)</f>
        <v>0.828849766179434</v>
      </c>
      <c r="F34" s="13" t="n">
        <f aca="false">B34*E34</f>
        <v>1.55409331158644</v>
      </c>
      <c r="G34" s="11" t="n">
        <v>14.7513812154696</v>
      </c>
      <c r="H34" s="14" t="n">
        <f aca="false">(1/(1+$B$44/200))^G34</f>
        <v>0.800861278849591</v>
      </c>
      <c r="I34" s="13" t="n">
        <f aca="false">B34*H34</f>
        <v>1.50161489784298</v>
      </c>
      <c r="J34" s="9" t="n">
        <v>7</v>
      </c>
      <c r="K34" s="11" t="n">
        <v>2.43249333918703</v>
      </c>
      <c r="L34" s="9" t="n">
        <v>7.5</v>
      </c>
      <c r="M34" s="11" t="n">
        <v>2.58352133770493</v>
      </c>
      <c r="N34" s="13" t="n">
        <f aca="false">IF(L34=J34,K34,K34+(M34-K34)*(C34-J34)/(L34-J34))</f>
        <v>2.54516994314631</v>
      </c>
    </row>
    <row r="35" customFormat="false" ht="15" hidden="false" customHeight="false" outlineLevel="0" collapsed="false">
      <c r="A35" s="8" t="n">
        <v>43350</v>
      </c>
      <c r="B35" s="11" t="n">
        <v>1.875</v>
      </c>
      <c r="C35" s="13" t="n">
        <f aca="false">(A35-$B$5)/365.25</f>
        <v>7.87679671457906</v>
      </c>
      <c r="D35" s="11" t="n">
        <v>2.69158470123644</v>
      </c>
      <c r="E35" s="14" t="n">
        <f aca="false">EXP(-D35/100*C35)</f>
        <v>0.808956077837044</v>
      </c>
      <c r="F35" s="13" t="n">
        <f aca="false">B35*E35</f>
        <v>1.51679264594446</v>
      </c>
      <c r="G35" s="11" t="n">
        <v>15.7513812154696</v>
      </c>
      <c r="H35" s="14" t="n">
        <f aca="false">(1/(1+$B$44/200))^G35</f>
        <v>0.788895393474023</v>
      </c>
      <c r="I35" s="13" t="n">
        <f aca="false">B35*H35</f>
        <v>1.47917886276379</v>
      </c>
      <c r="J35" s="9" t="n">
        <v>7.5</v>
      </c>
      <c r="K35" s="11" t="n">
        <v>2.58352133770493</v>
      </c>
      <c r="L35" s="9" t="n">
        <v>8</v>
      </c>
      <c r="M35" s="11" t="n">
        <v>2.72583196431962</v>
      </c>
      <c r="N35" s="13" t="n">
        <f aca="false">IF(L35=J35,K35,K35+(M35-K35)*(C35-J35)/(L35-J35))</f>
        <v>2.69076569082113</v>
      </c>
    </row>
    <row r="36" customFormat="false" ht="15" hidden="false" customHeight="false" outlineLevel="0" collapsed="false">
      <c r="A36" s="8" t="n">
        <v>43531</v>
      </c>
      <c r="B36" s="11" t="n">
        <v>1.875</v>
      </c>
      <c r="C36" s="13" t="n">
        <f aca="false">(A36-$B$5)/365.25</f>
        <v>8.37234770704997</v>
      </c>
      <c r="D36" s="11" t="n">
        <v>2.82606638574187</v>
      </c>
      <c r="E36" s="14" t="n">
        <f aca="false">EXP(-D36/100*C36)</f>
        <v>0.789300550948492</v>
      </c>
      <c r="F36" s="13" t="n">
        <f aca="false">B36*E36</f>
        <v>1.47993853302842</v>
      </c>
      <c r="G36" s="11" t="n">
        <v>16.7513812154696</v>
      </c>
      <c r="H36" s="14" t="n">
        <f aca="false">(1/(1+$B$44/200))^G36</f>
        <v>0.777108293634231</v>
      </c>
      <c r="I36" s="13" t="n">
        <f aca="false">B36*H36</f>
        <v>1.45707805056418</v>
      </c>
      <c r="J36" s="9" t="n">
        <v>8</v>
      </c>
      <c r="K36" s="11" t="n">
        <v>2.72583196431962</v>
      </c>
      <c r="L36" s="9" t="n">
        <v>8.5</v>
      </c>
      <c r="M36" s="11" t="n">
        <v>2.85930175170458</v>
      </c>
      <c r="N36" s="13" t="n">
        <f aca="false">IF(L36=J36,K36,K36+(M36-K36)*(C36-J36)/(L36-J36))</f>
        <v>2.82522630290609</v>
      </c>
    </row>
    <row r="37" customFormat="false" ht="15" hidden="false" customHeight="false" outlineLevel="0" collapsed="false">
      <c r="A37" s="8" t="n">
        <v>43715</v>
      </c>
      <c r="B37" s="11" t="n">
        <v>1.875</v>
      </c>
      <c r="C37" s="13" t="n">
        <f aca="false">(A37-$B$5)/365.25</f>
        <v>8.87611225188227</v>
      </c>
      <c r="D37" s="11" t="n">
        <v>2.9538991886443</v>
      </c>
      <c r="E37" s="14" t="n">
        <f aca="false">EXP(-D37/100*C37)</f>
        <v>0.769363747397354</v>
      </c>
      <c r="F37" s="13" t="n">
        <f aca="false">B37*E37</f>
        <v>1.44255702637004</v>
      </c>
      <c r="G37" s="11" t="n">
        <v>17.7513812154696</v>
      </c>
      <c r="H37" s="14" t="n">
        <f aca="false">(1/(1+$B$44/200))^G37</f>
        <v>0.765497308047079</v>
      </c>
      <c r="I37" s="13" t="n">
        <f aca="false">B37*H37</f>
        <v>1.43530745258827</v>
      </c>
      <c r="J37" s="9" t="n">
        <v>8.5</v>
      </c>
      <c r="K37" s="11" t="n">
        <v>2.85930175170458</v>
      </c>
      <c r="L37" s="9" t="n">
        <v>9</v>
      </c>
      <c r="M37" s="11" t="n">
        <v>2.9839808833603</v>
      </c>
      <c r="N37" s="13" t="n">
        <f aca="false">IF(L37=J37,K37,K37+(M37-K37)*(C37-J37)/(L37-J37))</f>
        <v>2.9530884496441</v>
      </c>
    </row>
    <row r="38" customFormat="false" ht="15" hidden="false" customHeight="false" outlineLevel="0" collapsed="false">
      <c r="A38" s="8" t="n">
        <v>43897</v>
      </c>
      <c r="B38" s="11" t="n">
        <v>1.875</v>
      </c>
      <c r="C38" s="13" t="n">
        <f aca="false">(A38-$B$5)/365.25</f>
        <v>9.37440109514031</v>
      </c>
      <c r="D38" s="11" t="n">
        <v>3.07169510509357</v>
      </c>
      <c r="E38" s="14" t="n">
        <f aca="false">EXP(-D38/100*C38)</f>
        <v>0.74979681718753</v>
      </c>
      <c r="F38" s="13" t="n">
        <f aca="false">B38*E38</f>
        <v>1.40586903222662</v>
      </c>
      <c r="G38" s="11" t="n">
        <v>18.7513812154696</v>
      </c>
      <c r="H38" s="14" t="n">
        <f aca="false">(1/(1+$B$44/200))^G38</f>
        <v>0.754059805341798</v>
      </c>
      <c r="I38" s="13" t="n">
        <f aca="false">B38*H38</f>
        <v>1.41386213501587</v>
      </c>
      <c r="J38" s="9" t="n">
        <v>9</v>
      </c>
      <c r="K38" s="11" t="n">
        <v>2.9839808833603</v>
      </c>
      <c r="L38" s="9" t="n">
        <v>9.5</v>
      </c>
      <c r="M38" s="11" t="n">
        <v>3.10006030947718</v>
      </c>
      <c r="N38" s="13" t="n">
        <f aca="false">IF(L38=J38,K38,K38+(M38-K38)*(C38-J38)/(L38-J38))</f>
        <v>3.07090141188314</v>
      </c>
    </row>
    <row r="39" customFormat="false" ht="15" hidden="false" customHeight="false" outlineLevel="0" collapsed="false">
      <c r="A39" s="8" t="n">
        <v>44081</v>
      </c>
      <c r="B39" s="11" t="n">
        <v>101.875</v>
      </c>
      <c r="C39" s="13" t="n">
        <f aca="false">(A39-$B$5)/365.25</f>
        <v>9.87816563997262</v>
      </c>
      <c r="D39" s="11" t="n">
        <v>3.18232405411362</v>
      </c>
      <c r="E39" s="14" t="n">
        <f aca="false">EXP(-D39/100*C39)</f>
        <v>0.730259563743961</v>
      </c>
      <c r="F39" s="13" t="n">
        <f aca="false">B39*E39</f>
        <v>74.395193056416</v>
      </c>
      <c r="G39" s="11" t="n">
        <v>19.7513812154696</v>
      </c>
      <c r="H39" s="14" t="n">
        <f aca="false">(1/(1+$B$44/200))^G39</f>
        <v>0.74279319346364</v>
      </c>
      <c r="I39" s="13" t="n">
        <f aca="false">B39*H39</f>
        <v>75.6720565841083</v>
      </c>
      <c r="J39" s="9" t="n">
        <v>9.5</v>
      </c>
      <c r="K39" s="11" t="n">
        <v>3.10006030947718</v>
      </c>
      <c r="L39" s="9" t="n">
        <v>10</v>
      </c>
      <c r="M39" s="11" t="n">
        <v>3.20784227707784</v>
      </c>
      <c r="N39" s="13" t="n">
        <f aca="false">IF(L39=J39,K39,K39+(M39-K39)*(C39-J39)/(L39-J39))</f>
        <v>3.1815791829876</v>
      </c>
    </row>
    <row r="41" customFormat="false" ht="15" hidden="false" customHeight="false" outlineLevel="0" collapsed="false">
      <c r="A41" s="7" t="s">
        <v>62</v>
      </c>
      <c r="B41" s="13" t="n">
        <f aca="false">SUM(F20:F39)</f>
        <v>106.537808526883</v>
      </c>
    </row>
    <row r="42" customFormat="false" ht="15" hidden="false" customHeight="false" outlineLevel="0" collapsed="false">
      <c r="A42" s="7" t="s">
        <v>63</v>
      </c>
      <c r="B42" s="13" t="n">
        <f aca="false">B12</f>
        <v>0.466160220994475</v>
      </c>
    </row>
    <row r="43" customFormat="false" ht="15" hidden="false" customHeight="false" outlineLevel="0" collapsed="false">
      <c r="A43" s="7" t="s">
        <v>64</v>
      </c>
      <c r="B43" s="13" t="n">
        <f aca="false">B41-B42</f>
        <v>106.071648305889</v>
      </c>
    </row>
    <row r="44" customFormat="false" ht="15" hidden="false" customHeight="false" outlineLevel="0" collapsed="false">
      <c r="A44" s="7" t="s">
        <v>65</v>
      </c>
      <c r="B44" s="15" t="n">
        <v>3.03357973048225</v>
      </c>
    </row>
    <row r="45" customFormat="false" ht="15" hidden="false" customHeight="false" outlineLevel="0" collapsed="false">
      <c r="A45" s="7" t="s">
        <v>66</v>
      </c>
      <c r="B45" s="13" t="n">
        <f aca="false">SUM(I20:I39)</f>
        <v>106.537808526882</v>
      </c>
    </row>
    <row r="46" customFormat="false" ht="15" hidden="false" customHeight="false" outlineLevel="0" collapsed="false">
      <c r="A46" s="7" t="s">
        <v>67</v>
      </c>
      <c r="B46" s="16" t="n">
        <f aca="false">B45-B41</f>
        <v>-1.64845914696343E-012</v>
      </c>
    </row>
    <row r="47" customFormat="false" ht="15" hidden="false" customHeight="false" outlineLevel="0" collapsed="false">
      <c r="A47" s="7" t="s">
        <v>68</v>
      </c>
      <c r="B47" s="17" t="n">
        <f aca="false">100*(B13-B44)</f>
        <v>2.18622695177504</v>
      </c>
    </row>
    <row r="48" customFormat="false" ht="15" hidden="false" customHeight="false" outlineLevel="0" collapsed="false">
      <c r="A48" s="7" t="s">
        <v>69</v>
      </c>
      <c r="B48" s="9" t="n">
        <v>2.18622695177499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6" t="s">
        <v>181</v>
      </c>
    </row>
    <row r="3" customFormat="false" ht="77.6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customFormat="false" ht="15" hidden="false" customHeight="false" outlineLevel="0" collapsed="false">
      <c r="A4" s="10" t="n">
        <v>-25</v>
      </c>
      <c r="B4" s="8" t="n">
        <v>40437</v>
      </c>
      <c r="C4" s="11" t="n">
        <v>3.247579</v>
      </c>
      <c r="D4" s="11" t="n">
        <v>3.204508356</v>
      </c>
      <c r="E4" s="18" t="str">
        <f aca="false">IF(F4=1,100*(C4-D4),"")</f>
        <v/>
      </c>
      <c r="F4" s="10" t="n">
        <v>0</v>
      </c>
      <c r="G4" s="10" t="s">
        <v>182</v>
      </c>
    </row>
    <row r="5" customFormat="false" ht="15" hidden="false" customHeight="false" outlineLevel="0" collapsed="false">
      <c r="A5" s="10" t="n">
        <v>-24</v>
      </c>
      <c r="B5" s="8" t="n">
        <v>40438</v>
      </c>
      <c r="C5" s="11" t="n">
        <v>3.233365</v>
      </c>
      <c r="D5" s="11" t="n">
        <v>3.189484877</v>
      </c>
      <c r="E5" s="18" t="str">
        <f aca="false">IF(F5=1,100*(C5-D5),"")</f>
        <v/>
      </c>
      <c r="F5" s="10" t="n">
        <v>0</v>
      </c>
      <c r="G5" s="10" t="s">
        <v>182</v>
      </c>
    </row>
    <row r="6" customFormat="false" ht="15" hidden="false" customHeight="false" outlineLevel="0" collapsed="false">
      <c r="A6" s="10" t="n">
        <v>-23</v>
      </c>
      <c r="B6" s="8" t="n">
        <v>40441</v>
      </c>
      <c r="C6" s="11" t="n">
        <v>3.258637</v>
      </c>
      <c r="D6" s="11" t="n">
        <v>3.217038189</v>
      </c>
      <c r="E6" s="18" t="str">
        <f aca="false">IF(F6=1,100*(C6-D6),"")</f>
        <v/>
      </c>
      <c r="F6" s="10" t="n">
        <v>0</v>
      </c>
      <c r="G6" s="10" t="s">
        <v>182</v>
      </c>
    </row>
    <row r="7" customFormat="false" ht="15" hidden="false" customHeight="false" outlineLevel="0" collapsed="false">
      <c r="A7" s="10" t="n">
        <v>-22</v>
      </c>
      <c r="B7" s="8" t="n">
        <v>40442</v>
      </c>
      <c r="C7" s="11" t="n">
        <v>3.221585</v>
      </c>
      <c r="D7" s="11" t="n">
        <v>3.179635892</v>
      </c>
      <c r="E7" s="18" t="str">
        <f aca="false">IF(F7=1,100*(C7-D7),"")</f>
        <v/>
      </c>
      <c r="F7" s="10" t="n">
        <v>0</v>
      </c>
      <c r="G7" s="10" t="s">
        <v>182</v>
      </c>
    </row>
    <row r="8" customFormat="false" ht="15" hidden="false" customHeight="false" outlineLevel="0" collapsed="false">
      <c r="A8" s="10" t="n">
        <v>-21</v>
      </c>
      <c r="B8" s="8" t="n">
        <v>40443</v>
      </c>
      <c r="C8" s="11" t="n">
        <v>3.073872</v>
      </c>
      <c r="D8" s="11" t="n">
        <v>3.029924565</v>
      </c>
      <c r="E8" s="18" t="str">
        <f aca="false">IF(F8=1,100*(C8-D8),"")</f>
        <v/>
      </c>
      <c r="F8" s="10" t="n">
        <v>0</v>
      </c>
      <c r="G8" s="10" t="s">
        <v>182</v>
      </c>
    </row>
    <row r="9" customFormat="false" ht="15" hidden="false" customHeight="false" outlineLevel="0" collapsed="false">
      <c r="A9" s="10" t="n">
        <v>-20</v>
      </c>
      <c r="B9" s="8" t="n">
        <v>40444</v>
      </c>
      <c r="C9" s="11" t="n">
        <v>3.058949</v>
      </c>
      <c r="D9" s="11" t="n">
        <v>3.008256937</v>
      </c>
      <c r="E9" s="18" t="str">
        <f aca="false">IF(F9=1,100*(C9-D9),"")</f>
        <v/>
      </c>
      <c r="F9" s="10" t="n">
        <v>0</v>
      </c>
      <c r="G9" s="10" t="s">
        <v>182</v>
      </c>
    </row>
    <row r="10" customFormat="false" ht="15" hidden="false" customHeight="false" outlineLevel="0" collapsed="false">
      <c r="A10" s="10" t="n">
        <v>-19</v>
      </c>
      <c r="B10" s="8" t="n">
        <v>40445</v>
      </c>
      <c r="C10" s="11" t="n">
        <v>3.154261</v>
      </c>
      <c r="D10" s="11" t="n">
        <v>3.096773762</v>
      </c>
      <c r="E10" s="18" t="n">
        <f aca="false">IF(F10=1,100*(C10-D10),"")</f>
        <v>5.74872379999998</v>
      </c>
      <c r="F10" s="10" t="n">
        <v>1</v>
      </c>
      <c r="G10" s="10"/>
    </row>
    <row r="11" customFormat="false" ht="15" hidden="false" customHeight="false" outlineLevel="0" collapsed="false">
      <c r="A11" s="10" t="n">
        <v>-18</v>
      </c>
      <c r="B11" s="8" t="n">
        <v>40448</v>
      </c>
      <c r="C11" s="11" t="n">
        <v>3.084436</v>
      </c>
      <c r="D11" s="11" t="n">
        <v>3.028688645</v>
      </c>
      <c r="E11" s="18" t="n">
        <f aca="false">IF(F11=1,100*(C11-D11),"")</f>
        <v>5.57473550000003</v>
      </c>
      <c r="F11" s="10" t="n">
        <v>1</v>
      </c>
      <c r="G11" s="10"/>
    </row>
    <row r="12" customFormat="false" ht="15" hidden="false" customHeight="false" outlineLevel="0" collapsed="false">
      <c r="A12" s="10" t="n">
        <v>-17</v>
      </c>
      <c r="B12" s="8" t="n">
        <v>40449</v>
      </c>
      <c r="C12" s="11" t="n">
        <v>3.041095</v>
      </c>
      <c r="D12" s="11" t="n">
        <v>2.986646148</v>
      </c>
      <c r="E12" s="18" t="n">
        <f aca="false">IF(F12=1,100*(C12-D12),"")</f>
        <v>5.44488519999997</v>
      </c>
      <c r="F12" s="10" t="n">
        <v>1</v>
      </c>
      <c r="G12" s="10"/>
    </row>
    <row r="13" customFormat="false" ht="15" hidden="false" customHeight="false" outlineLevel="0" collapsed="false">
      <c r="A13" s="10" t="n">
        <v>-16</v>
      </c>
      <c r="B13" s="8" t="n">
        <v>40450</v>
      </c>
      <c r="C13" s="11" t="n">
        <v>3.018266</v>
      </c>
      <c r="D13" s="11" t="n">
        <v>2.961364375</v>
      </c>
      <c r="E13" s="18" t="n">
        <f aca="false">IF(F13=1,100*(C13-D13),"")</f>
        <v>5.69016250000001</v>
      </c>
      <c r="F13" s="10" t="n">
        <v>1</v>
      </c>
      <c r="G13" s="10"/>
    </row>
    <row r="14" customFormat="false" ht="15" hidden="false" customHeight="false" outlineLevel="0" collapsed="false">
      <c r="A14" s="10" t="n">
        <v>-15</v>
      </c>
      <c r="B14" s="8" t="n">
        <v>40451</v>
      </c>
      <c r="C14" s="11" t="n">
        <v>3.058923</v>
      </c>
      <c r="D14" s="11" t="n">
        <v>3.002267752</v>
      </c>
      <c r="E14" s="18" t="n">
        <f aca="false">IF(F14=1,100*(C14-D14),"")</f>
        <v>5.66552480000002</v>
      </c>
      <c r="F14" s="10" t="n">
        <v>1</v>
      </c>
      <c r="G14" s="10"/>
    </row>
    <row r="15" customFormat="false" ht="15" hidden="false" customHeight="false" outlineLevel="0" collapsed="false">
      <c r="A15" s="10" t="n">
        <v>-14</v>
      </c>
      <c r="B15" s="8" t="n">
        <v>40452</v>
      </c>
      <c r="C15" s="11" t="n">
        <v>3.080056</v>
      </c>
      <c r="D15" s="11" t="n">
        <v>3.023568803</v>
      </c>
      <c r="E15" s="18" t="n">
        <f aca="false">IF(F15=1,100*(C15-D15),"")</f>
        <v>5.6487197</v>
      </c>
      <c r="F15" s="10" t="n">
        <v>1</v>
      </c>
      <c r="G15" s="10"/>
    </row>
    <row r="16" customFormat="false" ht="15" hidden="false" customHeight="false" outlineLevel="0" collapsed="false">
      <c r="A16" s="10" t="n">
        <v>-13</v>
      </c>
      <c r="B16" s="8" t="n">
        <v>40455</v>
      </c>
      <c r="C16" s="11" t="n">
        <v>3.035535</v>
      </c>
      <c r="D16" s="11" t="n">
        <v>2.982027354</v>
      </c>
      <c r="E16" s="18" t="n">
        <f aca="false">IF(F16=1,100*(C16-D16),"")</f>
        <v>5.35076459999999</v>
      </c>
      <c r="F16" s="10" t="n">
        <v>1</v>
      </c>
      <c r="G16" s="10"/>
    </row>
    <row r="17" customFormat="false" ht="15" hidden="false" customHeight="false" outlineLevel="0" collapsed="false">
      <c r="A17" s="10" t="n">
        <v>-12</v>
      </c>
      <c r="B17" s="8" t="n">
        <v>40456</v>
      </c>
      <c r="C17" s="11" t="n">
        <v>3.069478</v>
      </c>
      <c r="D17" s="11" t="n">
        <v>3.016287067</v>
      </c>
      <c r="E17" s="18" t="n">
        <f aca="false">IF(F17=1,100*(C17-D17),"")</f>
        <v>5.31909330000002</v>
      </c>
      <c r="F17" s="10" t="n">
        <v>1</v>
      </c>
      <c r="G17" s="10"/>
    </row>
    <row r="18" customFormat="false" ht="15" hidden="false" customHeight="false" outlineLevel="0" collapsed="false">
      <c r="A18" s="10" t="n">
        <v>-11</v>
      </c>
      <c r="B18" s="8" t="n">
        <v>40457</v>
      </c>
      <c r="C18" s="11" t="n">
        <v>3.001183</v>
      </c>
      <c r="D18" s="11" t="n">
        <v>2.948636537</v>
      </c>
      <c r="E18" s="18" t="n">
        <f aca="false">IF(F18=1,100*(C18-D18),"")</f>
        <v>5.25464630000001</v>
      </c>
      <c r="F18" s="10" t="n">
        <v>1</v>
      </c>
      <c r="G18" s="10"/>
    </row>
    <row r="19" customFormat="false" ht="15" hidden="false" customHeight="false" outlineLevel="0" collapsed="false">
      <c r="A19" s="10" t="n">
        <v>-10</v>
      </c>
      <c r="B19" s="8" t="n">
        <v>40458</v>
      </c>
      <c r="C19" s="11" t="n">
        <v>3.03275</v>
      </c>
      <c r="D19" s="11" t="n">
        <v>2.979211559</v>
      </c>
      <c r="E19" s="18" t="n">
        <f aca="false">IF(F19=1,100*(C19-D19),"")</f>
        <v>5.35384410000002</v>
      </c>
      <c r="F19" s="10" t="n">
        <v>1</v>
      </c>
      <c r="G19" s="10"/>
    </row>
    <row r="20" customFormat="false" ht="15" hidden="false" customHeight="false" outlineLevel="0" collapsed="false">
      <c r="A20" s="10" t="n">
        <v>-9</v>
      </c>
      <c r="B20" s="8" t="n">
        <v>40459</v>
      </c>
      <c r="C20" s="11" t="n">
        <v>2.966538</v>
      </c>
      <c r="D20" s="11" t="n">
        <v>2.913602207</v>
      </c>
      <c r="E20" s="18" t="n">
        <f aca="false">IF(F20=1,100*(C20-D20),"")</f>
        <v>5.29357930000001</v>
      </c>
      <c r="F20" s="10" t="n">
        <v>1</v>
      </c>
      <c r="G20" s="10"/>
    </row>
    <row r="21" customFormat="false" ht="15" hidden="false" customHeight="false" outlineLevel="0" collapsed="false">
      <c r="A21" s="10" t="n">
        <v>-8</v>
      </c>
      <c r="B21" s="8" t="n">
        <v>40462</v>
      </c>
      <c r="C21" s="11" t="n">
        <v>2.985569</v>
      </c>
      <c r="D21" s="11" t="n">
        <v>2.933375566</v>
      </c>
      <c r="E21" s="18" t="n">
        <f aca="false">IF(F21=1,100*(C21-D21),"")</f>
        <v>5.21934339999999</v>
      </c>
      <c r="F21" s="10" t="n">
        <v>1</v>
      </c>
      <c r="G21" s="10"/>
    </row>
    <row r="22" customFormat="false" ht="15" hidden="false" customHeight="false" outlineLevel="0" collapsed="false">
      <c r="A22" s="10" t="n">
        <v>-7</v>
      </c>
      <c r="B22" s="8" t="n">
        <v>40463</v>
      </c>
      <c r="C22" s="11" t="n">
        <v>2.952618</v>
      </c>
      <c r="D22" s="11" t="n">
        <v>2.897856978</v>
      </c>
      <c r="E22" s="18" t="n">
        <f aca="false">IF(F22=1,100*(C22-D22),"")</f>
        <v>5.47610220000001</v>
      </c>
      <c r="F22" s="10" t="n">
        <v>1</v>
      </c>
      <c r="G22" s="10"/>
    </row>
    <row r="23" customFormat="false" ht="15" hidden="false" customHeight="false" outlineLevel="0" collapsed="false">
      <c r="A23" s="10" t="n">
        <v>-6</v>
      </c>
      <c r="B23" s="8" t="n">
        <v>40464</v>
      </c>
      <c r="C23" s="11" t="n">
        <v>2.987469</v>
      </c>
      <c r="D23" s="11" t="n">
        <v>2.930290889</v>
      </c>
      <c r="E23" s="18" t="n">
        <f aca="false">IF(F23=1,100*(C23-D23),"")</f>
        <v>5.71781109999998</v>
      </c>
      <c r="F23" s="10" t="n">
        <v>1</v>
      </c>
      <c r="G23" s="10"/>
    </row>
    <row r="25" customFormat="false" ht="15" hidden="false" customHeight="false" outlineLevel="0" collapsed="false">
      <c r="A25" s="7" t="s">
        <v>78</v>
      </c>
      <c r="B25" s="19" t="n">
        <f aca="false">SUM(F4:F23)</f>
        <v>14</v>
      </c>
    </row>
    <row r="26" customFormat="false" ht="15" hidden="false" customHeight="false" outlineLevel="0" collapsed="false">
      <c r="A26" s="7" t="s">
        <v>79</v>
      </c>
      <c r="B26" s="18" t="n">
        <f aca="false">IF(B25&gt;=10,AVERAGEIF(F4:F23,1,E4:E23),"n/a")</f>
        <v>5.4827097</v>
      </c>
    </row>
    <row r="27" customFormat="false" ht="15" hidden="false" customHeight="false" outlineLevel="0" collapsed="false">
      <c r="A27" s="7" t="s">
        <v>80</v>
      </c>
      <c r="B27" s="18" t="n">
        <f aca="false">'A2 M1'!B47</f>
        <v>2.18622695177504</v>
      </c>
    </row>
    <row r="28" customFormat="false" ht="15" hidden="false" customHeight="false" outlineLevel="0" collapsed="false">
      <c r="A28" s="7" t="s">
        <v>81</v>
      </c>
      <c r="B28" s="17" t="n">
        <f aca="false">IF(B25&gt;=10,B27-B26,"n/a")</f>
        <v>-3.29648274822496</v>
      </c>
    </row>
    <row r="29" customFormat="false" ht="15" hidden="false" customHeight="false" outlineLevel="0" collapsed="false">
      <c r="A29" s="7" t="s">
        <v>82</v>
      </c>
      <c r="B29" s="9" t="n">
        <v>-3.29648275508214</v>
      </c>
    </row>
    <row r="30" customFormat="false" ht="15" hidden="false" customHeight="false" outlineLevel="0" collapsed="false">
      <c r="A30" s="7" t="s">
        <v>83</v>
      </c>
      <c r="B3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183</v>
      </c>
    </row>
    <row r="3" customFormat="false" ht="15" hidden="false" customHeight="false" outlineLevel="0" collapsed="false">
      <c r="A3" s="3" t="s">
        <v>85</v>
      </c>
      <c r="B3" s="3" t="s">
        <v>72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96</v>
      </c>
      <c r="N3" s="3" t="s">
        <v>97</v>
      </c>
      <c r="O3" s="3" t="s">
        <v>98</v>
      </c>
      <c r="P3" s="3" t="s">
        <v>99</v>
      </c>
      <c r="Q3" s="3" t="s">
        <v>100</v>
      </c>
      <c r="R3" s="3" t="s">
        <v>101</v>
      </c>
      <c r="S3" s="3" t="s">
        <v>102</v>
      </c>
      <c r="T3" s="3" t="s">
        <v>103</v>
      </c>
      <c r="U3" s="3" t="s">
        <v>104</v>
      </c>
      <c r="V3" s="3" t="s">
        <v>105</v>
      </c>
      <c r="W3" s="3" t="s">
        <v>106</v>
      </c>
      <c r="X3" s="3" t="s">
        <v>107</v>
      </c>
      <c r="Y3" s="3" t="s">
        <v>108</v>
      </c>
      <c r="Z3" s="3" t="s">
        <v>109</v>
      </c>
      <c r="AA3" s="3" t="s">
        <v>110</v>
      </c>
      <c r="AB3" s="3" t="s">
        <v>111</v>
      </c>
      <c r="AC3" s="3" t="s">
        <v>112</v>
      </c>
      <c r="AD3" s="3" t="s">
        <v>113</v>
      </c>
      <c r="AE3" s="3" t="s">
        <v>114</v>
      </c>
      <c r="AF3" s="3" t="s">
        <v>115</v>
      </c>
      <c r="AG3" s="3" t="s">
        <v>116</v>
      </c>
      <c r="AH3" s="3" t="s">
        <v>117</v>
      </c>
      <c r="AI3" s="3" t="s">
        <v>118</v>
      </c>
      <c r="AJ3" s="3" t="s">
        <v>119</v>
      </c>
      <c r="AK3" s="3" t="s">
        <v>120</v>
      </c>
    </row>
    <row r="4" customFormat="false" ht="15" hidden="false" customHeight="false" outlineLevel="0" collapsed="false">
      <c r="A4" s="10" t="n">
        <v>-121</v>
      </c>
      <c r="B4" s="8" t="n">
        <v>40298</v>
      </c>
      <c r="C4" s="11" t="n">
        <v>1.25801218603696</v>
      </c>
      <c r="D4" s="11" t="n">
        <v>1.55359768945001</v>
      </c>
      <c r="E4" s="11" t="n">
        <v>1.8302587658798</v>
      </c>
      <c r="F4" s="11" t="n">
        <v>2.08724357128065</v>
      </c>
      <c r="G4" s="11" t="n">
        <v>2.32583966368112</v>
      </c>
      <c r="H4" s="11" t="n">
        <v>2.54748945863167</v>
      </c>
      <c r="I4" s="11" t="n">
        <v>2.75342953326569</v>
      </c>
      <c r="J4" s="11" t="n">
        <v>2.94465667173422</v>
      </c>
      <c r="K4" s="11" t="n">
        <v>3.12195805450605</v>
      </c>
      <c r="L4" s="11" t="n">
        <v>3.28597110343222</v>
      </c>
      <c r="M4" s="11" t="n">
        <v>4.44260273599083</v>
      </c>
      <c r="N4" s="11" t="n">
        <v>4.47650232999317</v>
      </c>
      <c r="O4" s="11" t="n">
        <v>4.50545763242491</v>
      </c>
      <c r="P4" s="11" t="n">
        <v>4.52999027697312</v>
      </c>
      <c r="Q4" s="11" t="n">
        <v>4.55060573235764</v>
      </c>
      <c r="R4" s="11" t="n">
        <v>4.56778688280111</v>
      </c>
      <c r="S4" s="11" t="n">
        <v>4.58197331175701</v>
      </c>
      <c r="T4" s="11" t="n">
        <v>4.59356075312243</v>
      </c>
      <c r="U4" s="11" t="n">
        <v>4.60290746730075</v>
      </c>
      <c r="V4" s="11" t="n">
        <v>4.61033959455786</v>
      </c>
      <c r="W4" s="11" t="n">
        <v>4.61615533388556</v>
      </c>
      <c r="X4" s="11" t="n">
        <v>4.62062028628027</v>
      </c>
      <c r="Y4" s="11" t="n">
        <v>4.62395569505816</v>
      </c>
      <c r="Z4" s="11" t="n">
        <v>4.62634238370319</v>
      </c>
      <c r="AA4" s="11" t="n">
        <v>4.62792876959606</v>
      </c>
      <c r="AB4" s="11" t="n">
        <v>4.62883543633423</v>
      </c>
      <c r="AC4" s="11" t="n">
        <v>4.62915844233392</v>
      </c>
      <c r="AD4" s="11" t="n">
        <v>4.62897193096681</v>
      </c>
      <c r="AE4" s="11" t="n">
        <v>4.62833012282103</v>
      </c>
      <c r="AF4" s="11" t="n">
        <v>4.62726948049187</v>
      </c>
      <c r="AG4" s="11" t="n">
        <v>4.6258127406836</v>
      </c>
      <c r="AH4" s="11" t="n">
        <v>4.62397471454227</v>
      </c>
      <c r="AI4" s="11" t="n">
        <v>4.62176407356012</v>
      </c>
      <c r="AJ4" s="11" t="n">
        <v>4.61918404046199</v>
      </c>
      <c r="AK4" s="11" t="n">
        <v>4.61623489075644</v>
      </c>
    </row>
    <row r="5" customFormat="false" ht="15" hidden="false" customHeight="false" outlineLevel="0" collapsed="false">
      <c r="A5" s="10" t="n">
        <v>-120</v>
      </c>
      <c r="B5" s="8" t="n">
        <v>40302</v>
      </c>
      <c r="C5" s="11" t="n">
        <v>1.2284250033467</v>
      </c>
      <c r="D5" s="11" t="n">
        <v>1.5187132022932</v>
      </c>
      <c r="E5" s="11" t="n">
        <v>1.79111866635239</v>
      </c>
      <c r="F5" s="11" t="n">
        <v>2.04420038173929</v>
      </c>
      <c r="G5" s="11" t="n">
        <v>2.27898362878027</v>
      </c>
      <c r="H5" s="11" t="n">
        <v>2.49684588565688</v>
      </c>
      <c r="I5" s="11" t="n">
        <v>2.69904857438702</v>
      </c>
      <c r="J5" s="11" t="n">
        <v>2.88664702424762</v>
      </c>
      <c r="K5" s="11" t="n">
        <v>3.06049458334228</v>
      </c>
      <c r="L5" s="11" t="n">
        <v>3.22128594063989</v>
      </c>
      <c r="M5" s="11" t="n">
        <v>4.35987440110711</v>
      </c>
      <c r="N5" s="11" t="n">
        <v>4.39362284213407</v>
      </c>
      <c r="O5" s="11" t="n">
        <v>4.42251787250829</v>
      </c>
      <c r="P5" s="11" t="n">
        <v>4.44707049056261</v>
      </c>
      <c r="Q5" s="11" t="n">
        <v>4.4677767498579</v>
      </c>
      <c r="R5" s="11" t="n">
        <v>4.48511111628909</v>
      </c>
      <c r="S5" s="11" t="n">
        <v>4.49950582510441</v>
      </c>
      <c r="T5" s="11" t="n">
        <v>4.51135032644563</v>
      </c>
      <c r="U5" s="11" t="n">
        <v>4.52099750884211</v>
      </c>
      <c r="V5" s="11" t="n">
        <v>4.52876892229835</v>
      </c>
      <c r="W5" s="11" t="n">
        <v>4.53495883832745</v>
      </c>
      <c r="X5" s="11" t="n">
        <v>4.53982938459898</v>
      </c>
      <c r="Y5" s="11" t="n">
        <v>4.54359869599926</v>
      </c>
      <c r="Z5" s="11" t="n">
        <v>4.5464448300754</v>
      </c>
      <c r="AA5" s="11" t="n">
        <v>4.54851367519441</v>
      </c>
      <c r="AB5" s="11" t="n">
        <v>4.54992347248142</v>
      </c>
      <c r="AC5" s="11" t="n">
        <v>4.55076810064388</v>
      </c>
      <c r="AD5" s="11" t="n">
        <v>4.55111962598963</v>
      </c>
      <c r="AE5" s="11" t="n">
        <v>4.55103020518992</v>
      </c>
      <c r="AF5" s="11" t="n">
        <v>4.55053423549972</v>
      </c>
      <c r="AG5" s="11" t="n">
        <v>4.54965241924737</v>
      </c>
      <c r="AH5" s="11" t="n">
        <v>4.54839757398779</v>
      </c>
      <c r="AI5" s="11" t="n">
        <v>4.54677640409934</v>
      </c>
      <c r="AJ5" s="11" t="n">
        <v>4.54479019109263</v>
      </c>
      <c r="AK5" s="11" t="n">
        <v>4.54243732455704</v>
      </c>
    </row>
    <row r="6" customFormat="false" ht="15" hidden="false" customHeight="false" outlineLevel="0" collapsed="false">
      <c r="A6" s="10" t="n">
        <v>-119</v>
      </c>
      <c r="B6" s="8" t="n">
        <v>40303</v>
      </c>
      <c r="C6" s="11" t="n">
        <v>1.20642340507398</v>
      </c>
      <c r="D6" s="11" t="n">
        <v>1.49479538306715</v>
      </c>
      <c r="E6" s="11" t="n">
        <v>1.76624655635669</v>
      </c>
      <c r="F6" s="11" t="n">
        <v>2.01896674141538</v>
      </c>
      <c r="G6" s="11" t="n">
        <v>2.25377170189469</v>
      </c>
      <c r="H6" s="11" t="n">
        <v>2.47189515792876</v>
      </c>
      <c r="I6" s="11" t="n">
        <v>2.67449105989775</v>
      </c>
      <c r="J6" s="11" t="n">
        <v>2.86253161158635</v>
      </c>
      <c r="K6" s="11" t="n">
        <v>3.03680743425945</v>
      </c>
      <c r="L6" s="11" t="n">
        <v>3.19796943287465</v>
      </c>
      <c r="M6" s="11" t="n">
        <v>4.33960725319989</v>
      </c>
      <c r="N6" s="11" t="n">
        <v>4.37409941275279</v>
      </c>
      <c r="O6" s="11" t="n">
        <v>4.40382694675561</v>
      </c>
      <c r="P6" s="11" t="n">
        <v>4.42928988149189</v>
      </c>
      <c r="Q6" s="11" t="n">
        <v>4.4509720431182</v>
      </c>
      <c r="R6" s="11" t="n">
        <v>4.46933506053667</v>
      </c>
      <c r="S6" s="11" t="n">
        <v>4.48479927529859</v>
      </c>
      <c r="T6" s="11" t="n">
        <v>4.49774354921066</v>
      </c>
      <c r="U6" s="11" t="n">
        <v>4.50851130299228</v>
      </c>
      <c r="V6" s="11" t="n">
        <v>4.51741557928798</v>
      </c>
      <c r="W6" s="11" t="n">
        <v>4.52474295975364</v>
      </c>
      <c r="X6" s="11" t="n">
        <v>4.53074849830494</v>
      </c>
      <c r="Y6" s="11" t="n">
        <v>4.53564382092947</v>
      </c>
      <c r="Z6" s="11" t="n">
        <v>4.53960112257434</v>
      </c>
      <c r="AA6" s="11" t="n">
        <v>4.54276116015449</v>
      </c>
      <c r="AB6" s="11" t="n">
        <v>4.54523771068626</v>
      </c>
      <c r="AC6" s="11" t="n">
        <v>4.54712077775204</v>
      </c>
      <c r="AD6" s="11" t="n">
        <v>4.54847911579684</v>
      </c>
      <c r="AE6" s="11" t="n">
        <v>4.54936216189813</v>
      </c>
      <c r="AF6" s="11" t="n">
        <v>4.54980214399274</v>
      </c>
      <c r="AG6" s="11" t="n">
        <v>4.54981810741304</v>
      </c>
      <c r="AH6" s="11" t="n">
        <v>4.54942166155239</v>
      </c>
      <c r="AI6" s="11" t="n">
        <v>4.54861868995573</v>
      </c>
      <c r="AJ6" s="11" t="n">
        <v>4.547410002793</v>
      </c>
      <c r="AK6" s="11" t="n">
        <v>4.54579384958961</v>
      </c>
    </row>
    <row r="7" customFormat="false" ht="15" hidden="false" customHeight="false" outlineLevel="0" collapsed="false">
      <c r="A7" s="10" t="n">
        <v>-118</v>
      </c>
      <c r="B7" s="8" t="n">
        <v>40304</v>
      </c>
      <c r="C7" s="11" t="n">
        <v>1.2164452775748</v>
      </c>
      <c r="D7" s="11" t="n">
        <v>1.50316538470065</v>
      </c>
      <c r="E7" s="11" t="n">
        <v>1.77246576047533</v>
      </c>
      <c r="F7" s="11" t="n">
        <v>2.02283631167491</v>
      </c>
      <c r="G7" s="11" t="n">
        <v>2.25522271029783</v>
      </c>
      <c r="H7" s="11" t="n">
        <v>2.47092056897584</v>
      </c>
      <c r="I7" s="11" t="n">
        <v>2.67111984705012</v>
      </c>
      <c r="J7" s="11" t="n">
        <v>2.85681948967693</v>
      </c>
      <c r="K7" s="11" t="n">
        <v>3.02883367785893</v>
      </c>
      <c r="L7" s="11" t="n">
        <v>3.18783265109991</v>
      </c>
      <c r="M7" s="11" t="n">
        <v>4.31156893176973</v>
      </c>
      <c r="N7" s="11" t="n">
        <v>4.34531293727286</v>
      </c>
      <c r="O7" s="11" t="n">
        <v>4.37435440959988</v>
      </c>
      <c r="P7" s="11" t="n">
        <v>4.3991878744205</v>
      </c>
      <c r="Q7" s="11" t="n">
        <v>4.42029168327372</v>
      </c>
      <c r="R7" s="11" t="n">
        <v>4.43812201169001</v>
      </c>
      <c r="S7" s="11" t="n">
        <v>4.45309404214523</v>
      </c>
      <c r="T7" s="11" t="n">
        <v>4.46558188715518</v>
      </c>
      <c r="U7" s="11" t="n">
        <v>4.47592457125355</v>
      </c>
      <c r="V7" s="11" t="n">
        <v>4.48443104356081</v>
      </c>
      <c r="W7" s="11" t="n">
        <v>4.49138404719859</v>
      </c>
      <c r="X7" s="11" t="n">
        <v>4.49703504309684</v>
      </c>
      <c r="Y7" s="11" t="n">
        <v>4.50159251953539</v>
      </c>
      <c r="Z7" s="11" t="n">
        <v>4.50522603936013</v>
      </c>
      <c r="AA7" s="11" t="n">
        <v>4.50807416798052</v>
      </c>
      <c r="AB7" s="11" t="n">
        <v>4.510248868741</v>
      </c>
      <c r="AC7" s="11" t="n">
        <v>4.51183866476893</v>
      </c>
      <c r="AD7" s="11" t="n">
        <v>4.51291114564979</v>
      </c>
      <c r="AE7" s="11" t="n">
        <v>4.51351491116696</v>
      </c>
      <c r="AF7" s="11" t="n">
        <v>4.51368165668687</v>
      </c>
      <c r="AG7" s="11" t="n">
        <v>4.51343018304552</v>
      </c>
      <c r="AH7" s="11" t="n">
        <v>4.51277209257799</v>
      </c>
      <c r="AI7" s="11" t="n">
        <v>4.51171345758026</v>
      </c>
      <c r="AJ7" s="11" t="n">
        <v>4.51025545460765</v>
      </c>
      <c r="AK7" s="11" t="n">
        <v>4.50839687834032</v>
      </c>
    </row>
    <row r="8" customFormat="false" ht="15" hidden="false" customHeight="false" outlineLevel="0" collapsed="false">
      <c r="A8" s="10" t="n">
        <v>-117</v>
      </c>
      <c r="B8" s="8" t="n">
        <v>40305</v>
      </c>
      <c r="C8" s="11" t="n">
        <v>1.23217205104681</v>
      </c>
      <c r="D8" s="11" t="n">
        <v>1.51833684210064</v>
      </c>
      <c r="E8" s="11" t="n">
        <v>1.787966934746</v>
      </c>
      <c r="F8" s="11" t="n">
        <v>2.03940971712948</v>
      </c>
      <c r="G8" s="11" t="n">
        <v>2.27345897660702</v>
      </c>
      <c r="H8" s="11" t="n">
        <v>2.49126817662976</v>
      </c>
      <c r="I8" s="11" t="n">
        <v>2.69389188743641</v>
      </c>
      <c r="J8" s="11" t="n">
        <v>2.88219518113198</v>
      </c>
      <c r="K8" s="11" t="n">
        <v>3.05686178223038</v>
      </c>
      <c r="L8" s="11" t="n">
        <v>3.21843836472721</v>
      </c>
      <c r="M8" s="11" t="n">
        <v>4.34717564113023</v>
      </c>
      <c r="N8" s="11" t="n">
        <v>4.37934094342414</v>
      </c>
      <c r="O8" s="11" t="n">
        <v>4.40668037989486</v>
      </c>
      <c r="P8" s="11" t="n">
        <v>4.42972111229014</v>
      </c>
      <c r="Q8" s="11" t="n">
        <v>4.44897263067817</v>
      </c>
      <c r="R8" s="11" t="n">
        <v>4.46491971426</v>
      </c>
      <c r="S8" s="11" t="n">
        <v>4.47800163224688</v>
      </c>
      <c r="T8" s="11" t="n">
        <v>4.48861234367827</v>
      </c>
      <c r="U8" s="11" t="n">
        <v>4.4971071055305</v>
      </c>
      <c r="V8" s="11" t="n">
        <v>4.50380800158297</v>
      </c>
      <c r="W8" s="11" t="n">
        <v>4.50900820530167</v>
      </c>
      <c r="X8" s="11" t="n">
        <v>4.51296682965832</v>
      </c>
      <c r="Y8" s="11" t="n">
        <v>4.51589739622302</v>
      </c>
      <c r="Z8" s="11" t="n">
        <v>4.51797241763692</v>
      </c>
      <c r="AA8" s="11" t="n">
        <v>4.5193316843477</v>
      </c>
      <c r="AB8" s="11" t="n">
        <v>4.52008686394172</v>
      </c>
      <c r="AC8" s="11" t="n">
        <v>4.52032484883874</v>
      </c>
      <c r="AD8" s="11" t="n">
        <v>4.52011058517065</v>
      </c>
      <c r="AE8" s="11" t="n">
        <v>4.51948946713388</v>
      </c>
      <c r="AF8" s="11" t="n">
        <v>4.51848957041963</v>
      </c>
      <c r="AG8" s="11" t="n">
        <v>4.51712597539933</v>
      </c>
      <c r="AH8" s="11" t="n">
        <v>4.51540683310534</v>
      </c>
      <c r="AI8" s="11" t="n">
        <v>4.51333504195905</v>
      </c>
      <c r="AJ8" s="11" t="n">
        <v>4.5109088630878</v>
      </c>
      <c r="AK8" s="11" t="n">
        <v>4.50812455876625</v>
      </c>
    </row>
    <row r="9" customFormat="false" ht="15" hidden="false" customHeight="false" outlineLevel="0" collapsed="false">
      <c r="A9" s="10" t="n">
        <v>-116</v>
      </c>
      <c r="B9" s="8" t="n">
        <v>40308</v>
      </c>
      <c r="C9" s="11" t="n">
        <v>1.27825447261038</v>
      </c>
      <c r="D9" s="11" t="n">
        <v>1.57370359126057</v>
      </c>
      <c r="E9" s="11" t="n">
        <v>1.85016804477525</v>
      </c>
      <c r="F9" s="11" t="n">
        <v>2.10686050461916</v>
      </c>
      <c r="G9" s="11" t="n">
        <v>2.34503121865185</v>
      </c>
      <c r="H9" s="11" t="n">
        <v>2.56609121765736</v>
      </c>
      <c r="I9" s="11" t="n">
        <v>2.77126471767374</v>
      </c>
      <c r="J9" s="11" t="n">
        <v>2.96155328553342</v>
      </c>
      <c r="K9" s="11" t="n">
        <v>3.13776005422598</v>
      </c>
      <c r="L9" s="11" t="n">
        <v>3.30053233388934</v>
      </c>
      <c r="M9" s="11" t="n">
        <v>4.43843825514498</v>
      </c>
      <c r="N9" s="11" t="n">
        <v>4.47161214628295</v>
      </c>
      <c r="O9" s="11" t="n">
        <v>4.50000053152396</v>
      </c>
      <c r="P9" s="11" t="n">
        <v>4.52411849444415</v>
      </c>
      <c r="Q9" s="11" t="n">
        <v>4.54446257299227</v>
      </c>
      <c r="R9" s="11" t="n">
        <v>4.56150433237684</v>
      </c>
      <c r="S9" s="11" t="n">
        <v>4.57567106918455</v>
      </c>
      <c r="T9" s="11" t="n">
        <v>4.58734630099262</v>
      </c>
      <c r="U9" s="11" t="n">
        <v>4.59687615511325</v>
      </c>
      <c r="V9" s="11" t="n">
        <v>4.60457471006014</v>
      </c>
      <c r="W9" s="11" t="n">
        <v>4.61072810543901</v>
      </c>
      <c r="X9" s="11" t="n">
        <v>4.61558952809188</v>
      </c>
      <c r="Y9" s="11" t="n">
        <v>4.61936819769622</v>
      </c>
      <c r="Z9" s="11" t="n">
        <v>4.62223385959049</v>
      </c>
      <c r="AA9" s="11" t="n">
        <v>4.62432476125215</v>
      </c>
      <c r="AB9" s="11" t="n">
        <v>4.62575207133265</v>
      </c>
      <c r="AC9" s="11" t="n">
        <v>4.62660310210015</v>
      </c>
      <c r="AD9" s="11" t="n">
        <v>4.62694400898877</v>
      </c>
      <c r="AE9" s="11" t="n">
        <v>4.62682205386425</v>
      </c>
      <c r="AF9" s="11" t="n">
        <v>4.62626775648517</v>
      </c>
      <c r="AG9" s="11" t="n">
        <v>4.62529907949933</v>
      </c>
      <c r="AH9" s="11" t="n">
        <v>4.62392724808255</v>
      </c>
      <c r="AI9" s="11" t="n">
        <v>4.6221583534752</v>
      </c>
      <c r="AJ9" s="11" t="n">
        <v>4.61999395535371</v>
      </c>
      <c r="AK9" s="11" t="n">
        <v>4.61743364980987</v>
      </c>
    </row>
    <row r="10" customFormat="false" ht="15" hidden="false" customHeight="false" outlineLevel="0" collapsed="false">
      <c r="A10" s="10" t="n">
        <v>-115</v>
      </c>
      <c r="B10" s="8" t="n">
        <v>40309</v>
      </c>
      <c r="C10" s="11" t="n">
        <v>1.27125180880942</v>
      </c>
      <c r="D10" s="11" t="n">
        <v>1.56102363879645</v>
      </c>
      <c r="E10" s="11" t="n">
        <v>1.83316968973113</v>
      </c>
      <c r="F10" s="11" t="n">
        <v>2.08635284714393</v>
      </c>
      <c r="G10" s="11" t="n">
        <v>2.32149327395955</v>
      </c>
      <c r="H10" s="11" t="n">
        <v>2.53984468793857</v>
      </c>
      <c r="I10" s="11" t="n">
        <v>2.74257301653193</v>
      </c>
      <c r="J10" s="11" t="n">
        <v>2.93067398882981</v>
      </c>
      <c r="K10" s="11" t="n">
        <v>3.10497507286453</v>
      </c>
      <c r="L10" s="11" t="n">
        <v>3.26616460210621</v>
      </c>
      <c r="M10" s="11" t="n">
        <v>4.4189960026592</v>
      </c>
      <c r="N10" s="11" t="n">
        <v>4.45507997034691</v>
      </c>
      <c r="O10" s="11" t="n">
        <v>4.48638052718501</v>
      </c>
      <c r="P10" s="11" t="n">
        <v>4.51336726508705</v>
      </c>
      <c r="Q10" s="11" t="n">
        <v>4.53649440556221</v>
      </c>
      <c r="R10" s="11" t="n">
        <v>4.5561954853124</v>
      </c>
      <c r="S10" s="11" t="n">
        <v>4.57286762714463</v>
      </c>
      <c r="T10" s="11" t="n">
        <v>4.58687204042384</v>
      </c>
      <c r="U10" s="11" t="n">
        <v>4.59853926412329</v>
      </c>
      <c r="V10" s="11" t="n">
        <v>4.60817354830901</v>
      </c>
      <c r="W10" s="11" t="n">
        <v>4.61605616915379</v>
      </c>
      <c r="X10" s="11" t="n">
        <v>4.62244005206251</v>
      </c>
      <c r="Y10" s="11" t="n">
        <v>4.62753886243433</v>
      </c>
      <c r="Z10" s="11" t="n">
        <v>4.63153081793864</v>
      </c>
      <c r="AA10" s="11" t="n">
        <v>4.6345656866138</v>
      </c>
      <c r="AB10" s="11" t="n">
        <v>4.63676873723083</v>
      </c>
      <c r="AC10" s="11" t="n">
        <v>4.63824364110994</v>
      </c>
      <c r="AD10" s="11" t="n">
        <v>4.63907453005571</v>
      </c>
      <c r="AE10" s="11" t="n">
        <v>4.63932736890235</v>
      </c>
      <c r="AF10" s="11" t="n">
        <v>4.6390518721259</v>
      </c>
      <c r="AG10" s="11" t="n">
        <v>4.63828516808844</v>
      </c>
      <c r="AH10" s="11" t="n">
        <v>4.63705669319828</v>
      </c>
      <c r="AI10" s="11" t="n">
        <v>4.63538969834388</v>
      </c>
      <c r="AJ10" s="11" t="n">
        <v>4.63330193576187</v>
      </c>
      <c r="AK10" s="11" t="n">
        <v>4.63080767619525</v>
      </c>
    </row>
    <row r="11" customFormat="false" ht="15" hidden="false" customHeight="false" outlineLevel="0" collapsed="false">
      <c r="A11" s="10" t="n">
        <v>-114</v>
      </c>
      <c r="B11" s="8" t="n">
        <v>40310</v>
      </c>
      <c r="C11" s="11" t="n">
        <v>1.1988084620231</v>
      </c>
      <c r="D11" s="11" t="n">
        <v>1.48561032999024</v>
      </c>
      <c r="E11" s="11" t="n">
        <v>1.75786530919208</v>
      </c>
      <c r="F11" s="11" t="n">
        <v>2.01285350779253</v>
      </c>
      <c r="G11" s="11" t="n">
        <v>2.25061756073504</v>
      </c>
      <c r="H11" s="11" t="n">
        <v>2.47187095604479</v>
      </c>
      <c r="I11" s="11" t="n">
        <v>2.6774742404376</v>
      </c>
      <c r="J11" s="11" t="n">
        <v>2.86827210593516</v>
      </c>
      <c r="K11" s="11" t="n">
        <v>3.04503293660157</v>
      </c>
      <c r="L11" s="11" t="n">
        <v>3.20843669740805</v>
      </c>
      <c r="M11" s="11" t="n">
        <v>4.38151381856066</v>
      </c>
      <c r="N11" s="11" t="n">
        <v>4.41930658276752</v>
      </c>
      <c r="O11" s="11" t="n">
        <v>4.45236872585733</v>
      </c>
      <c r="P11" s="11" t="n">
        <v>4.48116313280424</v>
      </c>
      <c r="Q11" s="11" t="n">
        <v>4.50613582842247</v>
      </c>
      <c r="R11" s="11" t="n">
        <v>4.52771097374443</v>
      </c>
      <c r="S11" s="11" t="n">
        <v>4.54627572209706</v>
      </c>
      <c r="T11" s="11" t="n">
        <v>4.5621809788993</v>
      </c>
      <c r="U11" s="11" t="n">
        <v>4.57574669658694</v>
      </c>
      <c r="V11" s="11" t="n">
        <v>4.58726629646737</v>
      </c>
      <c r="W11" s="11" t="n">
        <v>4.59701001057738</v>
      </c>
      <c r="X11" s="11" t="n">
        <v>4.6052195374473</v>
      </c>
      <c r="Y11" s="11" t="n">
        <v>4.61209734924678</v>
      </c>
      <c r="Z11" s="11" t="n">
        <v>4.6178107925753</v>
      </c>
      <c r="AA11" s="11" t="n">
        <v>4.62249940732607</v>
      </c>
      <c r="AB11" s="11" t="n">
        <v>4.62627885846005</v>
      </c>
      <c r="AC11" s="11" t="n">
        <v>4.62924377057932</v>
      </c>
      <c r="AD11" s="11" t="n">
        <v>4.6314699282155</v>
      </c>
      <c r="AE11" s="11" t="n">
        <v>4.63301596178296</v>
      </c>
      <c r="AF11" s="11" t="n">
        <v>4.63392523996631</v>
      </c>
      <c r="AG11" s="11" t="n">
        <v>4.63422964721537</v>
      </c>
      <c r="AH11" s="11" t="n">
        <v>4.63395472574544</v>
      </c>
      <c r="AI11" s="11" t="n">
        <v>4.63312110311479</v>
      </c>
      <c r="AJ11" s="11" t="n">
        <v>4.6317450665622</v>
      </c>
      <c r="AK11" s="11" t="n">
        <v>4.62984089124755</v>
      </c>
    </row>
    <row r="12" customFormat="false" ht="15" hidden="false" customHeight="false" outlineLevel="0" collapsed="false">
      <c r="A12" s="10" t="n">
        <v>-113</v>
      </c>
      <c r="B12" s="8" t="n">
        <v>40311</v>
      </c>
      <c r="C12" s="11" t="n">
        <v>1.1415517683556</v>
      </c>
      <c r="D12" s="11" t="n">
        <v>1.42058995735958</v>
      </c>
      <c r="E12" s="11" t="n">
        <v>1.69061773861076</v>
      </c>
      <c r="F12" s="11" t="n">
        <v>1.94716819294609</v>
      </c>
      <c r="G12" s="11" t="n">
        <v>2.18906016005097</v>
      </c>
      <c r="H12" s="11" t="n">
        <v>2.41613507618868</v>
      </c>
      <c r="I12" s="11" t="n">
        <v>2.6286026486967</v>
      </c>
      <c r="J12" s="11" t="n">
        <v>2.82680030232251</v>
      </c>
      <c r="K12" s="11" t="n">
        <v>3.01109519936838</v>
      </c>
      <c r="L12" s="11" t="n">
        <v>3.18185576755604</v>
      </c>
      <c r="M12" s="11" t="n">
        <v>4.40247502205182</v>
      </c>
      <c r="N12" s="11" t="n">
        <v>4.44105024564963</v>
      </c>
      <c r="O12" s="11" t="n">
        <v>4.47466127652683</v>
      </c>
      <c r="P12" s="11" t="n">
        <v>4.50379689173885</v>
      </c>
      <c r="Q12" s="11" t="n">
        <v>4.52892697689035</v>
      </c>
      <c r="R12" s="11" t="n">
        <v>4.55049758594694</v>
      </c>
      <c r="S12" s="11" t="n">
        <v>4.56891570394359</v>
      </c>
      <c r="T12" s="11" t="n">
        <v>4.58455027835588</v>
      </c>
      <c r="U12" s="11" t="n">
        <v>4.59773777828313</v>
      </c>
      <c r="V12" s="11" t="n">
        <v>4.60878683421639</v>
      </c>
      <c r="W12" s="11" t="n">
        <v>4.61798175064271</v>
      </c>
      <c r="X12" s="11" t="n">
        <v>4.62557722295113</v>
      </c>
      <c r="Y12" s="11" t="n">
        <v>4.63178780257708</v>
      </c>
      <c r="Z12" s="11" t="n">
        <v>4.63679208705469</v>
      </c>
      <c r="AA12" s="11" t="n">
        <v>4.64073998987359</v>
      </c>
      <c r="AB12" s="11" t="n">
        <v>4.64375674392784</v>
      </c>
      <c r="AC12" s="11" t="n">
        <v>4.64594582911544</v>
      </c>
      <c r="AD12" s="11" t="n">
        <v>4.64739118493423</v>
      </c>
      <c r="AE12" s="11" t="n">
        <v>4.64815885271991</v>
      </c>
      <c r="AF12" s="11" t="n">
        <v>4.64829892963709</v>
      </c>
      <c r="AG12" s="11" t="n">
        <v>4.64784941619957</v>
      </c>
      <c r="AH12" s="11" t="n">
        <v>4.64684136866348</v>
      </c>
      <c r="AI12" s="11" t="n">
        <v>4.64530036819882</v>
      </c>
      <c r="AJ12" s="11" t="n">
        <v>4.64324715314142</v>
      </c>
      <c r="AK12" s="11" t="n">
        <v>4.64069998228922</v>
      </c>
    </row>
    <row r="13" customFormat="false" ht="15" hidden="false" customHeight="false" outlineLevel="0" collapsed="false">
      <c r="A13" s="10" t="n">
        <v>-112</v>
      </c>
      <c r="B13" s="8" t="n">
        <v>40312</v>
      </c>
      <c r="C13" s="11" t="n">
        <v>1.08836794209102</v>
      </c>
      <c r="D13" s="11" t="n">
        <v>1.35010060150096</v>
      </c>
      <c r="E13" s="11" t="n">
        <v>1.60859598749969</v>
      </c>
      <c r="F13" s="11" t="n">
        <v>1.85778529238347</v>
      </c>
      <c r="G13" s="11" t="n">
        <v>2.09528620486323</v>
      </c>
      <c r="H13" s="11" t="n">
        <v>2.32010465250742</v>
      </c>
      <c r="I13" s="11" t="n">
        <v>2.53186378782174</v>
      </c>
      <c r="J13" s="11" t="n">
        <v>2.73047302401476</v>
      </c>
      <c r="K13" s="11" t="n">
        <v>2.91597679979998</v>
      </c>
      <c r="L13" s="11" t="n">
        <v>3.0884898611165</v>
      </c>
      <c r="M13" s="11" t="n">
        <v>4.3314361884152</v>
      </c>
      <c r="N13" s="11" t="n">
        <v>4.37072811531842</v>
      </c>
      <c r="O13" s="11" t="n">
        <v>4.40496155641743</v>
      </c>
      <c r="P13" s="11" t="n">
        <v>4.43464175463495</v>
      </c>
      <c r="Q13" s="11" t="n">
        <v>4.46025454938728</v>
      </c>
      <c r="R13" s="11" t="n">
        <v>4.4822606395795</v>
      </c>
      <c r="S13" s="11" t="n">
        <v>4.50107922193291</v>
      </c>
      <c r="T13" s="11" t="n">
        <v>4.51708924935785</v>
      </c>
      <c r="U13" s="11" t="n">
        <v>4.53063531762832</v>
      </c>
      <c r="V13" s="11" t="n">
        <v>4.54203257354431</v>
      </c>
      <c r="W13" s="11" t="n">
        <v>4.55157040969824</v>
      </c>
      <c r="X13" s="11" t="n">
        <v>4.55950692701137</v>
      </c>
      <c r="Y13" s="11" t="n">
        <v>4.56605842086757</v>
      </c>
      <c r="Z13" s="11" t="n">
        <v>4.57140409573042</v>
      </c>
      <c r="AA13" s="11" t="n">
        <v>4.575693783261</v>
      </c>
      <c r="AB13" s="11" t="n">
        <v>4.57905206207192</v>
      </c>
      <c r="AC13" s="11" t="n">
        <v>4.58158125848125</v>
      </c>
      <c r="AD13" s="11" t="n">
        <v>4.58336386910629</v>
      </c>
      <c r="AE13" s="11" t="n">
        <v>4.58446452403123</v>
      </c>
      <c r="AF13" s="11" t="n">
        <v>4.58493200444954</v>
      </c>
      <c r="AG13" s="11" t="n">
        <v>4.58480319434764</v>
      </c>
      <c r="AH13" s="11" t="n">
        <v>4.58410827538263</v>
      </c>
      <c r="AI13" s="11" t="n">
        <v>4.58287215212555</v>
      </c>
      <c r="AJ13" s="11" t="n">
        <v>4.58111507097242</v>
      </c>
      <c r="AK13" s="11" t="n">
        <v>4.57885503168032</v>
      </c>
    </row>
    <row r="14" customFormat="false" ht="15" hidden="false" customHeight="false" outlineLevel="0" collapsed="false">
      <c r="A14" s="10" t="n">
        <v>-111</v>
      </c>
      <c r="B14" s="8" t="n">
        <v>40315</v>
      </c>
      <c r="C14" s="11" t="n">
        <v>1.06101539529515</v>
      </c>
      <c r="D14" s="11" t="n">
        <v>1.32014108496528</v>
      </c>
      <c r="E14" s="11" t="n">
        <v>1.57709765196734</v>
      </c>
      <c r="F14" s="11" t="n">
        <v>1.82571805318988</v>
      </c>
      <c r="G14" s="11" t="n">
        <v>2.06349353938937</v>
      </c>
      <c r="H14" s="11" t="n">
        <v>2.28928829150247</v>
      </c>
      <c r="I14" s="11" t="n">
        <v>2.50257931789798</v>
      </c>
      <c r="J14" s="11" t="n">
        <v>2.70313440187073</v>
      </c>
      <c r="K14" s="11" t="n">
        <v>2.89086603103831</v>
      </c>
      <c r="L14" s="11" t="n">
        <v>3.06576810176904</v>
      </c>
      <c r="M14" s="11" t="n">
        <v>4.33075910693237</v>
      </c>
      <c r="N14" s="11" t="n">
        <v>4.37074361760816</v>
      </c>
      <c r="O14" s="11" t="n">
        <v>4.40556562036562</v>
      </c>
      <c r="P14" s="11" t="n">
        <v>4.4357425018927</v>
      </c>
      <c r="Q14" s="11" t="n">
        <v>4.46177239438657</v>
      </c>
      <c r="R14" s="11" t="n">
        <v>4.48412798869815</v>
      </c>
      <c r="S14" s="11" t="n">
        <v>4.50323950325118</v>
      </c>
      <c r="T14" s="11" t="n">
        <v>4.51949597966613</v>
      </c>
      <c r="U14" s="11" t="n">
        <v>4.53325130726326</v>
      </c>
      <c r="V14" s="11" t="n">
        <v>4.54482924481981</v>
      </c>
      <c r="W14" s="11" t="n">
        <v>4.55452718551489</v>
      </c>
      <c r="X14" s="11" t="n">
        <v>4.56261033071955</v>
      </c>
      <c r="Y14" s="11" t="n">
        <v>4.56930087586635</v>
      </c>
      <c r="Z14" s="11" t="n">
        <v>4.57478289062122</v>
      </c>
      <c r="AA14" s="11" t="n">
        <v>4.57921020720428</v>
      </c>
      <c r="AB14" s="11" t="n">
        <v>4.58271064502183</v>
      </c>
      <c r="AC14" s="11" t="n">
        <v>4.58538910145535</v>
      </c>
      <c r="AD14" s="11" t="n">
        <v>4.58733004670183</v>
      </c>
      <c r="AE14" s="11" t="n">
        <v>4.58859954853554</v>
      </c>
      <c r="AF14" s="11" t="n">
        <v>4.58924735229847</v>
      </c>
      <c r="AG14" s="11" t="n">
        <v>4.58931091999922</v>
      </c>
      <c r="AH14" s="11" t="n">
        <v>4.58882068163223</v>
      </c>
      <c r="AI14" s="11" t="n">
        <v>4.58780148746053</v>
      </c>
      <c r="AJ14" s="11" t="n">
        <v>4.58627326059256</v>
      </c>
      <c r="AK14" s="11" t="n">
        <v>4.58425346669181</v>
      </c>
    </row>
    <row r="15" customFormat="false" ht="15" hidden="false" customHeight="false" outlineLevel="0" collapsed="false">
      <c r="A15" s="10" t="n">
        <v>-110</v>
      </c>
      <c r="B15" s="8" t="n">
        <v>40316</v>
      </c>
      <c r="C15" s="11" t="n">
        <v>1.0761647079646</v>
      </c>
      <c r="D15" s="11" t="n">
        <v>1.33357372614414</v>
      </c>
      <c r="E15" s="11" t="n">
        <v>1.58896089024955</v>
      </c>
      <c r="F15" s="11" t="n">
        <v>1.83632730715866</v>
      </c>
      <c r="G15" s="11" t="n">
        <v>2.07314657778234</v>
      </c>
      <c r="H15" s="11" t="n">
        <v>2.29822429611438</v>
      </c>
      <c r="I15" s="11" t="n">
        <v>2.51097667893827</v>
      </c>
      <c r="J15" s="11" t="n">
        <v>2.71112432984966</v>
      </c>
      <c r="K15" s="11" t="n">
        <v>2.8985474686738</v>
      </c>
      <c r="L15" s="11" t="n">
        <v>3.07321516029251</v>
      </c>
      <c r="M15" s="11" t="n">
        <v>4.33735959526125</v>
      </c>
      <c r="N15" s="11" t="n">
        <v>4.37745271130746</v>
      </c>
      <c r="O15" s="11" t="n">
        <v>4.41241846648883</v>
      </c>
      <c r="P15" s="11" t="n">
        <v>4.44277579719596</v>
      </c>
      <c r="Q15" s="11" t="n">
        <v>4.46902443435971</v>
      </c>
      <c r="R15" s="11" t="n">
        <v>4.49163859366397</v>
      </c>
      <c r="S15" s="11" t="n">
        <v>4.51104995370944</v>
      </c>
      <c r="T15" s="11" t="n">
        <v>4.52764902798589</v>
      </c>
      <c r="U15" s="11" t="n">
        <v>4.54179118931863</v>
      </c>
      <c r="V15" s="11" t="n">
        <v>4.55380168996344</v>
      </c>
      <c r="W15" s="11" t="n">
        <v>4.56397940285789</v>
      </c>
      <c r="X15" s="11" t="n">
        <v>4.57259069026819</v>
      </c>
      <c r="Y15" s="11" t="n">
        <v>4.57985832515582</v>
      </c>
      <c r="Z15" s="11" t="n">
        <v>4.58596642139713</v>
      </c>
      <c r="AA15" s="11" t="n">
        <v>4.59106833539596</v>
      </c>
      <c r="AB15" s="11" t="n">
        <v>4.59529093749078</v>
      </c>
      <c r="AC15" s="11" t="n">
        <v>4.59873775598137</v>
      </c>
      <c r="AD15" s="11" t="n">
        <v>4.60149144919875</v>
      </c>
      <c r="AE15" s="11" t="n">
        <v>4.60361576111602</v>
      </c>
      <c r="AF15" s="11" t="n">
        <v>4.60515764251704</v>
      </c>
      <c r="AG15" s="11" t="n">
        <v>4.60615141989462</v>
      </c>
      <c r="AH15" s="11" t="n">
        <v>4.60662417100652</v>
      </c>
      <c r="AI15" s="11" t="n">
        <v>4.60659720553039</v>
      </c>
      <c r="AJ15" s="11" t="n">
        <v>4.60608674236951</v>
      </c>
      <c r="AK15" s="11" t="n">
        <v>4.60510648914512</v>
      </c>
    </row>
    <row r="16" customFormat="false" ht="15" hidden="false" customHeight="false" outlineLevel="0" collapsed="false">
      <c r="A16" s="10" t="n">
        <v>-109</v>
      </c>
      <c r="B16" s="8" t="n">
        <v>40317</v>
      </c>
      <c r="C16" s="11" t="n">
        <v>1.03562328404245</v>
      </c>
      <c r="D16" s="11" t="n">
        <v>1.27994226160745</v>
      </c>
      <c r="E16" s="11" t="n">
        <v>1.52486038918096</v>
      </c>
      <c r="F16" s="11" t="n">
        <v>1.7640481760975</v>
      </c>
      <c r="G16" s="11" t="n">
        <v>1.99458792887547</v>
      </c>
      <c r="H16" s="11" t="n">
        <v>2.21493471875123</v>
      </c>
      <c r="I16" s="11" t="n">
        <v>2.42420969458021</v>
      </c>
      <c r="J16" s="11" t="n">
        <v>2.62188944321167</v>
      </c>
      <c r="K16" s="11" t="n">
        <v>2.80764898965275</v>
      </c>
      <c r="L16" s="11" t="n">
        <v>2.98128880309907</v>
      </c>
      <c r="M16" s="11" t="n">
        <v>4.25014864064193</v>
      </c>
      <c r="N16" s="11" t="n">
        <v>4.29069028458347</v>
      </c>
      <c r="O16" s="11" t="n">
        <v>4.32606404475679</v>
      </c>
      <c r="P16" s="11" t="n">
        <v>4.35679047777077</v>
      </c>
      <c r="Q16" s="11" t="n">
        <v>4.3833721744497</v>
      </c>
      <c r="R16" s="11" t="n">
        <v>4.40628691289597</v>
      </c>
      <c r="S16" s="11" t="n">
        <v>4.42597003726137</v>
      </c>
      <c r="T16" s="11" t="n">
        <v>4.44281576379668</v>
      </c>
      <c r="U16" s="11" t="n">
        <v>4.45718320077899</v>
      </c>
      <c r="V16" s="11" t="n">
        <v>4.46940136393654</v>
      </c>
      <c r="W16" s="11" t="n">
        <v>4.47977289252082</v>
      </c>
      <c r="X16" s="11" t="n">
        <v>4.48856764668397</v>
      </c>
      <c r="Y16" s="11" t="n">
        <v>4.49601142627635</v>
      </c>
      <c r="Z16" s="11" t="n">
        <v>4.5022910000522</v>
      </c>
      <c r="AA16" s="11" t="n">
        <v>4.50756208450092</v>
      </c>
      <c r="AB16" s="11" t="n">
        <v>4.51195364895045</v>
      </c>
      <c r="AC16" s="11" t="n">
        <v>4.51557108959217</v>
      </c>
      <c r="AD16" s="11" t="n">
        <v>4.5184987082024</v>
      </c>
      <c r="AE16" s="11" t="n">
        <v>4.52080166392977</v>
      </c>
      <c r="AF16" s="11" t="n">
        <v>4.52252811884792</v>
      </c>
      <c r="AG16" s="11" t="n">
        <v>4.52371345920267</v>
      </c>
      <c r="AH16" s="11" t="n">
        <v>4.52438568999739</v>
      </c>
      <c r="AI16" s="11" t="n">
        <v>4.52456691982912</v>
      </c>
      <c r="AJ16" s="11" t="n">
        <v>4.52427405315777</v>
      </c>
      <c r="AK16" s="11" t="n">
        <v>4.52352138642497</v>
      </c>
    </row>
    <row r="17" customFormat="false" ht="15" hidden="false" customHeight="false" outlineLevel="0" collapsed="false">
      <c r="A17" s="10" t="n">
        <v>-108</v>
      </c>
      <c r="B17" s="8" t="n">
        <v>40318</v>
      </c>
      <c r="C17" s="11" t="n">
        <v>0.992758067741918</v>
      </c>
      <c r="D17" s="11" t="n">
        <v>1.22709561908869</v>
      </c>
      <c r="E17" s="11" t="n">
        <v>1.46359722925186</v>
      </c>
      <c r="F17" s="11" t="n">
        <v>1.69556119009521</v>
      </c>
      <c r="G17" s="11" t="n">
        <v>1.91982629217917</v>
      </c>
      <c r="H17" s="11" t="n">
        <v>2.1346852713127</v>
      </c>
      <c r="I17" s="11" t="n">
        <v>2.33914746512988</v>
      </c>
      <c r="J17" s="11" t="n">
        <v>2.53261869695412</v>
      </c>
      <c r="K17" s="11" t="n">
        <v>2.71472607316948</v>
      </c>
      <c r="L17" s="11" t="n">
        <v>2.88523729558978</v>
      </c>
      <c r="M17" s="11" t="n">
        <v>4.14253665696173</v>
      </c>
      <c r="N17" s="11" t="n">
        <v>4.1831554132764</v>
      </c>
      <c r="O17" s="11" t="n">
        <v>4.21863363191289</v>
      </c>
      <c r="P17" s="11" t="n">
        <v>4.24948092935752</v>
      </c>
      <c r="Q17" s="11" t="n">
        <v>4.27619033713292</v>
      </c>
      <c r="R17" s="11" t="n">
        <v>4.29923121360911</v>
      </c>
      <c r="S17" s="11" t="n">
        <v>4.31903166424093</v>
      </c>
      <c r="T17" s="11" t="n">
        <v>4.33597978750031</v>
      </c>
      <c r="U17" s="11" t="n">
        <v>4.35042953180165</v>
      </c>
      <c r="V17" s="11" t="n">
        <v>4.36270557408151</v>
      </c>
      <c r="W17" s="11" t="n">
        <v>4.37310691455867</v>
      </c>
      <c r="X17" s="11" t="n">
        <v>4.38190041700945</v>
      </c>
      <c r="Y17" s="11" t="n">
        <v>4.38930969169567</v>
      </c>
      <c r="Z17" s="11" t="n">
        <v>4.39552012270847</v>
      </c>
      <c r="AA17" s="11" t="n">
        <v>4.40068675095727</v>
      </c>
      <c r="AB17" s="11" t="n">
        <v>4.40493848620338</v>
      </c>
      <c r="AC17" s="11" t="n">
        <v>4.40838120868181</v>
      </c>
      <c r="AD17" s="11" t="n">
        <v>4.41110021336379</v>
      </c>
      <c r="AE17" s="11" t="n">
        <v>4.41316215744628</v>
      </c>
      <c r="AF17" s="11" t="n">
        <v>4.41461716268597</v>
      </c>
      <c r="AG17" s="11" t="n">
        <v>4.41550299678692</v>
      </c>
      <c r="AH17" s="11" t="n">
        <v>4.41585039199201</v>
      </c>
      <c r="AI17" s="11" t="n">
        <v>4.4156844784265</v>
      </c>
      <c r="AJ17" s="11" t="n">
        <v>4.41502544731035</v>
      </c>
      <c r="AK17" s="11" t="n">
        <v>4.41389110479841</v>
      </c>
    </row>
    <row r="18" customFormat="false" ht="15" hidden="false" customHeight="false" outlineLevel="0" collapsed="false">
      <c r="A18" s="10" t="n">
        <v>-107</v>
      </c>
      <c r="B18" s="8" t="n">
        <v>40319</v>
      </c>
      <c r="C18" s="11" t="n">
        <v>1.01315001851127</v>
      </c>
      <c r="D18" s="11" t="n">
        <v>1.24487107941735</v>
      </c>
      <c r="E18" s="11" t="n">
        <v>1.47778754674956</v>
      </c>
      <c r="F18" s="11" t="n">
        <v>1.70596247735458</v>
      </c>
      <c r="G18" s="11" t="n">
        <v>1.92657396701828</v>
      </c>
      <c r="H18" s="11" t="n">
        <v>2.13806081454978</v>
      </c>
      <c r="I18" s="11" t="n">
        <v>2.33948211345887</v>
      </c>
      <c r="J18" s="11" t="n">
        <v>2.5302418922981</v>
      </c>
      <c r="K18" s="11" t="n">
        <v>2.70993975880742</v>
      </c>
      <c r="L18" s="11" t="n">
        <v>2.87830796258842</v>
      </c>
      <c r="M18" s="11" t="n">
        <v>4.11535834277835</v>
      </c>
      <c r="N18" s="11" t="n">
        <v>4.15429178774343</v>
      </c>
      <c r="O18" s="11" t="n">
        <v>4.18804226495541</v>
      </c>
      <c r="P18" s="11" t="n">
        <v>4.21712261204778</v>
      </c>
      <c r="Q18" s="11" t="n">
        <v>4.24202978550402</v>
      </c>
      <c r="R18" s="11" t="n">
        <v>4.26323719117766</v>
      </c>
      <c r="S18" s="11" t="n">
        <v>4.28117686322044</v>
      </c>
      <c r="T18" s="11" t="n">
        <v>4.29624087302866</v>
      </c>
      <c r="U18" s="11" t="n">
        <v>4.30878718369644</v>
      </c>
      <c r="V18" s="11" t="n">
        <v>4.31914452263036</v>
      </c>
      <c r="W18" s="11" t="n">
        <v>4.32761593857201</v>
      </c>
      <c r="X18" s="11" t="n">
        <v>4.33447224222878</v>
      </c>
      <c r="Y18" s="11" t="n">
        <v>4.33994129961378</v>
      </c>
      <c r="Z18" s="11" t="n">
        <v>4.34421307385347</v>
      </c>
      <c r="AA18" s="11" t="n">
        <v>4.34744718743922</v>
      </c>
      <c r="AB18" s="11" t="n">
        <v>4.34977706809349</v>
      </c>
      <c r="AC18" s="11" t="n">
        <v>4.35131305572719</v>
      </c>
      <c r="AD18" s="11" t="n">
        <v>4.35214482089386</v>
      </c>
      <c r="AE18" s="11" t="n">
        <v>4.35234328304494</v>
      </c>
      <c r="AF18" s="11" t="n">
        <v>4.35196273263163</v>
      </c>
      <c r="AG18" s="11" t="n">
        <v>4.35104512801701</v>
      </c>
      <c r="AH18" s="11" t="n">
        <v>4.34962544011609</v>
      </c>
      <c r="AI18" s="11" t="n">
        <v>4.3477330563206</v>
      </c>
      <c r="AJ18" s="11" t="n">
        <v>4.34539244741919</v>
      </c>
      <c r="AK18" s="11" t="n">
        <v>4.34262572881693</v>
      </c>
    </row>
    <row r="19" customFormat="false" ht="15" hidden="false" customHeight="false" outlineLevel="0" collapsed="false">
      <c r="A19" s="10" t="n">
        <v>-106</v>
      </c>
      <c r="B19" s="8" t="n">
        <v>40322</v>
      </c>
      <c r="C19" s="11" t="n">
        <v>1.02868880627955</v>
      </c>
      <c r="D19" s="11" t="n">
        <v>1.25664062164713</v>
      </c>
      <c r="E19" s="11" t="n">
        <v>1.48530101849956</v>
      </c>
      <c r="F19" s="11" t="n">
        <v>1.70960160875096</v>
      </c>
      <c r="G19" s="11" t="n">
        <v>1.92701462671752</v>
      </c>
      <c r="H19" s="11" t="n">
        <v>2.13603963192138</v>
      </c>
      <c r="I19" s="11" t="n">
        <v>2.33570823763335</v>
      </c>
      <c r="J19" s="11" t="n">
        <v>2.52535531158462</v>
      </c>
      <c r="K19" s="11" t="n">
        <v>2.70449538760708</v>
      </c>
      <c r="L19" s="11" t="n">
        <v>2.87277040691319</v>
      </c>
      <c r="M19" s="11" t="n">
        <v>4.12704808602348</v>
      </c>
      <c r="N19" s="11" t="n">
        <v>4.16781013998424</v>
      </c>
      <c r="O19" s="11" t="n">
        <v>4.20337443664326</v>
      </c>
      <c r="P19" s="11" t="n">
        <v>4.23424052637846</v>
      </c>
      <c r="Q19" s="11" t="n">
        <v>4.2608929339451</v>
      </c>
      <c r="R19" s="11" t="n">
        <v>4.28379375825542</v>
      </c>
      <c r="S19" s="11" t="n">
        <v>4.30336577995473</v>
      </c>
      <c r="T19" s="11" t="n">
        <v>4.31999386987442</v>
      </c>
      <c r="U19" s="11" t="n">
        <v>4.33403054397876</v>
      </c>
      <c r="V19" s="11" t="n">
        <v>4.34580058548882</v>
      </c>
      <c r="W19" s="11" t="n">
        <v>4.35560438763077</v>
      </c>
      <c r="X19" s="11" t="n">
        <v>4.36371129933454</v>
      </c>
      <c r="Y19" s="11" t="n">
        <v>4.37034905579046</v>
      </c>
      <c r="Z19" s="11" t="n">
        <v>4.37570863823768</v>
      </c>
      <c r="AA19" s="11" t="n">
        <v>4.37995152335769</v>
      </c>
      <c r="AB19" s="11" t="n">
        <v>4.38321369445691</v>
      </c>
      <c r="AC19" s="11" t="n">
        <v>4.38560865986811</v>
      </c>
      <c r="AD19" s="11" t="n">
        <v>4.38722969529487</v>
      </c>
      <c r="AE19" s="11" t="n">
        <v>4.38815155003115</v>
      </c>
      <c r="AF19" s="11" t="n">
        <v>4.38843251683169</v>
      </c>
      <c r="AG19" s="11" t="n">
        <v>4.38811862906033</v>
      </c>
      <c r="AH19" s="11" t="n">
        <v>4.38724881967947</v>
      </c>
      <c r="AI19" s="11" t="n">
        <v>4.38585629796651</v>
      </c>
      <c r="AJ19" s="11" t="n">
        <v>4.38396923069801</v>
      </c>
      <c r="AK19" s="11" t="n">
        <v>4.38161327829277</v>
      </c>
    </row>
    <row r="20" customFormat="false" ht="15" hidden="false" customHeight="false" outlineLevel="0" collapsed="false">
      <c r="A20" s="10" t="n">
        <v>-105</v>
      </c>
      <c r="B20" s="8" t="n">
        <v>40323</v>
      </c>
      <c r="C20" s="11" t="n">
        <v>0.975544006399862</v>
      </c>
      <c r="D20" s="11" t="n">
        <v>1.19434746295289</v>
      </c>
      <c r="E20" s="11" t="n">
        <v>1.41601610206433</v>
      </c>
      <c r="F20" s="11" t="n">
        <v>1.63493402841753</v>
      </c>
      <c r="G20" s="11" t="n">
        <v>1.84823141601922</v>
      </c>
      <c r="H20" s="11" t="n">
        <v>2.05418098922924</v>
      </c>
      <c r="I20" s="11" t="n">
        <v>2.25165377196331</v>
      </c>
      <c r="J20" s="11" t="n">
        <v>2.43986293696348</v>
      </c>
      <c r="K20" s="11" t="n">
        <v>2.61822254170914</v>
      </c>
      <c r="L20" s="11" t="n">
        <v>2.78628460606305</v>
      </c>
      <c r="M20" s="11" t="n">
        <v>4.06242609297289</v>
      </c>
      <c r="N20" s="11" t="n">
        <v>4.10529818351423</v>
      </c>
      <c r="O20" s="11" t="n">
        <v>4.14286974377942</v>
      </c>
      <c r="P20" s="11" t="n">
        <v>4.17561843883971</v>
      </c>
      <c r="Q20" s="11" t="n">
        <v>4.20400944898905</v>
      </c>
      <c r="R20" s="11" t="n">
        <v>4.22848857229336</v>
      </c>
      <c r="S20" s="11" t="n">
        <v>4.24946697386999</v>
      </c>
      <c r="T20" s="11" t="n">
        <v>4.26732241073402</v>
      </c>
      <c r="U20" s="11" t="n">
        <v>4.28240412787339</v>
      </c>
      <c r="V20" s="11" t="n">
        <v>4.29503693139563</v>
      </c>
      <c r="W20" s="11" t="n">
        <v>4.30552406667313</v>
      </c>
      <c r="X20" s="11" t="n">
        <v>4.31414022982702</v>
      </c>
      <c r="Y20" s="11" t="n">
        <v>4.32112090613456</v>
      </c>
      <c r="Z20" s="11" t="n">
        <v>4.32666675200801</v>
      </c>
      <c r="AA20" s="11" t="n">
        <v>4.33095021419172</v>
      </c>
      <c r="AB20" s="11" t="n">
        <v>4.3341193173774</v>
      </c>
      <c r="AC20" s="11" t="n">
        <v>4.33630054096735</v>
      </c>
      <c r="AD20" s="11" t="n">
        <v>4.33760065771858</v>
      </c>
      <c r="AE20" s="11" t="n">
        <v>4.3381079205398</v>
      </c>
      <c r="AF20" s="11" t="n">
        <v>4.33789405201253</v>
      </c>
      <c r="AG20" s="11" t="n">
        <v>4.33701826843486</v>
      </c>
      <c r="AH20" s="11" t="n">
        <v>4.33553213263049</v>
      </c>
      <c r="AI20" s="11" t="n">
        <v>4.33348092507097</v>
      </c>
      <c r="AJ20" s="11" t="n">
        <v>4.33090437735121</v>
      </c>
      <c r="AK20" s="11" t="n">
        <v>4.32783912582562</v>
      </c>
    </row>
    <row r="21" customFormat="false" ht="15" hidden="false" customHeight="false" outlineLevel="0" collapsed="false">
      <c r="A21" s="10" t="n">
        <v>-104</v>
      </c>
      <c r="B21" s="8" t="n">
        <v>40324</v>
      </c>
      <c r="C21" s="11" t="n">
        <v>1.02218898296694</v>
      </c>
      <c r="D21" s="11" t="n">
        <v>1.25181102080364</v>
      </c>
      <c r="E21" s="11" t="n">
        <v>1.48179032921343</v>
      </c>
      <c r="F21" s="11" t="n">
        <v>1.70722746433543</v>
      </c>
      <c r="G21" s="11" t="n">
        <v>1.92567144001194</v>
      </c>
      <c r="H21" s="11" t="n">
        <v>2.13566046853478</v>
      </c>
      <c r="I21" s="11" t="n">
        <v>2.33626462722688</v>
      </c>
      <c r="J21" s="11" t="n">
        <v>2.52686799725979</v>
      </c>
      <c r="K21" s="11" t="n">
        <v>2.70704720074434</v>
      </c>
      <c r="L21" s="11" t="n">
        <v>2.8765155650372</v>
      </c>
      <c r="M21" s="11" t="n">
        <v>4.16971018852169</v>
      </c>
      <c r="N21" s="11" t="n">
        <v>4.21419175558296</v>
      </c>
      <c r="O21" s="11" t="n">
        <v>4.25331543026702</v>
      </c>
      <c r="P21" s="11" t="n">
        <v>4.28753233029654</v>
      </c>
      <c r="Q21" s="11" t="n">
        <v>4.31728099845028</v>
      </c>
      <c r="R21" s="11" t="n">
        <v>4.34298212342896</v>
      </c>
      <c r="S21" s="11" t="n">
        <v>4.36502652024641</v>
      </c>
      <c r="T21" s="11" t="n">
        <v>4.38377644091355</v>
      </c>
      <c r="U21" s="11" t="n">
        <v>4.39956976202777</v>
      </c>
      <c r="V21" s="11" t="n">
        <v>4.41272346697487</v>
      </c>
      <c r="W21" s="11" t="n">
        <v>4.42353560481705</v>
      </c>
      <c r="X21" s="11" t="n">
        <v>4.43227807173175</v>
      </c>
      <c r="Y21" s="11" t="n">
        <v>4.43919082090951</v>
      </c>
      <c r="Z21" s="11" t="n">
        <v>4.44448582865184</v>
      </c>
      <c r="AA21" s="11" t="n">
        <v>4.44835122780095</v>
      </c>
      <c r="AB21" s="11" t="n">
        <v>4.45095427014311</v>
      </c>
      <c r="AC21" s="11" t="n">
        <v>4.45244365756313</v>
      </c>
      <c r="AD21" s="11" t="n">
        <v>4.4529500888861</v>
      </c>
      <c r="AE21" s="11" t="n">
        <v>4.45258676922654</v>
      </c>
      <c r="AF21" s="11" t="n">
        <v>4.45145138160465</v>
      </c>
      <c r="AG21" s="11" t="n">
        <v>4.44962936685542</v>
      </c>
      <c r="AH21" s="11" t="n">
        <v>4.44719669461826</v>
      </c>
      <c r="AI21" s="11" t="n">
        <v>4.44422097058063</v>
      </c>
      <c r="AJ21" s="11" t="n">
        <v>4.44076234005634</v>
      </c>
      <c r="AK21" s="11" t="n">
        <v>4.43687525095293</v>
      </c>
    </row>
    <row r="22" customFormat="false" ht="15" hidden="false" customHeight="false" outlineLevel="0" collapsed="false">
      <c r="A22" s="10" t="n">
        <v>-103</v>
      </c>
      <c r="B22" s="8" t="n">
        <v>40325</v>
      </c>
      <c r="C22" s="11" t="n">
        <v>1.05216929847463</v>
      </c>
      <c r="D22" s="11" t="n">
        <v>1.29592332641656</v>
      </c>
      <c r="E22" s="11" t="n">
        <v>1.5368229131473</v>
      </c>
      <c r="F22" s="11" t="n">
        <v>1.77006956110546</v>
      </c>
      <c r="G22" s="11" t="n">
        <v>1.99365509940975</v>
      </c>
      <c r="H22" s="11" t="n">
        <v>2.20661114453897</v>
      </c>
      <c r="I22" s="11" t="n">
        <v>2.40847164944932</v>
      </c>
      <c r="J22" s="11" t="n">
        <v>2.59903121205922</v>
      </c>
      <c r="K22" s="11" t="n">
        <v>2.77822118556198</v>
      </c>
      <c r="L22" s="11" t="n">
        <v>2.94605694407775</v>
      </c>
      <c r="M22" s="11" t="n">
        <v>4.21794624946564</v>
      </c>
      <c r="N22" s="11" t="n">
        <v>4.26178797598288</v>
      </c>
      <c r="O22" s="11" t="n">
        <v>4.30037126385578</v>
      </c>
      <c r="P22" s="11" t="n">
        <v>4.33413265561099</v>
      </c>
      <c r="Q22" s="11" t="n">
        <v>4.36349629292239</v>
      </c>
      <c r="R22" s="11" t="n">
        <v>4.38886891876335</v>
      </c>
      <c r="S22" s="11" t="n">
        <v>4.41062858385567</v>
      </c>
      <c r="T22" s="11" t="n">
        <v>4.42912599201449</v>
      </c>
      <c r="U22" s="11" t="n">
        <v>4.44468851033597</v>
      </c>
      <c r="V22" s="11" t="n">
        <v>4.45762350301425</v>
      </c>
      <c r="W22" s="11" t="n">
        <v>4.46822019571306</v>
      </c>
      <c r="X22" s="11" t="n">
        <v>4.47674279986054</v>
      </c>
      <c r="Y22" s="11" t="n">
        <v>4.48342509842991</v>
      </c>
      <c r="Z22" s="11" t="n">
        <v>4.48847418747745</v>
      </c>
      <c r="AA22" s="11" t="n">
        <v>4.49207435790455</v>
      </c>
      <c r="AB22" s="11" t="n">
        <v>4.49438992272521</v>
      </c>
      <c r="AC22" s="11" t="n">
        <v>4.49556744088139</v>
      </c>
      <c r="AD22" s="11" t="n">
        <v>4.49573619859485</v>
      </c>
      <c r="AE22" s="11" t="n">
        <v>4.49500867943799</v>
      </c>
      <c r="AF22" s="11" t="n">
        <v>4.49348246572721</v>
      </c>
      <c r="AG22" s="11" t="n">
        <v>4.49124343363209</v>
      </c>
      <c r="AH22" s="11" t="n">
        <v>4.4883684339568</v>
      </c>
      <c r="AI22" s="11" t="n">
        <v>4.48492634832158</v>
      </c>
      <c r="AJ22" s="11" t="n">
        <v>4.48097895312687</v>
      </c>
      <c r="AK22" s="11" t="n">
        <v>4.47658264144902</v>
      </c>
    </row>
    <row r="23" customFormat="false" ht="15" hidden="false" customHeight="false" outlineLevel="0" collapsed="false">
      <c r="A23" s="10" t="n">
        <v>-102</v>
      </c>
      <c r="B23" s="8" t="n">
        <v>40326</v>
      </c>
      <c r="C23" s="11" t="n">
        <v>1.04796574260234</v>
      </c>
      <c r="D23" s="11" t="n">
        <v>1.29628469644639</v>
      </c>
      <c r="E23" s="11" t="n">
        <v>1.54004190691546</v>
      </c>
      <c r="F23" s="11" t="n">
        <v>1.77464404064425</v>
      </c>
      <c r="G23" s="11" t="n">
        <v>1.99827561799223</v>
      </c>
      <c r="H23" s="11" t="n">
        <v>2.21017985495789</v>
      </c>
      <c r="I23" s="11" t="n">
        <v>2.41012043404168</v>
      </c>
      <c r="J23" s="11" t="n">
        <v>2.59811844718816</v>
      </c>
      <c r="K23" s="11" t="n">
        <v>2.77431604942729</v>
      </c>
      <c r="L23" s="11" t="n">
        <v>2.93891969802504</v>
      </c>
      <c r="M23" s="11" t="n">
        <v>4.18842168107485</v>
      </c>
      <c r="N23" s="11" t="n">
        <v>4.23269724322116</v>
      </c>
      <c r="O23" s="11" t="n">
        <v>4.27194774976916</v>
      </c>
      <c r="P23" s="11" t="n">
        <v>4.30658626961852</v>
      </c>
      <c r="Q23" s="11" t="n">
        <v>4.33701329859475</v>
      </c>
      <c r="R23" s="11" t="n">
        <v>4.36361195061217</v>
      </c>
      <c r="S23" s="11" t="n">
        <v>4.38673762846169</v>
      </c>
      <c r="T23" s="11" t="n">
        <v>4.40671957461727</v>
      </c>
      <c r="U23" s="11" t="n">
        <v>4.4238647101716</v>
      </c>
      <c r="V23" s="11" t="n">
        <v>4.43846082360295</v>
      </c>
      <c r="W23" s="11" t="n">
        <v>4.45077823405262</v>
      </c>
      <c r="X23" s="11" t="n">
        <v>4.46106262224606</v>
      </c>
      <c r="Y23" s="11" t="n">
        <v>4.4695298475387</v>
      </c>
      <c r="Z23" s="11" t="n">
        <v>4.47637016356965</v>
      </c>
      <c r="AA23" s="11" t="n">
        <v>4.48175237688889</v>
      </c>
      <c r="AB23" s="11" t="n">
        <v>4.48582653836618</v>
      </c>
      <c r="AC23" s="11" t="n">
        <v>4.4887260388581</v>
      </c>
      <c r="AD23" s="11" t="n">
        <v>4.49056822644136</v>
      </c>
      <c r="AE23" s="11" t="n">
        <v>4.49145504276137</v>
      </c>
      <c r="AF23" s="11" t="n">
        <v>4.49147481281177</v>
      </c>
      <c r="AG23" s="11" t="n">
        <v>4.49070530948933</v>
      </c>
      <c r="AH23" s="11" t="n">
        <v>4.48921625265268</v>
      </c>
      <c r="AI23" s="11" t="n">
        <v>4.48707025220836</v>
      </c>
      <c r="AJ23" s="11" t="n">
        <v>4.48432359293805</v>
      </c>
      <c r="AK23" s="11" t="n">
        <v>4.48102796444421</v>
      </c>
    </row>
    <row r="24" customFormat="false" ht="15" hidden="false" customHeight="false" outlineLevel="0" collapsed="false">
      <c r="A24" s="10" t="n">
        <v>-101</v>
      </c>
      <c r="B24" s="8" t="n">
        <v>40330</v>
      </c>
      <c r="C24" s="11" t="n">
        <v>1.06467162890643</v>
      </c>
      <c r="D24" s="11" t="n">
        <v>1.31425570622</v>
      </c>
      <c r="E24" s="11" t="n">
        <v>1.55869544298363</v>
      </c>
      <c r="F24" s="11" t="n">
        <v>1.79328030277883</v>
      </c>
      <c r="G24" s="11" t="n">
        <v>2.01617245378788</v>
      </c>
      <c r="H24" s="11" t="n">
        <v>2.22666547106346</v>
      </c>
      <c r="I24" s="11" t="n">
        <v>2.42462768024374</v>
      </c>
      <c r="J24" s="11" t="n">
        <v>2.61021577001164</v>
      </c>
      <c r="K24" s="11" t="n">
        <v>2.78371565472598</v>
      </c>
      <c r="L24" s="11" t="n">
        <v>2.94547095497233</v>
      </c>
      <c r="M24" s="11" t="n">
        <v>4.1759456001381</v>
      </c>
      <c r="N24" s="11" t="n">
        <v>4.22050349603323</v>
      </c>
      <c r="O24" s="11" t="n">
        <v>4.26019416149583</v>
      </c>
      <c r="P24" s="11" t="n">
        <v>4.29540715841147</v>
      </c>
      <c r="Q24" s="11" t="n">
        <v>4.32651999410825</v>
      </c>
      <c r="R24" s="11" t="n">
        <v>4.35389392222481</v>
      </c>
      <c r="S24" s="11" t="n">
        <v>4.3778649002596</v>
      </c>
      <c r="T24" s="11" t="n">
        <v>4.39874510315873</v>
      </c>
      <c r="U24" s="11" t="n">
        <v>4.41682641397747</v>
      </c>
      <c r="V24" s="11" t="n">
        <v>4.43238332271871</v>
      </c>
      <c r="W24" s="11" t="n">
        <v>4.44567435024782</v>
      </c>
      <c r="X24" s="11" t="n">
        <v>4.45693484462475</v>
      </c>
      <c r="Y24" s="11" t="n">
        <v>4.46637185058932</v>
      </c>
      <c r="Z24" s="11" t="n">
        <v>4.47416810020137</v>
      </c>
      <c r="AA24" s="11" t="n">
        <v>4.48048594460736</v>
      </c>
      <c r="AB24" s="11" t="n">
        <v>4.48546990911308</v>
      </c>
      <c r="AC24" s="11" t="n">
        <v>4.48924866311077</v>
      </c>
      <c r="AD24" s="11" t="n">
        <v>4.49193542160975</v>
      </c>
      <c r="AE24" s="11" t="n">
        <v>4.49362842022166</v>
      </c>
      <c r="AF24" s="11" t="n">
        <v>4.49441264803947</v>
      </c>
      <c r="AG24" s="11" t="n">
        <v>4.49436281516055</v>
      </c>
      <c r="AH24" s="11" t="n">
        <v>4.49354575762405</v>
      </c>
      <c r="AI24" s="11" t="n">
        <v>4.4920213552997</v>
      </c>
      <c r="AJ24" s="11" t="n">
        <v>4.4898433035195</v>
      </c>
      <c r="AK24" s="11" t="n">
        <v>4.48706085455091</v>
      </c>
    </row>
    <row r="25" customFormat="false" ht="15" hidden="false" customHeight="false" outlineLevel="0" collapsed="false">
      <c r="A25" s="10" t="n">
        <v>-100</v>
      </c>
      <c r="B25" s="8" t="n">
        <v>40331</v>
      </c>
      <c r="C25" s="11" t="n">
        <v>1.04421864228458</v>
      </c>
      <c r="D25" s="11" t="n">
        <v>1.28857441197145</v>
      </c>
      <c r="E25" s="11" t="n">
        <v>1.52896045781584</v>
      </c>
      <c r="F25" s="11" t="n">
        <v>1.76054580354878</v>
      </c>
      <c r="G25" s="11" t="n">
        <v>1.98136812617068</v>
      </c>
      <c r="H25" s="11" t="n">
        <v>2.1906010845083</v>
      </c>
      <c r="I25" s="11" t="n">
        <v>2.38798210467289</v>
      </c>
      <c r="J25" s="11" t="n">
        <v>2.57352841002944</v>
      </c>
      <c r="K25" s="11" t="n">
        <v>2.74739218011954</v>
      </c>
      <c r="L25" s="11" t="n">
        <v>2.90980152501913</v>
      </c>
      <c r="M25" s="11" t="n">
        <v>4.15568539775527</v>
      </c>
      <c r="N25" s="11" t="n">
        <v>4.20150107204982</v>
      </c>
      <c r="O25" s="11" t="n">
        <v>4.24243253401159</v>
      </c>
      <c r="P25" s="11" t="n">
        <v>4.27886647086387</v>
      </c>
      <c r="Q25" s="11" t="n">
        <v>4.31117799646731</v>
      </c>
      <c r="R25" s="11" t="n">
        <v>4.33972636100882</v>
      </c>
      <c r="S25" s="11" t="n">
        <v>4.36484596065173</v>
      </c>
      <c r="T25" s="11" t="n">
        <v>4.38684783783909</v>
      </c>
      <c r="U25" s="11" t="n">
        <v>4.40602310940996</v>
      </c>
      <c r="V25" s="11" t="n">
        <v>4.42264581310907</v>
      </c>
      <c r="W25" s="11" t="n">
        <v>4.43697424368195</v>
      </c>
      <c r="X25" s="11" t="n">
        <v>4.44924345168316</v>
      </c>
      <c r="Y25" s="11" t="n">
        <v>4.4596600030456</v>
      </c>
      <c r="Z25" s="11" t="n">
        <v>4.46840612652851</v>
      </c>
      <c r="AA25" s="11" t="n">
        <v>4.47564375483896</v>
      </c>
      <c r="AB25" s="11" t="n">
        <v>4.48151707637666</v>
      </c>
      <c r="AC25" s="11" t="n">
        <v>4.48615449437533</v>
      </c>
      <c r="AD25" s="11" t="n">
        <v>4.48966903231224</v>
      </c>
      <c r="AE25" s="11" t="n">
        <v>4.49215882622216</v>
      </c>
      <c r="AF25" s="11" t="n">
        <v>4.49370884742393</v>
      </c>
      <c r="AG25" s="11" t="n">
        <v>4.49439380621794</v>
      </c>
      <c r="AH25" s="11" t="n">
        <v>4.49428049277391</v>
      </c>
      <c r="AI25" s="11" t="n">
        <v>4.49342869366091</v>
      </c>
      <c r="AJ25" s="11" t="n">
        <v>4.49189196884895</v>
      </c>
      <c r="AK25" s="11" t="n">
        <v>4.48971938672975</v>
      </c>
    </row>
    <row r="26" customFormat="false" ht="15" hidden="false" customHeight="false" outlineLevel="0" collapsed="false">
      <c r="A26" s="10" t="n">
        <v>-99</v>
      </c>
      <c r="B26" s="8" t="n">
        <v>40332</v>
      </c>
      <c r="C26" s="11" t="n">
        <v>1.07101707671709</v>
      </c>
      <c r="D26" s="11" t="n">
        <v>1.31634662814127</v>
      </c>
      <c r="E26" s="11" t="n">
        <v>1.55717513244479</v>
      </c>
      <c r="F26" s="11" t="n">
        <v>1.7892278129216</v>
      </c>
      <c r="G26" s="11" t="n">
        <v>2.01080439282375</v>
      </c>
      <c r="H26" s="11" t="n">
        <v>2.22116508653201</v>
      </c>
      <c r="I26" s="11" t="n">
        <v>2.42003003027685</v>
      </c>
      <c r="J26" s="11" t="n">
        <v>2.60734107534733</v>
      </c>
      <c r="K26" s="11" t="n">
        <v>2.78314777194572</v>
      </c>
      <c r="L26" s="11" t="n">
        <v>2.94756815171271</v>
      </c>
      <c r="M26" s="11" t="n">
        <v>4.2038774813688</v>
      </c>
      <c r="N26" s="11" t="n">
        <v>4.24925988125739</v>
      </c>
      <c r="O26" s="11" t="n">
        <v>4.28967594723</v>
      </c>
      <c r="P26" s="11" t="n">
        <v>4.32553416191293</v>
      </c>
      <c r="Q26" s="11" t="n">
        <v>4.35723101652751</v>
      </c>
      <c r="R26" s="11" t="n">
        <v>4.38514593478626</v>
      </c>
      <c r="S26" s="11" t="n">
        <v>4.40963103711415</v>
      </c>
      <c r="T26" s="11" t="n">
        <v>4.4310127634545</v>
      </c>
      <c r="U26" s="11" t="n">
        <v>4.44959564325696</v>
      </c>
      <c r="V26" s="11" t="n">
        <v>4.46566542553984</v>
      </c>
      <c r="W26" s="11" t="n">
        <v>4.47949058199114</v>
      </c>
      <c r="X26" s="11" t="n">
        <v>4.49131452666505</v>
      </c>
      <c r="Y26" s="11" t="n">
        <v>4.5013502911561</v>
      </c>
      <c r="Z26" s="11" t="n">
        <v>4.50978486255131</v>
      </c>
      <c r="AA26" s="11" t="n">
        <v>4.51678339223112</v>
      </c>
      <c r="AB26" s="11" t="n">
        <v>4.52249193067595</v>
      </c>
      <c r="AC26" s="11" t="n">
        <v>4.52703953765425</v>
      </c>
      <c r="AD26" s="11" t="n">
        <v>4.53053875371681</v>
      </c>
      <c r="AE26" s="11" t="n">
        <v>4.5330861725972</v>
      </c>
      <c r="AF26" s="11" t="n">
        <v>4.53476428629489</v>
      </c>
      <c r="AG26" s="11" t="n">
        <v>4.53564452805081</v>
      </c>
      <c r="AH26" s="11" t="n">
        <v>4.53578971467327</v>
      </c>
      <c r="AI26" s="11" t="n">
        <v>4.53525503528221</v>
      </c>
      <c r="AJ26" s="11" t="n">
        <v>4.53408889627788</v>
      </c>
      <c r="AK26" s="11" t="n">
        <v>4.53233476724144</v>
      </c>
    </row>
    <row r="27" customFormat="false" ht="15" hidden="false" customHeight="false" outlineLevel="0" collapsed="false">
      <c r="A27" s="10" t="n">
        <v>-98</v>
      </c>
      <c r="B27" s="8" t="n">
        <v>40333</v>
      </c>
      <c r="C27" s="11" t="n">
        <v>1.01646773081072</v>
      </c>
      <c r="D27" s="11" t="n">
        <v>1.25416485967035</v>
      </c>
      <c r="E27" s="11" t="n">
        <v>1.4897216774959</v>
      </c>
      <c r="F27" s="11" t="n">
        <v>1.71812540912054</v>
      </c>
      <c r="G27" s="11" t="n">
        <v>1.93721726088276</v>
      </c>
      <c r="H27" s="11" t="n">
        <v>2.14595859731791</v>
      </c>
      <c r="I27" s="11" t="n">
        <v>2.34385036429172</v>
      </c>
      <c r="J27" s="11" t="n">
        <v>2.53067310691393</v>
      </c>
      <c r="K27" s="11" t="n">
        <v>2.70635724857506</v>
      </c>
      <c r="L27" s="11" t="n">
        <v>2.87092605637558</v>
      </c>
      <c r="M27" s="11" t="n">
        <v>4.13965206758022</v>
      </c>
      <c r="N27" s="11" t="n">
        <v>4.1864287914241</v>
      </c>
      <c r="O27" s="11" t="n">
        <v>4.22825936207914</v>
      </c>
      <c r="P27" s="11" t="n">
        <v>4.26554352375066</v>
      </c>
      <c r="Q27" s="11" t="n">
        <v>4.29866925819214</v>
      </c>
      <c r="R27" s="11" t="n">
        <v>4.32800791364257</v>
      </c>
      <c r="S27" s="11" t="n">
        <v>4.3539047866091</v>
      </c>
      <c r="T27" s="11" t="n">
        <v>4.37668082200278</v>
      </c>
      <c r="U27" s="11" t="n">
        <v>4.39663618936342</v>
      </c>
      <c r="V27" s="11" t="n">
        <v>4.41405325074659</v>
      </c>
      <c r="W27" s="11" t="n">
        <v>4.42919787312817</v>
      </c>
      <c r="X27" s="11" t="n">
        <v>4.44231151259469</v>
      </c>
      <c r="Y27" s="11" t="n">
        <v>4.45360607869834</v>
      </c>
      <c r="Z27" s="11" t="n">
        <v>4.46326809837023</v>
      </c>
      <c r="AA27" s="11" t="n">
        <v>4.47146270907848</v>
      </c>
      <c r="AB27" s="11" t="n">
        <v>4.47833632618181</v>
      </c>
      <c r="AC27" s="11" t="n">
        <v>4.48401868535527</v>
      </c>
      <c r="AD27" s="11" t="n">
        <v>4.48862314682868</v>
      </c>
      <c r="AE27" s="11" t="n">
        <v>4.49224718756468</v>
      </c>
      <c r="AF27" s="11" t="n">
        <v>4.49497424270252</v>
      </c>
      <c r="AG27" s="11" t="n">
        <v>4.49687670163056</v>
      </c>
      <c r="AH27" s="11" t="n">
        <v>4.49801827180003</v>
      </c>
      <c r="AI27" s="11" t="n">
        <v>4.49845496452806</v>
      </c>
      <c r="AJ27" s="11" t="n">
        <v>4.49823595129984</v>
      </c>
      <c r="AK27" s="11" t="n">
        <v>4.49740542698548</v>
      </c>
    </row>
    <row r="28" customFormat="false" ht="15" hidden="false" customHeight="false" outlineLevel="0" collapsed="false">
      <c r="A28" s="10" t="n">
        <v>-97</v>
      </c>
      <c r="B28" s="8" t="n">
        <v>40336</v>
      </c>
      <c r="C28" s="11" t="n">
        <v>0.984910511816718</v>
      </c>
      <c r="D28" s="11" t="n">
        <v>1.22091896977812</v>
      </c>
      <c r="E28" s="11" t="n">
        <v>1.45596371578896</v>
      </c>
      <c r="F28" s="11" t="n">
        <v>1.68461923737926</v>
      </c>
      <c r="G28" s="11" t="n">
        <v>1.90444750090592</v>
      </c>
      <c r="H28" s="11" t="n">
        <v>2.11422416059214</v>
      </c>
      <c r="I28" s="11" t="n">
        <v>2.31332278276593</v>
      </c>
      <c r="J28" s="11" t="n">
        <v>2.50143394251686</v>
      </c>
      <c r="K28" s="11" t="n">
        <v>2.67842175032831</v>
      </c>
      <c r="L28" s="11" t="n">
        <v>2.84425646264258</v>
      </c>
      <c r="M28" s="11" t="n">
        <v>4.11970049978536</v>
      </c>
      <c r="N28" s="11" t="n">
        <v>4.16637801252317</v>
      </c>
      <c r="O28" s="11" t="n">
        <v>4.20805752150205</v>
      </c>
      <c r="P28" s="11" t="n">
        <v>4.24514482939877</v>
      </c>
      <c r="Q28" s="11" t="n">
        <v>4.2780337360604</v>
      </c>
      <c r="R28" s="11" t="n">
        <v>4.30710110456587</v>
      </c>
      <c r="S28" s="11" t="n">
        <v>4.33269745505939</v>
      </c>
      <c r="T28" s="11" t="n">
        <v>4.35514873327364</v>
      </c>
      <c r="U28" s="11" t="n">
        <v>4.37475991986902</v>
      </c>
      <c r="V28" s="11" t="n">
        <v>4.39181802541239</v>
      </c>
      <c r="W28" s="11" t="n">
        <v>4.40659338173033</v>
      </c>
      <c r="X28" s="11" t="n">
        <v>4.41933152924993</v>
      </c>
      <c r="Y28" s="11" t="n">
        <v>4.43024804447469</v>
      </c>
      <c r="Z28" s="11" t="n">
        <v>4.43953270784543</v>
      </c>
      <c r="AA28" s="11" t="n">
        <v>4.44735349446022</v>
      </c>
      <c r="AB28" s="11" t="n">
        <v>4.45385928734656</v>
      </c>
      <c r="AC28" s="11" t="n">
        <v>4.45918195165083</v>
      </c>
      <c r="AD28" s="11" t="n">
        <v>4.46343659691639</v>
      </c>
      <c r="AE28" s="11" t="n">
        <v>4.46672206145035</v>
      </c>
      <c r="AF28" s="11" t="n">
        <v>4.46912280546558</v>
      </c>
      <c r="AG28" s="11" t="n">
        <v>4.47071200894955</v>
      </c>
      <c r="AH28" s="11" t="n">
        <v>4.47155399848278</v>
      </c>
      <c r="AI28" s="11" t="n">
        <v>4.47170525209868</v>
      </c>
      <c r="AJ28" s="11" t="n">
        <v>4.47121527460775</v>
      </c>
      <c r="AK28" s="11" t="n">
        <v>4.47012851022653</v>
      </c>
    </row>
    <row r="29" customFormat="false" ht="15" hidden="false" customHeight="false" outlineLevel="0" collapsed="false">
      <c r="A29" s="10" t="n">
        <v>-96</v>
      </c>
      <c r="B29" s="8" t="n">
        <v>40337</v>
      </c>
      <c r="C29" s="11" t="n">
        <v>0.96231824983209</v>
      </c>
      <c r="D29" s="11" t="n">
        <v>1.19364925464505</v>
      </c>
      <c r="E29" s="11" t="n">
        <v>1.42619425085684</v>
      </c>
      <c r="F29" s="11" t="n">
        <v>1.65369135571945</v>
      </c>
      <c r="G29" s="11" t="n">
        <v>1.87319409980582</v>
      </c>
      <c r="H29" s="11" t="n">
        <v>2.08316688654574</v>
      </c>
      <c r="I29" s="11" t="n">
        <v>2.28278332128469</v>
      </c>
      <c r="J29" s="11" t="n">
        <v>2.47159951770915</v>
      </c>
      <c r="K29" s="11" t="n">
        <v>2.64938325511722</v>
      </c>
      <c r="L29" s="11" t="n">
        <v>2.81603211548622</v>
      </c>
      <c r="M29" s="11" t="n">
        <v>4.0930908226602</v>
      </c>
      <c r="N29" s="11" t="n">
        <v>4.13931492633374</v>
      </c>
      <c r="O29" s="11" t="n">
        <v>4.18053562082002</v>
      </c>
      <c r="P29" s="11" t="n">
        <v>4.217175138504</v>
      </c>
      <c r="Q29" s="11" t="n">
        <v>4.24964306784655</v>
      </c>
      <c r="R29" s="11" t="n">
        <v>4.27833054444646</v>
      </c>
      <c r="S29" s="11" t="n">
        <v>4.30359952898882</v>
      </c>
      <c r="T29" s="11" t="n">
        <v>4.32578475293997</v>
      </c>
      <c r="U29" s="11" t="n">
        <v>4.34519771809979</v>
      </c>
      <c r="V29" s="11" t="n">
        <v>4.36213001508205</v>
      </c>
      <c r="W29" s="11" t="n">
        <v>4.37685480601713</v>
      </c>
      <c r="X29" s="11" t="n">
        <v>4.38961844192476</v>
      </c>
      <c r="Y29" s="11" t="n">
        <v>4.40063528207584</v>
      </c>
      <c r="Z29" s="11" t="n">
        <v>4.41009241277856</v>
      </c>
      <c r="AA29" s="11" t="n">
        <v>4.41815406027231</v>
      </c>
      <c r="AB29" s="11" t="n">
        <v>4.42496444821448</v>
      </c>
      <c r="AC29" s="11" t="n">
        <v>4.43065000350791</v>
      </c>
      <c r="AD29" s="11" t="n">
        <v>4.43531993289935</v>
      </c>
      <c r="AE29" s="11" t="n">
        <v>4.43906695982621</v>
      </c>
      <c r="AF29" s="11" t="n">
        <v>4.44196928730064</v>
      </c>
      <c r="AG29" s="11" t="n">
        <v>4.44409393751245</v>
      </c>
      <c r="AH29" s="11" t="n">
        <v>4.44549933222432</v>
      </c>
      <c r="AI29" s="11" t="n">
        <v>4.44623628075504</v>
      </c>
      <c r="AJ29" s="11" t="n">
        <v>4.44634884100991</v>
      </c>
      <c r="AK29" s="11" t="n">
        <v>4.44587634601313</v>
      </c>
    </row>
    <row r="30" customFormat="false" ht="15" hidden="false" customHeight="false" outlineLevel="0" collapsed="false">
      <c r="A30" s="10" t="n">
        <v>-95</v>
      </c>
      <c r="B30" s="8" t="n">
        <v>40338</v>
      </c>
      <c r="C30" s="11" t="n">
        <v>0.994100099795739</v>
      </c>
      <c r="D30" s="11" t="n">
        <v>1.22934122877354</v>
      </c>
      <c r="E30" s="11" t="n">
        <v>1.46507801056726</v>
      </c>
      <c r="F30" s="11" t="n">
        <v>1.69526705903692</v>
      </c>
      <c r="G30" s="11" t="n">
        <v>1.91710507142833</v>
      </c>
      <c r="H30" s="11" t="n">
        <v>2.12915585147505</v>
      </c>
      <c r="I30" s="11" t="n">
        <v>2.33066087339134</v>
      </c>
      <c r="J30" s="11" t="n">
        <v>2.52121761924785</v>
      </c>
      <c r="K30" s="11" t="n">
        <v>2.70060942516085</v>
      </c>
      <c r="L30" s="11" t="n">
        <v>2.86873143732793</v>
      </c>
      <c r="M30" s="11" t="n">
        <v>4.14380253260002</v>
      </c>
      <c r="N30" s="11" t="n">
        <v>4.18830409415877</v>
      </c>
      <c r="O30" s="11" t="n">
        <v>4.22770796133671</v>
      </c>
      <c r="P30" s="11" t="n">
        <v>4.26247067878101</v>
      </c>
      <c r="Q30" s="11" t="n">
        <v>4.29303578601379</v>
      </c>
      <c r="R30" s="11" t="n">
        <v>4.31982618920305</v>
      </c>
      <c r="S30" s="11" t="n">
        <v>4.34323072537682</v>
      </c>
      <c r="T30" s="11" t="n">
        <v>4.36360633580171</v>
      </c>
      <c r="U30" s="11" t="n">
        <v>4.38128275117172</v>
      </c>
      <c r="V30" s="11" t="n">
        <v>4.39656637877364</v>
      </c>
      <c r="W30" s="11" t="n">
        <v>4.40974216314733</v>
      </c>
      <c r="X30" s="11" t="n">
        <v>4.42106497640447</v>
      </c>
      <c r="Y30" s="11" t="n">
        <v>4.43075448271907</v>
      </c>
      <c r="Z30" s="11" t="n">
        <v>4.43900043174659</v>
      </c>
      <c r="AA30" s="11" t="n">
        <v>4.4459675347088</v>
      </c>
      <c r="AB30" s="11" t="n">
        <v>4.45179859544657</v>
      </c>
      <c r="AC30" s="11" t="n">
        <v>4.45661696308345</v>
      </c>
      <c r="AD30" s="11" t="n">
        <v>4.4605274921732</v>
      </c>
      <c r="AE30" s="11" t="n">
        <v>4.46361759288244</v>
      </c>
      <c r="AF30" s="11" t="n">
        <v>4.46595935513821</v>
      </c>
      <c r="AG30" s="11" t="n">
        <v>4.4676132819412</v>
      </c>
      <c r="AH30" s="11" t="n">
        <v>4.46863113588153</v>
      </c>
      <c r="AI30" s="11" t="n">
        <v>4.46905695465312</v>
      </c>
      <c r="AJ30" s="11" t="n">
        <v>4.46892793645174</v>
      </c>
      <c r="AK30" s="11" t="n">
        <v>4.46827665522127</v>
      </c>
    </row>
    <row r="31" customFormat="false" ht="15" hidden="false" customHeight="false" outlineLevel="0" collapsed="false">
      <c r="A31" s="10" t="n">
        <v>-94</v>
      </c>
      <c r="B31" s="8" t="n">
        <v>40339</v>
      </c>
      <c r="C31" s="11" t="n">
        <v>1.04968117648794</v>
      </c>
      <c r="D31" s="11" t="n">
        <v>1.29005652531265</v>
      </c>
      <c r="E31" s="11" t="n">
        <v>1.52798110220507</v>
      </c>
      <c r="F31" s="11" t="n">
        <v>1.7584304570323</v>
      </c>
      <c r="G31" s="11" t="n">
        <v>1.97921214063324</v>
      </c>
      <c r="H31" s="11" t="n">
        <v>2.18930032583235</v>
      </c>
      <c r="I31" s="11" t="n">
        <v>2.38824361808453</v>
      </c>
      <c r="J31" s="11" t="n">
        <v>2.57588153043155</v>
      </c>
      <c r="K31" s="11" t="n">
        <v>2.75218647820643</v>
      </c>
      <c r="L31" s="11" t="n">
        <v>2.91720081742384</v>
      </c>
      <c r="M31" s="11" t="n">
        <v>4.16612695796754</v>
      </c>
      <c r="N31" s="11" t="n">
        <v>4.20952870825513</v>
      </c>
      <c r="O31" s="11" t="n">
        <v>4.24792733940722</v>
      </c>
      <c r="P31" s="11" t="n">
        <v>4.28177910091725</v>
      </c>
      <c r="Q31" s="11" t="n">
        <v>4.31152820665134</v>
      </c>
      <c r="R31" s="11" t="n">
        <v>4.3375983946859</v>
      </c>
      <c r="S31" s="11" t="n">
        <v>4.36037855517419</v>
      </c>
      <c r="T31" s="11" t="n">
        <v>4.38022490167744</v>
      </c>
      <c r="U31" s="11" t="n">
        <v>4.3974657713306</v>
      </c>
      <c r="V31" s="11" t="n">
        <v>4.41240560710972</v>
      </c>
      <c r="W31" s="11" t="n">
        <v>4.42532680140669</v>
      </c>
      <c r="X31" s="11" t="n">
        <v>4.43648054665709</v>
      </c>
      <c r="Y31" s="11" t="n">
        <v>4.44608149594815</v>
      </c>
      <c r="Z31" s="11" t="n">
        <v>4.45431344036421</v>
      </c>
      <c r="AA31" s="11" t="n">
        <v>4.46133447177416</v>
      </c>
      <c r="AB31" s="11" t="n">
        <v>4.46728020445572</v>
      </c>
      <c r="AC31" s="11" t="n">
        <v>4.47226631465579</v>
      </c>
      <c r="AD31" s="11" t="n">
        <v>4.47638973348758</v>
      </c>
      <c r="AE31" s="11" t="n">
        <v>4.47972987894303</v>
      </c>
      <c r="AF31" s="11" t="n">
        <v>4.48235084570401</v>
      </c>
      <c r="AG31" s="11" t="n">
        <v>4.4843054753875</v>
      </c>
      <c r="AH31" s="11" t="n">
        <v>4.48563840798227</v>
      </c>
      <c r="AI31" s="11" t="n">
        <v>4.48638705483547</v>
      </c>
      <c r="AJ31" s="11" t="n">
        <v>4.48658244731763</v>
      </c>
      <c r="AK31" s="11" t="n">
        <v>4.48625159523768</v>
      </c>
    </row>
    <row r="32" customFormat="false" ht="15" hidden="false" customHeight="false" outlineLevel="0" collapsed="false">
      <c r="A32" s="10" t="n">
        <v>-93</v>
      </c>
      <c r="B32" s="8" t="n">
        <v>40340</v>
      </c>
      <c r="C32" s="11" t="n">
        <v>0.995051227599392</v>
      </c>
      <c r="D32" s="11" t="n">
        <v>1.2312458824609</v>
      </c>
      <c r="E32" s="11" t="n">
        <v>1.46675605921765</v>
      </c>
      <c r="F32" s="11" t="n">
        <v>1.69514027103341</v>
      </c>
      <c r="G32" s="11" t="n">
        <v>1.91365734753182</v>
      </c>
      <c r="H32" s="11" t="n">
        <v>2.12112059112662</v>
      </c>
      <c r="I32" s="11" t="n">
        <v>2.31710276227401</v>
      </c>
      <c r="J32" s="11" t="n">
        <v>2.50154460753995</v>
      </c>
      <c r="K32" s="11" t="n">
        <v>2.67455770974135</v>
      </c>
      <c r="L32" s="11" t="n">
        <v>2.83633270771092</v>
      </c>
      <c r="M32" s="11" t="n">
        <v>4.07522026041471</v>
      </c>
      <c r="N32" s="11" t="n">
        <v>4.12007891036588</v>
      </c>
      <c r="O32" s="11" t="n">
        <v>4.16006931597794</v>
      </c>
      <c r="P32" s="11" t="n">
        <v>4.1956088094175</v>
      </c>
      <c r="Q32" s="11" t="n">
        <v>4.22710415600788</v>
      </c>
      <c r="R32" s="11" t="n">
        <v>4.25494439875579</v>
      </c>
      <c r="S32" s="11" t="n">
        <v>4.27948915886221</v>
      </c>
      <c r="T32" s="11" t="n">
        <v>4.30107063893296</v>
      </c>
      <c r="U32" s="11" t="n">
        <v>4.31999765179763</v>
      </c>
      <c r="V32" s="11" t="n">
        <v>4.33655896176302</v>
      </c>
      <c r="W32" s="11" t="n">
        <v>4.35102459337356</v>
      </c>
      <c r="X32" s="11" t="n">
        <v>4.36363676566122</v>
      </c>
      <c r="Y32" s="11" t="n">
        <v>4.37460481154444</v>
      </c>
      <c r="Z32" s="11" t="n">
        <v>4.38411007395853</v>
      </c>
      <c r="AA32" s="11" t="n">
        <v>4.39231036215035</v>
      </c>
      <c r="AB32" s="11" t="n">
        <v>4.39934288266937</v>
      </c>
      <c r="AC32" s="11" t="n">
        <v>4.40532650201801</v>
      </c>
      <c r="AD32" s="11" t="n">
        <v>4.41036237978431</v>
      </c>
      <c r="AE32" s="11" t="n">
        <v>4.41453482630036</v>
      </c>
      <c r="AF32" s="11" t="n">
        <v>4.41791338783413</v>
      </c>
      <c r="AG32" s="11" t="n">
        <v>4.42055661833651</v>
      </c>
      <c r="AH32" s="11" t="n">
        <v>4.42251486113237</v>
      </c>
      <c r="AI32" s="11" t="n">
        <v>4.42383120212807</v>
      </c>
      <c r="AJ32" s="11" t="n">
        <v>4.42454232023457</v>
      </c>
      <c r="AK32" s="11" t="n">
        <v>4.42468074482518</v>
      </c>
    </row>
    <row r="33" customFormat="false" ht="15" hidden="false" customHeight="false" outlineLevel="0" collapsed="false">
      <c r="A33" s="10" t="n">
        <v>-92</v>
      </c>
      <c r="B33" s="8" t="n">
        <v>40343</v>
      </c>
      <c r="C33" s="11" t="n">
        <v>1.09406140450449</v>
      </c>
      <c r="D33" s="11" t="n">
        <v>1.33771534260976</v>
      </c>
      <c r="E33" s="11" t="n">
        <v>1.57644641462105</v>
      </c>
      <c r="F33" s="11" t="n">
        <v>1.80566990577332</v>
      </c>
      <c r="G33" s="11" t="n">
        <v>2.02364106329863</v>
      </c>
      <c r="H33" s="11" t="n">
        <v>2.22973658456848</v>
      </c>
      <c r="I33" s="11" t="n">
        <v>2.42387130489255</v>
      </c>
      <c r="J33" s="11" t="n">
        <v>2.60620255435793</v>
      </c>
      <c r="K33" s="11" t="n">
        <v>2.77698579681165</v>
      </c>
      <c r="L33" s="11" t="n">
        <v>2.93651127694723</v>
      </c>
      <c r="M33" s="11" t="n">
        <v>4.15337342339885</v>
      </c>
      <c r="N33" s="11" t="n">
        <v>4.19691203982264</v>
      </c>
      <c r="O33" s="11" t="n">
        <v>4.23562319424635</v>
      </c>
      <c r="P33" s="11" t="n">
        <v>4.26992840233758</v>
      </c>
      <c r="Q33" s="11" t="n">
        <v>4.30023927201414</v>
      </c>
      <c r="R33" s="11" t="n">
        <v>4.32694956109096</v>
      </c>
      <c r="S33" s="11" t="n">
        <v>4.35042257099382</v>
      </c>
      <c r="T33" s="11" t="n">
        <v>4.37099318592282</v>
      </c>
      <c r="U33" s="11" t="n">
        <v>4.3889720486168</v>
      </c>
      <c r="V33" s="11" t="n">
        <v>4.40464902324185</v>
      </c>
      <c r="W33" s="11" t="n">
        <v>4.41829454658063</v>
      </c>
      <c r="X33" s="11" t="n">
        <v>4.43015037135278</v>
      </c>
      <c r="Y33" s="11" t="n">
        <v>4.440424507985</v>
      </c>
      <c r="Z33" s="11" t="n">
        <v>4.44929634291191</v>
      </c>
      <c r="AA33" s="11" t="n">
        <v>4.45692124595429</v>
      </c>
      <c r="AB33" s="11" t="n">
        <v>4.46343356365853</v>
      </c>
      <c r="AC33" s="11" t="n">
        <v>4.46894894762969</v>
      </c>
      <c r="AD33" s="11" t="n">
        <v>4.47356517261011</v>
      </c>
      <c r="AE33" s="11" t="n">
        <v>4.47736313646056</v>
      </c>
      <c r="AF33" s="11" t="n">
        <v>4.48040897650776</v>
      </c>
      <c r="AG33" s="11" t="n">
        <v>4.4827579510628</v>
      </c>
      <c r="AH33" s="11" t="n">
        <v>4.48445727093946</v>
      </c>
      <c r="AI33" s="11" t="n">
        <v>4.48554703766163</v>
      </c>
      <c r="AJ33" s="11" t="n">
        <v>4.48606108322612</v>
      </c>
      <c r="AK33" s="11" t="n">
        <v>4.48602925101275</v>
      </c>
    </row>
    <row r="34" customFormat="false" ht="15" hidden="false" customHeight="false" outlineLevel="0" collapsed="false">
      <c r="A34" s="10" t="n">
        <v>-91</v>
      </c>
      <c r="B34" s="8" t="n">
        <v>40344</v>
      </c>
      <c r="C34" s="11" t="n">
        <v>1.0560356713246</v>
      </c>
      <c r="D34" s="11" t="n">
        <v>1.3023549461383</v>
      </c>
      <c r="E34" s="11" t="n">
        <v>1.54537331754873</v>
      </c>
      <c r="F34" s="11" t="n">
        <v>1.77930388771755</v>
      </c>
      <c r="G34" s="11" t="n">
        <v>2.00188921532523</v>
      </c>
      <c r="H34" s="11" t="n">
        <v>2.21229459466821</v>
      </c>
      <c r="I34" s="11" t="n">
        <v>2.41036030499323</v>
      </c>
      <c r="J34" s="11" t="n">
        <v>2.59622668637201</v>
      </c>
      <c r="K34" s="11" t="n">
        <v>2.770154340581</v>
      </c>
      <c r="L34" s="11" t="n">
        <v>2.93244744392149</v>
      </c>
      <c r="M34" s="11" t="n">
        <v>4.16483103207498</v>
      </c>
      <c r="N34" s="11" t="n">
        <v>4.20899561175994</v>
      </c>
      <c r="O34" s="11" t="n">
        <v>4.24832016211549</v>
      </c>
      <c r="P34" s="11" t="n">
        <v>4.28322648214451</v>
      </c>
      <c r="Q34" s="11" t="n">
        <v>4.31412475980406</v>
      </c>
      <c r="R34" s="11" t="n">
        <v>4.34140624590629</v>
      </c>
      <c r="S34" s="11" t="n">
        <v>4.36543154466217</v>
      </c>
      <c r="T34" s="11" t="n">
        <v>4.38653283758952</v>
      </c>
      <c r="U34" s="11" t="n">
        <v>4.4050180605029</v>
      </c>
      <c r="V34" s="11" t="n">
        <v>4.42117436697964</v>
      </c>
      <c r="W34" s="11" t="n">
        <v>4.4352695065553</v>
      </c>
      <c r="X34" s="11" t="n">
        <v>4.44754294342506</v>
      </c>
      <c r="Y34" s="11" t="n">
        <v>4.45820114041239</v>
      </c>
      <c r="Z34" s="11" t="n">
        <v>4.46742262927666</v>
      </c>
      <c r="AA34" s="11" t="n">
        <v>4.4753625292532</v>
      </c>
      <c r="AB34" s="11" t="n">
        <v>4.48215546547401</v>
      </c>
      <c r="AC34" s="11" t="n">
        <v>4.48791783937034</v>
      </c>
      <c r="AD34" s="11" t="n">
        <v>4.49274865087597</v>
      </c>
      <c r="AE34" s="11" t="n">
        <v>4.49673050091937</v>
      </c>
      <c r="AF34" s="11" t="n">
        <v>4.4999316539609</v>
      </c>
      <c r="AG34" s="11" t="n">
        <v>4.5024098008892</v>
      </c>
      <c r="AH34" s="11" t="n">
        <v>4.50421478550948</v>
      </c>
      <c r="AI34" s="11" t="n">
        <v>4.50538951587644</v>
      </c>
      <c r="AJ34" s="11" t="n">
        <v>4.50597078452134</v>
      </c>
      <c r="AK34" s="11" t="n">
        <v>4.5059914802156</v>
      </c>
    </row>
    <row r="35" customFormat="false" ht="15" hidden="false" customHeight="false" outlineLevel="0" collapsed="false">
      <c r="A35" s="10" t="n">
        <v>-90</v>
      </c>
      <c r="B35" s="8" t="n">
        <v>40345</v>
      </c>
      <c r="C35" s="11" t="n">
        <v>1.05177772451388</v>
      </c>
      <c r="D35" s="11" t="n">
        <v>1.29629240290692</v>
      </c>
      <c r="E35" s="11" t="n">
        <v>1.53759072488955</v>
      </c>
      <c r="F35" s="11" t="n">
        <v>1.76993768690959</v>
      </c>
      <c r="G35" s="11" t="n">
        <v>1.99110659583258</v>
      </c>
      <c r="H35" s="11" t="n">
        <v>2.2002698321711</v>
      </c>
      <c r="I35" s="11" t="n">
        <v>2.39726284786141</v>
      </c>
      <c r="J35" s="11" t="n">
        <v>2.582218238373</v>
      </c>
      <c r="K35" s="11" t="n">
        <v>2.75539431355277</v>
      </c>
      <c r="L35" s="11" t="n">
        <v>2.91710033364054</v>
      </c>
      <c r="M35" s="11" t="n">
        <v>4.15991919426218</v>
      </c>
      <c r="N35" s="11" t="n">
        <v>4.20605093498871</v>
      </c>
      <c r="O35" s="11" t="n">
        <v>4.24738882094492</v>
      </c>
      <c r="P35" s="11" t="n">
        <v>4.28432475605819</v>
      </c>
      <c r="Q35" s="11" t="n">
        <v>4.31723952661622</v>
      </c>
      <c r="R35" s="11" t="n">
        <v>4.34649698387978</v>
      </c>
      <c r="S35" s="11" t="n">
        <v>4.37243469817273</v>
      </c>
      <c r="T35" s="11" t="n">
        <v>4.3953659905178</v>
      </c>
      <c r="U35" s="11" t="n">
        <v>4.41558349661159</v>
      </c>
      <c r="V35" s="11" t="n">
        <v>4.43336212163737</v>
      </c>
      <c r="W35" s="11" t="n">
        <v>4.44896004103157</v>
      </c>
      <c r="X35" s="11" t="n">
        <v>4.46260997697677</v>
      </c>
      <c r="Y35" s="11" t="n">
        <v>4.47451458593905</v>
      </c>
      <c r="Z35" s="11" t="n">
        <v>4.48485109409381</v>
      </c>
      <c r="AA35" s="11" t="n">
        <v>4.49377541914313</v>
      </c>
      <c r="AB35" s="11" t="n">
        <v>4.5014248259541</v>
      </c>
      <c r="AC35" s="11" t="n">
        <v>4.50791996237888</v>
      </c>
      <c r="AD35" s="11" t="n">
        <v>4.51336539779249</v>
      </c>
      <c r="AE35" s="11" t="n">
        <v>4.51785041484911</v>
      </c>
      <c r="AF35" s="11" t="n">
        <v>4.52145090589485</v>
      </c>
      <c r="AG35" s="11" t="n">
        <v>4.52423271220736</v>
      </c>
      <c r="AH35" s="11" t="n">
        <v>4.52625404560413</v>
      </c>
      <c r="AI35" s="11" t="n">
        <v>4.52756636109476</v>
      </c>
      <c r="AJ35" s="11" t="n">
        <v>4.52821514341306</v>
      </c>
      <c r="AK35" s="11" t="n">
        <v>4.52824186163905</v>
      </c>
    </row>
    <row r="36" customFormat="false" ht="15" hidden="false" customHeight="false" outlineLevel="0" collapsed="false">
      <c r="A36" s="10" t="n">
        <v>-89</v>
      </c>
      <c r="B36" s="8" t="n">
        <v>40346</v>
      </c>
      <c r="C36" s="11" t="n">
        <v>1.04176953062728</v>
      </c>
      <c r="D36" s="11" t="n">
        <v>1.28362294075253</v>
      </c>
      <c r="E36" s="11" t="n">
        <v>1.52228851044844</v>
      </c>
      <c r="F36" s="11" t="n">
        <v>1.75199086354469</v>
      </c>
      <c r="G36" s="11" t="n">
        <v>1.97047319675044</v>
      </c>
      <c r="H36" s="11" t="n">
        <v>2.17688882453369</v>
      </c>
      <c r="I36" s="11" t="n">
        <v>2.37107809759618</v>
      </c>
      <c r="J36" s="11" t="n">
        <v>2.55320168240601</v>
      </c>
      <c r="K36" s="11" t="n">
        <v>2.72356794436935</v>
      </c>
      <c r="L36" s="11" t="n">
        <v>2.88255173975761</v>
      </c>
      <c r="M36" s="11" t="n">
        <v>4.11203502525516</v>
      </c>
      <c r="N36" s="11" t="n">
        <v>4.15861864279614</v>
      </c>
      <c r="O36" s="11" t="n">
        <v>4.20049428428682</v>
      </c>
      <c r="P36" s="11" t="n">
        <v>4.23802688759689</v>
      </c>
      <c r="Q36" s="11" t="n">
        <v>4.27157119678943</v>
      </c>
      <c r="R36" s="11" t="n">
        <v>4.30146711079531</v>
      </c>
      <c r="S36" s="11" t="n">
        <v>4.32803220053083</v>
      </c>
      <c r="T36" s="11" t="n">
        <v>4.35156352011501</v>
      </c>
      <c r="U36" s="11" t="n">
        <v>4.37234062248656</v>
      </c>
      <c r="V36" s="11" t="n">
        <v>4.39062805931007</v>
      </c>
      <c r="W36" s="11" t="n">
        <v>4.40667605420931</v>
      </c>
      <c r="X36" s="11" t="n">
        <v>4.4207119984148</v>
      </c>
      <c r="Y36" s="11" t="n">
        <v>4.43293594686845</v>
      </c>
      <c r="Z36" s="11" t="n">
        <v>4.44352462156444</v>
      </c>
      <c r="AA36" s="11" t="n">
        <v>4.4526350256213</v>
      </c>
      <c r="AB36" s="11" t="n">
        <v>4.4604068894586</v>
      </c>
      <c r="AC36" s="11" t="n">
        <v>4.46696450160909</v>
      </c>
      <c r="AD36" s="11" t="n">
        <v>4.47241682867575</v>
      </c>
      <c r="AE36" s="11" t="n">
        <v>4.47685802641087</v>
      </c>
      <c r="AF36" s="11" t="n">
        <v>4.48036924804021</v>
      </c>
      <c r="AG36" s="11" t="n">
        <v>4.48302173788204</v>
      </c>
      <c r="AH36" s="11" t="n">
        <v>4.48487907745994</v>
      </c>
      <c r="AI36" s="11" t="n">
        <v>4.48599805117624</v>
      </c>
      <c r="AJ36" s="11" t="n">
        <v>4.48642943113329</v>
      </c>
      <c r="AK36" s="11" t="n">
        <v>4.48621983326636</v>
      </c>
    </row>
    <row r="37" customFormat="false" ht="15" hidden="false" customHeight="false" outlineLevel="0" collapsed="false">
      <c r="A37" s="10" t="n">
        <v>-88</v>
      </c>
      <c r="B37" s="8" t="n">
        <v>40347</v>
      </c>
      <c r="C37" s="11" t="n">
        <v>1.08051230452718</v>
      </c>
      <c r="D37" s="11" t="n">
        <v>1.32479614009016</v>
      </c>
      <c r="E37" s="11" t="n">
        <v>1.56501543571771</v>
      </c>
      <c r="F37" s="11" t="n">
        <v>1.79595416341568</v>
      </c>
      <c r="G37" s="11" t="n">
        <v>2.01559711517256</v>
      </c>
      <c r="H37" s="11" t="n">
        <v>2.2231924468881</v>
      </c>
      <c r="I37" s="11" t="n">
        <v>2.41859775647014</v>
      </c>
      <c r="J37" s="11" t="n">
        <v>2.6019530466212</v>
      </c>
      <c r="K37" s="11" t="n">
        <v>2.77352508097098</v>
      </c>
      <c r="L37" s="11" t="n">
        <v>2.93363757305814</v>
      </c>
      <c r="M37" s="11" t="n">
        <v>4.15829076253659</v>
      </c>
      <c r="N37" s="11" t="n">
        <v>4.20306936870425</v>
      </c>
      <c r="O37" s="11" t="n">
        <v>4.24303392193217</v>
      </c>
      <c r="P37" s="11" t="n">
        <v>4.27857397817822</v>
      </c>
      <c r="Q37" s="11" t="n">
        <v>4.31006868204135</v>
      </c>
      <c r="R37" s="11" t="n">
        <v>4.33788100352592</v>
      </c>
      <c r="S37" s="11" t="n">
        <v>4.36234908326645</v>
      </c>
      <c r="T37" s="11" t="n">
        <v>4.38378827644763</v>
      </c>
      <c r="U37" s="11" t="n">
        <v>4.40249450229044</v>
      </c>
      <c r="V37" s="11" t="n">
        <v>4.41874702018311</v>
      </c>
      <c r="W37" s="11" t="n">
        <v>4.4328091970551</v>
      </c>
      <c r="X37" s="11" t="n">
        <v>4.44491970327244</v>
      </c>
      <c r="Y37" s="11" t="n">
        <v>4.45528813759091</v>
      </c>
      <c r="Z37" s="11" t="n">
        <v>4.46409905920814</v>
      </c>
      <c r="AA37" s="11" t="n">
        <v>4.47151564081923</v>
      </c>
      <c r="AB37" s="11" t="n">
        <v>4.47768230615596</v>
      </c>
      <c r="AC37" s="11" t="n">
        <v>4.48272670778199</v>
      </c>
      <c r="AD37" s="11" t="n">
        <v>4.48675986991539</v>
      </c>
      <c r="AE37" s="11" t="n">
        <v>4.48987679794989</v>
      </c>
      <c r="AF37" s="11" t="n">
        <v>4.49215845963123</v>
      </c>
      <c r="AG37" s="11" t="n">
        <v>4.49367517543688</v>
      </c>
      <c r="AH37" s="11" t="n">
        <v>4.49448902743619</v>
      </c>
      <c r="AI37" s="11" t="n">
        <v>4.49465478589446</v>
      </c>
      <c r="AJ37" s="11" t="n">
        <v>4.49422075815245</v>
      </c>
      <c r="AK37" s="11" t="n">
        <v>4.49323077976436</v>
      </c>
    </row>
    <row r="38" customFormat="false" ht="15" hidden="false" customHeight="false" outlineLevel="0" collapsed="false">
      <c r="A38" s="10" t="n">
        <v>-87</v>
      </c>
      <c r="B38" s="8" t="n">
        <v>40350</v>
      </c>
      <c r="C38" s="11" t="n">
        <v>1.05622433063074</v>
      </c>
      <c r="D38" s="11" t="n">
        <v>1.29770750059034</v>
      </c>
      <c r="E38" s="11" t="n">
        <v>1.53603304020379</v>
      </c>
      <c r="F38" s="11" t="n">
        <v>1.76573192117859</v>
      </c>
      <c r="G38" s="11" t="n">
        <v>1.9846337259257</v>
      </c>
      <c r="H38" s="11" t="n">
        <v>2.19187156293783</v>
      </c>
      <c r="I38" s="11" t="n">
        <v>2.38720407968895</v>
      </c>
      <c r="J38" s="11" t="n">
        <v>2.57068631192793</v>
      </c>
      <c r="K38" s="11" t="n">
        <v>2.74251178379387</v>
      </c>
      <c r="L38" s="11" t="n">
        <v>2.90294113205544</v>
      </c>
      <c r="M38" s="11" t="n">
        <v>4.12647182908306</v>
      </c>
      <c r="N38" s="11" t="n">
        <v>4.17067739675971</v>
      </c>
      <c r="O38" s="11" t="n">
        <v>4.21003117481952</v>
      </c>
      <c r="P38" s="11" t="n">
        <v>4.24493072176191</v>
      </c>
      <c r="Q38" s="11" t="n">
        <v>4.27576314816747</v>
      </c>
      <c r="R38" s="11" t="n">
        <v>4.30289897199918</v>
      </c>
      <c r="S38" s="11" t="n">
        <v>4.32668308618415</v>
      </c>
      <c r="T38" s="11" t="n">
        <v>4.34743688039746</v>
      </c>
      <c r="U38" s="11" t="n">
        <v>4.36546169619293</v>
      </c>
      <c r="V38" s="11" t="n">
        <v>4.38104169049644</v>
      </c>
      <c r="W38" s="11" t="n">
        <v>4.39444458201718</v>
      </c>
      <c r="X38" s="11" t="n">
        <v>4.40591242605696</v>
      </c>
      <c r="Y38" s="11" t="n">
        <v>4.41565714266646</v>
      </c>
      <c r="Z38" s="11" t="n">
        <v>4.42386487359097</v>
      </c>
      <c r="AA38" s="11" t="n">
        <v>4.43069985751834</v>
      </c>
      <c r="AB38" s="11" t="n">
        <v>4.43630713727764</v>
      </c>
      <c r="AC38" s="11" t="n">
        <v>4.44081460552067</v>
      </c>
      <c r="AD38" s="11" t="n">
        <v>4.44433332089703</v>
      </c>
      <c r="AE38" s="11" t="n">
        <v>4.4469582466326</v>
      </c>
      <c r="AF38" s="11" t="n">
        <v>4.44877026029816</v>
      </c>
      <c r="AG38" s="11" t="n">
        <v>4.44983960920353</v>
      </c>
      <c r="AH38" s="11" t="n">
        <v>4.45022834274882</v>
      </c>
      <c r="AI38" s="11" t="n">
        <v>4.44999123490869</v>
      </c>
      <c r="AJ38" s="11" t="n">
        <v>4.44917663209924</v>
      </c>
      <c r="AK38" s="11" t="n">
        <v>4.44782845353369</v>
      </c>
    </row>
    <row r="39" customFormat="false" ht="15" hidden="false" customHeight="false" outlineLevel="0" collapsed="false">
      <c r="A39" s="10" t="n">
        <v>-86</v>
      </c>
      <c r="B39" s="8" t="n">
        <v>40351</v>
      </c>
      <c r="C39" s="11" t="n">
        <v>0.982470811764983</v>
      </c>
      <c r="D39" s="11" t="n">
        <v>1.22207234900513</v>
      </c>
      <c r="E39" s="11" t="n">
        <v>1.46125410512742</v>
      </c>
      <c r="F39" s="11" t="n">
        <v>1.69297232860887</v>
      </c>
      <c r="G39" s="11" t="n">
        <v>1.91430019894664</v>
      </c>
      <c r="H39" s="11" t="n">
        <v>2.12401298706758</v>
      </c>
      <c r="I39" s="11" t="n">
        <v>2.32170735950105</v>
      </c>
      <c r="J39" s="11" t="n">
        <v>2.50737478133525</v>
      </c>
      <c r="K39" s="11" t="n">
        <v>2.6811953220101</v>
      </c>
      <c r="L39" s="11" t="n">
        <v>2.84344221597313</v>
      </c>
      <c r="M39" s="11" t="n">
        <v>4.08850226029001</v>
      </c>
      <c r="N39" s="11" t="n">
        <v>4.13477911433361</v>
      </c>
      <c r="O39" s="11" t="n">
        <v>4.17623731285569</v>
      </c>
      <c r="P39" s="11" t="n">
        <v>4.21325543709444</v>
      </c>
      <c r="Q39" s="11" t="n">
        <v>4.24620037458776</v>
      </c>
      <c r="R39" s="11" t="n">
        <v>4.27542268585354</v>
      </c>
      <c r="S39" s="11" t="n">
        <v>4.3012495904597</v>
      </c>
      <c r="T39" s="11" t="n">
        <v>4.32398707538326</v>
      </c>
      <c r="U39" s="11" t="n">
        <v>4.34392301654297</v>
      </c>
      <c r="V39" s="11" t="n">
        <v>4.36132976556095</v>
      </c>
      <c r="W39" s="11" t="n">
        <v>4.37646483023104</v>
      </c>
      <c r="X39" s="11" t="n">
        <v>4.38956273297461</v>
      </c>
      <c r="Y39" s="11" t="n">
        <v>4.40083111567198</v>
      </c>
      <c r="Z39" s="11" t="n">
        <v>4.41045430846934</v>
      </c>
      <c r="AA39" s="11" t="n">
        <v>4.4185965905077</v>
      </c>
      <c r="AB39" s="11" t="n">
        <v>4.42540465393596</v>
      </c>
      <c r="AC39" s="11" t="n">
        <v>4.43100942568647</v>
      </c>
      <c r="AD39" s="11" t="n">
        <v>4.43552602358429</v>
      </c>
      <c r="AE39" s="11" t="n">
        <v>4.43905425473525</v>
      </c>
      <c r="AF39" s="11" t="n">
        <v>4.44168049575597</v>
      </c>
      <c r="AG39" s="11" t="n">
        <v>4.44348080583368</v>
      </c>
      <c r="AH39" s="11" t="n">
        <v>4.44452312916488</v>
      </c>
      <c r="AI39" s="11" t="n">
        <v>4.4448681973929</v>
      </c>
      <c r="AJ39" s="11" t="n">
        <v>4.44457035929347</v>
      </c>
      <c r="AK39" s="11" t="n">
        <v>4.44367940557763</v>
      </c>
    </row>
    <row r="40" customFormat="false" ht="15" hidden="false" customHeight="false" outlineLevel="0" collapsed="false">
      <c r="A40" s="10" t="n">
        <v>-85</v>
      </c>
      <c r="B40" s="8" t="n">
        <v>40352</v>
      </c>
      <c r="C40" s="11" t="n">
        <v>0.973115759511911</v>
      </c>
      <c r="D40" s="11" t="n">
        <v>1.20944596314823</v>
      </c>
      <c r="E40" s="11" t="n">
        <v>1.44720216188114</v>
      </c>
      <c r="F40" s="11" t="n">
        <v>1.67835669626252</v>
      </c>
      <c r="G40" s="11" t="n">
        <v>1.8994014111115</v>
      </c>
      <c r="H40" s="11" t="n">
        <v>2.10881822243907</v>
      </c>
      <c r="I40" s="11" t="n">
        <v>2.30608738715569</v>
      </c>
      <c r="J40" s="11" t="n">
        <v>2.49118389517624</v>
      </c>
      <c r="K40" s="11" t="n">
        <v>2.66432093397982</v>
      </c>
      <c r="L40" s="11" t="n">
        <v>2.82582389015711</v>
      </c>
      <c r="M40" s="11" t="n">
        <v>4.07036972206241</v>
      </c>
      <c r="N40" s="11" t="n">
        <v>4.11751321420351</v>
      </c>
      <c r="O40" s="11" t="n">
        <v>4.15992127626576</v>
      </c>
      <c r="P40" s="11" t="n">
        <v>4.19795630703336</v>
      </c>
      <c r="Q40" s="11" t="n">
        <v>4.2319683145763</v>
      </c>
      <c r="R40" s="11" t="n">
        <v>4.26229109307425</v>
      </c>
      <c r="S40" s="11" t="n">
        <v>4.28923631576729</v>
      </c>
      <c r="T40" s="11" t="n">
        <v>4.31309564436463</v>
      </c>
      <c r="U40" s="11" t="n">
        <v>4.33414367120125</v>
      </c>
      <c r="V40" s="11" t="n">
        <v>4.35264035717941</v>
      </c>
      <c r="W40" s="11" t="n">
        <v>4.36883173106494</v>
      </c>
      <c r="X40" s="11" t="n">
        <v>4.38294274019048</v>
      </c>
      <c r="Y40" s="11" t="n">
        <v>4.39517391824678</v>
      </c>
      <c r="Z40" s="11" t="n">
        <v>4.40570448549418</v>
      </c>
      <c r="AA40" s="11" t="n">
        <v>4.41469521643127</v>
      </c>
      <c r="AB40" s="11" t="n">
        <v>4.42229070003973</v>
      </c>
      <c r="AC40" s="11" t="n">
        <v>4.42862099147326</v>
      </c>
      <c r="AD40" s="11" t="n">
        <v>4.43380143020003</v>
      </c>
      <c r="AE40" s="11" t="n">
        <v>4.43793303310413</v>
      </c>
      <c r="AF40" s="11" t="n">
        <v>4.44110424274762</v>
      </c>
      <c r="AG40" s="11" t="n">
        <v>4.44339376399851</v>
      </c>
      <c r="AH40" s="11" t="n">
        <v>4.44487257059065</v>
      </c>
      <c r="AI40" s="11" t="n">
        <v>4.44560475972221</v>
      </c>
      <c r="AJ40" s="11" t="n">
        <v>4.44564834048839</v>
      </c>
      <c r="AK40" s="11" t="n">
        <v>4.44505692319748</v>
      </c>
    </row>
    <row r="41" customFormat="false" ht="15" hidden="false" customHeight="false" outlineLevel="0" collapsed="false">
      <c r="A41" s="10" t="n">
        <v>-84</v>
      </c>
      <c r="B41" s="8" t="n">
        <v>40353</v>
      </c>
      <c r="C41" s="11" t="n">
        <v>0.931956817506594</v>
      </c>
      <c r="D41" s="11" t="n">
        <v>1.16184444729594</v>
      </c>
      <c r="E41" s="11" t="n">
        <v>1.39563192528086</v>
      </c>
      <c r="F41" s="11" t="n">
        <v>1.62435447651762</v>
      </c>
      <c r="G41" s="11" t="n">
        <v>1.84393210818173</v>
      </c>
      <c r="H41" s="11" t="n">
        <v>2.05250492291308</v>
      </c>
      <c r="I41" s="11" t="n">
        <v>2.24934636741473</v>
      </c>
      <c r="J41" s="11" t="n">
        <v>2.43430928515009</v>
      </c>
      <c r="K41" s="11" t="n">
        <v>2.60753470836071</v>
      </c>
      <c r="L41" s="11" t="n">
        <v>2.76930377275908</v>
      </c>
      <c r="M41" s="11" t="n">
        <v>4.02883762215689</v>
      </c>
      <c r="N41" s="11" t="n">
        <v>4.07780305614657</v>
      </c>
      <c r="O41" s="11" t="n">
        <v>4.12206863763986</v>
      </c>
      <c r="P41" s="11" t="n">
        <v>4.16198078279312</v>
      </c>
      <c r="Q41" s="11" t="n">
        <v>4.19787336675134</v>
      </c>
      <c r="R41" s="11" t="n">
        <v>4.23006477275767</v>
      </c>
      <c r="S41" s="11" t="n">
        <v>4.25885318696425</v>
      </c>
      <c r="T41" s="11" t="n">
        <v>4.28451862485161</v>
      </c>
      <c r="U41" s="11" t="n">
        <v>4.30732560284815</v>
      </c>
      <c r="V41" s="11" t="n">
        <v>4.32752535190409</v>
      </c>
      <c r="W41" s="11" t="n">
        <v>4.3453563928649</v>
      </c>
      <c r="X41" s="11" t="n">
        <v>4.36103777382067</v>
      </c>
      <c r="Y41" s="11" t="n">
        <v>4.37476595228976</v>
      </c>
      <c r="Z41" s="11" t="n">
        <v>4.38671756504126</v>
      </c>
      <c r="AA41" s="11" t="n">
        <v>4.39705202196888</v>
      </c>
      <c r="AB41" s="11" t="n">
        <v>4.40591361290121</v>
      </c>
      <c r="AC41" s="11" t="n">
        <v>4.41343302135921</v>
      </c>
      <c r="AD41" s="11" t="n">
        <v>4.41972698762681</v>
      </c>
      <c r="AE41" s="11" t="n">
        <v>4.42489859736148</v>
      </c>
      <c r="AF41" s="11" t="n">
        <v>4.42903893265616</v>
      </c>
      <c r="AG41" s="11" t="n">
        <v>4.4322296754592</v>
      </c>
      <c r="AH41" s="11" t="n">
        <v>4.43454495500894</v>
      </c>
      <c r="AI41" s="11" t="n">
        <v>4.43605217680274</v>
      </c>
      <c r="AJ41" s="11" t="n">
        <v>4.4368127889332</v>
      </c>
      <c r="AK41" s="11" t="n">
        <v>4.43688386115597</v>
      </c>
    </row>
    <row r="42" customFormat="false" ht="15" hidden="false" customHeight="false" outlineLevel="0" collapsed="false">
      <c r="A42" s="10" t="n">
        <v>-83</v>
      </c>
      <c r="B42" s="8" t="n">
        <v>40354</v>
      </c>
      <c r="C42" s="11" t="n">
        <v>0.932528172118131</v>
      </c>
      <c r="D42" s="11" t="n">
        <v>1.15999606488497</v>
      </c>
      <c r="E42" s="11" t="n">
        <v>1.39164533046646</v>
      </c>
      <c r="F42" s="11" t="n">
        <v>1.61870860220755</v>
      </c>
      <c r="G42" s="11" t="n">
        <v>1.83712334973153</v>
      </c>
      <c r="H42" s="11" t="n">
        <v>2.04498920401089</v>
      </c>
      <c r="I42" s="11" t="n">
        <v>2.24151653614263</v>
      </c>
      <c r="J42" s="11" t="n">
        <v>2.42649498783144</v>
      </c>
      <c r="K42" s="11" t="n">
        <v>2.60000419120918</v>
      </c>
      <c r="L42" s="11" t="n">
        <v>2.76226679081295</v>
      </c>
      <c r="M42" s="11" t="n">
        <v>4.03684562935164</v>
      </c>
      <c r="N42" s="11" t="n">
        <v>4.08727799090221</v>
      </c>
      <c r="O42" s="11" t="n">
        <v>4.13299703929783</v>
      </c>
      <c r="P42" s="11" t="n">
        <v>4.17433611977723</v>
      </c>
      <c r="Q42" s="11" t="n">
        <v>4.21161628525489</v>
      </c>
      <c r="R42" s="11" t="n">
        <v>4.24514410129721</v>
      </c>
      <c r="S42" s="11" t="n">
        <v>4.27520813381399</v>
      </c>
      <c r="T42" s="11" t="n">
        <v>4.30208087401089</v>
      </c>
      <c r="U42" s="11" t="n">
        <v>4.32602110201519</v>
      </c>
      <c r="V42" s="11" t="n">
        <v>4.34727584480704</v>
      </c>
      <c r="W42" s="11" t="n">
        <v>4.36608073113074</v>
      </c>
      <c r="X42" s="11" t="n">
        <v>4.38265336439917</v>
      </c>
      <c r="Y42" s="11" t="n">
        <v>4.39719040399493</v>
      </c>
      <c r="Z42" s="11" t="n">
        <v>4.40987006120353</v>
      </c>
      <c r="AA42" s="11" t="n">
        <v>4.42085445313997</v>
      </c>
      <c r="AB42" s="11" t="n">
        <v>4.43029156763562</v>
      </c>
      <c r="AC42" s="11" t="n">
        <v>4.4383166290846</v>
      </c>
      <c r="AD42" s="11" t="n">
        <v>4.44505155305764</v>
      </c>
      <c r="AE42" s="11" t="n">
        <v>4.45060513647651</v>
      </c>
      <c r="AF42" s="11" t="n">
        <v>4.4550746221764</v>
      </c>
      <c r="AG42" s="11" t="n">
        <v>4.4585480181679</v>
      </c>
      <c r="AH42" s="11" t="n">
        <v>4.46110574950858</v>
      </c>
      <c r="AI42" s="11" t="n">
        <v>4.46282147973038</v>
      </c>
      <c r="AJ42" s="11" t="n">
        <v>4.4637628708787</v>
      </c>
      <c r="AK42" s="11" t="n">
        <v>4.46399300189754</v>
      </c>
    </row>
    <row r="43" customFormat="false" ht="15" hidden="false" customHeight="false" outlineLevel="0" collapsed="false">
      <c r="A43" s="10" t="n">
        <v>-82</v>
      </c>
      <c r="B43" s="8" t="n">
        <v>40357</v>
      </c>
      <c r="C43" s="11" t="n">
        <v>0.951197157520072</v>
      </c>
      <c r="D43" s="11" t="n">
        <v>1.17571746462627</v>
      </c>
      <c r="E43" s="11" t="n">
        <v>1.40374409014808</v>
      </c>
      <c r="F43" s="11" t="n">
        <v>1.62725567947199</v>
      </c>
      <c r="G43" s="11" t="n">
        <v>1.84247377215865</v>
      </c>
      <c r="H43" s="11" t="n">
        <v>2.04758979648752</v>
      </c>
      <c r="I43" s="11" t="n">
        <v>2.24182432158287</v>
      </c>
      <c r="J43" s="11" t="n">
        <v>2.42494649206508</v>
      </c>
      <c r="K43" s="11" t="n">
        <v>2.59700535199025</v>
      </c>
      <c r="L43" s="11" t="n">
        <v>2.75819045274228</v>
      </c>
      <c r="M43" s="11" t="n">
        <v>4.03829193778838</v>
      </c>
      <c r="N43" s="11" t="n">
        <v>4.08979838916788</v>
      </c>
      <c r="O43" s="11" t="n">
        <v>4.13661091281001</v>
      </c>
      <c r="P43" s="11" t="n">
        <v>4.17905453371329</v>
      </c>
      <c r="Q43" s="11" t="n">
        <v>4.21744270544558</v>
      </c>
      <c r="R43" s="11" t="n">
        <v>4.25207501869018</v>
      </c>
      <c r="S43" s="11" t="n">
        <v>4.28323368661698</v>
      </c>
      <c r="T43" s="11" t="n">
        <v>4.31118540021501</v>
      </c>
      <c r="U43" s="11" t="n">
        <v>4.33618361070636</v>
      </c>
      <c r="V43" s="11" t="n">
        <v>4.35847042007884</v>
      </c>
      <c r="W43" s="11" t="n">
        <v>4.37827689944491</v>
      </c>
      <c r="X43" s="11" t="n">
        <v>4.39581665266347</v>
      </c>
      <c r="Y43" s="11" t="n">
        <v>4.4112830430645</v>
      </c>
      <c r="Z43" s="11" t="n">
        <v>4.42485162433814</v>
      </c>
      <c r="AA43" s="11" t="n">
        <v>4.43668242033498</v>
      </c>
      <c r="AB43" s="11" t="n">
        <v>4.44692182134474</v>
      </c>
      <c r="AC43" s="11" t="n">
        <v>4.45570389078497</v>
      </c>
      <c r="AD43" s="11" t="n">
        <v>4.46314979726424</v>
      </c>
      <c r="AE43" s="11" t="n">
        <v>4.46936799158697</v>
      </c>
      <c r="AF43" s="11" t="n">
        <v>4.4744557250573</v>
      </c>
      <c r="AG43" s="11" t="n">
        <v>4.47850128721908</v>
      </c>
      <c r="AH43" s="11" t="n">
        <v>4.48158559398349</v>
      </c>
      <c r="AI43" s="11" t="n">
        <v>4.48378298505623</v>
      </c>
      <c r="AJ43" s="11" t="n">
        <v>4.48516196667545</v>
      </c>
      <c r="AK43" s="11" t="n">
        <v>4.48578661865134</v>
      </c>
    </row>
    <row r="44" customFormat="false" ht="15" hidden="false" customHeight="false" outlineLevel="0" collapsed="false">
      <c r="A44" s="10" t="n">
        <v>-81</v>
      </c>
      <c r="B44" s="8" t="n">
        <v>40358</v>
      </c>
      <c r="C44" s="11" t="n">
        <v>0.986421357109384</v>
      </c>
      <c r="D44" s="11" t="n">
        <v>1.2098820276012</v>
      </c>
      <c r="E44" s="11" t="n">
        <v>1.43588253274995</v>
      </c>
      <c r="F44" s="11" t="n">
        <v>1.6571484447849</v>
      </c>
      <c r="G44" s="11" t="n">
        <v>1.87018299282107</v>
      </c>
      <c r="H44" s="11" t="n">
        <v>2.07327642619104</v>
      </c>
      <c r="I44" s="11" t="n">
        <v>2.26567471707694</v>
      </c>
      <c r="J44" s="11" t="n">
        <v>2.44714631935348</v>
      </c>
      <c r="K44" s="11" t="n">
        <v>2.61773136573188</v>
      </c>
      <c r="L44" s="11" t="n">
        <v>2.77761058752131</v>
      </c>
      <c r="M44" s="11" t="n">
        <v>4.05081239367356</v>
      </c>
      <c r="N44" s="11" t="n">
        <v>4.10214848249769</v>
      </c>
      <c r="O44" s="11" t="n">
        <v>4.14878942694416</v>
      </c>
      <c r="P44" s="11" t="n">
        <v>4.19105182866918</v>
      </c>
      <c r="Q44" s="11" t="n">
        <v>4.22924116415979</v>
      </c>
      <c r="R44" s="11" t="n">
        <v>4.26364966291554</v>
      </c>
      <c r="S44" s="11" t="n">
        <v>4.29455308980642</v>
      </c>
      <c r="T44" s="11" t="n">
        <v>4.32221252641494</v>
      </c>
      <c r="U44" s="11" t="n">
        <v>4.34687653013208</v>
      </c>
      <c r="V44" s="11" t="n">
        <v>4.36878292238576</v>
      </c>
      <c r="W44" s="11" t="n">
        <v>4.38815903037758</v>
      </c>
      <c r="X44" s="11" t="n">
        <v>4.40521534476403</v>
      </c>
      <c r="Y44" s="11" t="n">
        <v>4.42014284026588</v>
      </c>
      <c r="Z44" s="11" t="n">
        <v>4.43311539271938</v>
      </c>
      <c r="AA44" s="11" t="n">
        <v>4.4442920116251</v>
      </c>
      <c r="AB44" s="11" t="n">
        <v>4.45381865744942</v>
      </c>
      <c r="AC44" s="11" t="n">
        <v>4.46182950298117</v>
      </c>
      <c r="AD44" s="11" t="n">
        <v>4.46844648257763</v>
      </c>
      <c r="AE44" s="11" t="n">
        <v>4.47377952435194</v>
      </c>
      <c r="AF44" s="11" t="n">
        <v>4.47792801439119</v>
      </c>
      <c r="AG44" s="11" t="n">
        <v>4.48098305376894</v>
      </c>
      <c r="AH44" s="11" t="n">
        <v>4.48302902290301</v>
      </c>
      <c r="AI44" s="11" t="n">
        <v>4.48414431259648</v>
      </c>
      <c r="AJ44" s="11" t="n">
        <v>4.48440200765574</v>
      </c>
      <c r="AK44" s="11" t="n">
        <v>4.4838712364362</v>
      </c>
    </row>
    <row r="45" customFormat="false" ht="15" hidden="false" customHeight="false" outlineLevel="0" collapsed="false">
      <c r="A45" s="10" t="n">
        <v>-80</v>
      </c>
      <c r="B45" s="8" t="n">
        <v>40359</v>
      </c>
      <c r="C45" s="11" t="n">
        <v>0.936241249736613</v>
      </c>
      <c r="D45" s="11" t="n">
        <v>1.15604387183777</v>
      </c>
      <c r="E45" s="11" t="n">
        <v>1.38038459982819</v>
      </c>
      <c r="F45" s="11" t="n">
        <v>1.60130526113282</v>
      </c>
      <c r="G45" s="11" t="n">
        <v>1.81490637778167</v>
      </c>
      <c r="H45" s="11" t="n">
        <v>2.01920878394034</v>
      </c>
      <c r="I45" s="11" t="n">
        <v>2.21325395616884</v>
      </c>
      <c r="J45" s="11" t="n">
        <v>2.39664163074364</v>
      </c>
      <c r="K45" s="11" t="n">
        <v>2.56926256383552</v>
      </c>
      <c r="L45" s="11" t="n">
        <v>2.73116736363378</v>
      </c>
      <c r="M45" s="11" t="n">
        <v>4.00597701239334</v>
      </c>
      <c r="N45" s="11" t="n">
        <v>4.05568984956638</v>
      </c>
      <c r="O45" s="11" t="n">
        <v>4.10061466203719</v>
      </c>
      <c r="P45" s="11" t="n">
        <v>4.14110087699771</v>
      </c>
      <c r="Q45" s="11" t="n">
        <v>4.17748520417562</v>
      </c>
      <c r="R45" s="11" t="n">
        <v>4.2100877023561</v>
      </c>
      <c r="S45" s="11" t="n">
        <v>4.2392063961259</v>
      </c>
      <c r="T45" s="11" t="n">
        <v>4.26511955285479</v>
      </c>
      <c r="U45" s="11" t="n">
        <v>4.28808858789202</v>
      </c>
      <c r="V45" s="11" t="n">
        <v>4.30836047087379</v>
      </c>
      <c r="W45" s="11" t="n">
        <v>4.32616837160913</v>
      </c>
      <c r="X45" s="11" t="n">
        <v>4.34172519511005</v>
      </c>
      <c r="Y45" s="11" t="n">
        <v>4.35522117397971</v>
      </c>
      <c r="Z45" s="11" t="n">
        <v>4.36682740737962</v>
      </c>
      <c r="AA45" s="11" t="n">
        <v>4.37669880259669</v>
      </c>
      <c r="AB45" s="11" t="n">
        <v>4.38497607532715</v>
      </c>
      <c r="AC45" s="11" t="n">
        <v>4.3917872626574</v>
      </c>
      <c r="AD45" s="11" t="n">
        <v>4.39724811248228</v>
      </c>
      <c r="AE45" s="11" t="n">
        <v>4.40146279832822</v>
      </c>
      <c r="AF45" s="11" t="n">
        <v>4.40452541955949</v>
      </c>
      <c r="AG45" s="11" t="n">
        <v>4.40652254865962</v>
      </c>
      <c r="AH45" s="11" t="n">
        <v>4.40753491399178</v>
      </c>
      <c r="AI45" s="11" t="n">
        <v>4.40763804780022</v>
      </c>
      <c r="AJ45" s="11" t="n">
        <v>4.40690290231578</v>
      </c>
      <c r="AK45" s="11" t="n">
        <v>4.40539726348668</v>
      </c>
    </row>
    <row r="46" customFormat="false" ht="15" hidden="false" customHeight="false" outlineLevel="0" collapsed="false">
      <c r="A46" s="10" t="n">
        <v>-79</v>
      </c>
      <c r="B46" s="8" t="n">
        <v>40360</v>
      </c>
      <c r="C46" s="11" t="n">
        <v>0.945729221675283</v>
      </c>
      <c r="D46" s="11" t="n">
        <v>1.16218068346969</v>
      </c>
      <c r="E46" s="11" t="n">
        <v>1.38222667509894</v>
      </c>
      <c r="F46" s="11" t="n">
        <v>1.59840948404904</v>
      </c>
      <c r="G46" s="11" t="n">
        <v>1.80713560933279</v>
      </c>
      <c r="H46" s="11" t="n">
        <v>2.00662336595894</v>
      </c>
      <c r="I46" s="11" t="n">
        <v>2.19604750226431</v>
      </c>
      <c r="J46" s="11" t="n">
        <v>2.3750985254335</v>
      </c>
      <c r="K46" s="11" t="n">
        <v>2.54372693854968</v>
      </c>
      <c r="L46" s="11" t="n">
        <v>2.70201939370066</v>
      </c>
      <c r="M46" s="11" t="n">
        <v>3.95525903523657</v>
      </c>
      <c r="N46" s="11" t="n">
        <v>4.00415596498637</v>
      </c>
      <c r="O46" s="11" t="n">
        <v>4.04828725322402</v>
      </c>
      <c r="P46" s="11" t="n">
        <v>4.0879960149348</v>
      </c>
      <c r="Q46" s="11" t="n">
        <v>4.1236143797425</v>
      </c>
      <c r="R46" s="11" t="n">
        <v>4.1554589627561</v>
      </c>
      <c r="S46" s="11" t="n">
        <v>4.18382498085494</v>
      </c>
      <c r="T46" s="11" t="n">
        <v>4.20898840648856</v>
      </c>
      <c r="U46" s="11" t="n">
        <v>4.23120879749141</v>
      </c>
      <c r="V46" s="11" t="n">
        <v>4.25073164078089</v>
      </c>
      <c r="W46" s="11" t="n">
        <v>4.26778892573753</v>
      </c>
      <c r="X46" s="11" t="n">
        <v>4.28259263351794</v>
      </c>
      <c r="Y46" s="11" t="n">
        <v>4.29533233409489</v>
      </c>
      <c r="Z46" s="11" t="n">
        <v>4.30617856205022</v>
      </c>
      <c r="AA46" s="11" t="n">
        <v>4.31528565445571</v>
      </c>
      <c r="AB46" s="11" t="n">
        <v>4.32279374712966</v>
      </c>
      <c r="AC46" s="11" t="n">
        <v>4.32883028277944</v>
      </c>
      <c r="AD46" s="11" t="n">
        <v>4.33351038126241</v>
      </c>
      <c r="AE46" s="11" t="n">
        <v>4.33693755345054</v>
      </c>
      <c r="AF46" s="11" t="n">
        <v>4.33920523545015</v>
      </c>
      <c r="AG46" s="11" t="n">
        <v>4.34039948863503</v>
      </c>
      <c r="AH46" s="11" t="n">
        <v>4.34060074735301</v>
      </c>
      <c r="AI46" s="11" t="n">
        <v>4.33988444710244</v>
      </c>
      <c r="AJ46" s="11" t="n">
        <v>4.33832162976677</v>
      </c>
      <c r="AK46" s="11" t="n">
        <v>4.33598042504378</v>
      </c>
    </row>
    <row r="47" customFormat="false" ht="15" hidden="false" customHeight="false" outlineLevel="0" collapsed="false">
      <c r="A47" s="10" t="n">
        <v>-78</v>
      </c>
      <c r="B47" s="8" t="n">
        <v>40361</v>
      </c>
      <c r="C47" s="11" t="n">
        <v>0.976926266729045</v>
      </c>
      <c r="D47" s="11" t="n">
        <v>1.19351776796122</v>
      </c>
      <c r="E47" s="11" t="n">
        <v>1.41334538788896</v>
      </c>
      <c r="F47" s="11" t="n">
        <v>1.62958226343645</v>
      </c>
      <c r="G47" s="11" t="n">
        <v>1.83882078933013</v>
      </c>
      <c r="H47" s="11" t="n">
        <v>2.03928602925287</v>
      </c>
      <c r="I47" s="11" t="n">
        <v>2.23009317780619</v>
      </c>
      <c r="J47" s="11" t="n">
        <v>2.41082570212855</v>
      </c>
      <c r="K47" s="11" t="n">
        <v>2.58131240509842</v>
      </c>
      <c r="L47" s="11" t="n">
        <v>2.74151839357257</v>
      </c>
      <c r="M47" s="11" t="n">
        <v>3.99935049275699</v>
      </c>
      <c r="N47" s="11" t="n">
        <v>4.04700354825453</v>
      </c>
      <c r="O47" s="11" t="n">
        <v>4.08978385087389</v>
      </c>
      <c r="P47" s="11" t="n">
        <v>4.1280616677652</v>
      </c>
      <c r="Q47" s="11" t="n">
        <v>4.16219525536152</v>
      </c>
      <c r="R47" s="11" t="n">
        <v>4.1925248371625</v>
      </c>
      <c r="S47" s="11" t="n">
        <v>4.21936529365384</v>
      </c>
      <c r="T47" s="11" t="n">
        <v>4.24300873288114</v>
      </c>
      <c r="U47" s="11" t="n">
        <v>4.2637278391502</v>
      </c>
      <c r="V47" s="11" t="n">
        <v>4.28177864611566</v>
      </c>
      <c r="W47" s="11" t="n">
        <v>4.29740135807789</v>
      </c>
      <c r="X47" s="11" t="n">
        <v>4.31081386525999</v>
      </c>
      <c r="Y47" s="11" t="n">
        <v>4.32220970191147</v>
      </c>
      <c r="Z47" s="11" t="n">
        <v>4.33176193462311</v>
      </c>
      <c r="AA47" s="11" t="n">
        <v>4.33962631223561</v>
      </c>
      <c r="AB47" s="11" t="n">
        <v>4.34594340330165</v>
      </c>
      <c r="AC47" s="11" t="n">
        <v>4.35084025359375</v>
      </c>
      <c r="AD47" s="11" t="n">
        <v>4.35443108964095</v>
      </c>
      <c r="AE47" s="11" t="n">
        <v>4.3568182552469</v>
      </c>
      <c r="AF47" s="11" t="n">
        <v>4.35809381451543</v>
      </c>
      <c r="AG47" s="11" t="n">
        <v>4.35834237116464</v>
      </c>
      <c r="AH47" s="11" t="n">
        <v>4.35764284749329</v>
      </c>
      <c r="AI47" s="11" t="n">
        <v>4.35606911673539</v>
      </c>
      <c r="AJ47" s="11" t="n">
        <v>4.35369061957338</v>
      </c>
      <c r="AK47" s="11" t="n">
        <v>4.35057386555069</v>
      </c>
    </row>
    <row r="48" customFormat="false" ht="15" hidden="false" customHeight="false" outlineLevel="0" collapsed="false">
      <c r="A48" s="10" t="n">
        <v>-77</v>
      </c>
      <c r="B48" s="8" t="n">
        <v>40364</v>
      </c>
      <c r="C48" s="11" t="n">
        <v>0.935551198265958</v>
      </c>
      <c r="D48" s="11" t="n">
        <v>1.14938870142777</v>
      </c>
      <c r="E48" s="11" t="n">
        <v>1.36797777271775</v>
      </c>
      <c r="F48" s="11" t="n">
        <v>1.58386004350624</v>
      </c>
      <c r="G48" s="11" t="n">
        <v>1.79327189008109</v>
      </c>
      <c r="H48" s="11" t="n">
        <v>1.99422464836562</v>
      </c>
      <c r="I48" s="11" t="n">
        <v>2.18570204834553</v>
      </c>
      <c r="J48" s="11" t="n">
        <v>2.36720007915508</v>
      </c>
      <c r="K48" s="11" t="n">
        <v>2.53848460283775</v>
      </c>
      <c r="L48" s="11" t="n">
        <v>2.69947308487943</v>
      </c>
      <c r="M48" s="11" t="n">
        <v>3.96010507140453</v>
      </c>
      <c r="N48" s="11" t="n">
        <v>4.00758497481876</v>
      </c>
      <c r="O48" s="11" t="n">
        <v>4.05018824513662</v>
      </c>
      <c r="P48" s="11" t="n">
        <v>4.08829341734282</v>
      </c>
      <c r="Q48" s="11" t="n">
        <v>4.12226625959749</v>
      </c>
      <c r="R48" s="11" t="n">
        <v>4.15245332529222</v>
      </c>
      <c r="S48" s="11" t="n">
        <v>4.17917425833526</v>
      </c>
      <c r="T48" s="11" t="n">
        <v>4.20272454947419</v>
      </c>
      <c r="U48" s="11" t="n">
        <v>4.22337908806443</v>
      </c>
      <c r="V48" s="11" t="n">
        <v>4.24139510320816</v>
      </c>
      <c r="W48" s="11" t="n">
        <v>4.25701309075325</v>
      </c>
      <c r="X48" s="11" t="n">
        <v>4.27045037542043</v>
      </c>
      <c r="Y48" s="11" t="n">
        <v>4.28189921517646</v>
      </c>
      <c r="Z48" s="11" t="n">
        <v>4.29153086674881</v>
      </c>
      <c r="AA48" s="11" t="n">
        <v>4.29949884306552</v>
      </c>
      <c r="AB48" s="11" t="n">
        <v>4.30594110392968</v>
      </c>
      <c r="AC48" s="11" t="n">
        <v>4.31098177684938</v>
      </c>
      <c r="AD48" s="11" t="n">
        <v>4.31473201719007</v>
      </c>
      <c r="AE48" s="11" t="n">
        <v>4.31729103977525</v>
      </c>
      <c r="AF48" s="11" t="n">
        <v>4.31874776620651</v>
      </c>
      <c r="AG48" s="11" t="n">
        <v>4.31918380932044</v>
      </c>
      <c r="AH48" s="11" t="n">
        <v>4.31867531790132</v>
      </c>
      <c r="AI48" s="11" t="n">
        <v>4.31729358889872</v>
      </c>
      <c r="AJ48" s="11" t="n">
        <v>4.31510567560802</v>
      </c>
      <c r="AK48" s="11" t="n">
        <v>4.31217597498725</v>
      </c>
    </row>
    <row r="49" customFormat="false" ht="15" hidden="false" customHeight="false" outlineLevel="0" collapsed="false">
      <c r="A49" s="10" t="n">
        <v>-76</v>
      </c>
      <c r="B49" s="8" t="n">
        <v>40365</v>
      </c>
      <c r="C49" s="11" t="n">
        <v>0.940239152398904</v>
      </c>
      <c r="D49" s="11" t="n">
        <v>1.15530961068343</v>
      </c>
      <c r="E49" s="11" t="n">
        <v>1.37542546911858</v>
      </c>
      <c r="F49" s="11" t="n">
        <v>1.59307963557838</v>
      </c>
      <c r="G49" s="11" t="n">
        <v>1.80443758873296</v>
      </c>
      <c r="H49" s="11" t="n">
        <v>2.00743820686411</v>
      </c>
      <c r="I49" s="11" t="n">
        <v>2.20100552905763</v>
      </c>
      <c r="J49" s="11" t="n">
        <v>2.38458492118442</v>
      </c>
      <c r="K49" s="11" t="n">
        <v>2.55789767190389</v>
      </c>
      <c r="L49" s="11" t="n">
        <v>2.72082223513228</v>
      </c>
      <c r="M49" s="11" t="n">
        <v>3.99416900634024</v>
      </c>
      <c r="N49" s="11" t="n">
        <v>4.04202080043921</v>
      </c>
      <c r="O49" s="11" t="n">
        <v>4.08498144709209</v>
      </c>
      <c r="P49" s="11" t="n">
        <v>4.12343917907035</v>
      </c>
      <c r="Q49" s="11" t="n">
        <v>4.15776810857546</v>
      </c>
      <c r="R49" s="11" t="n">
        <v>4.18832141953029</v>
      </c>
      <c r="S49" s="11" t="n">
        <v>4.21542334830883</v>
      </c>
      <c r="T49" s="11" t="n">
        <v>4.23937219631404</v>
      </c>
      <c r="U49" s="11" t="n">
        <v>4.26044414379734</v>
      </c>
      <c r="V49" s="11" t="n">
        <v>4.2788964079761</v>
      </c>
      <c r="W49" s="11" t="n">
        <v>4.29496836810326</v>
      </c>
      <c r="X49" s="11" t="n">
        <v>4.30887549545857</v>
      </c>
      <c r="Y49" s="11" t="n">
        <v>4.32080777825729</v>
      </c>
      <c r="Z49" s="11" t="n">
        <v>4.33093403509081</v>
      </c>
      <c r="AA49" s="11" t="n">
        <v>4.33940529237039</v>
      </c>
      <c r="AB49" s="11" t="n">
        <v>4.34635698454161</v>
      </c>
      <c r="AC49" s="11" t="n">
        <v>4.35191070805434</v>
      </c>
      <c r="AD49" s="11" t="n">
        <v>4.3561752536106</v>
      </c>
      <c r="AE49" s="11" t="n">
        <v>4.35924772446043</v>
      </c>
      <c r="AF49" s="11" t="n">
        <v>4.36121515558234</v>
      </c>
      <c r="AG49" s="11" t="n">
        <v>4.36215742162037</v>
      </c>
      <c r="AH49" s="11" t="n">
        <v>4.36214902364531</v>
      </c>
      <c r="AI49" s="11" t="n">
        <v>4.36125968942828</v>
      </c>
      <c r="AJ49" s="11" t="n">
        <v>4.35955497179545</v>
      </c>
      <c r="AK49" s="11" t="n">
        <v>4.35709779268192</v>
      </c>
    </row>
    <row r="50" customFormat="false" ht="15" hidden="false" customHeight="false" outlineLevel="0" collapsed="false">
      <c r="A50" s="10" t="n">
        <v>-75</v>
      </c>
      <c r="B50" s="8" t="n">
        <v>40366</v>
      </c>
      <c r="C50" s="11" t="n">
        <v>0.958589770454149</v>
      </c>
      <c r="D50" s="11" t="n">
        <v>1.17318612239714</v>
      </c>
      <c r="E50" s="11" t="n">
        <v>1.39177996807596</v>
      </c>
      <c r="F50" s="11" t="n">
        <v>1.60770238055073</v>
      </c>
      <c r="G50" s="11" t="n">
        <v>1.81748758940405</v>
      </c>
      <c r="H50" s="11" t="n">
        <v>2.01920915312817</v>
      </c>
      <c r="I50" s="11" t="n">
        <v>2.21181579028949</v>
      </c>
      <c r="J50" s="11" t="n">
        <v>2.39472845326351</v>
      </c>
      <c r="K50" s="11" t="n">
        <v>2.56762717681336</v>
      </c>
      <c r="L50" s="11" t="n">
        <v>2.73034771048065</v>
      </c>
      <c r="M50" s="11" t="n">
        <v>4.00837847528231</v>
      </c>
      <c r="N50" s="11" t="n">
        <v>4.05676029622938</v>
      </c>
      <c r="O50" s="11" t="n">
        <v>4.10025590538815</v>
      </c>
      <c r="P50" s="11" t="n">
        <v>4.13925217962114</v>
      </c>
      <c r="Q50" s="11" t="n">
        <v>4.17412201060011</v>
      </c>
      <c r="R50" s="11" t="n">
        <v>4.20521735180702</v>
      </c>
      <c r="S50" s="11" t="n">
        <v>4.23286118225747</v>
      </c>
      <c r="T50" s="11" t="n">
        <v>4.25735054127624</v>
      </c>
      <c r="U50" s="11" t="n">
        <v>4.27896034303611</v>
      </c>
      <c r="V50" s="11" t="n">
        <v>4.29794653509372</v>
      </c>
      <c r="W50" s="11" t="n">
        <v>4.31454722801213</v>
      </c>
      <c r="X50" s="11" t="n">
        <v>4.32897676656391</v>
      </c>
      <c r="Y50" s="11" t="n">
        <v>4.34142427445817</v>
      </c>
      <c r="Z50" s="11" t="n">
        <v>4.35205791651827</v>
      </c>
      <c r="AA50" s="11" t="n">
        <v>4.36102822523811</v>
      </c>
      <c r="AB50" s="11" t="n">
        <v>4.36847027988088</v>
      </c>
      <c r="AC50" s="11" t="n">
        <v>4.37450543876375</v>
      </c>
      <c r="AD50" s="11" t="n">
        <v>4.37924233721635</v>
      </c>
      <c r="AE50" s="11" t="n">
        <v>4.38277798857174</v>
      </c>
      <c r="AF50" s="11" t="n">
        <v>4.38519939116646</v>
      </c>
      <c r="AG50" s="11" t="n">
        <v>4.38658637931513</v>
      </c>
      <c r="AH50" s="11" t="n">
        <v>4.38701336965123</v>
      </c>
      <c r="AI50" s="11" t="n">
        <v>4.38654996360593</v>
      </c>
      <c r="AJ50" s="11" t="n">
        <v>4.38526154929311</v>
      </c>
      <c r="AK50" s="11" t="n">
        <v>4.38321082453959</v>
      </c>
    </row>
    <row r="51" customFormat="false" ht="15" hidden="false" customHeight="false" outlineLevel="0" collapsed="false">
      <c r="A51" s="10" t="n">
        <v>-74</v>
      </c>
      <c r="B51" s="8" t="n">
        <v>40367</v>
      </c>
      <c r="C51" s="11" t="n">
        <v>0.96373069419648</v>
      </c>
      <c r="D51" s="11" t="n">
        <v>1.17876330555924</v>
      </c>
      <c r="E51" s="11" t="n">
        <v>1.39799422223828</v>
      </c>
      <c r="F51" s="11" t="n">
        <v>1.6145802125759</v>
      </c>
      <c r="G51" s="11" t="n">
        <v>1.82496725035749</v>
      </c>
      <c r="H51" s="11" t="n">
        <v>2.0271882156479</v>
      </c>
      <c r="I51" s="11" t="n">
        <v>2.22017768593387</v>
      </c>
      <c r="J51" s="11" t="n">
        <v>2.40336113997581</v>
      </c>
      <c r="K51" s="11" t="n">
        <v>2.57643567044858</v>
      </c>
      <c r="L51" s="11" t="n">
        <v>2.7392606130621</v>
      </c>
      <c r="M51" s="11" t="n">
        <v>4.01831500551478</v>
      </c>
      <c r="N51" s="11" t="n">
        <v>4.06697009822048</v>
      </c>
      <c r="O51" s="11" t="n">
        <v>4.11078893953335</v>
      </c>
      <c r="P51" s="11" t="n">
        <v>4.15015990082476</v>
      </c>
      <c r="Q51" s="11" t="n">
        <v>4.18545649401577</v>
      </c>
      <c r="R51" s="11" t="n">
        <v>4.21703016140907</v>
      </c>
      <c r="S51" s="11" t="n">
        <v>4.24520206626852</v>
      </c>
      <c r="T51" s="11" t="n">
        <v>4.27026630406727</v>
      </c>
      <c r="U51" s="11" t="n">
        <v>4.29249388294262</v>
      </c>
      <c r="V51" s="11" t="n">
        <v>4.31213601961027</v>
      </c>
      <c r="W51" s="11" t="n">
        <v>4.32942544062731</v>
      </c>
      <c r="X51" s="11" t="n">
        <v>4.34457097043913</v>
      </c>
      <c r="Y51" s="11" t="n">
        <v>4.35775640896945</v>
      </c>
      <c r="Z51" s="11" t="n">
        <v>4.3691448428735</v>
      </c>
      <c r="AA51" s="11" t="n">
        <v>4.3788819661983</v>
      </c>
      <c r="AB51" s="11" t="n">
        <v>4.38709823070168</v>
      </c>
      <c r="AC51" s="11" t="n">
        <v>4.39391057786526</v>
      </c>
      <c r="AD51" s="11" t="n">
        <v>4.3994235569896</v>
      </c>
      <c r="AE51" s="11" t="n">
        <v>4.4037304753726</v>
      </c>
      <c r="AF51" s="11" t="n">
        <v>4.40691497107161</v>
      </c>
      <c r="AG51" s="11" t="n">
        <v>4.40905382404068</v>
      </c>
      <c r="AH51" s="11" t="n">
        <v>4.41021865692769</v>
      </c>
      <c r="AI51" s="11" t="n">
        <v>4.41047650917145</v>
      </c>
      <c r="AJ51" s="11" t="n">
        <v>4.40989041906127</v>
      </c>
      <c r="AK51" s="11" t="n">
        <v>4.40852094630907</v>
      </c>
    </row>
    <row r="52" customFormat="false" ht="15" hidden="false" customHeight="false" outlineLevel="0" collapsed="false">
      <c r="A52" s="10" t="n">
        <v>-73</v>
      </c>
      <c r="B52" s="8" t="n">
        <v>40368</v>
      </c>
      <c r="C52" s="11" t="n">
        <v>0.928273383855572</v>
      </c>
      <c r="D52" s="11" t="n">
        <v>1.14027484912522</v>
      </c>
      <c r="E52" s="11" t="n">
        <v>1.3580459518942</v>
      </c>
      <c r="F52" s="11" t="n">
        <v>1.57397106930483</v>
      </c>
      <c r="G52" s="11" t="n">
        <v>1.78408518366783</v>
      </c>
      <c r="H52" s="11" t="n">
        <v>1.9862134177235</v>
      </c>
      <c r="I52" s="11" t="n">
        <v>2.17918476563228</v>
      </c>
      <c r="J52" s="11" t="n">
        <v>2.36237801647729</v>
      </c>
      <c r="K52" s="11" t="n">
        <v>2.53547484506304</v>
      </c>
      <c r="L52" s="11" t="n">
        <v>2.69833564501064</v>
      </c>
      <c r="M52" s="11" t="n">
        <v>3.9823120828898</v>
      </c>
      <c r="N52" s="11" t="n">
        <v>4.03174251604521</v>
      </c>
      <c r="O52" s="11" t="n">
        <v>4.07637248857747</v>
      </c>
      <c r="P52" s="11" t="n">
        <v>4.11658324613923</v>
      </c>
      <c r="Q52" s="11" t="n">
        <v>4.15274094429318</v>
      </c>
      <c r="R52" s="11" t="n">
        <v>4.18518972516507</v>
      </c>
      <c r="S52" s="11" t="n">
        <v>4.21424419885088</v>
      </c>
      <c r="T52" s="11" t="n">
        <v>4.24019268117915</v>
      </c>
      <c r="U52" s="11" t="n">
        <v>4.26330106046583</v>
      </c>
      <c r="V52" s="11" t="n">
        <v>4.28381599861416</v>
      </c>
      <c r="W52" s="11" t="n">
        <v>4.30196613912912</v>
      </c>
      <c r="X52" s="11" t="n">
        <v>4.31795687951902</v>
      </c>
      <c r="Y52" s="11" t="n">
        <v>4.331969460587</v>
      </c>
      <c r="Z52" s="11" t="n">
        <v>4.34416514894237</v>
      </c>
      <c r="AA52" s="11" t="n">
        <v>4.35468841782291</v>
      </c>
      <c r="AB52" s="11" t="n">
        <v>4.3636690207603</v>
      </c>
      <c r="AC52" s="11" t="n">
        <v>4.37122364743824</v>
      </c>
      <c r="AD52" s="11" t="n">
        <v>4.37745693516102</v>
      </c>
      <c r="AE52" s="11" t="n">
        <v>4.38246255953575</v>
      </c>
      <c r="AF52" s="11" t="n">
        <v>4.3863247651843</v>
      </c>
      <c r="AG52" s="11" t="n">
        <v>4.38912102494735</v>
      </c>
      <c r="AH52" s="11" t="n">
        <v>4.39092362999147</v>
      </c>
      <c r="AI52" s="11" t="n">
        <v>4.39180026061322</v>
      </c>
      <c r="AJ52" s="11" t="n">
        <v>4.39181457190519</v>
      </c>
      <c r="AK52" s="11" t="n">
        <v>4.39102767520733</v>
      </c>
    </row>
    <row r="53" customFormat="false" ht="15" hidden="false" customHeight="false" outlineLevel="0" collapsed="false">
      <c r="A53" s="10" t="n">
        <v>-72</v>
      </c>
      <c r="B53" s="8" t="n">
        <v>40371</v>
      </c>
      <c r="C53" s="11" t="n">
        <v>0.936406033017221</v>
      </c>
      <c r="D53" s="11" t="n">
        <v>1.1486195033858</v>
      </c>
      <c r="E53" s="11" t="n">
        <v>1.366236583202</v>
      </c>
      <c r="F53" s="11" t="n">
        <v>1.58182518726412</v>
      </c>
      <c r="G53" s="11" t="n">
        <v>1.79152905604197</v>
      </c>
      <c r="H53" s="11" t="n">
        <v>1.99323376584664</v>
      </c>
      <c r="I53" s="11" t="n">
        <v>2.18580046725165</v>
      </c>
      <c r="J53" s="11" t="n">
        <v>2.36862622181863</v>
      </c>
      <c r="K53" s="11" t="n">
        <v>2.54140242352045</v>
      </c>
      <c r="L53" s="11" t="n">
        <v>2.70399523530932</v>
      </c>
      <c r="M53" s="11" t="n">
        <v>3.98991685843909</v>
      </c>
      <c r="N53" s="11" t="n">
        <v>4.03984057089225</v>
      </c>
      <c r="O53" s="11" t="n">
        <v>4.08499352785974</v>
      </c>
      <c r="P53" s="11" t="n">
        <v>4.12575235094452</v>
      </c>
      <c r="Q53" s="11" t="n">
        <v>4.1624784937837</v>
      </c>
      <c r="R53" s="11" t="n">
        <v>4.19551139511808</v>
      </c>
      <c r="S53" s="11" t="n">
        <v>4.22516116345159</v>
      </c>
      <c r="T53" s="11" t="n">
        <v>4.25171182537281</v>
      </c>
      <c r="U53" s="11" t="n">
        <v>4.27542516109327</v>
      </c>
      <c r="V53" s="11" t="n">
        <v>4.29654387950205</v>
      </c>
      <c r="W53" s="11" t="n">
        <v>4.31529281615126</v>
      </c>
      <c r="X53" s="11" t="n">
        <v>4.33187385162398</v>
      </c>
      <c r="Y53" s="11" t="n">
        <v>4.34646512338685</v>
      </c>
      <c r="Z53" s="11" t="n">
        <v>4.35922525421067</v>
      </c>
      <c r="AA53" s="11" t="n">
        <v>4.37029651655078</v>
      </c>
      <c r="AB53" s="11" t="n">
        <v>4.37980685320813</v>
      </c>
      <c r="AC53" s="11" t="n">
        <v>4.38787150766117</v>
      </c>
      <c r="AD53" s="11" t="n">
        <v>4.39459410863893</v>
      </c>
      <c r="AE53" s="11" t="n">
        <v>4.40006777730705</v>
      </c>
      <c r="AF53" s="11" t="n">
        <v>4.40437659933965</v>
      </c>
      <c r="AG53" s="11" t="n">
        <v>4.40759816459671</v>
      </c>
      <c r="AH53" s="11" t="n">
        <v>4.40980507721121</v>
      </c>
      <c r="AI53" s="11" t="n">
        <v>4.41106550356934</v>
      </c>
      <c r="AJ53" s="11" t="n">
        <v>4.41144373708839</v>
      </c>
      <c r="AK53" s="11" t="n">
        <v>4.4110016182565</v>
      </c>
    </row>
    <row r="54" customFormat="false" ht="15" hidden="false" customHeight="false" outlineLevel="0" collapsed="false">
      <c r="A54" s="10" t="n">
        <v>-71</v>
      </c>
      <c r="B54" s="8" t="n">
        <v>40372</v>
      </c>
      <c r="C54" s="11" t="n">
        <v>0.966931637941175</v>
      </c>
      <c r="D54" s="11" t="n">
        <v>1.18298871782171</v>
      </c>
      <c r="E54" s="11" t="n">
        <v>1.40392802411266</v>
      </c>
      <c r="F54" s="11" t="n">
        <v>1.62224249824501</v>
      </c>
      <c r="G54" s="11" t="n">
        <v>1.83400637796641</v>
      </c>
      <c r="H54" s="11" t="n">
        <v>2.03710792230705</v>
      </c>
      <c r="I54" s="11" t="n">
        <v>2.23048636739289</v>
      </c>
      <c r="J54" s="11" t="n">
        <v>2.41366899514443</v>
      </c>
      <c r="K54" s="11" t="n">
        <v>2.58648084544584</v>
      </c>
      <c r="L54" s="11" t="n">
        <v>2.74888697351112</v>
      </c>
      <c r="M54" s="11" t="n">
        <v>4.02601141500246</v>
      </c>
      <c r="N54" s="11" t="n">
        <v>4.07488226577711</v>
      </c>
      <c r="O54" s="11" t="n">
        <v>4.11894435546014</v>
      </c>
      <c r="P54" s="11" t="n">
        <v>4.15858059624903</v>
      </c>
      <c r="Q54" s="11" t="n">
        <v>4.19415901044274</v>
      </c>
      <c r="R54" s="11" t="n">
        <v>4.22602534757149</v>
      </c>
      <c r="S54" s="11" t="n">
        <v>4.25449537444279</v>
      </c>
      <c r="T54" s="11" t="n">
        <v>4.27985819269757</v>
      </c>
      <c r="U54" s="11" t="n">
        <v>4.30238016012856</v>
      </c>
      <c r="V54" s="11" t="n">
        <v>4.32230813634555</v>
      </c>
      <c r="W54" s="11" t="n">
        <v>4.33987062326499</v>
      </c>
      <c r="X54" s="11" t="n">
        <v>4.35527225734202</v>
      </c>
      <c r="Y54" s="11" t="n">
        <v>4.36869297175024</v>
      </c>
      <c r="Z54" s="11" t="n">
        <v>4.3802925565173</v>
      </c>
      <c r="AA54" s="11" t="n">
        <v>4.39021400727593</v>
      </c>
      <c r="AB54" s="11" t="n">
        <v>4.39858560342346</v>
      </c>
      <c r="AC54" s="11" t="n">
        <v>4.40552261088244</v>
      </c>
      <c r="AD54" s="11" t="n">
        <v>4.41112854371917</v>
      </c>
      <c r="AE54" s="11" t="n">
        <v>4.41549636527284</v>
      </c>
      <c r="AF54" s="11" t="n">
        <v>4.41871003753255</v>
      </c>
      <c r="AG54" s="11" t="n">
        <v>4.42084737745877</v>
      </c>
      <c r="AH54" s="11" t="n">
        <v>4.42198168637892</v>
      </c>
      <c r="AI54" s="11" t="n">
        <v>4.42218225376495</v>
      </c>
      <c r="AJ54" s="11" t="n">
        <v>4.42151489912468</v>
      </c>
      <c r="AK54" s="11" t="n">
        <v>4.42004352292517</v>
      </c>
    </row>
    <row r="55" customFormat="false" ht="15" hidden="false" customHeight="false" outlineLevel="0" collapsed="false">
      <c r="A55" s="10" t="n">
        <v>-70</v>
      </c>
      <c r="B55" s="8" t="n">
        <v>40373</v>
      </c>
      <c r="C55" s="11" t="n">
        <v>0.988621545237174</v>
      </c>
      <c r="D55" s="11" t="n">
        <v>1.2070411863545</v>
      </c>
      <c r="E55" s="11" t="n">
        <v>1.42950571360834</v>
      </c>
      <c r="F55" s="11" t="n">
        <v>1.64878784167753</v>
      </c>
      <c r="G55" s="11" t="n">
        <v>1.86110629576428</v>
      </c>
      <c r="H55" s="11" t="n">
        <v>2.06444076188761</v>
      </c>
      <c r="I55" s="11" t="n">
        <v>2.25780293396151</v>
      </c>
      <c r="J55" s="11" t="n">
        <v>2.44078608571562</v>
      </c>
      <c r="K55" s="11" t="n">
        <v>2.61327616385249</v>
      </c>
      <c r="L55" s="11" t="n">
        <v>2.77529864240457</v>
      </c>
      <c r="M55" s="11" t="n">
        <v>4.05307592518615</v>
      </c>
      <c r="N55" s="11" t="n">
        <v>4.10229287942688</v>
      </c>
      <c r="O55" s="11" t="n">
        <v>4.14667318934123</v>
      </c>
      <c r="P55" s="11" t="n">
        <v>4.18658851014104</v>
      </c>
      <c r="Q55" s="11" t="n">
        <v>4.22239677988131</v>
      </c>
      <c r="R55" s="11" t="n">
        <v>4.25443529507678</v>
      </c>
      <c r="S55" s="11" t="n">
        <v>4.28301360967599</v>
      </c>
      <c r="T55" s="11" t="n">
        <v>4.30841662484647</v>
      </c>
      <c r="U55" s="11" t="n">
        <v>4.33090821436323</v>
      </c>
      <c r="V55" s="11" t="n">
        <v>4.35073422477892</v>
      </c>
      <c r="W55" s="11" t="n">
        <v>4.36812338461555</v>
      </c>
      <c r="X55" s="11" t="n">
        <v>4.38328160333435</v>
      </c>
      <c r="Y55" s="11" t="n">
        <v>4.39639101563386</v>
      </c>
      <c r="Z55" s="11" t="n">
        <v>4.40761431616526</v>
      </c>
      <c r="AA55" s="11" t="n">
        <v>4.41709795165375</v>
      </c>
      <c r="AB55" s="11" t="n">
        <v>4.42497412927626</v>
      </c>
      <c r="AC55" s="11" t="n">
        <v>4.43136243350981</v>
      </c>
      <c r="AD55" s="11" t="n">
        <v>4.43637089861801</v>
      </c>
      <c r="AE55" s="11" t="n">
        <v>4.44009711215301</v>
      </c>
      <c r="AF55" s="11" t="n">
        <v>4.4426297395937</v>
      </c>
      <c r="AG55" s="11" t="n">
        <v>4.44405129491215</v>
      </c>
      <c r="AH55" s="11" t="n">
        <v>4.44443971936247</v>
      </c>
      <c r="AI55" s="11" t="n">
        <v>4.44386888878509</v>
      </c>
      <c r="AJ55" s="11" t="n">
        <v>4.44240915631904</v>
      </c>
      <c r="AK55" s="11" t="n">
        <v>4.4401288487803</v>
      </c>
    </row>
    <row r="56" customFormat="false" ht="15" hidden="false" customHeight="false" outlineLevel="0" collapsed="false">
      <c r="A56" s="10" t="n">
        <v>-69</v>
      </c>
      <c r="B56" s="8" t="n">
        <v>40374</v>
      </c>
      <c r="C56" s="11" t="n">
        <v>0.974551692484511</v>
      </c>
      <c r="D56" s="11" t="n">
        <v>1.19140744527104</v>
      </c>
      <c r="E56" s="11" t="n">
        <v>1.41296332025532</v>
      </c>
      <c r="F56" s="11" t="n">
        <v>1.63155152536108</v>
      </c>
      <c r="G56" s="11" t="n">
        <v>1.84322103056126</v>
      </c>
      <c r="H56" s="11" t="n">
        <v>2.04590101833759</v>
      </c>
      <c r="I56" s="11" t="n">
        <v>2.2386052855745</v>
      </c>
      <c r="J56" s="11" t="n">
        <v>2.42095367141912</v>
      </c>
      <c r="K56" s="11" t="n">
        <v>2.59286795002234</v>
      </c>
      <c r="L56" s="11" t="n">
        <v>2.75441370297169</v>
      </c>
      <c r="M56" s="11" t="n">
        <v>4.03895357030627</v>
      </c>
      <c r="N56" s="11" t="n">
        <v>4.0891134978217</v>
      </c>
      <c r="O56" s="11" t="n">
        <v>4.13437364952857</v>
      </c>
      <c r="P56" s="11" t="n">
        <v>4.1750870303836</v>
      </c>
      <c r="Q56" s="11" t="n">
        <v>4.21159495288956</v>
      </c>
      <c r="R56" s="11" t="n">
        <v>4.24422110225372</v>
      </c>
      <c r="S56" s="11" t="n">
        <v>4.27326555597917</v>
      </c>
      <c r="T56" s="11" t="n">
        <v>4.29900743305381</v>
      </c>
      <c r="U56" s="11" t="n">
        <v>4.32170797607227</v>
      </c>
      <c r="V56" s="11" t="n">
        <v>4.34161310096227</v>
      </c>
      <c r="W56" s="11" t="n">
        <v>4.35895390534098</v>
      </c>
      <c r="X56" s="11" t="n">
        <v>4.37394063896459</v>
      </c>
      <c r="Y56" s="11" t="n">
        <v>4.38676147779052</v>
      </c>
      <c r="Z56" s="11" t="n">
        <v>4.39758636509359</v>
      </c>
      <c r="AA56" s="11" t="n">
        <v>4.4065698968162</v>
      </c>
      <c r="AB56" s="11" t="n">
        <v>4.41385321392255</v>
      </c>
      <c r="AC56" s="11" t="n">
        <v>4.41956544769633</v>
      </c>
      <c r="AD56" s="11" t="n">
        <v>4.42382433745712</v>
      </c>
      <c r="AE56" s="11" t="n">
        <v>4.42673711713714</v>
      </c>
      <c r="AF56" s="11" t="n">
        <v>4.42840198550692</v>
      </c>
      <c r="AG56" s="11" t="n">
        <v>4.42891060553134</v>
      </c>
      <c r="AH56" s="11" t="n">
        <v>4.42834956916751</v>
      </c>
      <c r="AI56" s="11" t="n">
        <v>4.42680095083873</v>
      </c>
      <c r="AJ56" s="11" t="n">
        <v>4.42434287693185</v>
      </c>
      <c r="AK56" s="11" t="n">
        <v>4.42105087689497</v>
      </c>
    </row>
    <row r="57" customFormat="false" ht="15" hidden="false" customHeight="false" outlineLevel="0" collapsed="false">
      <c r="A57" s="10" t="n">
        <v>-68</v>
      </c>
      <c r="B57" s="8" t="n">
        <v>40375</v>
      </c>
      <c r="C57" s="11" t="n">
        <v>0.953873468851442</v>
      </c>
      <c r="D57" s="11" t="n">
        <v>1.1684223382094</v>
      </c>
      <c r="E57" s="11" t="n">
        <v>1.38754925454887</v>
      </c>
      <c r="F57" s="11" t="n">
        <v>1.60383520340681</v>
      </c>
      <c r="G57" s="11" t="n">
        <v>1.81340239116156</v>
      </c>
      <c r="H57" s="11" t="n">
        <v>2.01420597159525</v>
      </c>
      <c r="I57" s="11" t="n">
        <v>2.20527431719682</v>
      </c>
      <c r="J57" s="11" t="n">
        <v>2.38623769872892</v>
      </c>
      <c r="K57" s="11" t="n">
        <v>2.55702001186686</v>
      </c>
      <c r="L57" s="11" t="n">
        <v>2.71768809934929</v>
      </c>
      <c r="M57" s="11" t="n">
        <v>4.00575337692845</v>
      </c>
      <c r="N57" s="11" t="n">
        <v>4.05657593864783</v>
      </c>
      <c r="O57" s="11" t="n">
        <v>4.10245779830536</v>
      </c>
      <c r="P57" s="11" t="n">
        <v>4.14374029487892</v>
      </c>
      <c r="Q57" s="11" t="n">
        <v>4.18075489594666</v>
      </c>
      <c r="R57" s="11" t="n">
        <v>4.21381805271217</v>
      </c>
      <c r="S57" s="11" t="n">
        <v>4.24322628474579</v>
      </c>
      <c r="T57" s="11" t="n">
        <v>4.26925846332431</v>
      </c>
      <c r="U57" s="11" t="n">
        <v>4.29217840676486</v>
      </c>
      <c r="V57" s="11" t="n">
        <v>4.31223702612376</v>
      </c>
      <c r="W57" s="11" t="n">
        <v>4.32967253045145</v>
      </c>
      <c r="X57" s="11" t="n">
        <v>4.34470459227454</v>
      </c>
      <c r="Y57" s="11" t="n">
        <v>4.35753307008224</v>
      </c>
      <c r="Z57" s="11" t="n">
        <v>4.36834086942447</v>
      </c>
      <c r="AA57" s="11" t="n">
        <v>4.37729628695909</v>
      </c>
      <c r="AB57" s="11" t="n">
        <v>4.38455479823786</v>
      </c>
      <c r="AC57" s="11" t="n">
        <v>4.39026020015762</v>
      </c>
      <c r="AD57" s="11" t="n">
        <v>4.39454413580942</v>
      </c>
      <c r="AE57" s="11" t="n">
        <v>4.39752654754546</v>
      </c>
      <c r="AF57" s="11" t="n">
        <v>4.39931702282874</v>
      </c>
      <c r="AG57" s="11" t="n">
        <v>4.40001626948007</v>
      </c>
      <c r="AH57" s="11" t="n">
        <v>4.39971723136361</v>
      </c>
      <c r="AI57" s="11" t="n">
        <v>4.39850590238894</v>
      </c>
      <c r="AJ57" s="11" t="n">
        <v>4.39646203569013</v>
      </c>
      <c r="AK57" s="11" t="n">
        <v>4.39365976770327</v>
      </c>
    </row>
    <row r="58" customFormat="false" ht="15" hidden="false" customHeight="false" outlineLevel="0" collapsed="false">
      <c r="A58" s="10" t="n">
        <v>-67</v>
      </c>
      <c r="B58" s="8" t="n">
        <v>40378</v>
      </c>
      <c r="C58" s="11" t="n">
        <v>0.977136067099809</v>
      </c>
      <c r="D58" s="11" t="n">
        <v>1.19130347094883</v>
      </c>
      <c r="E58" s="11" t="n">
        <v>1.40971413928141</v>
      </c>
      <c r="F58" s="11" t="n">
        <v>1.62515717263714</v>
      </c>
      <c r="G58" s="11" t="n">
        <v>1.8338258501407</v>
      </c>
      <c r="H58" s="11" t="n">
        <v>2.03371041957545</v>
      </c>
      <c r="I58" s="11" t="n">
        <v>2.22387067890225</v>
      </c>
      <c r="J58" s="11" t="n">
        <v>2.40397188690109</v>
      </c>
      <c r="K58" s="11" t="n">
        <v>2.57397400231425</v>
      </c>
      <c r="L58" s="11" t="n">
        <v>2.73397901814763</v>
      </c>
      <c r="M58" s="11" t="n">
        <v>4.0272993796895</v>
      </c>
      <c r="N58" s="11" t="n">
        <v>4.07917242019071</v>
      </c>
      <c r="O58" s="11" t="n">
        <v>4.12610850266223</v>
      </c>
      <c r="P58" s="11" t="n">
        <v>4.16843574890525</v>
      </c>
      <c r="Q58" s="11" t="n">
        <v>4.2064737676118</v>
      </c>
      <c r="R58" s="11" t="n">
        <v>4.2405288668521</v>
      </c>
      <c r="S58" s="11" t="n">
        <v>4.27088957040467</v>
      </c>
      <c r="T58" s="11" t="n">
        <v>4.29782865689793</v>
      </c>
      <c r="U58" s="11" t="n">
        <v>4.32160547527152</v>
      </c>
      <c r="V58" s="11" t="n">
        <v>4.3424678582497</v>
      </c>
      <c r="W58" s="11" t="n">
        <v>4.36065211631539</v>
      </c>
      <c r="X58" s="11" t="n">
        <v>4.37637706152867</v>
      </c>
      <c r="Y58" s="11" t="n">
        <v>4.38984263311386</v>
      </c>
      <c r="Z58" s="11" t="n">
        <v>4.40123256605723</v>
      </c>
      <c r="AA58" s="11" t="n">
        <v>4.41071660081343</v>
      </c>
      <c r="AB58" s="11" t="n">
        <v>4.41845219454416</v>
      </c>
      <c r="AC58" s="11" t="n">
        <v>4.42458556784257</v>
      </c>
      <c r="AD58" s="11" t="n">
        <v>4.42925105376273</v>
      </c>
      <c r="AE58" s="11" t="n">
        <v>4.43257146944779</v>
      </c>
      <c r="AF58" s="11" t="n">
        <v>4.43465941416593</v>
      </c>
      <c r="AG58" s="11" t="n">
        <v>4.43561860589116</v>
      </c>
      <c r="AH58" s="11" t="n">
        <v>4.4355449352977</v>
      </c>
      <c r="AI58" s="11" t="n">
        <v>4.43452728438568</v>
      </c>
      <c r="AJ58" s="11" t="n">
        <v>4.43264824165196</v>
      </c>
      <c r="AK58" s="11" t="n">
        <v>4.42998473144046</v>
      </c>
    </row>
    <row r="59" customFormat="false" ht="15" hidden="false" customHeight="false" outlineLevel="0" collapsed="false">
      <c r="A59" s="10" t="n">
        <v>-66</v>
      </c>
      <c r="B59" s="8" t="n">
        <v>40379</v>
      </c>
      <c r="C59" s="11" t="n">
        <v>0.990194284534989</v>
      </c>
      <c r="D59" s="11" t="n">
        <v>1.20668299598209</v>
      </c>
      <c r="E59" s="11" t="n">
        <v>1.42625876111798</v>
      </c>
      <c r="F59" s="11" t="n">
        <v>1.64187364799248</v>
      </c>
      <c r="G59" s="11" t="n">
        <v>1.84990900768643</v>
      </c>
      <c r="H59" s="11" t="n">
        <v>2.04854876850127</v>
      </c>
      <c r="I59" s="11" t="n">
        <v>2.23703976540647</v>
      </c>
      <c r="J59" s="11" t="n">
        <v>2.41521807949292</v>
      </c>
      <c r="K59" s="11" t="n">
        <v>2.58319405591194</v>
      </c>
      <c r="L59" s="11" t="n">
        <v>2.74119951201623</v>
      </c>
      <c r="M59" s="11" t="n">
        <v>4.03059729812036</v>
      </c>
      <c r="N59" s="11" t="n">
        <v>4.08359638919033</v>
      </c>
      <c r="O59" s="11" t="n">
        <v>4.13173574797027</v>
      </c>
      <c r="P59" s="11" t="n">
        <v>4.17531962973822</v>
      </c>
      <c r="Q59" s="11" t="n">
        <v>4.21464507276782</v>
      </c>
      <c r="R59" s="11" t="n">
        <v>4.24999813040004</v>
      </c>
      <c r="S59" s="11" t="n">
        <v>4.281650396125</v>
      </c>
      <c r="T59" s="11" t="n">
        <v>4.30986068387801</v>
      </c>
      <c r="U59" s="11" t="n">
        <v>4.33487690738495</v>
      </c>
      <c r="V59" s="11" t="n">
        <v>4.35693763225226</v>
      </c>
      <c r="W59" s="11" t="n">
        <v>4.37627184587421</v>
      </c>
      <c r="X59" s="11" t="n">
        <v>4.39309317720149</v>
      </c>
      <c r="Y59" s="11" t="n">
        <v>4.4075984606037</v>
      </c>
      <c r="Z59" s="11" t="n">
        <v>4.41996990651969</v>
      </c>
      <c r="AA59" s="11" t="n">
        <v>4.43037699179176</v>
      </c>
      <c r="AB59" s="11" t="n">
        <v>4.4389780129852</v>
      </c>
      <c r="AC59" s="11" t="n">
        <v>4.44592096164782</v>
      </c>
      <c r="AD59" s="11" t="n">
        <v>4.45134260498187</v>
      </c>
      <c r="AE59" s="11" t="n">
        <v>4.45536871453787</v>
      </c>
      <c r="AF59" s="11" t="n">
        <v>4.45811524191025</v>
      </c>
      <c r="AG59" s="11" t="n">
        <v>4.45968932711031</v>
      </c>
      <c r="AH59" s="11" t="n">
        <v>4.46019020779667</v>
      </c>
      <c r="AI59" s="11" t="n">
        <v>4.4597100416088</v>
      </c>
      <c r="AJ59" s="11" t="n">
        <v>4.45833462861796</v>
      </c>
      <c r="AK59" s="11" t="n">
        <v>4.45614404708404</v>
      </c>
    </row>
    <row r="60" customFormat="false" ht="15" hidden="false" customHeight="false" outlineLevel="0" collapsed="false">
      <c r="A60" s="10" t="n">
        <v>-65</v>
      </c>
      <c r="B60" s="8" t="n">
        <v>40380</v>
      </c>
      <c r="C60" s="11" t="n">
        <v>0.994903411813586</v>
      </c>
      <c r="D60" s="11" t="n">
        <v>1.21102045935663</v>
      </c>
      <c r="E60" s="11" t="n">
        <v>1.42997921819772</v>
      </c>
      <c r="F60" s="11" t="n">
        <v>1.64483214152217</v>
      </c>
      <c r="G60" s="11" t="n">
        <v>1.8520057195694</v>
      </c>
      <c r="H60" s="11" t="n">
        <v>2.04971990373713</v>
      </c>
      <c r="I60" s="11" t="n">
        <v>2.23725721759793</v>
      </c>
      <c r="J60" s="11" t="n">
        <v>2.41449070392935</v>
      </c>
      <c r="K60" s="11" t="n">
        <v>2.58157177850035</v>
      </c>
      <c r="L60" s="11" t="n">
        <v>2.73877748785423</v>
      </c>
      <c r="M60" s="11" t="n">
        <v>4.03740569258523</v>
      </c>
      <c r="N60" s="11" t="n">
        <v>4.09251027306233</v>
      </c>
      <c r="O60" s="11" t="n">
        <v>4.1428378989617</v>
      </c>
      <c r="P60" s="11" t="n">
        <v>4.18866235960175</v>
      </c>
      <c r="Q60" s="11" t="n">
        <v>4.23025020944299</v>
      </c>
      <c r="R60" s="11" t="n">
        <v>4.26785896670142</v>
      </c>
      <c r="S60" s="11" t="n">
        <v>4.30173543769521</v>
      </c>
      <c r="T60" s="11" t="n">
        <v>4.3321170408543</v>
      </c>
      <c r="U60" s="11" t="n">
        <v>4.35923318729188</v>
      </c>
      <c r="V60" s="11" t="n">
        <v>4.38330642044068</v>
      </c>
      <c r="W60" s="11" t="n">
        <v>4.40455215424849</v>
      </c>
      <c r="X60" s="11" t="n">
        <v>4.4231740855826</v>
      </c>
      <c r="Y60" s="11" t="n">
        <v>4.43936295323312</v>
      </c>
      <c r="Z60" s="11" t="n">
        <v>4.45329774223758</v>
      </c>
      <c r="AA60" s="11" t="n">
        <v>4.46514697069561</v>
      </c>
      <c r="AB60" s="11" t="n">
        <v>4.47506995883662</v>
      </c>
      <c r="AC60" s="11" t="n">
        <v>4.48321740823254</v>
      </c>
      <c r="AD60" s="11" t="n">
        <v>4.48973003978293</v>
      </c>
      <c r="AE60" s="11" t="n">
        <v>4.49473857279821</v>
      </c>
      <c r="AF60" s="11" t="n">
        <v>4.49836467895406</v>
      </c>
      <c r="AG60" s="11" t="n">
        <v>4.50072142839275</v>
      </c>
      <c r="AH60" s="11" t="n">
        <v>4.50191395135983</v>
      </c>
      <c r="AI60" s="11" t="n">
        <v>4.50204025799189</v>
      </c>
      <c r="AJ60" s="11" t="n">
        <v>4.50119196485828</v>
      </c>
      <c r="AK60" s="11" t="n">
        <v>4.49945493431784</v>
      </c>
    </row>
    <row r="61" customFormat="false" ht="15" hidden="false" customHeight="false" outlineLevel="0" collapsed="false">
      <c r="A61" s="10" t="n">
        <v>-64</v>
      </c>
      <c r="B61" s="8" t="n">
        <v>40381</v>
      </c>
      <c r="C61" s="11" t="n">
        <v>0.998838080152746</v>
      </c>
      <c r="D61" s="11" t="n">
        <v>1.21602369472368</v>
      </c>
      <c r="E61" s="11" t="n">
        <v>1.43564039637485</v>
      </c>
      <c r="F61" s="11" t="n">
        <v>1.65094491446299</v>
      </c>
      <c r="G61" s="11" t="n">
        <v>1.8585101158938</v>
      </c>
      <c r="H61" s="11" t="n">
        <v>2.0566438539486</v>
      </c>
      <c r="I61" s="11" t="n">
        <v>2.24466965817502</v>
      </c>
      <c r="J61" s="11" t="n">
        <v>2.42246566800985</v>
      </c>
      <c r="K61" s="11" t="n">
        <v>2.59016603167462</v>
      </c>
      <c r="L61" s="11" t="n">
        <v>2.74801541390336</v>
      </c>
      <c r="M61" s="11" t="n">
        <v>4.04643158186402</v>
      </c>
      <c r="N61" s="11" t="n">
        <v>4.10077969988054</v>
      </c>
      <c r="O61" s="11" t="n">
        <v>4.15030138948657</v>
      </c>
      <c r="P61" s="11" t="n">
        <v>4.19528522177775</v>
      </c>
      <c r="Q61" s="11" t="n">
        <v>4.23601238431404</v>
      </c>
      <c r="R61" s="11" t="n">
        <v>4.27275398326651</v>
      </c>
      <c r="S61" s="11" t="n">
        <v>4.30576862131266</v>
      </c>
      <c r="T61" s="11" t="n">
        <v>4.33530391096993</v>
      </c>
      <c r="U61" s="11" t="n">
        <v>4.36159809079547</v>
      </c>
      <c r="V61" s="11" t="n">
        <v>4.38488135956836</v>
      </c>
      <c r="W61" s="11" t="n">
        <v>4.40537565348377</v>
      </c>
      <c r="X61" s="11" t="n">
        <v>4.42328972899398</v>
      </c>
      <c r="Y61" s="11" t="n">
        <v>4.43881793240424</v>
      </c>
      <c r="Z61" s="11" t="n">
        <v>4.45214167098563</v>
      </c>
      <c r="AA61" s="11" t="n">
        <v>4.46343089096074</v>
      </c>
      <c r="AB61" s="11" t="n">
        <v>4.47284546906825</v>
      </c>
      <c r="AC61" s="11" t="n">
        <v>4.48053588227473</v>
      </c>
      <c r="AD61" s="11" t="n">
        <v>4.48664190850197</v>
      </c>
      <c r="AE61" s="11" t="n">
        <v>4.49129268789177</v>
      </c>
      <c r="AF61" s="11" t="n">
        <v>4.49460780039322</v>
      </c>
      <c r="AG61" s="11" t="n">
        <v>4.49669800161846</v>
      </c>
      <c r="AH61" s="11" t="n">
        <v>4.49766602028789</v>
      </c>
      <c r="AI61" s="11" t="n">
        <v>4.49760739039353</v>
      </c>
      <c r="AJ61" s="11" t="n">
        <v>4.49661118535498</v>
      </c>
      <c r="AK61" s="11" t="n">
        <v>4.49476066407664</v>
      </c>
    </row>
    <row r="62" customFormat="false" ht="15" hidden="false" customHeight="false" outlineLevel="0" collapsed="false">
      <c r="A62" s="10" t="n">
        <v>-63</v>
      </c>
      <c r="B62" s="8" t="n">
        <v>40382</v>
      </c>
      <c r="C62" s="11" t="n">
        <v>1.07603844151504</v>
      </c>
      <c r="D62" s="11" t="n">
        <v>1.29839118877394</v>
      </c>
      <c r="E62" s="11" t="n">
        <v>1.52056712404745</v>
      </c>
      <c r="F62" s="11" t="n">
        <v>1.73691468893652</v>
      </c>
      <c r="G62" s="11" t="n">
        <v>1.94460537003862</v>
      </c>
      <c r="H62" s="11" t="n">
        <v>2.14229636676656</v>
      </c>
      <c r="I62" s="11" t="n">
        <v>2.32952584241658</v>
      </c>
      <c r="J62" s="11" t="n">
        <v>2.50630540465422</v>
      </c>
      <c r="K62" s="11" t="n">
        <v>2.67285842170382</v>
      </c>
      <c r="L62" s="11" t="n">
        <v>2.82948174440601</v>
      </c>
      <c r="M62" s="11" t="n">
        <v>4.10931348318314</v>
      </c>
      <c r="N62" s="11" t="n">
        <v>4.16228363933933</v>
      </c>
      <c r="O62" s="11" t="n">
        <v>4.21049225717417</v>
      </c>
      <c r="P62" s="11" t="n">
        <v>4.25423781462382</v>
      </c>
      <c r="Q62" s="11" t="n">
        <v>4.29381029597493</v>
      </c>
      <c r="R62" s="11" t="n">
        <v>4.32948717325415</v>
      </c>
      <c r="S62" s="11" t="n">
        <v>4.36153001582995</v>
      </c>
      <c r="T62" s="11" t="n">
        <v>4.39018641359316</v>
      </c>
      <c r="U62" s="11" t="n">
        <v>4.41569203276253</v>
      </c>
      <c r="V62" s="11" t="n">
        <v>4.43827231272598</v>
      </c>
      <c r="W62" s="11" t="n">
        <v>4.4581423677286</v>
      </c>
      <c r="X62" s="11" t="n">
        <v>4.47550181339003</v>
      </c>
      <c r="Y62" s="11" t="n">
        <v>4.49053384140674</v>
      </c>
      <c r="Z62" s="11" t="n">
        <v>4.50340758823741</v>
      </c>
      <c r="AA62" s="11" t="n">
        <v>4.51428005362852</v>
      </c>
      <c r="AB62" s="11" t="n">
        <v>4.52329758366544</v>
      </c>
      <c r="AC62" s="11" t="n">
        <v>4.53059677507538</v>
      </c>
      <c r="AD62" s="11" t="n">
        <v>4.53630402834187</v>
      </c>
      <c r="AE62" s="11" t="n">
        <v>4.54053597218463</v>
      </c>
      <c r="AF62" s="11" t="n">
        <v>4.54340075895306</v>
      </c>
      <c r="AG62" s="11" t="n">
        <v>4.54499994792284</v>
      </c>
      <c r="AH62" s="11" t="n">
        <v>4.54542963881828</v>
      </c>
      <c r="AI62" s="11" t="n">
        <v>4.54478105186292</v>
      </c>
      <c r="AJ62" s="11" t="n">
        <v>4.54314112327164</v>
      </c>
      <c r="AK62" s="11" t="n">
        <v>4.54059367359144</v>
      </c>
    </row>
    <row r="63" customFormat="false" ht="15" hidden="false" customHeight="false" outlineLevel="0" collapsed="false">
      <c r="A63" s="10" t="n">
        <v>-62</v>
      </c>
      <c r="B63" s="8" t="n">
        <v>40385</v>
      </c>
      <c r="C63" s="11" t="n">
        <v>1.11028710302301</v>
      </c>
      <c r="D63" s="11" t="n">
        <v>1.33362984204251</v>
      </c>
      <c r="E63" s="11" t="n">
        <v>1.55546173926313</v>
      </c>
      <c r="F63" s="11" t="n">
        <v>1.77078202117481</v>
      </c>
      <c r="G63" s="11" t="n">
        <v>1.97709698741616</v>
      </c>
      <c r="H63" s="11" t="n">
        <v>2.17324399544291</v>
      </c>
      <c r="I63" s="11" t="n">
        <v>2.35886660430335</v>
      </c>
      <c r="J63" s="11" t="n">
        <v>2.5340432089432</v>
      </c>
      <c r="K63" s="11" t="n">
        <v>2.69904838235435</v>
      </c>
      <c r="L63" s="11" t="n">
        <v>2.85422116513789</v>
      </c>
      <c r="M63" s="11" t="n">
        <v>4.13032331626806</v>
      </c>
      <c r="N63" s="11" t="n">
        <v>4.18407176979278</v>
      </c>
      <c r="O63" s="11" t="n">
        <v>4.23316083534067</v>
      </c>
      <c r="P63" s="11" t="n">
        <v>4.27787632856082</v>
      </c>
      <c r="Q63" s="11" t="n">
        <v>4.31849539245897</v>
      </c>
      <c r="R63" s="11" t="n">
        <v>4.35528290209547</v>
      </c>
      <c r="S63" s="11" t="n">
        <v>4.38848848569295</v>
      </c>
      <c r="T63" s="11" t="n">
        <v>4.41834839631459</v>
      </c>
      <c r="U63" s="11" t="n">
        <v>4.44508747879929</v>
      </c>
      <c r="V63" s="11" t="n">
        <v>4.46892079286616</v>
      </c>
      <c r="W63" s="11" t="n">
        <v>4.49005350326875</v>
      </c>
      <c r="X63" s="11" t="n">
        <v>4.5086759487748</v>
      </c>
      <c r="Y63" s="11" t="n">
        <v>4.52496284885664</v>
      </c>
      <c r="Z63" s="11" t="n">
        <v>4.53907576848927</v>
      </c>
      <c r="AA63" s="11" t="n">
        <v>4.5511650104378</v>
      </c>
      <c r="AB63" s="11" t="n">
        <v>4.56137099401179</v>
      </c>
      <c r="AC63" s="11" t="n">
        <v>4.56982510474121</v>
      </c>
      <c r="AD63" s="11" t="n">
        <v>4.57664934419372</v>
      </c>
      <c r="AE63" s="11" t="n">
        <v>4.58195675371935</v>
      </c>
      <c r="AF63" s="11" t="n">
        <v>4.58585261124389</v>
      </c>
      <c r="AG63" s="11" t="n">
        <v>4.58843617729212</v>
      </c>
      <c r="AH63" s="11" t="n">
        <v>4.58980173550165</v>
      </c>
      <c r="AI63" s="11" t="n">
        <v>4.59003912132139</v>
      </c>
      <c r="AJ63" s="11" t="n">
        <v>4.58923427103646</v>
      </c>
      <c r="AK63" s="11" t="n">
        <v>4.58747032240251</v>
      </c>
    </row>
    <row r="64" customFormat="false" ht="15" hidden="false" customHeight="false" outlineLevel="0" collapsed="false">
      <c r="A64" s="10" t="n">
        <v>-61</v>
      </c>
      <c r="B64" s="8" t="n">
        <v>40386</v>
      </c>
      <c r="C64" s="11" t="n">
        <v>1.1516157663992</v>
      </c>
      <c r="D64" s="11" t="n">
        <v>1.38170598081154</v>
      </c>
      <c r="E64" s="11" t="n">
        <v>1.60767134993538</v>
      </c>
      <c r="F64" s="11" t="n">
        <v>1.82551405218677</v>
      </c>
      <c r="G64" s="11" t="n">
        <v>2.03331076414713</v>
      </c>
      <c r="H64" s="11" t="n">
        <v>2.2302331961252</v>
      </c>
      <c r="I64" s="11" t="n">
        <v>2.41613850996127</v>
      </c>
      <c r="J64" s="11" t="n">
        <v>2.59124735025642</v>
      </c>
      <c r="K64" s="11" t="n">
        <v>2.75593407091744</v>
      </c>
      <c r="L64" s="11" t="n">
        <v>2.9106094402097</v>
      </c>
      <c r="M64" s="11" t="n">
        <v>4.17898328366325</v>
      </c>
      <c r="N64" s="11" t="n">
        <v>4.23259624299233</v>
      </c>
      <c r="O64" s="11" t="n">
        <v>4.2816390616567</v>
      </c>
      <c r="P64" s="11" t="n">
        <v>4.32639200346824</v>
      </c>
      <c r="Q64" s="11" t="n">
        <v>4.36712495549035</v>
      </c>
      <c r="R64" s="11" t="n">
        <v>4.40409430531148</v>
      </c>
      <c r="S64" s="11" t="n">
        <v>4.43754040383004</v>
      </c>
      <c r="T64" s="11" t="n">
        <v>4.46768958544633</v>
      </c>
      <c r="U64" s="11" t="n">
        <v>4.49475622931227</v>
      </c>
      <c r="V64" s="11" t="n">
        <v>4.51894446129429</v>
      </c>
      <c r="W64" s="11" t="n">
        <v>4.54044832787081</v>
      </c>
      <c r="X64" s="11" t="n">
        <v>4.55944789479128</v>
      </c>
      <c r="Y64" s="11" t="n">
        <v>4.57610887020273</v>
      </c>
      <c r="Z64" s="11" t="n">
        <v>4.59058507761801</v>
      </c>
      <c r="AA64" s="11" t="n">
        <v>4.60302025671832</v>
      </c>
      <c r="AB64" s="11" t="n">
        <v>4.61354930035665</v>
      </c>
      <c r="AC64" s="11" t="n">
        <v>4.62229906169993</v>
      </c>
      <c r="AD64" s="11" t="n">
        <v>4.62938824898871</v>
      </c>
      <c r="AE64" s="11" t="n">
        <v>4.63492787992379</v>
      </c>
      <c r="AF64" s="11" t="n">
        <v>4.63902232374585</v>
      </c>
      <c r="AG64" s="11" t="n">
        <v>4.64177083832016</v>
      </c>
      <c r="AH64" s="11" t="n">
        <v>4.64326847093847</v>
      </c>
      <c r="AI64" s="11" t="n">
        <v>4.6436065058691</v>
      </c>
      <c r="AJ64" s="11" t="n">
        <v>4.64287292973502</v>
      </c>
      <c r="AK64" s="11" t="n">
        <v>4.64115336048818</v>
      </c>
    </row>
    <row r="65" customFormat="false" ht="15" hidden="false" customHeight="false" outlineLevel="0" collapsed="false">
      <c r="A65" s="10" t="n">
        <v>-60</v>
      </c>
      <c r="B65" s="8" t="n">
        <v>40387</v>
      </c>
      <c r="C65" s="11" t="n">
        <v>1.11778810588599</v>
      </c>
      <c r="D65" s="11" t="n">
        <v>1.34730348835395</v>
      </c>
      <c r="E65" s="11" t="n">
        <v>1.57279893336906</v>
      </c>
      <c r="F65" s="11" t="n">
        <v>1.79038848229358</v>
      </c>
      <c r="G65" s="11" t="n">
        <v>1.99817688591639</v>
      </c>
      <c r="H65" s="11" t="n">
        <v>2.19532506523567</v>
      </c>
      <c r="I65" s="11" t="n">
        <v>2.38166487383367</v>
      </c>
      <c r="J65" s="11" t="n">
        <v>2.55738545939083</v>
      </c>
      <c r="K65" s="11" t="n">
        <v>2.72282850855708</v>
      </c>
      <c r="L65" s="11" t="n">
        <v>2.87837355046289</v>
      </c>
      <c r="M65" s="11" t="n">
        <v>4.16456278389013</v>
      </c>
      <c r="N65" s="11" t="n">
        <v>4.2200804311196</v>
      </c>
      <c r="O65" s="11" t="n">
        <v>4.27109728511947</v>
      </c>
      <c r="P65" s="11" t="n">
        <v>4.31788539747696</v>
      </c>
      <c r="Q65" s="11" t="n">
        <v>4.36070516733714</v>
      </c>
      <c r="R65" s="11" t="n">
        <v>4.39980260568123</v>
      </c>
      <c r="S65" s="11" t="n">
        <v>4.43540716525457</v>
      </c>
      <c r="T65" s="11" t="n">
        <v>4.46773386602429</v>
      </c>
      <c r="U65" s="11" t="n">
        <v>4.49698541764669</v>
      </c>
      <c r="V65" s="11" t="n">
        <v>4.52335397291797</v>
      </c>
      <c r="W65" s="11" t="n">
        <v>4.54702155498138</v>
      </c>
      <c r="X65" s="11" t="n">
        <v>4.56815711042897</v>
      </c>
      <c r="Y65" s="11" t="n">
        <v>4.58691653337692</v>
      </c>
      <c r="Z65" s="11" t="n">
        <v>4.60344525694674</v>
      </c>
      <c r="AA65" s="11" t="n">
        <v>4.61787999427706</v>
      </c>
      <c r="AB65" s="11" t="n">
        <v>4.63034981242597</v>
      </c>
      <c r="AC65" s="11" t="n">
        <v>4.64097687417404</v>
      </c>
      <c r="AD65" s="11" t="n">
        <v>4.6498765382823</v>
      </c>
      <c r="AE65" s="11" t="n">
        <v>4.65715781836089</v>
      </c>
      <c r="AF65" s="11" t="n">
        <v>4.66292422542336</v>
      </c>
      <c r="AG65" s="11" t="n">
        <v>4.66727495114865</v>
      </c>
      <c r="AH65" s="11" t="n">
        <v>4.67030558079577</v>
      </c>
      <c r="AI65" s="11" t="n">
        <v>4.67210847507774</v>
      </c>
      <c r="AJ65" s="11" t="n">
        <v>4.6727731644564</v>
      </c>
      <c r="AK65" s="11" t="n">
        <v>4.67238710556288</v>
      </c>
    </row>
    <row r="66" customFormat="false" ht="15" hidden="false" customHeight="false" outlineLevel="0" collapsed="false">
      <c r="A66" s="10" t="n">
        <v>-59</v>
      </c>
      <c r="B66" s="8" t="n">
        <v>40388</v>
      </c>
      <c r="C66" s="11" t="n">
        <v>1.05425322290258</v>
      </c>
      <c r="D66" s="11" t="n">
        <v>1.28016472941578</v>
      </c>
      <c r="E66" s="11" t="n">
        <v>1.50421536839232</v>
      </c>
      <c r="F66" s="11" t="n">
        <v>1.72141806555</v>
      </c>
      <c r="G66" s="11" t="n">
        <v>1.92935763155188</v>
      </c>
      <c r="H66" s="11" t="n">
        <v>2.12693866417775</v>
      </c>
      <c r="I66" s="11" t="n">
        <v>2.31385895939645</v>
      </c>
      <c r="J66" s="11" t="n">
        <v>2.49023362505281</v>
      </c>
      <c r="K66" s="11" t="n">
        <v>2.65636494964192</v>
      </c>
      <c r="L66" s="11" t="n">
        <v>2.81261337708421</v>
      </c>
      <c r="M66" s="11" t="n">
        <v>4.1123652909581</v>
      </c>
      <c r="N66" s="11" t="n">
        <v>4.16944050686148</v>
      </c>
      <c r="O66" s="11" t="n">
        <v>4.22206549574472</v>
      </c>
      <c r="P66" s="11" t="n">
        <v>4.27050070127511</v>
      </c>
      <c r="Q66" s="11" t="n">
        <v>4.31499414160122</v>
      </c>
      <c r="R66" s="11" t="n">
        <v>4.35577945649595</v>
      </c>
      <c r="S66" s="11" t="n">
        <v>4.39307441049892</v>
      </c>
      <c r="T66" s="11" t="n">
        <v>4.42708297855591</v>
      </c>
      <c r="U66" s="11" t="n">
        <v>4.45799737390029</v>
      </c>
      <c r="V66" s="11" t="n">
        <v>4.48599972407819</v>
      </c>
      <c r="W66" s="11" t="n">
        <v>4.51126266116195</v>
      </c>
      <c r="X66" s="11" t="n">
        <v>4.53394728296724</v>
      </c>
      <c r="Y66" s="11" t="n">
        <v>4.55420342276526</v>
      </c>
      <c r="Z66" s="11" t="n">
        <v>4.57217195586581</v>
      </c>
      <c r="AA66" s="11" t="n">
        <v>4.58798631715801</v>
      </c>
      <c r="AB66" s="11" t="n">
        <v>4.60177341787879</v>
      </c>
      <c r="AC66" s="11" t="n">
        <v>4.61365427706051</v>
      </c>
      <c r="AD66" s="11" t="n">
        <v>4.62374410918392</v>
      </c>
      <c r="AE66" s="11" t="n">
        <v>4.63215271957965</v>
      </c>
      <c r="AF66" s="11" t="n">
        <v>4.63898519198247</v>
      </c>
      <c r="AG66" s="11" t="n">
        <v>4.64434277132896</v>
      </c>
      <c r="AH66" s="11" t="n">
        <v>4.64832343024705</v>
      </c>
      <c r="AI66" s="11" t="n">
        <v>4.6510222137042</v>
      </c>
      <c r="AJ66" s="11" t="n">
        <v>4.65253158519784</v>
      </c>
      <c r="AK66" s="11" t="n">
        <v>4.65294202408506</v>
      </c>
    </row>
    <row r="67" customFormat="false" ht="15" hidden="false" customHeight="false" outlineLevel="0" collapsed="false">
      <c r="A67" s="10" t="n">
        <v>-58</v>
      </c>
      <c r="B67" s="8" t="n">
        <v>40389</v>
      </c>
      <c r="C67" s="11" t="n">
        <v>0.992098436069087</v>
      </c>
      <c r="D67" s="11" t="n">
        <v>1.20857115677241</v>
      </c>
      <c r="E67" s="11" t="n">
        <v>1.42677765182285</v>
      </c>
      <c r="F67" s="11" t="n">
        <v>1.64032899289854</v>
      </c>
      <c r="G67" s="11" t="n">
        <v>1.84597578977503</v>
      </c>
      <c r="H67" s="11" t="n">
        <v>2.04210988218871</v>
      </c>
      <c r="I67" s="11" t="n">
        <v>2.22809741280683</v>
      </c>
      <c r="J67" s="11" t="n">
        <v>2.40383938980831</v>
      </c>
      <c r="K67" s="11" t="n">
        <v>2.56949358282874</v>
      </c>
      <c r="L67" s="11" t="n">
        <v>2.72532720847697</v>
      </c>
      <c r="M67" s="11" t="n">
        <v>4.01927288240796</v>
      </c>
      <c r="N67" s="11" t="n">
        <v>4.07608121912118</v>
      </c>
      <c r="O67" s="11" t="n">
        <v>4.12849729434946</v>
      </c>
      <c r="P67" s="11" t="n">
        <v>4.17678236981866</v>
      </c>
      <c r="Q67" s="11" t="n">
        <v>4.22118403070092</v>
      </c>
      <c r="R67" s="11" t="n">
        <v>4.26193412075431</v>
      </c>
      <c r="S67" s="11" t="n">
        <v>4.29924730278016</v>
      </c>
      <c r="T67" s="11" t="n">
        <v>4.3333233444088</v>
      </c>
      <c r="U67" s="11" t="n">
        <v>4.3643493085659</v>
      </c>
      <c r="V67" s="11" t="n">
        <v>4.39250136434284</v>
      </c>
      <c r="W67" s="11" t="n">
        <v>4.41794561289451</v>
      </c>
      <c r="X67" s="11" t="n">
        <v>4.44083674254997</v>
      </c>
      <c r="Y67" s="11" t="n">
        <v>4.46131862473603</v>
      </c>
      <c r="Z67" s="11" t="n">
        <v>4.47952664500539</v>
      </c>
      <c r="AA67" s="11" t="n">
        <v>4.49558917783189</v>
      </c>
      <c r="AB67" s="11" t="n">
        <v>4.50962845094964</v>
      </c>
      <c r="AC67" s="11" t="n">
        <v>4.52176119158949</v>
      </c>
      <c r="AD67" s="11" t="n">
        <v>4.53209892787787</v>
      </c>
      <c r="AE67" s="11" t="n">
        <v>4.54074843588045</v>
      </c>
      <c r="AF67" s="11" t="n">
        <v>4.54781236874653</v>
      </c>
      <c r="AG67" s="11" t="n">
        <v>4.55339010297345</v>
      </c>
      <c r="AH67" s="11" t="n">
        <v>4.55757825115035</v>
      </c>
      <c r="AI67" s="11" t="n">
        <v>4.56047095352052</v>
      </c>
      <c r="AJ67" s="11" t="n">
        <v>4.56216018022902</v>
      </c>
      <c r="AK67" s="11" t="n">
        <v>4.56273629019603</v>
      </c>
    </row>
    <row r="68" customFormat="false" ht="15" hidden="false" customHeight="false" outlineLevel="0" collapsed="false">
      <c r="A68" s="10" t="n">
        <v>-57</v>
      </c>
      <c r="B68" s="8" t="n">
        <v>40392</v>
      </c>
      <c r="C68" s="11" t="n">
        <v>1.01712535955157</v>
      </c>
      <c r="D68" s="11" t="n">
        <v>1.23654622866782</v>
      </c>
      <c r="E68" s="11" t="n">
        <v>1.45666149846767</v>
      </c>
      <c r="F68" s="11" t="n">
        <v>1.6713832602133</v>
      </c>
      <c r="G68" s="11" t="n">
        <v>1.87765910963467</v>
      </c>
      <c r="H68" s="11" t="n">
        <v>2.07400616918082</v>
      </c>
      <c r="I68" s="11" t="n">
        <v>2.25987360253864</v>
      </c>
      <c r="J68" s="11" t="n">
        <v>2.43522637943389</v>
      </c>
      <c r="K68" s="11" t="n">
        <v>2.60027176083081</v>
      </c>
      <c r="L68" s="11" t="n">
        <v>2.75531803332715</v>
      </c>
      <c r="M68" s="11" t="n">
        <v>4.03355709729584</v>
      </c>
      <c r="N68" s="11" t="n">
        <v>4.08905413905176</v>
      </c>
      <c r="O68" s="11" t="n">
        <v>4.14015649781064</v>
      </c>
      <c r="P68" s="11" t="n">
        <v>4.18712736509222</v>
      </c>
      <c r="Q68" s="11" t="n">
        <v>4.23021639430728</v>
      </c>
      <c r="R68" s="11" t="n">
        <v>4.26965758580954</v>
      </c>
      <c r="S68" s="11" t="n">
        <v>4.30566785445981</v>
      </c>
      <c r="T68" s="11" t="n">
        <v>4.33844930769494</v>
      </c>
      <c r="U68" s="11" t="n">
        <v>4.36819142309015</v>
      </c>
      <c r="V68" s="11" t="n">
        <v>4.39507284826316</v>
      </c>
      <c r="W68" s="11" t="n">
        <v>4.419262202582</v>
      </c>
      <c r="X68" s="11" t="n">
        <v>4.44091670289012</v>
      </c>
      <c r="Y68" s="11" t="n">
        <v>4.46018274248684</v>
      </c>
      <c r="Z68" s="11" t="n">
        <v>4.4771981349145</v>
      </c>
      <c r="AA68" s="11" t="n">
        <v>4.49209355804611</v>
      </c>
      <c r="AB68" s="11" t="n">
        <v>4.50499343225536</v>
      </c>
      <c r="AC68" s="11" t="n">
        <v>4.51601656038849</v>
      </c>
      <c r="AD68" s="11" t="n">
        <v>4.52527637130867</v>
      </c>
      <c r="AE68" s="11" t="n">
        <v>4.53288135850244</v>
      </c>
      <c r="AF68" s="11" t="n">
        <v>4.53893573703758</v>
      </c>
      <c r="AG68" s="11" t="n">
        <v>4.54354033167207</v>
      </c>
      <c r="AH68" s="11" t="n">
        <v>4.54679310984204</v>
      </c>
      <c r="AI68" s="11" t="n">
        <v>4.54878948304067</v>
      </c>
      <c r="AJ68" s="11" t="n">
        <v>4.54962261209715</v>
      </c>
      <c r="AK68" s="11" t="n">
        <v>4.54938393209484</v>
      </c>
    </row>
    <row r="69" customFormat="false" ht="15" hidden="false" customHeight="false" outlineLevel="0" collapsed="false">
      <c r="A69" s="10" t="n">
        <v>-56</v>
      </c>
      <c r="B69" s="8" t="n">
        <v>40393</v>
      </c>
      <c r="C69" s="11" t="n">
        <v>0.991961254184804</v>
      </c>
      <c r="D69" s="11" t="n">
        <v>1.2055991729195</v>
      </c>
      <c r="E69" s="11" t="n">
        <v>1.42066589632317</v>
      </c>
      <c r="F69" s="11" t="n">
        <v>1.63086548239488</v>
      </c>
      <c r="G69" s="11" t="n">
        <v>1.83303754486402</v>
      </c>
      <c r="H69" s="11" t="n">
        <v>2.02563976808555</v>
      </c>
      <c r="I69" s="11" t="n">
        <v>2.20808604057187</v>
      </c>
      <c r="J69" s="11" t="n">
        <v>2.38032028827708</v>
      </c>
      <c r="K69" s="11" t="n">
        <v>2.54253850934049</v>
      </c>
      <c r="L69" s="11" t="n">
        <v>2.69504713149706</v>
      </c>
      <c r="M69" s="11" t="n">
        <v>3.96462760645337</v>
      </c>
      <c r="N69" s="11" t="n">
        <v>4.02069382530719</v>
      </c>
      <c r="O69" s="11" t="n">
        <v>4.07241959369755</v>
      </c>
      <c r="P69" s="11" t="n">
        <v>4.12004812204401</v>
      </c>
      <c r="Q69" s="11" t="n">
        <v>4.1638106126602</v>
      </c>
      <c r="R69" s="11" t="n">
        <v>4.20392499427921</v>
      </c>
      <c r="S69" s="11" t="n">
        <v>4.24059514093842</v>
      </c>
      <c r="T69" s="11" t="n">
        <v>4.27401277645526</v>
      </c>
      <c r="U69" s="11" t="n">
        <v>4.30435926122428</v>
      </c>
      <c r="V69" s="11" t="n">
        <v>4.33180706847739</v>
      </c>
      <c r="W69" s="11" t="n">
        <v>4.3565203657691</v>
      </c>
      <c r="X69" s="11" t="n">
        <v>4.37865363383541</v>
      </c>
      <c r="Y69" s="11" t="n">
        <v>4.39835208136487</v>
      </c>
      <c r="Z69" s="11" t="n">
        <v>4.41575350321376</v>
      </c>
      <c r="AA69" s="11" t="n">
        <v>4.43098949531682</v>
      </c>
      <c r="AB69" s="11" t="n">
        <v>4.44418621609593</v>
      </c>
      <c r="AC69" s="11" t="n">
        <v>4.45546486696561</v>
      </c>
      <c r="AD69" s="11" t="n">
        <v>4.46494162623678</v>
      </c>
      <c r="AE69" s="11" t="n">
        <v>4.47272795268066</v>
      </c>
      <c r="AF69" s="11" t="n">
        <v>4.47893118098937</v>
      </c>
      <c r="AG69" s="11" t="n">
        <v>4.48365525609813</v>
      </c>
      <c r="AH69" s="11" t="n">
        <v>4.4870012088836</v>
      </c>
      <c r="AI69" s="11" t="n">
        <v>4.48906746215014</v>
      </c>
      <c r="AJ69" s="11" t="n">
        <v>4.48995012781735</v>
      </c>
      <c r="AK69" s="11" t="n">
        <v>4.48974344441761</v>
      </c>
    </row>
    <row r="70" customFormat="false" ht="15" hidden="false" customHeight="false" outlineLevel="0" collapsed="false">
      <c r="A70" s="10" t="n">
        <v>-55</v>
      </c>
      <c r="B70" s="8" t="n">
        <v>40394</v>
      </c>
      <c r="C70" s="11" t="n">
        <v>1.00958098705399</v>
      </c>
      <c r="D70" s="11" t="n">
        <v>1.22390423097264</v>
      </c>
      <c r="E70" s="11" t="n">
        <v>1.43887158588903</v>
      </c>
      <c r="F70" s="11" t="n">
        <v>1.64869473562344</v>
      </c>
      <c r="G70" s="11" t="n">
        <v>1.85042732287328</v>
      </c>
      <c r="H70" s="11" t="n">
        <v>2.04261658738306</v>
      </c>
      <c r="I70" s="11" t="n">
        <v>2.22471006922364</v>
      </c>
      <c r="J70" s="11" t="n">
        <v>2.39665664044879</v>
      </c>
      <c r="K70" s="11" t="n">
        <v>2.55863978717453</v>
      </c>
      <c r="L70" s="11" t="n">
        <v>2.71094549323604</v>
      </c>
      <c r="M70" s="11" t="n">
        <v>3.97359239737849</v>
      </c>
      <c r="N70" s="11" t="n">
        <v>4.02863840113973</v>
      </c>
      <c r="O70" s="11" t="n">
        <v>4.07929499042699</v>
      </c>
      <c r="P70" s="11" t="n">
        <v>4.12581424579548</v>
      </c>
      <c r="Q70" s="11" t="n">
        <v>4.16843674819795</v>
      </c>
      <c r="R70" s="11" t="n">
        <v>4.20738977511027</v>
      </c>
      <c r="S70" s="11" t="n">
        <v>4.24288615562498</v>
      </c>
      <c r="T70" s="11" t="n">
        <v>4.27512620962678</v>
      </c>
      <c r="U70" s="11" t="n">
        <v>4.30429958738194</v>
      </c>
      <c r="V70" s="11" t="n">
        <v>4.3305867882308</v>
      </c>
      <c r="W70" s="11" t="n">
        <v>4.35415961125359</v>
      </c>
      <c r="X70" s="11" t="n">
        <v>4.37517922632125</v>
      </c>
      <c r="Y70" s="11" t="n">
        <v>4.39379649128559</v>
      </c>
      <c r="Z70" s="11" t="n">
        <v>4.410153976807</v>
      </c>
      <c r="AA70" s="11" t="n">
        <v>4.42438730247111</v>
      </c>
      <c r="AB70" s="11" t="n">
        <v>4.43662598974101</v>
      </c>
      <c r="AC70" s="11" t="n">
        <v>4.44699398508403</v>
      </c>
      <c r="AD70" s="11" t="n">
        <v>4.45560953721844</v>
      </c>
      <c r="AE70" s="11" t="n">
        <v>4.46258552771379</v>
      </c>
      <c r="AF70" s="11" t="n">
        <v>4.46803013693871</v>
      </c>
      <c r="AG70" s="11" t="n">
        <v>4.47204763548867</v>
      </c>
      <c r="AH70" s="11" t="n">
        <v>4.47473891155982</v>
      </c>
      <c r="AI70" s="11" t="n">
        <v>4.47620182558941</v>
      </c>
      <c r="AJ70" s="11" t="n">
        <v>4.47653155562786</v>
      </c>
      <c r="AK70" s="11" t="n">
        <v>4.4758211041316</v>
      </c>
    </row>
    <row r="71" customFormat="false" ht="15" hidden="false" customHeight="false" outlineLevel="0" collapsed="false">
      <c r="A71" s="10" t="n">
        <v>-54</v>
      </c>
      <c r="B71" s="8" t="n">
        <v>40395</v>
      </c>
      <c r="C71" s="11" t="n">
        <v>0.993829613277602</v>
      </c>
      <c r="D71" s="11" t="n">
        <v>1.20058263785315</v>
      </c>
      <c r="E71" s="11" t="n">
        <v>1.40915498141072</v>
      </c>
      <c r="F71" s="11" t="n">
        <v>1.61368795223088</v>
      </c>
      <c r="G71" s="11" t="n">
        <v>1.81106702771212</v>
      </c>
      <c r="H71" s="11" t="n">
        <v>1.99967247614985</v>
      </c>
      <c r="I71" s="11" t="n">
        <v>2.17881091889457</v>
      </c>
      <c r="J71" s="11" t="n">
        <v>2.3483186736357</v>
      </c>
      <c r="K71" s="11" t="n">
        <v>2.50829024590375</v>
      </c>
      <c r="L71" s="11" t="n">
        <v>2.65894320861836</v>
      </c>
      <c r="M71" s="11" t="n">
        <v>3.91557139822115</v>
      </c>
      <c r="N71" s="11" t="n">
        <v>3.97058450583068</v>
      </c>
      <c r="O71" s="11" t="n">
        <v>4.02121532886528</v>
      </c>
      <c r="P71" s="11" t="n">
        <v>4.0677132383908</v>
      </c>
      <c r="Q71" s="11" t="n">
        <v>4.11031730761597</v>
      </c>
      <c r="R71" s="11" t="n">
        <v>4.14925416068465</v>
      </c>
      <c r="S71" s="11" t="n">
        <v>4.1847365986025</v>
      </c>
      <c r="T71" s="11" t="n">
        <v>4.21696544041939</v>
      </c>
      <c r="U71" s="11" t="n">
        <v>4.24613128528173</v>
      </c>
      <c r="V71" s="11" t="n">
        <v>4.27241596531904</v>
      </c>
      <c r="W71" s="11" t="n">
        <v>4.29599275387866</v>
      </c>
      <c r="X71" s="11" t="n">
        <v>4.31702375192841</v>
      </c>
      <c r="Y71" s="11" t="n">
        <v>4.33566010092902</v>
      </c>
      <c r="Z71" s="11" t="n">
        <v>4.3520443703786</v>
      </c>
      <c r="AA71" s="11" t="n">
        <v>4.36631204128525</v>
      </c>
      <c r="AB71" s="11" t="n">
        <v>4.37859237815959</v>
      </c>
      <c r="AC71" s="11" t="n">
        <v>4.38900898028179</v>
      </c>
      <c r="AD71" s="11" t="n">
        <v>4.39767973220889</v>
      </c>
      <c r="AE71" s="11" t="n">
        <v>4.40471716572732</v>
      </c>
      <c r="AF71" s="11" t="n">
        <v>4.41022912410068</v>
      </c>
      <c r="AG71" s="11" t="n">
        <v>4.4143195451925</v>
      </c>
      <c r="AH71" s="11" t="n">
        <v>4.41708898428873</v>
      </c>
      <c r="AI71" s="11" t="n">
        <v>4.4186349686202</v>
      </c>
      <c r="AJ71" s="11" t="n">
        <v>4.41905234514292</v>
      </c>
      <c r="AK71" s="11" t="n">
        <v>4.41843379905943</v>
      </c>
    </row>
    <row r="72" customFormat="false" ht="15" hidden="false" customHeight="false" outlineLevel="0" collapsed="false">
      <c r="A72" s="10" t="n">
        <v>-53</v>
      </c>
      <c r="B72" s="8" t="n">
        <v>40396</v>
      </c>
      <c r="C72" s="11" t="n">
        <v>0.979157772226795</v>
      </c>
      <c r="D72" s="11" t="n">
        <v>1.18285017926125</v>
      </c>
      <c r="E72" s="11" t="n">
        <v>1.38974426270664</v>
      </c>
      <c r="F72" s="11" t="n">
        <v>1.59354498309444</v>
      </c>
      <c r="G72" s="11" t="n">
        <v>1.79084573868842</v>
      </c>
      <c r="H72" s="11" t="n">
        <v>1.97982612555119</v>
      </c>
      <c r="I72" s="11" t="n">
        <v>2.15964797302786</v>
      </c>
      <c r="J72" s="11" t="n">
        <v>2.33003551476263</v>
      </c>
      <c r="K72" s="11" t="n">
        <v>2.49099408122517</v>
      </c>
      <c r="L72" s="11" t="n">
        <v>2.64267632915461</v>
      </c>
      <c r="M72" s="11" t="n">
        <v>3.9102242354687</v>
      </c>
      <c r="N72" s="11" t="n">
        <v>3.96609951564436</v>
      </c>
      <c r="O72" s="11" t="n">
        <v>4.01761544133998</v>
      </c>
      <c r="P72" s="11" t="n">
        <v>4.06501907750822</v>
      </c>
      <c r="Q72" s="11" t="n">
        <v>4.10854629267706</v>
      </c>
      <c r="R72" s="11" t="n">
        <v>4.14841984244057</v>
      </c>
      <c r="S72" s="11" t="n">
        <v>4.18484829051322</v>
      </c>
      <c r="T72" s="11" t="n">
        <v>4.21802793185534</v>
      </c>
      <c r="U72" s="11" t="n">
        <v>4.24814459690169</v>
      </c>
      <c r="V72" s="11" t="n">
        <v>4.27537513845784</v>
      </c>
      <c r="W72" s="11" t="n">
        <v>4.2998876639029</v>
      </c>
      <c r="X72" s="11" t="n">
        <v>4.3218390740463</v>
      </c>
      <c r="Y72" s="11" t="n">
        <v>4.34137547983905</v>
      </c>
      <c r="Z72" s="11" t="n">
        <v>4.35863487379833</v>
      </c>
      <c r="AA72" s="11" t="n">
        <v>4.37374865957627</v>
      </c>
      <c r="AB72" s="11" t="n">
        <v>4.38684246464092</v>
      </c>
      <c r="AC72" s="11" t="n">
        <v>4.39803668883607</v>
      </c>
      <c r="AD72" s="11" t="n">
        <v>4.40744661057916</v>
      </c>
      <c r="AE72" s="11" t="n">
        <v>4.41518277292394</v>
      </c>
      <c r="AF72" s="11" t="n">
        <v>4.42135158563298</v>
      </c>
      <c r="AG72" s="11" t="n">
        <v>4.42605605187018</v>
      </c>
      <c r="AH72" s="11" t="n">
        <v>4.42939623552929</v>
      </c>
      <c r="AI72" s="11" t="n">
        <v>4.43146956937868</v>
      </c>
      <c r="AJ72" s="11" t="n">
        <v>4.43237116355768</v>
      </c>
      <c r="AK72" s="11" t="n">
        <v>4.43219428532263</v>
      </c>
    </row>
    <row r="73" customFormat="false" ht="15" hidden="false" customHeight="false" outlineLevel="0" collapsed="false">
      <c r="A73" s="10" t="n">
        <v>-52</v>
      </c>
      <c r="B73" s="8" t="n">
        <v>40399</v>
      </c>
      <c r="C73" s="11" t="n">
        <v>0.991009221932552</v>
      </c>
      <c r="D73" s="11" t="n">
        <v>1.19618541851913</v>
      </c>
      <c r="E73" s="11" t="n">
        <v>1.40405239322096</v>
      </c>
      <c r="F73" s="11" t="n">
        <v>1.60855317448574</v>
      </c>
      <c r="G73" s="11" t="n">
        <v>1.80639029980493</v>
      </c>
      <c r="H73" s="11" t="n">
        <v>1.99580484098005</v>
      </c>
      <c r="I73" s="11" t="n">
        <v>2.17599600555635</v>
      </c>
      <c r="J73" s="11" t="n">
        <v>2.34670819604578</v>
      </c>
      <c r="K73" s="11" t="n">
        <v>2.50795666303025</v>
      </c>
      <c r="L73" s="11" t="n">
        <v>2.65989866462922</v>
      </c>
      <c r="M73" s="11" t="n">
        <v>3.92992608311321</v>
      </c>
      <c r="N73" s="11" t="n">
        <v>3.98608437494105</v>
      </c>
      <c r="O73" s="11" t="n">
        <v>4.0379049256099</v>
      </c>
      <c r="P73" s="11" t="n">
        <v>4.08563400455911</v>
      </c>
      <c r="Q73" s="11" t="n">
        <v>4.12950640953454</v>
      </c>
      <c r="R73" s="11" t="n">
        <v>4.16974354074627</v>
      </c>
      <c r="S73" s="11" t="n">
        <v>4.20655235863243</v>
      </c>
      <c r="T73" s="11" t="n">
        <v>4.24012734771954</v>
      </c>
      <c r="U73" s="11" t="n">
        <v>4.27065235131537</v>
      </c>
      <c r="V73" s="11" t="n">
        <v>4.2983020826852</v>
      </c>
      <c r="W73" s="11" t="n">
        <v>4.3232422996524</v>
      </c>
      <c r="X73" s="11" t="n">
        <v>4.34562714055234</v>
      </c>
      <c r="Y73" s="11" t="n">
        <v>4.36559961656741</v>
      </c>
      <c r="Z73" s="11" t="n">
        <v>4.38329464022646</v>
      </c>
      <c r="AA73" s="11" t="n">
        <v>4.398840667644</v>
      </c>
      <c r="AB73" s="11" t="n">
        <v>4.4123604973517</v>
      </c>
      <c r="AC73" s="11" t="n">
        <v>4.42397185049857</v>
      </c>
      <c r="AD73" s="11" t="n">
        <v>4.4337876289918</v>
      </c>
      <c r="AE73" s="11" t="n">
        <v>4.44191633530321</v>
      </c>
      <c r="AF73" s="11" t="n">
        <v>4.44846264493627</v>
      </c>
      <c r="AG73" s="11" t="n">
        <v>4.45352811784523</v>
      </c>
      <c r="AH73" s="11" t="n">
        <v>4.45721164023841</v>
      </c>
      <c r="AI73" s="11" t="n">
        <v>4.4596097051166</v>
      </c>
      <c r="AJ73" s="11" t="n">
        <v>4.46081669990769</v>
      </c>
      <c r="AK73" s="11" t="n">
        <v>4.46092538182812</v>
      </c>
    </row>
    <row r="74" customFormat="false" ht="15" hidden="false" customHeight="false" outlineLevel="0" collapsed="false">
      <c r="A74" s="10" t="n">
        <v>-51</v>
      </c>
      <c r="B74" s="8" t="n">
        <v>40400</v>
      </c>
      <c r="C74" s="11" t="n">
        <v>0.978676193307279</v>
      </c>
      <c r="D74" s="11" t="n">
        <v>1.18314006456702</v>
      </c>
      <c r="E74" s="11" t="n">
        <v>1.39116992106548</v>
      </c>
      <c r="F74" s="11" t="n">
        <v>1.59652039473029</v>
      </c>
      <c r="G74" s="11" t="n">
        <v>1.79577827531937</v>
      </c>
      <c r="H74" s="11" t="n">
        <v>1.98709410194889</v>
      </c>
      <c r="I74" s="11" t="n">
        <v>2.16957601515324</v>
      </c>
      <c r="J74" s="11" t="n">
        <v>2.34286681817578</v>
      </c>
      <c r="K74" s="11" t="n">
        <v>2.50687469594448</v>
      </c>
      <c r="L74" s="11" t="n">
        <v>2.66165096620586</v>
      </c>
      <c r="M74" s="11" t="n">
        <v>3.95409258774029</v>
      </c>
      <c r="N74" s="11" t="n">
        <v>4.01081741527047</v>
      </c>
      <c r="O74" s="11" t="n">
        <v>4.06311696838339</v>
      </c>
      <c r="P74" s="11" t="n">
        <v>4.11125415666184</v>
      </c>
      <c r="Q74" s="11" t="n">
        <v>4.15547983163667</v>
      </c>
      <c r="R74" s="11" t="n">
        <v>4.19602996991044</v>
      </c>
      <c r="S74" s="11" t="n">
        <v>4.23312408992967</v>
      </c>
      <c r="T74" s="11" t="n">
        <v>4.26696747112887</v>
      </c>
      <c r="U74" s="11" t="n">
        <v>4.29775324790283</v>
      </c>
      <c r="V74" s="11" t="n">
        <v>4.32566413430938</v>
      </c>
      <c r="W74" s="11" t="n">
        <v>4.35087266564804</v>
      </c>
      <c r="X74" s="11" t="n">
        <v>4.37353835741842</v>
      </c>
      <c r="Y74" s="11" t="n">
        <v>4.3938083085518</v>
      </c>
      <c r="Z74" s="11" t="n">
        <v>4.41182050892306</v>
      </c>
      <c r="AA74" s="11" t="n">
        <v>4.42770564403644</v>
      </c>
      <c r="AB74" s="11" t="n">
        <v>4.44158799751977</v>
      </c>
      <c r="AC74" s="11" t="n">
        <v>4.45358611033642</v>
      </c>
      <c r="AD74" s="11" t="n">
        <v>4.46381308685817</v>
      </c>
      <c r="AE74" s="11" t="n">
        <v>4.47237707526148</v>
      </c>
      <c r="AF74" s="11" t="n">
        <v>4.47938190986115</v>
      </c>
      <c r="AG74" s="11" t="n">
        <v>4.48492789915891</v>
      </c>
      <c r="AH74" s="11" t="n">
        <v>4.48911231867496</v>
      </c>
      <c r="AI74" s="11" t="n">
        <v>4.49202972899304</v>
      </c>
      <c r="AJ74" s="11" t="n">
        <v>4.49377230385953</v>
      </c>
      <c r="AK74" s="11" t="n">
        <v>4.49443037582501</v>
      </c>
    </row>
    <row r="75" customFormat="false" ht="15" hidden="false" customHeight="false" outlineLevel="0" collapsed="false">
      <c r="A75" s="10" t="n">
        <v>-50</v>
      </c>
      <c r="B75" s="8" t="n">
        <v>40401</v>
      </c>
      <c r="C75" s="11" t="n">
        <v>0.910344348331499</v>
      </c>
      <c r="D75" s="11" t="n">
        <v>1.09754321843114</v>
      </c>
      <c r="E75" s="11" t="n">
        <v>1.29176461159004</v>
      </c>
      <c r="F75" s="11" t="n">
        <v>1.48643371294053</v>
      </c>
      <c r="G75" s="11" t="n">
        <v>1.6777337108142</v>
      </c>
      <c r="H75" s="11" t="n">
        <v>1.86342292709878</v>
      </c>
      <c r="I75" s="11" t="n">
        <v>2.04224497858089</v>
      </c>
      <c r="J75" s="11" t="n">
        <v>2.21351460513465</v>
      </c>
      <c r="K75" s="11" t="n">
        <v>2.37685141470467</v>
      </c>
      <c r="L75" s="11" t="n">
        <v>2.53205811233112</v>
      </c>
      <c r="M75" s="11" t="n">
        <v>3.87517361610071</v>
      </c>
      <c r="N75" s="11" t="n">
        <v>3.93717441988045</v>
      </c>
      <c r="O75" s="11" t="n">
        <v>3.99475892802827</v>
      </c>
      <c r="P75" s="11" t="n">
        <v>4.04816610260591</v>
      </c>
      <c r="Q75" s="11" t="n">
        <v>4.0976253222665</v>
      </c>
      <c r="R75" s="11" t="n">
        <v>4.14335362983006</v>
      </c>
      <c r="S75" s="11" t="n">
        <v>4.1855541742992</v>
      </c>
      <c r="T75" s="11" t="n">
        <v>4.22441807516729</v>
      </c>
      <c r="U75" s="11" t="n">
        <v>4.26012619146398</v>
      </c>
      <c r="V75" s="11" t="n">
        <v>4.29285057435449</v>
      </c>
      <c r="W75" s="11" t="n">
        <v>4.32275420423239</v>
      </c>
      <c r="X75" s="11" t="n">
        <v>4.34998708781442</v>
      </c>
      <c r="Y75" s="11" t="n">
        <v>4.37468683485195</v>
      </c>
      <c r="Z75" s="11" t="n">
        <v>4.39698298752427</v>
      </c>
      <c r="AA75" s="11" t="n">
        <v>4.41699907464556</v>
      </c>
      <c r="AB75" s="11" t="n">
        <v>4.43485336445314</v>
      </c>
      <c r="AC75" s="11" t="n">
        <v>4.45065951345319</v>
      </c>
      <c r="AD75" s="11" t="n">
        <v>4.46452718102104</v>
      </c>
      <c r="AE75" s="11" t="n">
        <v>4.47656251362569</v>
      </c>
      <c r="AF75" s="11" t="n">
        <v>4.48686857796753</v>
      </c>
      <c r="AG75" s="11" t="n">
        <v>4.49554583700925</v>
      </c>
      <c r="AH75" s="11" t="n">
        <v>4.5026924784448</v>
      </c>
      <c r="AI75" s="11" t="n">
        <v>4.50840465262166</v>
      </c>
      <c r="AJ75" s="11" t="n">
        <v>4.51277671763514</v>
      </c>
      <c r="AK75" s="11" t="n">
        <v>4.51590163902857</v>
      </c>
    </row>
    <row r="76" customFormat="false" ht="15" hidden="false" customHeight="false" outlineLevel="0" collapsed="false">
      <c r="A76" s="10" t="n">
        <v>-49</v>
      </c>
      <c r="B76" s="8" t="n">
        <v>40402</v>
      </c>
      <c r="C76" s="11" t="n">
        <v>0.89349674585785</v>
      </c>
      <c r="D76" s="11" t="n">
        <v>1.07402944234151</v>
      </c>
      <c r="E76" s="11" t="n">
        <v>1.26272239162953</v>
      </c>
      <c r="F76" s="11" t="n">
        <v>1.45336163218107</v>
      </c>
      <c r="G76" s="11" t="n">
        <v>1.64210152126739</v>
      </c>
      <c r="H76" s="11" t="n">
        <v>1.82650775500809</v>
      </c>
      <c r="I76" s="11" t="n">
        <v>2.00507138865014</v>
      </c>
      <c r="J76" s="11" t="n">
        <v>2.17685165751969</v>
      </c>
      <c r="K76" s="11" t="n">
        <v>2.34123225922786</v>
      </c>
      <c r="L76" s="11" t="n">
        <v>2.49780628155373</v>
      </c>
      <c r="M76" s="11" t="n">
        <v>3.84124178316275</v>
      </c>
      <c r="N76" s="11" t="n">
        <v>3.90108810554393</v>
      </c>
      <c r="O76" s="11" t="n">
        <v>3.95631782552102</v>
      </c>
      <c r="P76" s="11" t="n">
        <v>4.00720756184753</v>
      </c>
      <c r="Q76" s="11" t="n">
        <v>4.05402465306841</v>
      </c>
      <c r="R76" s="11" t="n">
        <v>4.09702194535697</v>
      </c>
      <c r="S76" s="11" t="n">
        <v>4.13643468059411</v>
      </c>
      <c r="T76" s="11" t="n">
        <v>4.17248279840198</v>
      </c>
      <c r="U76" s="11" t="n">
        <v>4.2053731864761</v>
      </c>
      <c r="V76" s="11" t="n">
        <v>4.23530152965428</v>
      </c>
      <c r="W76" s="11" t="n">
        <v>4.26245218188714</v>
      </c>
      <c r="X76" s="11" t="n">
        <v>4.28699395910428</v>
      </c>
      <c r="Y76" s="11" t="n">
        <v>4.30908069830313</v>
      </c>
      <c r="Z76" s="11" t="n">
        <v>4.32885535783057</v>
      </c>
      <c r="AA76" s="11" t="n">
        <v>4.34645220262963</v>
      </c>
      <c r="AB76" s="11" t="n">
        <v>4.36199787848111</v>
      </c>
      <c r="AC76" s="11" t="n">
        <v>4.37561224042609</v>
      </c>
      <c r="AD76" s="11" t="n">
        <v>4.38740887316128</v>
      </c>
      <c r="AE76" s="11" t="n">
        <v>4.39749570473815</v>
      </c>
      <c r="AF76" s="11" t="n">
        <v>4.40597578844338</v>
      </c>
      <c r="AG76" s="11" t="n">
        <v>4.41294834464394</v>
      </c>
      <c r="AH76" s="11" t="n">
        <v>4.41850935278167</v>
      </c>
      <c r="AI76" s="11" t="n">
        <v>4.42275189210731</v>
      </c>
      <c r="AJ76" s="11" t="n">
        <v>4.42576651477847</v>
      </c>
      <c r="AK76" s="11" t="n">
        <v>4.42764194942675</v>
      </c>
    </row>
    <row r="77" customFormat="false" ht="15" hidden="false" customHeight="false" outlineLevel="0" collapsed="false">
      <c r="A77" s="10" t="n">
        <v>-48</v>
      </c>
      <c r="B77" s="8" t="n">
        <v>40403</v>
      </c>
      <c r="C77" s="11" t="n">
        <v>0.91074331829415</v>
      </c>
      <c r="D77" s="11" t="n">
        <v>1.09315163977488</v>
      </c>
      <c r="E77" s="11" t="n">
        <v>1.28281466319332</v>
      </c>
      <c r="F77" s="11" t="n">
        <v>1.47374228054778</v>
      </c>
      <c r="G77" s="11" t="n">
        <v>1.66222960403526</v>
      </c>
      <c r="H77" s="11" t="n">
        <v>1.84595250002112</v>
      </c>
      <c r="I77" s="11" t="n">
        <v>2.02350021260085</v>
      </c>
      <c r="J77" s="11" t="n">
        <v>2.19402187255675</v>
      </c>
      <c r="K77" s="11" t="n">
        <v>2.35699005361388</v>
      </c>
      <c r="L77" s="11" t="n">
        <v>2.51207532659302</v>
      </c>
      <c r="M77" s="11" t="n">
        <v>3.84400040985894</v>
      </c>
      <c r="N77" s="11" t="n">
        <v>3.90364824207737</v>
      </c>
      <c r="O77" s="11" t="n">
        <v>3.9587161731651</v>
      </c>
      <c r="P77" s="11" t="n">
        <v>4.00946626176585</v>
      </c>
      <c r="Q77" s="11" t="n">
        <v>4.05615194325982</v>
      </c>
      <c r="R77" s="11" t="n">
        <v>4.09901444611383</v>
      </c>
      <c r="S77" s="11" t="n">
        <v>4.13828085207693</v>
      </c>
      <c r="T77" s="11" t="n">
        <v>4.17416599117517</v>
      </c>
      <c r="U77" s="11" t="n">
        <v>4.20687424343557</v>
      </c>
      <c r="V77" s="11" t="n">
        <v>4.23660101448708</v>
      </c>
      <c r="W77" s="11" t="n">
        <v>4.26353229610289</v>
      </c>
      <c r="X77" s="11" t="n">
        <v>4.28784040995348</v>
      </c>
      <c r="Y77" s="11" t="n">
        <v>4.30968423737644</v>
      </c>
      <c r="Z77" s="11" t="n">
        <v>4.32921226300246</v>
      </c>
      <c r="AA77" s="11" t="n">
        <v>4.34656435942187</v>
      </c>
      <c r="AB77" s="11" t="n">
        <v>4.36187284214913</v>
      </c>
      <c r="AC77" s="11" t="n">
        <v>4.375263046901</v>
      </c>
      <c r="AD77" s="11" t="n">
        <v>4.38685307917205</v>
      </c>
      <c r="AE77" s="11" t="n">
        <v>4.39675425605722</v>
      </c>
      <c r="AF77" s="11" t="n">
        <v>4.40507201515781</v>
      </c>
      <c r="AG77" s="11" t="n">
        <v>4.41190706467148</v>
      </c>
      <c r="AH77" s="11" t="n">
        <v>4.41735606363851</v>
      </c>
      <c r="AI77" s="11" t="n">
        <v>4.42151204654992</v>
      </c>
      <c r="AJ77" s="11" t="n">
        <v>4.42446488373725</v>
      </c>
      <c r="AK77" s="11" t="n">
        <v>4.42630210493227</v>
      </c>
    </row>
    <row r="78" customFormat="false" ht="15" hidden="false" customHeight="false" outlineLevel="0" collapsed="false">
      <c r="A78" s="10" t="n">
        <v>-47</v>
      </c>
      <c r="B78" s="8" t="n">
        <v>40406</v>
      </c>
      <c r="C78" s="11" t="n">
        <v>0.858172026552202</v>
      </c>
      <c r="D78" s="11" t="n">
        <v>1.03511813444485</v>
      </c>
      <c r="E78" s="11" t="n">
        <v>1.22206331198239</v>
      </c>
      <c r="F78" s="11" t="n">
        <v>1.41199680476668</v>
      </c>
      <c r="G78" s="11" t="n">
        <v>1.6005232474108</v>
      </c>
      <c r="H78" s="11" t="n">
        <v>1.78483324365311</v>
      </c>
      <c r="I78" s="11" t="n">
        <v>1.96315541767621</v>
      </c>
      <c r="J78" s="11" t="n">
        <v>2.13436247582173</v>
      </c>
      <c r="K78" s="11" t="n">
        <v>2.29771487751177</v>
      </c>
      <c r="L78" s="11" t="n">
        <v>2.45272975203645</v>
      </c>
      <c r="M78" s="11" t="n">
        <v>3.75360326580532</v>
      </c>
      <c r="N78" s="11" t="n">
        <v>3.81050101508174</v>
      </c>
      <c r="O78" s="11" t="n">
        <v>3.86291638219277</v>
      </c>
      <c r="P78" s="11" t="n">
        <v>3.91112012260836</v>
      </c>
      <c r="Q78" s="11" t="n">
        <v>3.95537200830795</v>
      </c>
      <c r="R78" s="11" t="n">
        <v>3.99591799856646</v>
      </c>
      <c r="S78" s="11" t="n">
        <v>4.03298888203456</v>
      </c>
      <c r="T78" s="11" t="n">
        <v>4.0668023520903</v>
      </c>
      <c r="U78" s="11" t="n">
        <v>4.09756493261448</v>
      </c>
      <c r="V78" s="11" t="n">
        <v>4.12547355407453</v>
      </c>
      <c r="W78" s="11" t="n">
        <v>4.15071503999278</v>
      </c>
      <c r="X78" s="11" t="n">
        <v>4.17346149596368</v>
      </c>
      <c r="Y78" s="11" t="n">
        <v>4.19387048364743</v>
      </c>
      <c r="Z78" s="11" t="n">
        <v>4.212087993152</v>
      </c>
      <c r="AA78" s="11" t="n">
        <v>4.2282502936587</v>
      </c>
      <c r="AB78" s="11" t="n">
        <v>4.24248512205407</v>
      </c>
      <c r="AC78" s="11" t="n">
        <v>4.25491238322965</v>
      </c>
      <c r="AD78" s="11" t="n">
        <v>4.265644034824</v>
      </c>
      <c r="AE78" s="11" t="n">
        <v>4.2747846292092</v>
      </c>
      <c r="AF78" s="11" t="n">
        <v>4.28243238453108</v>
      </c>
      <c r="AG78" s="11" t="n">
        <v>4.28868066969945</v>
      </c>
      <c r="AH78" s="11" t="n">
        <v>4.2936187928858</v>
      </c>
      <c r="AI78" s="11" t="n">
        <v>4.29733242874298</v>
      </c>
      <c r="AJ78" s="11" t="n">
        <v>4.29990412113524</v>
      </c>
      <c r="AK78" s="11" t="n">
        <v>4.30141432511871</v>
      </c>
    </row>
    <row r="79" customFormat="false" ht="15" hidden="false" customHeight="false" outlineLevel="0" collapsed="false">
      <c r="A79" s="10" t="n">
        <v>-46</v>
      </c>
      <c r="B79" s="8" t="n">
        <v>40407</v>
      </c>
      <c r="C79" s="11" t="n">
        <v>0.874781528536369</v>
      </c>
      <c r="D79" s="11" t="n">
        <v>1.05170593097033</v>
      </c>
      <c r="E79" s="11" t="n">
        <v>1.23845085906662</v>
      </c>
      <c r="F79" s="11" t="n">
        <v>1.42819367947162</v>
      </c>
      <c r="G79" s="11" t="n">
        <v>1.61659548819567</v>
      </c>
      <c r="H79" s="11" t="n">
        <v>1.80086456390306</v>
      </c>
      <c r="I79" s="11" t="n">
        <v>1.97923309225245</v>
      </c>
      <c r="J79" s="11" t="n">
        <v>2.15056648270953</v>
      </c>
      <c r="K79" s="11" t="n">
        <v>2.31410364127948</v>
      </c>
      <c r="L79" s="11" t="n">
        <v>2.4693297159896</v>
      </c>
      <c r="M79" s="11" t="n">
        <v>3.76660881862551</v>
      </c>
      <c r="N79" s="11" t="n">
        <v>3.82275459458015</v>
      </c>
      <c r="O79" s="11" t="n">
        <v>3.87440923236086</v>
      </c>
      <c r="P79" s="11" t="n">
        <v>3.92185583477267</v>
      </c>
      <c r="Q79" s="11" t="n">
        <v>3.96536581738727</v>
      </c>
      <c r="R79" s="11" t="n">
        <v>4.00519537108101</v>
      </c>
      <c r="S79" s="11" t="n">
        <v>4.04158374554505</v>
      </c>
      <c r="T79" s="11" t="n">
        <v>4.07475556055599</v>
      </c>
      <c r="U79" s="11" t="n">
        <v>4.10492295743382</v>
      </c>
      <c r="V79" s="11" t="n">
        <v>4.13228735978911</v>
      </c>
      <c r="W79" s="11" t="n">
        <v>4.15703896537429</v>
      </c>
      <c r="X79" s="11" t="n">
        <v>4.17935188075787</v>
      </c>
      <c r="Y79" s="11" t="n">
        <v>4.19938439535769</v>
      </c>
      <c r="Z79" s="11" t="n">
        <v>4.21728221329019</v>
      </c>
      <c r="AA79" s="11" t="n">
        <v>4.23318045963344</v>
      </c>
      <c r="AB79" s="11" t="n">
        <v>4.24720497426103</v>
      </c>
      <c r="AC79" s="11" t="n">
        <v>4.25947313852559</v>
      </c>
      <c r="AD79" s="11" t="n">
        <v>4.27009396392867</v>
      </c>
      <c r="AE79" s="11" t="n">
        <v>4.27916873339226</v>
      </c>
      <c r="AF79" s="11" t="n">
        <v>4.28679216757389</v>
      </c>
      <c r="AG79" s="11" t="n">
        <v>4.29305410530036</v>
      </c>
      <c r="AH79" s="11" t="n">
        <v>4.29804034981069</v>
      </c>
      <c r="AI79" s="11" t="n">
        <v>4.3018330940702</v>
      </c>
      <c r="AJ79" s="11" t="n">
        <v>4.30451144462156</v>
      </c>
      <c r="AK79" s="11" t="n">
        <v>4.30615257697979</v>
      </c>
    </row>
    <row r="80" customFormat="false" ht="15" hidden="false" customHeight="false" outlineLevel="0" collapsed="false">
      <c r="A80" s="10" t="n">
        <v>-45</v>
      </c>
      <c r="B80" s="8" t="n">
        <v>40408</v>
      </c>
      <c r="C80" s="11" t="n">
        <v>0.855403699802232</v>
      </c>
      <c r="D80" s="11" t="n">
        <v>1.03094440108729</v>
      </c>
      <c r="E80" s="11" t="n">
        <v>1.21618169268325</v>
      </c>
      <c r="F80" s="11" t="n">
        <v>1.40434197841626</v>
      </c>
      <c r="G80" s="11" t="n">
        <v>1.59111943877528</v>
      </c>
      <c r="H80" s="11" t="n">
        <v>1.77376355028386</v>
      </c>
      <c r="I80" s="11" t="n">
        <v>1.95055049758439</v>
      </c>
      <c r="J80" s="11" t="n">
        <v>2.12039090478149</v>
      </c>
      <c r="K80" s="11" t="n">
        <v>2.28256647382687</v>
      </c>
      <c r="L80" s="11" t="n">
        <v>2.43660105372146</v>
      </c>
      <c r="M80" s="11" t="n">
        <v>3.73944682661103</v>
      </c>
      <c r="N80" s="11" t="n">
        <v>3.79734133387801</v>
      </c>
      <c r="O80" s="11" t="n">
        <v>3.85083588311567</v>
      </c>
      <c r="P80" s="11" t="n">
        <v>3.9001919757571</v>
      </c>
      <c r="Q80" s="11" t="n">
        <v>3.94565982621251</v>
      </c>
      <c r="R80" s="11" t="n">
        <v>3.98747609907195</v>
      </c>
      <c r="S80" s="11" t="n">
        <v>4.02586297870514</v>
      </c>
      <c r="T80" s="11" t="n">
        <v>4.06103017629826</v>
      </c>
      <c r="U80" s="11" t="n">
        <v>4.09317676414565</v>
      </c>
      <c r="V80" s="11" t="n">
        <v>4.12249267488781</v>
      </c>
      <c r="W80" s="11" t="n">
        <v>4.14915815361478</v>
      </c>
      <c r="X80" s="11" t="n">
        <v>4.17333933232365</v>
      </c>
      <c r="Y80" s="11" t="n">
        <v>4.19518846970488</v>
      </c>
      <c r="Z80" s="11" t="n">
        <v>4.21484684342692</v>
      </c>
      <c r="AA80" s="11" t="n">
        <v>4.23244651762283</v>
      </c>
      <c r="AB80" s="11" t="n">
        <v>4.24811146899437</v>
      </c>
      <c r="AC80" s="11" t="n">
        <v>4.26195824169499</v>
      </c>
      <c r="AD80" s="11" t="n">
        <v>4.27409583548408</v>
      </c>
      <c r="AE80" s="11" t="n">
        <v>4.28462622815233</v>
      </c>
      <c r="AF80" s="11" t="n">
        <v>4.29364538560443</v>
      </c>
      <c r="AG80" s="11" t="n">
        <v>4.30124463343297</v>
      </c>
      <c r="AH80" s="11" t="n">
        <v>4.30751139025605</v>
      </c>
      <c r="AI80" s="11" t="n">
        <v>4.31252957826342</v>
      </c>
      <c r="AJ80" s="11" t="n">
        <v>4.31638011383352</v>
      </c>
      <c r="AK80" s="11" t="n">
        <v>4.31914192703196</v>
      </c>
    </row>
    <row r="81" customFormat="false" ht="15" hidden="false" customHeight="false" outlineLevel="0" collapsed="false">
      <c r="A81" s="10" t="n">
        <v>-44</v>
      </c>
      <c r="B81" s="8" t="n">
        <v>40409</v>
      </c>
      <c r="C81" s="11" t="n">
        <v>0.829674668247874</v>
      </c>
      <c r="D81" s="11" t="n">
        <v>1.0023293045913</v>
      </c>
      <c r="E81" s="11" t="n">
        <v>1.18649128863012</v>
      </c>
      <c r="F81" s="11" t="n">
        <v>1.37469423073778</v>
      </c>
      <c r="G81" s="11" t="n">
        <v>1.56221471183969</v>
      </c>
      <c r="H81" s="11" t="n">
        <v>1.74605369138474</v>
      </c>
      <c r="I81" s="11" t="n">
        <v>1.92432350510417</v>
      </c>
      <c r="J81" s="11" t="n">
        <v>2.09580656717648</v>
      </c>
      <c r="K81" s="11" t="n">
        <v>2.25966850536073</v>
      </c>
      <c r="L81" s="11" t="n">
        <v>2.41532976644863</v>
      </c>
      <c r="M81" s="11" t="n">
        <v>3.71980317129572</v>
      </c>
      <c r="N81" s="11" t="n">
        <v>3.77678912006317</v>
      </c>
      <c r="O81" s="11" t="n">
        <v>3.82936420446855</v>
      </c>
      <c r="P81" s="11" t="n">
        <v>3.87781183328909</v>
      </c>
      <c r="Q81" s="11" t="n">
        <v>3.92240195278898</v>
      </c>
      <c r="R81" s="11" t="n">
        <v>3.96338749228534</v>
      </c>
      <c r="S81" s="11" t="n">
        <v>4.00100279995872</v>
      </c>
      <c r="T81" s="11" t="n">
        <v>4.03546620358405</v>
      </c>
      <c r="U81" s="11" t="n">
        <v>4.06698236647268</v>
      </c>
      <c r="V81" s="11" t="n">
        <v>4.09574421919304</v>
      </c>
      <c r="W81" s="11" t="n">
        <v>4.12193285311255</v>
      </c>
      <c r="X81" s="11" t="n">
        <v>4.14571371245213</v>
      </c>
      <c r="Y81" s="11" t="n">
        <v>4.16723720876789</v>
      </c>
      <c r="Z81" s="11" t="n">
        <v>4.18664186597004</v>
      </c>
      <c r="AA81" s="11" t="n">
        <v>4.20405623073521</v>
      </c>
      <c r="AB81" s="11" t="n">
        <v>4.21960009287288</v>
      </c>
      <c r="AC81" s="11" t="n">
        <v>4.23338530405946</v>
      </c>
      <c r="AD81" s="11" t="n">
        <v>4.24551600056725</v>
      </c>
      <c r="AE81" s="11" t="n">
        <v>4.25608924450932</v>
      </c>
      <c r="AF81" s="11" t="n">
        <v>4.26519610549446</v>
      </c>
      <c r="AG81" s="11" t="n">
        <v>4.27292321466704</v>
      </c>
      <c r="AH81" s="11" t="n">
        <v>4.27935353440168</v>
      </c>
      <c r="AI81" s="11" t="n">
        <v>4.28456674480278</v>
      </c>
      <c r="AJ81" s="11" t="n">
        <v>4.28863974906736</v>
      </c>
      <c r="AK81" s="11" t="n">
        <v>4.29164785404682</v>
      </c>
    </row>
    <row r="82" customFormat="false" ht="15" hidden="false" customHeight="false" outlineLevel="0" collapsed="false">
      <c r="A82" s="10" t="n">
        <v>-43</v>
      </c>
      <c r="B82" s="8" t="n">
        <v>40410</v>
      </c>
      <c r="C82" s="11" t="n">
        <v>0.802053305192713</v>
      </c>
      <c r="D82" s="11" t="n">
        <v>0.968143048704767</v>
      </c>
      <c r="E82" s="11" t="n">
        <v>1.14805228865669</v>
      </c>
      <c r="F82" s="11" t="n">
        <v>1.33376982256994</v>
      </c>
      <c r="G82" s="11" t="n">
        <v>1.52006353754369</v>
      </c>
      <c r="H82" s="11" t="n">
        <v>1.70354743359652</v>
      </c>
      <c r="I82" s="11" t="n">
        <v>1.88205490291366</v>
      </c>
      <c r="J82" s="11" t="n">
        <v>2.05417855249708</v>
      </c>
      <c r="K82" s="11" t="n">
        <v>2.2189409991578</v>
      </c>
      <c r="L82" s="11" t="n">
        <v>2.37565950482221</v>
      </c>
      <c r="M82" s="11" t="n">
        <v>3.69249024084596</v>
      </c>
      <c r="N82" s="11" t="n">
        <v>3.75016765628607</v>
      </c>
      <c r="O82" s="11" t="n">
        <v>3.80342715119616</v>
      </c>
      <c r="P82" s="11" t="n">
        <v>3.85255815714291</v>
      </c>
      <c r="Q82" s="11" t="n">
        <v>3.89783600875019</v>
      </c>
      <c r="R82" s="11" t="n">
        <v>3.93951771419858</v>
      </c>
      <c r="S82" s="11" t="n">
        <v>3.97784018991472</v>
      </c>
      <c r="T82" s="11" t="n">
        <v>4.01302303999803</v>
      </c>
      <c r="U82" s="11" t="n">
        <v>4.0452711021512</v>
      </c>
      <c r="V82" s="11" t="n">
        <v>4.07477653385429</v>
      </c>
      <c r="W82" s="11" t="n">
        <v>4.10171876811873</v>
      </c>
      <c r="X82" s="11" t="n">
        <v>4.12626082122415</v>
      </c>
      <c r="Y82" s="11" t="n">
        <v>4.14855015955726</v>
      </c>
      <c r="Z82" s="11" t="n">
        <v>4.16872212177218</v>
      </c>
      <c r="AA82" s="11" t="n">
        <v>4.18690191164938</v>
      </c>
      <c r="AB82" s="11" t="n">
        <v>4.20320583847523</v>
      </c>
      <c r="AC82" s="11" t="n">
        <v>4.21774222102417</v>
      </c>
      <c r="AD82" s="11" t="n">
        <v>4.23061185006923</v>
      </c>
      <c r="AE82" s="11" t="n">
        <v>4.24190869522129</v>
      </c>
      <c r="AF82" s="11" t="n">
        <v>4.25172101208822</v>
      </c>
      <c r="AG82" s="11" t="n">
        <v>4.26013298392668</v>
      </c>
      <c r="AH82" s="11" t="n">
        <v>4.26722547871168</v>
      </c>
      <c r="AI82" s="11" t="n">
        <v>4.27307639890715</v>
      </c>
      <c r="AJ82" s="11" t="n">
        <v>4.2777611798064</v>
      </c>
      <c r="AK82" s="11" t="n">
        <v>4.28135403100688</v>
      </c>
    </row>
    <row r="83" customFormat="false" ht="15" hidden="false" customHeight="false" outlineLevel="0" collapsed="false">
      <c r="A83" s="10" t="n">
        <v>-42</v>
      </c>
      <c r="B83" s="8" t="n">
        <v>40413</v>
      </c>
      <c r="C83" s="11" t="n">
        <v>0.798478582120022</v>
      </c>
      <c r="D83" s="11" t="n">
        <v>0.964282446266308</v>
      </c>
      <c r="E83" s="11" t="n">
        <v>1.14439793789148</v>
      </c>
      <c r="F83" s="11" t="n">
        <v>1.33042279438518</v>
      </c>
      <c r="G83" s="11" t="n">
        <v>1.51697521570143</v>
      </c>
      <c r="H83" s="11" t="n">
        <v>1.70062290247673</v>
      </c>
      <c r="I83" s="11" t="n">
        <v>1.87919798436786</v>
      </c>
      <c r="J83" s="11" t="n">
        <v>2.05130638417608</v>
      </c>
      <c r="K83" s="11" t="n">
        <v>2.21598768920138</v>
      </c>
      <c r="L83" s="11" t="n">
        <v>2.37257683505653</v>
      </c>
      <c r="M83" s="11" t="n">
        <v>3.68652739134956</v>
      </c>
      <c r="N83" s="11" t="n">
        <v>3.7439513910445</v>
      </c>
      <c r="O83" s="11" t="n">
        <v>3.79696131108599</v>
      </c>
      <c r="P83" s="11" t="n">
        <v>3.8458495881409</v>
      </c>
      <c r="Q83" s="11" t="n">
        <v>3.89089464966194</v>
      </c>
      <c r="R83" s="11" t="n">
        <v>3.93235625106231</v>
      </c>
      <c r="S83" s="11" t="n">
        <v>3.9704735241448</v>
      </c>
      <c r="T83" s="11" t="n">
        <v>4.00546782825162</v>
      </c>
      <c r="U83" s="11" t="n">
        <v>4.03754536386157</v>
      </c>
      <c r="V83" s="11" t="n">
        <v>4.06689931323472</v>
      </c>
      <c r="W83" s="11" t="n">
        <v>4.0937097792333</v>
      </c>
      <c r="X83" s="11" t="n">
        <v>4.11814002051818</v>
      </c>
      <c r="Y83" s="11" t="n">
        <v>4.14033738232348</v>
      </c>
      <c r="Z83" s="11" t="n">
        <v>4.16043682035492</v>
      </c>
      <c r="AA83" s="11" t="n">
        <v>4.17856293809909</v>
      </c>
      <c r="AB83" s="11" t="n">
        <v>4.19483125377324</v>
      </c>
      <c r="AC83" s="11" t="n">
        <v>4.20934913977472</v>
      </c>
      <c r="AD83" s="11" t="n">
        <v>4.22221634707329</v>
      </c>
      <c r="AE83" s="11" t="n">
        <v>4.23352573933952</v>
      </c>
      <c r="AF83" s="11" t="n">
        <v>4.24336443191335</v>
      </c>
      <c r="AG83" s="11" t="n">
        <v>4.25181549377952</v>
      </c>
      <c r="AH83" s="11" t="n">
        <v>4.25895871551577</v>
      </c>
      <c r="AI83" s="11" t="n">
        <v>4.2648709553114</v>
      </c>
      <c r="AJ83" s="11" t="n">
        <v>4.26962664336802</v>
      </c>
      <c r="AK83" s="11" t="n">
        <v>4.27329905318442</v>
      </c>
    </row>
    <row r="84" customFormat="false" ht="15" hidden="false" customHeight="false" outlineLevel="0" collapsed="false">
      <c r="A84" s="10" t="n">
        <v>-41</v>
      </c>
      <c r="B84" s="8" t="n">
        <v>40414</v>
      </c>
      <c r="C84" s="11" t="n">
        <v>0.738396640530514</v>
      </c>
      <c r="D84" s="11" t="n">
        <v>0.893589507619448</v>
      </c>
      <c r="E84" s="11" t="n">
        <v>1.0662657194803</v>
      </c>
      <c r="F84" s="11" t="n">
        <v>1.24713751668274</v>
      </c>
      <c r="G84" s="11" t="n">
        <v>1.43014525470853</v>
      </c>
      <c r="H84" s="11" t="n">
        <v>1.6113819562605</v>
      </c>
      <c r="I84" s="11" t="n">
        <v>1.7883517092525</v>
      </c>
      <c r="J84" s="11" t="n">
        <v>1.95942701404855</v>
      </c>
      <c r="K84" s="11" t="n">
        <v>2.12347344230313</v>
      </c>
      <c r="L84" s="11" t="n">
        <v>2.27968974290165</v>
      </c>
      <c r="M84" s="11" t="n">
        <v>3.58312702100935</v>
      </c>
      <c r="N84" s="11" t="n">
        <v>3.63878817776903</v>
      </c>
      <c r="O84" s="11" t="n">
        <v>3.68997862637084</v>
      </c>
      <c r="P84" s="11" t="n">
        <v>3.73701721797364</v>
      </c>
      <c r="Q84" s="11" t="n">
        <v>3.78020879053781</v>
      </c>
      <c r="R84" s="11" t="n">
        <v>3.81983704362467</v>
      </c>
      <c r="S84" s="11" t="n">
        <v>3.85616131760437</v>
      </c>
      <c r="T84" s="11" t="n">
        <v>3.88941992427625</v>
      </c>
      <c r="U84" s="11" t="n">
        <v>3.91983323930575</v>
      </c>
      <c r="V84" s="11" t="n">
        <v>3.94760623294118</v>
      </c>
      <c r="W84" s="11" t="n">
        <v>3.97292831150878</v>
      </c>
      <c r="X84" s="11" t="n">
        <v>3.9959687053141</v>
      </c>
      <c r="Y84" s="11" t="n">
        <v>4.01687762583278</v>
      </c>
      <c r="Z84" s="11" t="n">
        <v>4.0357905881054</v>
      </c>
      <c r="AA84" s="11" t="n">
        <v>4.05283085965143</v>
      </c>
      <c r="AB84" s="11" t="n">
        <v>4.06811096095541</v>
      </c>
      <c r="AC84" s="11" t="n">
        <v>4.08173388300692</v>
      </c>
      <c r="AD84" s="11" t="n">
        <v>4.09379401365379</v>
      </c>
      <c r="AE84" s="11" t="n">
        <v>4.10437806457275</v>
      </c>
      <c r="AF84" s="11" t="n">
        <v>4.11356643488477</v>
      </c>
      <c r="AG84" s="11" t="n">
        <v>4.12143534604647</v>
      </c>
      <c r="AH84" s="11" t="n">
        <v>4.12805773445098</v>
      </c>
      <c r="AI84" s="11" t="n">
        <v>4.13350359945274</v>
      </c>
      <c r="AJ84" s="11" t="n">
        <v>4.13784055997505</v>
      </c>
      <c r="AK84" s="11" t="n">
        <v>4.141135362803</v>
      </c>
    </row>
    <row r="85" customFormat="false" ht="15" hidden="false" customHeight="false" outlineLevel="0" collapsed="false">
      <c r="A85" s="10" t="n">
        <v>-40</v>
      </c>
      <c r="B85" s="8" t="n">
        <v>40415</v>
      </c>
      <c r="C85" s="11" t="n">
        <v>0.756824443902945</v>
      </c>
      <c r="D85" s="11" t="n">
        <v>0.90188000848036</v>
      </c>
      <c r="E85" s="11" t="n">
        <v>1.06605584112654</v>
      </c>
      <c r="F85" s="11" t="n">
        <v>1.24012891229826</v>
      </c>
      <c r="G85" s="11" t="n">
        <v>1.41771986041022</v>
      </c>
      <c r="H85" s="11" t="n">
        <v>1.59459681747048</v>
      </c>
      <c r="I85" s="11" t="n">
        <v>1.76800919860363</v>
      </c>
      <c r="J85" s="11" t="n">
        <v>1.93614396137183</v>
      </c>
      <c r="K85" s="11" t="n">
        <v>2.09773529789758</v>
      </c>
      <c r="L85" s="11" t="n">
        <v>2.25188602617452</v>
      </c>
      <c r="M85" s="11" t="n">
        <v>3.5381261855314</v>
      </c>
      <c r="N85" s="11" t="n">
        <v>3.59235959978411</v>
      </c>
      <c r="O85" s="11" t="n">
        <v>3.64212590184577</v>
      </c>
      <c r="P85" s="11" t="n">
        <v>3.68776079631876</v>
      </c>
      <c r="Q85" s="11" t="n">
        <v>3.72958661397972</v>
      </c>
      <c r="R85" s="11" t="n">
        <v>3.76790298743493</v>
      </c>
      <c r="S85" s="11" t="n">
        <v>3.80298251125868</v>
      </c>
      <c r="T85" s="11" t="n">
        <v>3.83507441097416</v>
      </c>
      <c r="U85" s="11" t="n">
        <v>3.86440797967867</v>
      </c>
      <c r="V85" s="11" t="n">
        <v>3.89119538781775</v>
      </c>
      <c r="W85" s="11" t="n">
        <v>3.91563140029146</v>
      </c>
      <c r="X85" s="11" t="n">
        <v>3.93788805061876</v>
      </c>
      <c r="Y85" s="11" t="n">
        <v>3.95811594113982</v>
      </c>
      <c r="Z85" s="11" t="n">
        <v>3.97644909129565</v>
      </c>
      <c r="AA85" s="11" t="n">
        <v>3.99300768392057</v>
      </c>
      <c r="AB85" s="11" t="n">
        <v>4.00789976070227</v>
      </c>
      <c r="AC85" s="11" t="n">
        <v>4.02122265489989</v>
      </c>
      <c r="AD85" s="11" t="n">
        <v>4.03306419980118</v>
      </c>
      <c r="AE85" s="11" t="n">
        <v>4.04350380660357</v>
      </c>
      <c r="AF85" s="11" t="n">
        <v>4.05261404676407</v>
      </c>
      <c r="AG85" s="11" t="n">
        <v>4.0604632044544</v>
      </c>
      <c r="AH85" s="11" t="n">
        <v>4.06711628518216</v>
      </c>
      <c r="AI85" s="11" t="n">
        <v>4.07263536437361</v>
      </c>
      <c r="AJ85" s="11" t="n">
        <v>4.07708021125856</v>
      </c>
      <c r="AK85" s="11" t="n">
        <v>4.0805101040521</v>
      </c>
    </row>
    <row r="86" customFormat="false" ht="15" hidden="false" customHeight="false" outlineLevel="0" collapsed="false">
      <c r="A86" s="10" t="n">
        <v>-39</v>
      </c>
      <c r="B86" s="8" t="n">
        <v>40416</v>
      </c>
      <c r="C86" s="11" t="n">
        <v>0.774194528640318</v>
      </c>
      <c r="D86" s="11" t="n">
        <v>0.921808092178769</v>
      </c>
      <c r="E86" s="11" t="n">
        <v>1.08671187923698</v>
      </c>
      <c r="F86" s="11" t="n">
        <v>1.26019912276287</v>
      </c>
      <c r="G86" s="11" t="n">
        <v>1.43619145777261</v>
      </c>
      <c r="H86" s="11" t="n">
        <v>1.61065515232398</v>
      </c>
      <c r="I86" s="11" t="n">
        <v>1.78101181089704</v>
      </c>
      <c r="J86" s="11" t="n">
        <v>1.94561994496747</v>
      </c>
      <c r="K86" s="11" t="n">
        <v>2.10339963548047</v>
      </c>
      <c r="L86" s="11" t="n">
        <v>2.25363632863513</v>
      </c>
      <c r="M86" s="11" t="n">
        <v>3.51951388480698</v>
      </c>
      <c r="N86" s="11" t="n">
        <v>3.57447718004128</v>
      </c>
      <c r="O86" s="11" t="n">
        <v>3.62510469365607</v>
      </c>
      <c r="P86" s="11" t="n">
        <v>3.67167470510279</v>
      </c>
      <c r="Q86" s="11" t="n">
        <v>3.71444952973582</v>
      </c>
      <c r="R86" s="11" t="n">
        <v>3.75367476841207</v>
      </c>
      <c r="S86" s="11" t="n">
        <v>3.78957550170521</v>
      </c>
      <c r="T86" s="11" t="n">
        <v>3.82235807966925</v>
      </c>
      <c r="U86" s="11" t="n">
        <v>3.85221287204329</v>
      </c>
      <c r="V86" s="11" t="n">
        <v>3.8793165669576</v>
      </c>
      <c r="W86" s="11" t="n">
        <v>3.90383515295483</v>
      </c>
      <c r="X86" s="11" t="n">
        <v>3.92592844651978</v>
      </c>
      <c r="Y86" s="11" t="n">
        <v>3.94575154022964</v>
      </c>
      <c r="Z86" s="11" t="n">
        <v>3.96345448841471</v>
      </c>
      <c r="AA86" s="11" t="n">
        <v>3.97918264624237</v>
      </c>
      <c r="AB86" s="11" t="n">
        <v>3.99307723477413</v>
      </c>
      <c r="AC86" s="11" t="n">
        <v>4.00527551950761</v>
      </c>
      <c r="AD86" s="11" t="n">
        <v>4.01591037211093</v>
      </c>
      <c r="AE86" s="11" t="n">
        <v>4.02511046892465</v>
      </c>
      <c r="AF86" s="11" t="n">
        <v>4.03299950682377</v>
      </c>
      <c r="AG86" s="11" t="n">
        <v>4.03969329992013</v>
      </c>
      <c r="AH86" s="11" t="n">
        <v>4.04529957943304</v>
      </c>
      <c r="AI86" s="11" t="n">
        <v>4.0499188244463</v>
      </c>
      <c r="AJ86" s="11" t="n">
        <v>4.05364498957076</v>
      </c>
      <c r="AK86" s="11" t="n">
        <v>4.05656527940644</v>
      </c>
    </row>
    <row r="87" customFormat="false" ht="15" hidden="false" customHeight="false" outlineLevel="0" collapsed="false">
      <c r="A87" s="10" t="n">
        <v>-38</v>
      </c>
      <c r="B87" s="8" t="n">
        <v>40417</v>
      </c>
      <c r="C87" s="11" t="n">
        <v>0.789335974363115</v>
      </c>
      <c r="D87" s="11" t="n">
        <v>0.941434606902988</v>
      </c>
      <c r="E87" s="11" t="n">
        <v>1.10915885248566</v>
      </c>
      <c r="F87" s="11" t="n">
        <v>1.284063077889</v>
      </c>
      <c r="G87" s="11" t="n">
        <v>1.46036967703033</v>
      </c>
      <c r="H87" s="11" t="n">
        <v>1.6343148069793</v>
      </c>
      <c r="I87" s="11" t="n">
        <v>1.80355741559163</v>
      </c>
      <c r="J87" s="11" t="n">
        <v>1.96665916775573</v>
      </c>
      <c r="K87" s="11" t="n">
        <v>2.12270431674893</v>
      </c>
      <c r="L87" s="11" t="n">
        <v>2.27110882498387</v>
      </c>
      <c r="M87" s="11" t="n">
        <v>3.52572772874856</v>
      </c>
      <c r="N87" s="11" t="n">
        <v>3.58100653376942</v>
      </c>
      <c r="O87" s="11" t="n">
        <v>3.63207386332424</v>
      </c>
      <c r="P87" s="11" t="n">
        <v>3.6791954062627</v>
      </c>
      <c r="Q87" s="11" t="n">
        <v>3.72262069312969</v>
      </c>
      <c r="R87" s="11" t="n">
        <v>3.76258238053095</v>
      </c>
      <c r="S87" s="11" t="n">
        <v>3.79929278265813</v>
      </c>
      <c r="T87" s="11" t="n">
        <v>3.83294576588876</v>
      </c>
      <c r="U87" s="11" t="n">
        <v>3.86371945862616</v>
      </c>
      <c r="V87" s="11" t="n">
        <v>3.89177852081641</v>
      </c>
      <c r="W87" s="11" t="n">
        <v>3.91727730686344</v>
      </c>
      <c r="X87" s="11" t="n">
        <v>3.9403647606083</v>
      </c>
      <c r="Y87" s="11" t="n">
        <v>3.96118592271693</v>
      </c>
      <c r="Z87" s="11" t="n">
        <v>3.97988178144286</v>
      </c>
      <c r="AA87" s="11" t="n">
        <v>3.99658958330273</v>
      </c>
      <c r="AB87" s="11" t="n">
        <v>4.01144328325605</v>
      </c>
      <c r="AC87" s="11" t="n">
        <v>4.02457368646655</v>
      </c>
      <c r="AD87" s="11" t="n">
        <v>4.0361081333678</v>
      </c>
      <c r="AE87" s="11" t="n">
        <v>4.04617066781473</v>
      </c>
      <c r="AF87" s="11" t="n">
        <v>4.05488110422451</v>
      </c>
      <c r="AG87" s="11" t="n">
        <v>4.06235207908723</v>
      </c>
      <c r="AH87" s="11" t="n">
        <v>4.06868883823601</v>
      </c>
      <c r="AI87" s="11" t="n">
        <v>4.07398999752146</v>
      </c>
      <c r="AJ87" s="11" t="n">
        <v>4.07834820518518</v>
      </c>
      <c r="AK87" s="11" t="n">
        <v>4.08184984640849</v>
      </c>
    </row>
    <row r="88" customFormat="false" ht="15" hidden="false" customHeight="false" outlineLevel="0" collapsed="false">
      <c r="A88" s="10" t="n">
        <v>-37</v>
      </c>
      <c r="B88" s="8" t="n">
        <v>40421</v>
      </c>
      <c r="C88" s="11" t="n">
        <v>0.770697473113079</v>
      </c>
      <c r="D88" s="11" t="n">
        <v>0.917665709627293</v>
      </c>
      <c r="E88" s="11" t="n">
        <v>1.08044338090164</v>
      </c>
      <c r="F88" s="11" t="n">
        <v>1.25060498858996</v>
      </c>
      <c r="G88" s="11" t="n">
        <v>1.42241321972238</v>
      </c>
      <c r="H88" s="11" t="n">
        <v>1.59213831269341</v>
      </c>
      <c r="I88" s="11" t="n">
        <v>1.75746542514333</v>
      </c>
      <c r="J88" s="11" t="n">
        <v>1.91697885510474</v>
      </c>
      <c r="K88" s="11" t="n">
        <v>2.06978462458258</v>
      </c>
      <c r="L88" s="11" t="n">
        <v>2.21531487315016</v>
      </c>
      <c r="M88" s="11" t="n">
        <v>3.46001766393792</v>
      </c>
      <c r="N88" s="11" t="n">
        <v>3.51583299580771</v>
      </c>
      <c r="O88" s="11" t="n">
        <v>3.5675201179455</v>
      </c>
      <c r="P88" s="11" t="n">
        <v>3.61532967199728</v>
      </c>
      <c r="Q88" s="11" t="n">
        <v>3.65949704811656</v>
      </c>
      <c r="R88" s="11" t="n">
        <v>3.70024171098783</v>
      </c>
      <c r="S88" s="11" t="n">
        <v>3.73776399832288</v>
      </c>
      <c r="T88" s="11" t="n">
        <v>3.77224692736477</v>
      </c>
      <c r="U88" s="11" t="n">
        <v>3.80385873935437</v>
      </c>
      <c r="V88" s="11" t="n">
        <v>3.8327550343757</v>
      </c>
      <c r="W88" s="11" t="n">
        <v>3.85908194583573</v>
      </c>
      <c r="X88" s="11" t="n">
        <v>3.88298121794544</v>
      </c>
      <c r="Y88" s="11" t="n">
        <v>3.90459169236489</v>
      </c>
      <c r="Z88" s="11" t="n">
        <v>3.92404914801354</v>
      </c>
      <c r="AA88" s="11" t="n">
        <v>3.94148652477914</v>
      </c>
      <c r="AB88" s="11" t="n">
        <v>3.95703426492648</v>
      </c>
      <c r="AC88" s="11" t="n">
        <v>3.97082041948254</v>
      </c>
      <c r="AD88" s="11" t="n">
        <v>3.98297041264572</v>
      </c>
      <c r="AE88" s="11" t="n">
        <v>3.99360716471021</v>
      </c>
      <c r="AF88" s="11" t="n">
        <v>4.00285001045849</v>
      </c>
      <c r="AG88" s="11" t="n">
        <v>4.01081156385093</v>
      </c>
      <c r="AH88" s="11" t="n">
        <v>4.01759743613947</v>
      </c>
      <c r="AI88" s="11" t="n">
        <v>4.02330695626526</v>
      </c>
      <c r="AJ88" s="11" t="n">
        <v>4.0280337966178</v>
      </c>
      <c r="AK88" s="11" t="n">
        <v>4.03186560248396</v>
      </c>
    </row>
    <row r="89" customFormat="false" ht="15" hidden="false" customHeight="false" outlineLevel="0" collapsed="false">
      <c r="A89" s="10" t="n">
        <v>-36</v>
      </c>
      <c r="B89" s="8" t="n">
        <v>40422</v>
      </c>
      <c r="C89" s="11" t="n">
        <v>0.826986722443824</v>
      </c>
      <c r="D89" s="11" t="n">
        <v>0.984021126910276</v>
      </c>
      <c r="E89" s="11" t="n">
        <v>1.15446468191864</v>
      </c>
      <c r="F89" s="11" t="n">
        <v>1.33064486188232</v>
      </c>
      <c r="G89" s="11" t="n">
        <v>1.50726499365803</v>
      </c>
      <c r="H89" s="11" t="n">
        <v>1.68087225250911</v>
      </c>
      <c r="I89" s="11" t="n">
        <v>1.84933779896153</v>
      </c>
      <c r="J89" s="11" t="n">
        <v>2.01137718982144</v>
      </c>
      <c r="K89" s="11" t="n">
        <v>2.16619682283792</v>
      </c>
      <c r="L89" s="11" t="n">
        <v>2.31330921860745</v>
      </c>
      <c r="M89" s="11" t="n">
        <v>3.56247868491071</v>
      </c>
      <c r="N89" s="11" t="n">
        <v>3.6184185942827</v>
      </c>
      <c r="O89" s="11" t="n">
        <v>3.67025956466243</v>
      </c>
      <c r="P89" s="11" t="n">
        <v>3.71825390214247</v>
      </c>
      <c r="Q89" s="11" t="n">
        <v>3.76263735402489</v>
      </c>
      <c r="R89" s="11" t="n">
        <v>3.80362860857084</v>
      </c>
      <c r="S89" s="11" t="n">
        <v>3.84142627293079</v>
      </c>
      <c r="T89" s="11" t="n">
        <v>3.87621083978011</v>
      </c>
      <c r="U89" s="11" t="n">
        <v>3.9081473487449</v>
      </c>
      <c r="V89" s="11" t="n">
        <v>3.93738761977355</v>
      </c>
      <c r="W89" s="11" t="n">
        <v>3.96407357229078</v>
      </c>
      <c r="X89" s="11" t="n">
        <v>3.98834248558504</v>
      </c>
      <c r="Y89" s="11" t="n">
        <v>4.01032861655488</v>
      </c>
      <c r="Z89" s="11" t="n">
        <v>4.03016326484733</v>
      </c>
      <c r="AA89" s="11" t="n">
        <v>4.0479750461565</v>
      </c>
      <c r="AB89" s="11" t="n">
        <v>4.06389021646314</v>
      </c>
      <c r="AC89" s="11" t="n">
        <v>4.07803282961571</v>
      </c>
      <c r="AD89" s="11" t="n">
        <v>4.09052466574236</v>
      </c>
      <c r="AE89" s="11" t="n">
        <v>4.10148537005886</v>
      </c>
      <c r="AF89" s="11" t="n">
        <v>4.1110313777809</v>
      </c>
      <c r="AG89" s="11" t="n">
        <v>4.11927290181671</v>
      </c>
      <c r="AH89" s="11" t="n">
        <v>4.1263136563793</v>
      </c>
      <c r="AI89" s="11" t="n">
        <v>4.13225152571613</v>
      </c>
      <c r="AJ89" s="11" t="n">
        <v>4.13717914404491</v>
      </c>
      <c r="AK89" s="11" t="n">
        <v>4.14118353084517</v>
      </c>
    </row>
    <row r="90" customFormat="false" ht="15" hidden="false" customHeight="false" outlineLevel="0" collapsed="false">
      <c r="A90" s="10" t="n">
        <v>-35</v>
      </c>
      <c r="B90" s="8" t="n">
        <v>40423</v>
      </c>
      <c r="C90" s="11" t="n">
        <v>0.853527460117989</v>
      </c>
      <c r="D90" s="11" t="n">
        <v>1.01375599633714</v>
      </c>
      <c r="E90" s="11" t="n">
        <v>1.18595132475175</v>
      </c>
      <c r="F90" s="11" t="n">
        <v>1.36296141678697</v>
      </c>
      <c r="G90" s="11" t="n">
        <v>1.5398110788229</v>
      </c>
      <c r="H90" s="11" t="n">
        <v>1.71326166530466</v>
      </c>
      <c r="I90" s="11" t="n">
        <v>1.88134179309908</v>
      </c>
      <c r="J90" s="11" t="n">
        <v>2.04288537620477</v>
      </c>
      <c r="K90" s="11" t="n">
        <v>2.19718620962336</v>
      </c>
      <c r="L90" s="11" t="n">
        <v>2.34381874559615</v>
      </c>
      <c r="M90" s="11" t="n">
        <v>3.59949273308697</v>
      </c>
      <c r="N90" s="11" t="n">
        <v>3.65682137014994</v>
      </c>
      <c r="O90" s="11" t="n">
        <v>3.71010240362629</v>
      </c>
      <c r="P90" s="11" t="n">
        <v>3.75957039263644</v>
      </c>
      <c r="Q90" s="11" t="n">
        <v>3.80544368350376</v>
      </c>
      <c r="R90" s="11" t="n">
        <v>3.84792454636726</v>
      </c>
      <c r="S90" s="11" t="n">
        <v>3.88719729570569</v>
      </c>
      <c r="T90" s="11" t="n">
        <v>3.92343019168385</v>
      </c>
      <c r="U90" s="11" t="n">
        <v>3.95677779931644</v>
      </c>
      <c r="V90" s="11" t="n">
        <v>3.98738297331754</v>
      </c>
      <c r="W90" s="11" t="n">
        <v>4.01538007256768</v>
      </c>
      <c r="X90" s="11" t="n">
        <v>4.04090025732724</v>
      </c>
      <c r="Y90" s="11" t="n">
        <v>4.06407302633962</v>
      </c>
      <c r="Z90" s="11" t="n">
        <v>4.0850262666814</v>
      </c>
      <c r="AA90" s="11" t="n">
        <v>4.10388640549712</v>
      </c>
      <c r="AB90" s="11" t="n">
        <v>4.12077858587658</v>
      </c>
      <c r="AC90" s="11" t="n">
        <v>4.13582672443369</v>
      </c>
      <c r="AD90" s="11" t="n">
        <v>4.149153403929</v>
      </c>
      <c r="AE90" s="11" t="n">
        <v>4.16087992647241</v>
      </c>
      <c r="AF90" s="11" t="n">
        <v>4.17112506313482</v>
      </c>
      <c r="AG90" s="11" t="n">
        <v>4.18000180517639</v>
      </c>
      <c r="AH90" s="11" t="n">
        <v>4.18761700783109</v>
      </c>
      <c r="AI90" s="11" t="n">
        <v>4.19407202127736</v>
      </c>
      <c r="AJ90" s="11" t="n">
        <v>4.1994632361074</v>
      </c>
      <c r="AK90" s="11" t="n">
        <v>4.2038816387097</v>
      </c>
    </row>
    <row r="91" customFormat="false" ht="15" hidden="false" customHeight="false" outlineLevel="0" collapsed="false">
      <c r="A91" s="10" t="n">
        <v>-34</v>
      </c>
      <c r="B91" s="8" t="n">
        <v>40424</v>
      </c>
      <c r="C91" s="11" t="n">
        <v>0.861693285053353</v>
      </c>
      <c r="D91" s="11" t="n">
        <v>1.02586474402183</v>
      </c>
      <c r="E91" s="11" t="n">
        <v>1.20178139650608</v>
      </c>
      <c r="F91" s="11" t="n">
        <v>1.38229028256588</v>
      </c>
      <c r="G91" s="11" t="n">
        <v>1.56245796862479</v>
      </c>
      <c r="H91" s="11" t="n">
        <v>1.73907692595282</v>
      </c>
      <c r="I91" s="11" t="n">
        <v>1.91017819540527</v>
      </c>
      <c r="J91" s="11" t="n">
        <v>2.07458712510095</v>
      </c>
      <c r="K91" s="11" t="n">
        <v>2.23158070454427</v>
      </c>
      <c r="L91" s="11" t="n">
        <v>2.38071597287935</v>
      </c>
      <c r="M91" s="11" t="n">
        <v>3.65441555152229</v>
      </c>
      <c r="N91" s="11" t="n">
        <v>3.71243532341347</v>
      </c>
      <c r="O91" s="11" t="n">
        <v>3.7663512403824</v>
      </c>
      <c r="P91" s="11" t="n">
        <v>3.81640190539254</v>
      </c>
      <c r="Q91" s="11" t="n">
        <v>3.86280904139696</v>
      </c>
      <c r="R91" s="11" t="n">
        <v>3.90577772588188</v>
      </c>
      <c r="S91" s="11" t="n">
        <v>3.94549474110503</v>
      </c>
      <c r="T91" s="11" t="n">
        <v>3.9821305859131</v>
      </c>
      <c r="U91" s="11" t="n">
        <v>4.01584186901665</v>
      </c>
      <c r="V91" s="11" t="n">
        <v>4.04677332573604</v>
      </c>
      <c r="W91" s="11" t="n">
        <v>4.07506113854508</v>
      </c>
      <c r="X91" s="11" t="n">
        <v>4.10083830052964</v>
      </c>
      <c r="Y91" s="11" t="n">
        <v>4.12423614879496</v>
      </c>
      <c r="Z91" s="11" t="n">
        <v>4.14538448557482</v>
      </c>
      <c r="AA91" s="11" t="n">
        <v>4.16441174239391</v>
      </c>
      <c r="AB91" s="11" t="n">
        <v>4.18144514539374</v>
      </c>
      <c r="AC91" s="11" t="n">
        <v>4.19661077602584</v>
      </c>
      <c r="AD91" s="11" t="n">
        <v>4.21003349485864</v>
      </c>
      <c r="AE91" s="11" t="n">
        <v>4.22183699187324</v>
      </c>
      <c r="AF91" s="11" t="n">
        <v>4.23214243925319</v>
      </c>
      <c r="AG91" s="11" t="n">
        <v>4.24106516282578</v>
      </c>
      <c r="AH91" s="11" t="n">
        <v>4.24871430931451</v>
      </c>
      <c r="AI91" s="11" t="n">
        <v>4.2551934827982</v>
      </c>
      <c r="AJ91" s="11" t="n">
        <v>4.26060129119793</v>
      </c>
      <c r="AK91" s="11" t="n">
        <v>4.2650308308815</v>
      </c>
    </row>
    <row r="92" customFormat="false" ht="15" hidden="false" customHeight="false" outlineLevel="0" collapsed="false">
      <c r="A92" s="10" t="n">
        <v>-33</v>
      </c>
      <c r="B92" s="8" t="n">
        <v>40427</v>
      </c>
      <c r="C92" s="11" t="n">
        <v>0.839278142842975</v>
      </c>
      <c r="D92" s="11" t="n">
        <v>1.00296921893884</v>
      </c>
      <c r="E92" s="11" t="n">
        <v>1.17892804121793</v>
      </c>
      <c r="F92" s="11" t="n">
        <v>1.35960265396287</v>
      </c>
      <c r="G92" s="11" t="n">
        <v>1.53989378300228</v>
      </c>
      <c r="H92" s="11" t="n">
        <v>1.71653080403018</v>
      </c>
      <c r="I92" s="11" t="n">
        <v>1.88752753202788</v>
      </c>
      <c r="J92" s="11" t="n">
        <v>2.05171478606327</v>
      </c>
      <c r="K92" s="11" t="n">
        <v>2.20838734147184</v>
      </c>
      <c r="L92" s="11" t="n">
        <v>2.35712571750188</v>
      </c>
      <c r="M92" s="11" t="n">
        <v>3.62541680241184</v>
      </c>
      <c r="N92" s="11" t="n">
        <v>3.68313867004492</v>
      </c>
      <c r="O92" s="11" t="n">
        <v>3.73676845000512</v>
      </c>
      <c r="P92" s="11" t="n">
        <v>3.78654262899809</v>
      </c>
      <c r="Q92" s="11" t="n">
        <v>3.8326808226405</v>
      </c>
      <c r="R92" s="11" t="n">
        <v>3.87538609894728</v>
      </c>
      <c r="S92" s="11" t="n">
        <v>3.91484351713678</v>
      </c>
      <c r="T92" s="11" t="n">
        <v>3.95122214266829</v>
      </c>
      <c r="U92" s="11" t="n">
        <v>3.98467739808758</v>
      </c>
      <c r="V92" s="11" t="n">
        <v>4.01535304593283</v>
      </c>
      <c r="W92" s="11" t="n">
        <v>4.04338450973364</v>
      </c>
      <c r="X92" s="11" t="n">
        <v>4.06890423195179</v>
      </c>
      <c r="Y92" s="11" t="n">
        <v>4.09204319179796</v>
      </c>
      <c r="Z92" s="11" t="n">
        <v>4.11293105343435</v>
      </c>
      <c r="AA92" s="11" t="n">
        <v>4.13169631716878</v>
      </c>
      <c r="AB92" s="11" t="n">
        <v>4.14846645968426</v>
      </c>
      <c r="AC92" s="11" t="n">
        <v>4.16336797545686</v>
      </c>
      <c r="AD92" s="11" t="n">
        <v>4.17652629014612</v>
      </c>
      <c r="AE92" s="11" t="n">
        <v>4.18806579504845</v>
      </c>
      <c r="AF92" s="11" t="n">
        <v>4.19810844753648</v>
      </c>
      <c r="AG92" s="11" t="n">
        <v>4.20677038780987</v>
      </c>
      <c r="AH92" s="11" t="n">
        <v>4.21416160350767</v>
      </c>
      <c r="AI92" s="11" t="n">
        <v>4.22038656368062</v>
      </c>
      <c r="AJ92" s="11" t="n">
        <v>4.22554476179766</v>
      </c>
      <c r="AK92" s="11" t="n">
        <v>4.2297301724948</v>
      </c>
    </row>
    <row r="93" customFormat="false" ht="15" hidden="false" customHeight="false" outlineLevel="0" collapsed="false">
      <c r="A93" s="10" t="n">
        <v>-32</v>
      </c>
      <c r="B93" s="8" t="n">
        <v>40428</v>
      </c>
      <c r="C93" s="11" t="n">
        <v>0.792842817597343</v>
      </c>
      <c r="D93" s="11" t="n">
        <v>0.949215327822687</v>
      </c>
      <c r="E93" s="11" t="n">
        <v>1.11993882419075</v>
      </c>
      <c r="F93" s="11" t="n">
        <v>1.29685775946841</v>
      </c>
      <c r="G93" s="11" t="n">
        <v>1.47444558118727</v>
      </c>
      <c r="H93" s="11" t="n">
        <v>1.64914317765108</v>
      </c>
      <c r="I93" s="11" t="n">
        <v>1.81877092665714</v>
      </c>
      <c r="J93" s="11" t="n">
        <v>1.98202713021862</v>
      </c>
      <c r="K93" s="11" t="n">
        <v>2.1381145103577</v>
      </c>
      <c r="L93" s="11" t="n">
        <v>2.28654855362055</v>
      </c>
      <c r="M93" s="11" t="n">
        <v>3.5632508549285</v>
      </c>
      <c r="N93" s="11" t="n">
        <v>3.62193313749821</v>
      </c>
      <c r="O93" s="11" t="n">
        <v>3.67649836836749</v>
      </c>
      <c r="P93" s="11" t="n">
        <v>3.72717403723983</v>
      </c>
      <c r="Q93" s="11" t="n">
        <v>3.77417181381254</v>
      </c>
      <c r="R93" s="11" t="n">
        <v>3.8176880679093</v>
      </c>
      <c r="S93" s="11" t="n">
        <v>3.85790287272266</v>
      </c>
      <c r="T93" s="11" t="n">
        <v>3.89498188511143</v>
      </c>
      <c r="U93" s="11" t="n">
        <v>3.92907846474418</v>
      </c>
      <c r="V93" s="11" t="n">
        <v>3.96033546554489</v>
      </c>
      <c r="W93" s="11" t="n">
        <v>3.98888839041667</v>
      </c>
      <c r="X93" s="11" t="n">
        <v>4.0148705486442</v>
      </c>
      <c r="Y93" s="11" t="n">
        <v>4.0384144215608</v>
      </c>
      <c r="Z93" s="11" t="n">
        <v>4.05965169012159</v>
      </c>
      <c r="AA93" s="11" t="n">
        <v>4.07871331161366</v>
      </c>
      <c r="AB93" s="11" t="n">
        <v>4.09572960511085</v>
      </c>
      <c r="AC93" s="11" t="n">
        <v>4.11083019915564</v>
      </c>
      <c r="AD93" s="11" t="n">
        <v>4.12414379570908</v>
      </c>
      <c r="AE93" s="11" t="n">
        <v>4.13579815605432</v>
      </c>
      <c r="AF93" s="11" t="n">
        <v>4.14591863256357</v>
      </c>
      <c r="AG93" s="11" t="n">
        <v>4.15462468929042</v>
      </c>
      <c r="AH93" s="11" t="n">
        <v>4.16202956243235</v>
      </c>
      <c r="AI93" s="11" t="n">
        <v>4.16824090233298</v>
      </c>
      <c r="AJ93" s="11" t="n">
        <v>4.1733613220629</v>
      </c>
      <c r="AK93" s="11" t="n">
        <v>4.17748782306587</v>
      </c>
    </row>
    <row r="94" customFormat="false" ht="15" hidden="false" customHeight="false" outlineLevel="0" collapsed="false">
      <c r="A94" s="10" t="n">
        <v>-31</v>
      </c>
      <c r="B94" s="8" t="n">
        <v>40429</v>
      </c>
      <c r="C94" s="11" t="n">
        <v>0.813943349448429</v>
      </c>
      <c r="D94" s="11" t="n">
        <v>0.978650892039919</v>
      </c>
      <c r="E94" s="11" t="n">
        <v>1.15670398150202</v>
      </c>
      <c r="F94" s="11" t="n">
        <v>1.33994523167371</v>
      </c>
      <c r="G94" s="11" t="n">
        <v>1.52298972004306</v>
      </c>
      <c r="H94" s="11" t="n">
        <v>1.7024278510827</v>
      </c>
      <c r="I94" s="11" t="n">
        <v>1.8762030519905</v>
      </c>
      <c r="J94" s="11" t="n">
        <v>2.04310170670858</v>
      </c>
      <c r="K94" s="11" t="n">
        <v>2.20238813855463</v>
      </c>
      <c r="L94" s="11" t="n">
        <v>2.35362000497792</v>
      </c>
      <c r="M94" s="11" t="n">
        <v>3.63825836605577</v>
      </c>
      <c r="N94" s="11" t="n">
        <v>3.69586551146369</v>
      </c>
      <c r="O94" s="11" t="n">
        <v>3.74920366803565</v>
      </c>
      <c r="P94" s="11" t="n">
        <v>3.79851954549777</v>
      </c>
      <c r="Q94" s="11" t="n">
        <v>3.84404389240803</v>
      </c>
      <c r="R94" s="11" t="n">
        <v>3.88599155767874</v>
      </c>
      <c r="S94" s="11" t="n">
        <v>3.9245598353898</v>
      </c>
      <c r="T94" s="11" t="n">
        <v>3.95993041511929</v>
      </c>
      <c r="U94" s="11" t="n">
        <v>3.99227167570864</v>
      </c>
      <c r="V94" s="11" t="n">
        <v>4.02174062130302</v>
      </c>
      <c r="W94" s="11" t="n">
        <v>4.04848610362199</v>
      </c>
      <c r="X94" s="11" t="n">
        <v>4.07265390337221</v>
      </c>
      <c r="Y94" s="11" t="n">
        <v>4.09438794989698</v>
      </c>
      <c r="Z94" s="11" t="n">
        <v>4.11382999535777</v>
      </c>
      <c r="AA94" s="11" t="n">
        <v>4.13111973611109</v>
      </c>
      <c r="AB94" s="11" t="n">
        <v>4.1463950569815</v>
      </c>
      <c r="AC94" s="11" t="n">
        <v>4.15979199350931</v>
      </c>
      <c r="AD94" s="11" t="n">
        <v>4.17144432981408</v>
      </c>
      <c r="AE94" s="11" t="n">
        <v>4.18148365762861</v>
      </c>
      <c r="AF94" s="11" t="n">
        <v>4.19003813432918</v>
      </c>
      <c r="AG94" s="11" t="n">
        <v>4.19722936703816</v>
      </c>
      <c r="AH94" s="11" t="n">
        <v>4.20317222032012</v>
      </c>
      <c r="AI94" s="11" t="n">
        <v>4.2079755125784</v>
      </c>
      <c r="AJ94" s="11" t="n">
        <v>4.21174261112962</v>
      </c>
      <c r="AK94" s="11" t="n">
        <v>4.21457090422317</v>
      </c>
    </row>
    <row r="95" customFormat="false" ht="15" hidden="false" customHeight="false" outlineLevel="0" collapsed="false">
      <c r="A95" s="10" t="n">
        <v>-30</v>
      </c>
      <c r="B95" s="8" t="n">
        <v>40430</v>
      </c>
      <c r="C95" s="11" t="n">
        <v>0.844677715490111</v>
      </c>
      <c r="D95" s="11" t="n">
        <v>1.01215649895668</v>
      </c>
      <c r="E95" s="11" t="n">
        <v>1.19271153982546</v>
      </c>
      <c r="F95" s="11" t="n">
        <v>1.37851411419916</v>
      </c>
      <c r="G95" s="11" t="n">
        <v>1.5642542132833</v>
      </c>
      <c r="H95" s="11" t="n">
        <v>1.7465067247772</v>
      </c>
      <c r="I95" s="11" t="n">
        <v>1.92315937174223</v>
      </c>
      <c r="J95" s="11" t="n">
        <v>2.0929247713964</v>
      </c>
      <c r="K95" s="11" t="n">
        <v>2.25499199291469</v>
      </c>
      <c r="L95" s="11" t="n">
        <v>2.40885374656883</v>
      </c>
      <c r="M95" s="11" t="n">
        <v>3.70630406721473</v>
      </c>
      <c r="N95" s="11" t="n">
        <v>3.7635306802554</v>
      </c>
      <c r="O95" s="11" t="n">
        <v>3.8163716450599</v>
      </c>
      <c r="P95" s="11" t="n">
        <v>3.86508922380991</v>
      </c>
      <c r="Q95" s="11" t="n">
        <v>3.90992926306422</v>
      </c>
      <c r="R95" s="11" t="n">
        <v>3.95112086692352</v>
      </c>
      <c r="S95" s="11" t="n">
        <v>3.98887417208537</v>
      </c>
      <c r="T95" s="11" t="n">
        <v>4.02338240371575</v>
      </c>
      <c r="U95" s="11" t="n">
        <v>4.05482436135353</v>
      </c>
      <c r="V95" s="11" t="n">
        <v>4.08336651527176</v>
      </c>
      <c r="W95" s="11" t="n">
        <v>4.1091663681277</v>
      </c>
      <c r="X95" s="11" t="n">
        <v>4.13237761258515</v>
      </c>
      <c r="Y95" s="11" t="n">
        <v>4.15315136864873</v>
      </c>
      <c r="Z95" s="11" t="n">
        <v>4.17163581902812</v>
      </c>
      <c r="AA95" s="11" t="n">
        <v>4.18797639339115</v>
      </c>
      <c r="AB95" s="11" t="n">
        <v>4.20231609695103</v>
      </c>
      <c r="AC95" s="11" t="n">
        <v>4.21479552767146</v>
      </c>
      <c r="AD95" s="11" t="n">
        <v>4.22555250325718</v>
      </c>
      <c r="AE95" s="11" t="n">
        <v>4.23472217179302</v>
      </c>
      <c r="AF95" s="11" t="n">
        <v>4.24243580465721</v>
      </c>
      <c r="AG95" s="11" t="n">
        <v>4.24881772922833</v>
      </c>
      <c r="AH95" s="11" t="n">
        <v>4.25398519021185</v>
      </c>
      <c r="AI95" s="11" t="n">
        <v>4.25804908177891</v>
      </c>
      <c r="AJ95" s="11" t="n">
        <v>4.26111457224556</v>
      </c>
      <c r="AK95" s="11" t="n">
        <v>4.26328056205829</v>
      </c>
    </row>
    <row r="96" customFormat="false" ht="15" hidden="false" customHeight="false" outlineLevel="0" collapsed="false">
      <c r="A96" s="10" t="n">
        <v>-29</v>
      </c>
      <c r="B96" s="8" t="n">
        <v>40431</v>
      </c>
      <c r="C96" s="11" t="n">
        <v>0.907126370704081</v>
      </c>
      <c r="D96" s="11" t="n">
        <v>1.08144146953479</v>
      </c>
      <c r="E96" s="11" t="n">
        <v>1.26589764123112</v>
      </c>
      <c r="F96" s="11" t="n">
        <v>1.45391878230025</v>
      </c>
      <c r="G96" s="11" t="n">
        <v>1.64084231842762</v>
      </c>
      <c r="H96" s="11" t="n">
        <v>1.82361346475184</v>
      </c>
      <c r="I96" s="11" t="n">
        <v>2.00035192375716</v>
      </c>
      <c r="J96" s="11" t="n">
        <v>2.16992227016291</v>
      </c>
      <c r="K96" s="11" t="n">
        <v>2.33162136470675</v>
      </c>
      <c r="L96" s="11" t="n">
        <v>2.48502207638296</v>
      </c>
      <c r="M96" s="11" t="n">
        <v>3.78056952607619</v>
      </c>
      <c r="N96" s="11" t="n">
        <v>3.83809879236431</v>
      </c>
      <c r="O96" s="11" t="n">
        <v>3.89127933650757</v>
      </c>
      <c r="P96" s="11" t="n">
        <v>3.94036731566722</v>
      </c>
      <c r="Q96" s="11" t="n">
        <v>3.98560286731148</v>
      </c>
      <c r="R96" s="11" t="n">
        <v>4.02720994037603</v>
      </c>
      <c r="S96" s="11" t="n">
        <v>4.06539450470632</v>
      </c>
      <c r="T96" s="11" t="n">
        <v>4.10034657591556</v>
      </c>
      <c r="U96" s="11" t="n">
        <v>4.13224256086316</v>
      </c>
      <c r="V96" s="11" t="n">
        <v>4.16124724125209</v>
      </c>
      <c r="W96" s="11" t="n">
        <v>4.18751708577044</v>
      </c>
      <c r="X96" s="11" t="n">
        <v>4.21120528481078</v>
      </c>
      <c r="Y96" s="11" t="n">
        <v>4.23246277742285</v>
      </c>
      <c r="Z96" s="11" t="n">
        <v>4.25143765520507</v>
      </c>
      <c r="AA96" s="11" t="n">
        <v>4.26827529499926</v>
      </c>
      <c r="AB96" s="11" t="n">
        <v>4.28311867999117</v>
      </c>
      <c r="AC96" s="11" t="n">
        <v>4.29610831616666</v>
      </c>
      <c r="AD96" s="11" t="n">
        <v>4.30738166603955</v>
      </c>
      <c r="AE96" s="11" t="n">
        <v>4.3170732414292</v>
      </c>
      <c r="AF96" s="11" t="n">
        <v>4.32531338272748</v>
      </c>
      <c r="AG96" s="11" t="n">
        <v>4.3322252495543</v>
      </c>
      <c r="AH96" s="11" t="n">
        <v>4.33792474761181</v>
      </c>
      <c r="AI96" s="11" t="n">
        <v>4.34252127956071</v>
      </c>
      <c r="AJ96" s="11" t="n">
        <v>4.34611838318259</v>
      </c>
      <c r="AK96" s="11" t="n">
        <v>4.34881319450926</v>
      </c>
    </row>
    <row r="97" customFormat="false" ht="15" hidden="false" customHeight="false" outlineLevel="0" collapsed="false">
      <c r="A97" s="10" t="n">
        <v>-28</v>
      </c>
      <c r="B97" s="8" t="n">
        <v>40434</v>
      </c>
      <c r="C97" s="11" t="n">
        <v>0.895755343482489</v>
      </c>
      <c r="D97" s="11" t="n">
        <v>1.07316121493572</v>
      </c>
      <c r="E97" s="11" t="n">
        <v>1.260406564067</v>
      </c>
      <c r="F97" s="11" t="n">
        <v>1.45048955443939</v>
      </c>
      <c r="G97" s="11" t="n">
        <v>1.63870880110587</v>
      </c>
      <c r="H97" s="11" t="n">
        <v>1.82210428575485</v>
      </c>
      <c r="I97" s="11" t="n">
        <v>1.99893020652716</v>
      </c>
      <c r="J97" s="11" t="n">
        <v>2.16818615334587</v>
      </c>
      <c r="K97" s="11" t="n">
        <v>2.32929379937328</v>
      </c>
      <c r="L97" s="11" t="n">
        <v>2.48193497591186</v>
      </c>
      <c r="M97" s="11" t="n">
        <v>3.77428621300124</v>
      </c>
      <c r="N97" s="11" t="n">
        <v>3.83238184489924</v>
      </c>
      <c r="O97" s="11" t="n">
        <v>3.88619166268508</v>
      </c>
      <c r="P97" s="11" t="n">
        <v>3.93595659051209</v>
      </c>
      <c r="Q97" s="11" t="n">
        <v>3.98190163991748</v>
      </c>
      <c r="R97" s="11" t="n">
        <v>4.02423644949897</v>
      </c>
      <c r="S97" s="11" t="n">
        <v>4.06315454423268</v>
      </c>
      <c r="T97" s="11" t="n">
        <v>4.09883527552045</v>
      </c>
      <c r="U97" s="11" t="n">
        <v>4.13144590505597</v>
      </c>
      <c r="V97" s="11" t="n">
        <v>4.16114337757505</v>
      </c>
      <c r="W97" s="11" t="n">
        <v>4.18807766792172</v>
      </c>
      <c r="X97" s="11" t="n">
        <v>4.21239707927467</v>
      </c>
      <c r="Y97" s="11" t="n">
        <v>4.23424911104062</v>
      </c>
      <c r="Z97" s="11" t="n">
        <v>4.25377958550733</v>
      </c>
      <c r="AA97" s="11" t="n">
        <v>4.27113261442142</v>
      </c>
      <c r="AB97" s="11" t="n">
        <v>4.2864507962819</v>
      </c>
      <c r="AC97" s="11" t="n">
        <v>4.29987498321709</v>
      </c>
      <c r="AD97" s="11" t="n">
        <v>4.31154353763645</v>
      </c>
      <c r="AE97" s="11" t="n">
        <v>4.32159233890744</v>
      </c>
      <c r="AF97" s="11" t="n">
        <v>4.330153423735</v>
      </c>
      <c r="AG97" s="11" t="n">
        <v>4.33735179116287</v>
      </c>
      <c r="AH97" s="11" t="n">
        <v>4.34330528946969</v>
      </c>
      <c r="AI97" s="11" t="n">
        <v>4.34812535636886</v>
      </c>
      <c r="AJ97" s="11" t="n">
        <v>4.35191764595881</v>
      </c>
      <c r="AK97" s="11" t="n">
        <v>4.35478143527912</v>
      </c>
    </row>
    <row r="98" customFormat="false" ht="15" hidden="false" customHeight="false" outlineLevel="0" collapsed="false">
      <c r="A98" s="10" t="n">
        <v>-27</v>
      </c>
      <c r="B98" s="8" t="n">
        <v>40435</v>
      </c>
      <c r="C98" s="11" t="n">
        <v>0.836027752918794</v>
      </c>
      <c r="D98" s="11" t="n">
        <v>1.00659636068999</v>
      </c>
      <c r="E98" s="11" t="n">
        <v>1.18986809601682</v>
      </c>
      <c r="F98" s="11" t="n">
        <v>1.37781139998015</v>
      </c>
      <c r="G98" s="11" t="n">
        <v>1.56510969588702</v>
      </c>
      <c r="H98" s="11" t="n">
        <v>1.74841020419588</v>
      </c>
      <c r="I98" s="11" t="n">
        <v>1.9257052037492</v>
      </c>
      <c r="J98" s="11" t="n">
        <v>2.09581326829169</v>
      </c>
      <c r="K98" s="11" t="n">
        <v>2.258028118846</v>
      </c>
      <c r="L98" s="11" t="n">
        <v>2.41194139676174</v>
      </c>
      <c r="M98" s="11" t="n">
        <v>3.724164901903</v>
      </c>
      <c r="N98" s="11" t="n">
        <v>3.78392736641772</v>
      </c>
      <c r="O98" s="11" t="n">
        <v>3.83941297336775</v>
      </c>
      <c r="P98" s="11" t="n">
        <v>3.89085613047236</v>
      </c>
      <c r="Q98" s="11" t="n">
        <v>3.93847460147657</v>
      </c>
      <c r="R98" s="11" t="n">
        <v>3.98247048447344</v>
      </c>
      <c r="S98" s="11" t="n">
        <v>4.02303004599653</v>
      </c>
      <c r="T98" s="11" t="n">
        <v>4.06032570871586</v>
      </c>
      <c r="U98" s="11" t="n">
        <v>4.09451808693693</v>
      </c>
      <c r="V98" s="11" t="n">
        <v>4.12575772885561</v>
      </c>
      <c r="W98" s="11" t="n">
        <v>4.1541887789802</v>
      </c>
      <c r="X98" s="11" t="n">
        <v>4.17995493506016</v>
      </c>
      <c r="Y98" s="11" t="n">
        <v>4.20320030226307</v>
      </c>
      <c r="Z98" s="11" t="n">
        <v>4.224068337209</v>
      </c>
      <c r="AA98" s="11" t="n">
        <v>4.24270168232365</v>
      </c>
      <c r="AB98" s="11" t="n">
        <v>4.25924225425465</v>
      </c>
      <c r="AC98" s="11" t="n">
        <v>4.27383094319217</v>
      </c>
      <c r="AD98" s="11" t="n">
        <v>4.28660685659242</v>
      </c>
      <c r="AE98" s="11" t="n">
        <v>4.29770726265302</v>
      </c>
      <c r="AF98" s="11" t="n">
        <v>4.3072660735064</v>
      </c>
      <c r="AG98" s="11" t="n">
        <v>4.31541045375432</v>
      </c>
      <c r="AH98" s="11" t="n">
        <v>4.32226065408283</v>
      </c>
      <c r="AI98" s="11" t="n">
        <v>4.32793072687723</v>
      </c>
      <c r="AJ98" s="11" t="n">
        <v>4.33252912933499</v>
      </c>
      <c r="AK98" s="11" t="n">
        <v>4.33615804865672</v>
      </c>
    </row>
    <row r="99" customFormat="false" ht="15" hidden="false" customHeight="false" outlineLevel="0" collapsed="false">
      <c r="A99" s="10" t="n">
        <v>-26</v>
      </c>
      <c r="B99" s="8" t="n">
        <v>40436</v>
      </c>
      <c r="C99" s="11" t="n">
        <v>0.847650200081661</v>
      </c>
      <c r="D99" s="11" t="n">
        <v>1.0178523816385</v>
      </c>
      <c r="E99" s="11" t="n">
        <v>1.20092752922981</v>
      </c>
      <c r="F99" s="11" t="n">
        <v>1.38910064208558</v>
      </c>
      <c r="G99" s="11" t="n">
        <v>1.57708872715471</v>
      </c>
      <c r="H99" s="11" t="n">
        <v>1.7614751840682</v>
      </c>
      <c r="I99" s="11" t="n">
        <v>1.94015306743719</v>
      </c>
      <c r="J99" s="11" t="n">
        <v>2.11183201417901</v>
      </c>
      <c r="K99" s="11" t="n">
        <v>2.27569616553055</v>
      </c>
      <c r="L99" s="11" t="n">
        <v>2.43123759753951</v>
      </c>
      <c r="M99" s="11" t="n">
        <v>3.74298528191672</v>
      </c>
      <c r="N99" s="11" t="n">
        <v>3.80101975169729</v>
      </c>
      <c r="O99" s="11" t="n">
        <v>3.85464893494162</v>
      </c>
      <c r="P99" s="11" t="n">
        <v>3.90413696492688</v>
      </c>
      <c r="Q99" s="11" t="n">
        <v>3.94973139910894</v>
      </c>
      <c r="R99" s="11" t="n">
        <v>3.99166290659088</v>
      </c>
      <c r="S99" s="11" t="n">
        <v>4.03014338765979</v>
      </c>
      <c r="T99" s="11" t="n">
        <v>4.06536811706308</v>
      </c>
      <c r="U99" s="11" t="n">
        <v>4.09751818837423</v>
      </c>
      <c r="V99" s="11" t="n">
        <v>4.12676258597108</v>
      </c>
      <c r="W99" s="11" t="n">
        <v>4.15326170739943</v>
      </c>
      <c r="X99" s="11" t="n">
        <v>4.17717260902868</v>
      </c>
      <c r="Y99" s="11" t="n">
        <v>4.19864996346946</v>
      </c>
      <c r="Z99" s="11" t="n">
        <v>4.21784532866649</v>
      </c>
      <c r="AA99" s="11" t="n">
        <v>4.2349072862894</v>
      </c>
      <c r="AB99" s="11" t="n">
        <v>4.24998179257964</v>
      </c>
      <c r="AC99" s="11" t="n">
        <v>4.26321206202953</v>
      </c>
      <c r="AD99" s="11" t="n">
        <v>4.27473792783432</v>
      </c>
      <c r="AE99" s="11" t="n">
        <v>4.28469595174661</v>
      </c>
      <c r="AF99" s="11" t="n">
        <v>4.29321817674458</v>
      </c>
      <c r="AG99" s="11" t="n">
        <v>4.30042914568716</v>
      </c>
      <c r="AH99" s="11" t="n">
        <v>4.30644589260255</v>
      </c>
      <c r="AI99" s="11" t="n">
        <v>4.31137872086096</v>
      </c>
      <c r="AJ99" s="11" t="n">
        <v>4.31533186171996</v>
      </c>
      <c r="AK99" s="11" t="n">
        <v>4.31840292298349</v>
      </c>
    </row>
    <row r="100" customFormat="false" ht="15" hidden="false" customHeight="false" outlineLevel="0" collapsed="false">
      <c r="A100" s="10" t="n">
        <v>-25</v>
      </c>
      <c r="B100" s="8" t="n">
        <v>40437</v>
      </c>
      <c r="C100" s="11" t="n">
        <v>0.884889208833383</v>
      </c>
      <c r="D100" s="11" t="n">
        <v>1.05815002703376</v>
      </c>
      <c r="E100" s="11" t="n">
        <v>1.24356233928183</v>
      </c>
      <c r="F100" s="11" t="n">
        <v>1.43401448262589</v>
      </c>
      <c r="G100" s="11" t="n">
        <v>1.62435369384399</v>
      </c>
      <c r="H100" s="11" t="n">
        <v>1.8111193937413</v>
      </c>
      <c r="I100" s="11" t="n">
        <v>1.99213240619379</v>
      </c>
      <c r="J100" s="11" t="n">
        <v>2.16603828482762</v>
      </c>
      <c r="K100" s="11" t="n">
        <v>2.33197138919637</v>
      </c>
      <c r="L100" s="11" t="n">
        <v>2.48939118534245</v>
      </c>
      <c r="M100" s="11" t="n">
        <v>3.80893191758629</v>
      </c>
      <c r="N100" s="11" t="n">
        <v>3.86686229144166</v>
      </c>
      <c r="O100" s="11" t="n">
        <v>3.92037904453149</v>
      </c>
      <c r="P100" s="11" t="n">
        <v>3.96975951892495</v>
      </c>
      <c r="Q100" s="11" t="n">
        <v>4.01526316379375</v>
      </c>
      <c r="R100" s="11" t="n">
        <v>4.05713076395228</v>
      </c>
      <c r="S100" s="11" t="n">
        <v>4.09558188733018</v>
      </c>
      <c r="T100" s="11" t="n">
        <v>4.13081726420398</v>
      </c>
      <c r="U100" s="11" t="n">
        <v>4.16302155682363</v>
      </c>
      <c r="V100" s="11" t="n">
        <v>4.19236570077341</v>
      </c>
      <c r="W100" s="11" t="n">
        <v>4.2190106015478</v>
      </c>
      <c r="X100" s="11" t="n">
        <v>4.24311241742023</v>
      </c>
      <c r="Y100" s="11" t="n">
        <v>4.26482377537243</v>
      </c>
      <c r="Z100" s="11" t="n">
        <v>4.28429347390902</v>
      </c>
      <c r="AA100" s="11" t="n">
        <v>4.30166678221073</v>
      </c>
      <c r="AB100" s="11" t="n">
        <v>4.31708586209883</v>
      </c>
      <c r="AC100" s="11" t="n">
        <v>4.33068984554247</v>
      </c>
      <c r="AD100" s="11" t="n">
        <v>4.34261454148137</v>
      </c>
      <c r="AE100" s="11" t="n">
        <v>4.35299261666785</v>
      </c>
      <c r="AF100" s="11" t="n">
        <v>4.3619523731703</v>
      </c>
      <c r="AG100" s="11" t="n">
        <v>4.36961487489829</v>
      </c>
      <c r="AH100" s="11" t="n">
        <v>4.37609395028703</v>
      </c>
      <c r="AI100" s="11" t="n">
        <v>4.38149694236132</v>
      </c>
      <c r="AJ100" s="11" t="n">
        <v>4.38592534189813</v>
      </c>
      <c r="AK100" s="11" t="n">
        <v>4.38947422792829</v>
      </c>
    </row>
    <row r="101" customFormat="false" ht="15" hidden="false" customHeight="false" outlineLevel="0" collapsed="false">
      <c r="A101" s="10" t="n">
        <v>-24</v>
      </c>
      <c r="B101" s="8" t="n">
        <v>40438</v>
      </c>
      <c r="C101" s="11" t="n">
        <v>0.875903831927792</v>
      </c>
      <c r="D101" s="11" t="n">
        <v>1.04880991656524</v>
      </c>
      <c r="E101" s="11" t="n">
        <v>1.23418459515089</v>
      </c>
      <c r="F101" s="11" t="n">
        <v>1.4245941002891</v>
      </c>
      <c r="G101" s="11" t="n">
        <v>1.61476139723462</v>
      </c>
      <c r="H101" s="11" t="n">
        <v>1.80120036234513</v>
      </c>
      <c r="I101" s="11" t="n">
        <v>1.98176076456546</v>
      </c>
      <c r="J101" s="11" t="n">
        <v>2.1551373761151</v>
      </c>
      <c r="K101" s="11" t="n">
        <v>2.32051531617375</v>
      </c>
      <c r="L101" s="11" t="n">
        <v>2.47739660085189</v>
      </c>
      <c r="M101" s="11" t="n">
        <v>3.79553700158297</v>
      </c>
      <c r="N101" s="11" t="n">
        <v>3.85365536429045</v>
      </c>
      <c r="O101" s="11" t="n">
        <v>3.90738268300883</v>
      </c>
      <c r="P101" s="11" t="n">
        <v>3.95699472882901</v>
      </c>
      <c r="Q101" s="11" t="n">
        <v>4.00274971117107</v>
      </c>
      <c r="R101" s="11" t="n">
        <v>4.0448872317973</v>
      </c>
      <c r="S101" s="11" t="n">
        <v>4.0836255992363</v>
      </c>
      <c r="T101" s="11" t="n">
        <v>4.11916423721796</v>
      </c>
      <c r="U101" s="11" t="n">
        <v>4.15168646139956</v>
      </c>
      <c r="V101" s="11" t="n">
        <v>4.18136182968487</v>
      </c>
      <c r="W101" s="11" t="n">
        <v>4.20834983781713</v>
      </c>
      <c r="X101" s="11" t="n">
        <v>4.2328050542185</v>
      </c>
      <c r="Y101" s="11" t="n">
        <v>4.25487832750517</v>
      </c>
      <c r="Z101" s="11" t="n">
        <v>4.27471662314735</v>
      </c>
      <c r="AA101" s="11" t="n">
        <v>4.29246336175159</v>
      </c>
      <c r="AB101" s="11" t="n">
        <v>4.3082588435223</v>
      </c>
      <c r="AC101" s="11" t="n">
        <v>4.32224035929296</v>
      </c>
      <c r="AD101" s="11" t="n">
        <v>4.33454198621678</v>
      </c>
      <c r="AE101" s="11" t="n">
        <v>4.34529477833789</v>
      </c>
      <c r="AF101" s="11" t="n">
        <v>4.35462547415462</v>
      </c>
      <c r="AG101" s="11" t="n">
        <v>4.36265362082187</v>
      </c>
      <c r="AH101" s="11" t="n">
        <v>4.36949160279815</v>
      </c>
      <c r="AI101" s="11" t="n">
        <v>4.37524538494081</v>
      </c>
      <c r="AJ101" s="11" t="n">
        <v>4.38001513593961</v>
      </c>
      <c r="AK101" s="11" t="n">
        <v>4.38389463095889</v>
      </c>
    </row>
    <row r="102" customFormat="false" ht="15" hidden="false" customHeight="false" outlineLevel="0" collapsed="false">
      <c r="A102" s="10" t="n">
        <v>-23</v>
      </c>
      <c r="B102" s="8" t="n">
        <v>40441</v>
      </c>
      <c r="C102" s="11" t="n">
        <v>0.898614542964491</v>
      </c>
      <c r="D102" s="11" t="n">
        <v>1.07330360616639</v>
      </c>
      <c r="E102" s="11" t="n">
        <v>1.25958216992473</v>
      </c>
      <c r="F102" s="11" t="n">
        <v>1.45047744446706</v>
      </c>
      <c r="G102" s="11" t="n">
        <v>1.64094726079102</v>
      </c>
      <c r="H102" s="11" t="n">
        <v>1.82761763705839</v>
      </c>
      <c r="I102" s="11" t="n">
        <v>2.00838513173375</v>
      </c>
      <c r="J102" s="11" t="n">
        <v>2.18196222164146</v>
      </c>
      <c r="K102" s="11" t="n">
        <v>2.34753861595415</v>
      </c>
      <c r="L102" s="11" t="n">
        <v>2.50461365650728</v>
      </c>
      <c r="M102" s="11" t="n">
        <v>3.82318383101095</v>
      </c>
      <c r="N102" s="11" t="n">
        <v>3.88114655859109</v>
      </c>
      <c r="O102" s="11" t="n">
        <v>3.93470196174288</v>
      </c>
      <c r="P102" s="11" t="n">
        <v>3.98412936410701</v>
      </c>
      <c r="Q102" s="11" t="n">
        <v>4.02969057252733</v>
      </c>
      <c r="R102" s="11" t="n">
        <v>4.07162855040784</v>
      </c>
      <c r="S102" s="11" t="n">
        <v>4.11016444654864</v>
      </c>
      <c r="T102" s="11" t="n">
        <v>4.14550004803122</v>
      </c>
      <c r="U102" s="11" t="n">
        <v>4.17782062710754</v>
      </c>
      <c r="V102" s="11" t="n">
        <v>4.20729735197507</v>
      </c>
      <c r="W102" s="11" t="n">
        <v>4.23409107269622</v>
      </c>
      <c r="X102" s="11" t="n">
        <v>4.25835753309698</v>
      </c>
      <c r="Y102" s="11" t="n">
        <v>4.28024860146963</v>
      </c>
      <c r="Z102" s="11" t="n">
        <v>4.29991213801244</v>
      </c>
      <c r="AA102" s="11" t="n">
        <v>4.31749235316718</v>
      </c>
      <c r="AB102" s="11" t="n">
        <v>4.33313024543716</v>
      </c>
      <c r="AC102" s="11" t="n">
        <v>4.34696374757314</v>
      </c>
      <c r="AD102" s="11" t="n">
        <v>4.35912758652687</v>
      </c>
      <c r="AE102" s="11" t="n">
        <v>4.36975348493436</v>
      </c>
      <c r="AF102" s="11" t="n">
        <v>4.37896880622335</v>
      </c>
      <c r="AG102" s="11" t="n">
        <v>4.38689360119915</v>
      </c>
      <c r="AH102" s="11" t="n">
        <v>4.39364064156716</v>
      </c>
      <c r="AI102" s="11" t="n">
        <v>4.39931617526843</v>
      </c>
      <c r="AJ102" s="11" t="n">
        <v>4.40402055846982</v>
      </c>
      <c r="AK102" s="11" t="n">
        <v>4.40784761998953</v>
      </c>
    </row>
    <row r="103" customFormat="false" ht="15" hidden="false" customHeight="false" outlineLevel="0" collapsed="false">
      <c r="A103" s="10" t="n">
        <v>-22</v>
      </c>
      <c r="B103" s="8" t="n">
        <v>40442</v>
      </c>
      <c r="C103" s="11" t="n">
        <v>0.871825600192689</v>
      </c>
      <c r="D103" s="11" t="n">
        <v>1.04403339876541</v>
      </c>
      <c r="E103" s="11" t="n">
        <v>1.2285810518704</v>
      </c>
      <c r="F103" s="11" t="n">
        <v>1.41817986228315</v>
      </c>
      <c r="G103" s="11" t="n">
        <v>1.60762515277917</v>
      </c>
      <c r="H103" s="11" t="n">
        <v>1.79345884852649</v>
      </c>
      <c r="I103" s="11" t="n">
        <v>1.97353431149956</v>
      </c>
      <c r="J103" s="11" t="n">
        <v>2.14654337729651</v>
      </c>
      <c r="K103" s="11" t="n">
        <v>2.31166406570159</v>
      </c>
      <c r="L103" s="11" t="n">
        <v>2.46838353169268</v>
      </c>
      <c r="M103" s="11" t="n">
        <v>3.78638508539446</v>
      </c>
      <c r="N103" s="11" t="n">
        <v>3.84446063057209</v>
      </c>
      <c r="O103" s="11" t="n">
        <v>3.89815507014006</v>
      </c>
      <c r="P103" s="11" t="n">
        <v>3.94774939341539</v>
      </c>
      <c r="Q103" s="11" t="n">
        <v>3.99350691226554</v>
      </c>
      <c r="R103" s="11" t="n">
        <v>4.03567172538161</v>
      </c>
      <c r="S103" s="11" t="n">
        <v>4.07446554506851</v>
      </c>
      <c r="T103" s="11" t="n">
        <v>4.11009021232375</v>
      </c>
      <c r="U103" s="11" t="n">
        <v>4.14273061869855</v>
      </c>
      <c r="V103" s="11" t="n">
        <v>4.17255718160815</v>
      </c>
      <c r="W103" s="11" t="n">
        <v>4.19972972482218</v>
      </c>
      <c r="X103" s="11" t="n">
        <v>4.22440276965204</v>
      </c>
      <c r="Y103" s="11" t="n">
        <v>4.2467267626624</v>
      </c>
      <c r="Z103" s="11" t="n">
        <v>4.26684792041818</v>
      </c>
      <c r="AA103" s="11" t="n">
        <v>4.2849086067826</v>
      </c>
      <c r="AB103" s="11" t="n">
        <v>4.30104779545307</v>
      </c>
      <c r="AC103" s="11" t="n">
        <v>4.31540124191599</v>
      </c>
      <c r="AD103" s="11" t="n">
        <v>4.32810137658688</v>
      </c>
      <c r="AE103" s="11" t="n">
        <v>4.3392775236035</v>
      </c>
      <c r="AF103" s="11" t="n">
        <v>4.34905455629053</v>
      </c>
      <c r="AG103" s="11" t="n">
        <v>4.35754999300078</v>
      </c>
      <c r="AH103" s="11" t="n">
        <v>4.36487405355867</v>
      </c>
      <c r="AI103" s="11" t="n">
        <v>4.37113041683123</v>
      </c>
      <c r="AJ103" s="11" t="n">
        <v>4.37641685364088</v>
      </c>
      <c r="AK103" s="11" t="n">
        <v>4.38082459168024</v>
      </c>
    </row>
    <row r="104" customFormat="false" ht="15" hidden="false" customHeight="false" outlineLevel="0" collapsed="false">
      <c r="A104" s="10" t="n">
        <v>-21</v>
      </c>
      <c r="B104" s="8" t="n">
        <v>40443</v>
      </c>
      <c r="C104" s="11" t="n">
        <v>0.796495896234044</v>
      </c>
      <c r="D104" s="11" t="n">
        <v>0.95376973175863</v>
      </c>
      <c r="E104" s="11" t="n">
        <v>1.12644155038689</v>
      </c>
      <c r="F104" s="11" t="n">
        <v>1.30647552881884</v>
      </c>
      <c r="G104" s="11" t="n">
        <v>1.48814621326736</v>
      </c>
      <c r="H104" s="11" t="n">
        <v>1.6676217315496</v>
      </c>
      <c r="I104" s="11" t="n">
        <v>1.84247526703484</v>
      </c>
      <c r="J104" s="11" t="n">
        <v>2.01118974012173</v>
      </c>
      <c r="K104" s="11" t="n">
        <v>2.17278470803237</v>
      </c>
      <c r="L104" s="11" t="n">
        <v>2.3266216977813</v>
      </c>
      <c r="M104" s="11" t="n">
        <v>3.63190725622343</v>
      </c>
      <c r="N104" s="11" t="n">
        <v>3.68967001112264</v>
      </c>
      <c r="O104" s="11" t="n">
        <v>3.74310917275931</v>
      </c>
      <c r="P104" s="11" t="n">
        <v>3.7925081594013</v>
      </c>
      <c r="Q104" s="11" t="n">
        <v>3.83813305603772</v>
      </c>
      <c r="R104" s="11" t="n">
        <v>3.88023023645171</v>
      </c>
      <c r="S104" s="11" t="n">
        <v>3.9190222478015</v>
      </c>
      <c r="T104" s="11" t="n">
        <v>3.95471041405085</v>
      </c>
      <c r="U104" s="11" t="n">
        <v>3.98747795662692</v>
      </c>
      <c r="V104" s="11" t="n">
        <v>4.017492635112</v>
      </c>
      <c r="W104" s="11" t="n">
        <v>4.0449107448211</v>
      </c>
      <c r="X104" s="11" t="n">
        <v>4.06988244137632</v>
      </c>
      <c r="Y104" s="11" t="n">
        <v>4.09255317610497</v>
      </c>
      <c r="Z104" s="11" t="n">
        <v>4.11306389189566</v>
      </c>
      <c r="AA104" s="11" t="n">
        <v>4.13155149669353</v>
      </c>
      <c r="AB104" s="11" t="n">
        <v>4.14814935202784</v>
      </c>
      <c r="AC104" s="11" t="n">
        <v>4.16298758735703</v>
      </c>
      <c r="AD104" s="11" t="n">
        <v>4.17619325461618</v>
      </c>
      <c r="AE104" s="11" t="n">
        <v>4.18789057724572</v>
      </c>
      <c r="AF104" s="11" t="n">
        <v>4.19819960664062</v>
      </c>
      <c r="AG104" s="11" t="n">
        <v>4.20723339110655</v>
      </c>
      <c r="AH104" s="11" t="n">
        <v>4.21509802650255</v>
      </c>
      <c r="AI104" s="11" t="n">
        <v>4.2218933780089</v>
      </c>
      <c r="AJ104" s="11" t="n">
        <v>4.22771368180927</v>
      </c>
      <c r="AK104" s="11" t="n">
        <v>4.2326469252031</v>
      </c>
    </row>
    <row r="105" customFormat="false" ht="15" hidden="false" customHeight="false" outlineLevel="0" collapsed="false">
      <c r="A105" s="10" t="n">
        <v>-20</v>
      </c>
      <c r="B105" s="8" t="n">
        <v>40444</v>
      </c>
      <c r="C105" s="11" t="n">
        <v>0.778491069866043</v>
      </c>
      <c r="D105" s="11" t="n">
        <v>0.932022346619164</v>
      </c>
      <c r="E105" s="11" t="n">
        <v>1.10174427131911</v>
      </c>
      <c r="F105" s="11" t="n">
        <v>1.27965548676504</v>
      </c>
      <c r="G105" s="11" t="n">
        <v>1.46000233275488</v>
      </c>
      <c r="H105" s="11" t="n">
        <v>1.6388764624244</v>
      </c>
      <c r="I105" s="11" t="n">
        <v>1.81373723257223</v>
      </c>
      <c r="J105" s="11" t="n">
        <v>1.98293785681476</v>
      </c>
      <c r="K105" s="11" t="n">
        <v>2.14536512765168</v>
      </c>
      <c r="L105" s="11" t="n">
        <v>2.30025266585827</v>
      </c>
      <c r="M105" s="11" t="n">
        <v>3.60934935200169</v>
      </c>
      <c r="N105" s="11" t="n">
        <v>3.66626805240395</v>
      </c>
      <c r="O105" s="11" t="n">
        <v>3.71878896022747</v>
      </c>
      <c r="P105" s="11" t="n">
        <v>3.76721853966293</v>
      </c>
      <c r="Q105" s="11" t="n">
        <v>3.81184543788585</v>
      </c>
      <c r="R105" s="11" t="n">
        <v>3.85293689731506</v>
      </c>
      <c r="S105" s="11" t="n">
        <v>3.89073322150321</v>
      </c>
      <c r="T105" s="11" t="n">
        <v>3.92545063285512</v>
      </c>
      <c r="U105" s="11" t="n">
        <v>3.95728481354024</v>
      </c>
      <c r="V105" s="11" t="n">
        <v>3.98641388723821</v>
      </c>
      <c r="W105" s="11" t="n">
        <v>4.01300242840079</v>
      </c>
      <c r="X105" s="11" t="n">
        <v>4.03720646109078</v>
      </c>
      <c r="Y105" s="11" t="n">
        <v>4.05917515760735</v>
      </c>
      <c r="Z105" s="11" t="n">
        <v>4.07905149374215</v>
      </c>
      <c r="AA105" s="11" t="n">
        <v>4.09697297447664</v>
      </c>
      <c r="AB105" s="11" t="n">
        <v>4.11307229941224</v>
      </c>
      <c r="AC105" s="11" t="n">
        <v>4.12747788323722</v>
      </c>
      <c r="AD105" s="11" t="n">
        <v>4.14031424937643</v>
      </c>
      <c r="AE105" s="11" t="n">
        <v>4.15170239917428</v>
      </c>
      <c r="AF105" s="11" t="n">
        <v>4.16175863552197</v>
      </c>
      <c r="AG105" s="11" t="n">
        <v>4.1705920047655</v>
      </c>
      <c r="AH105" s="11" t="n">
        <v>4.17830442867155</v>
      </c>
      <c r="AI105" s="11" t="n">
        <v>4.18499144443303</v>
      </c>
      <c r="AJ105" s="11" t="n">
        <v>4.1907428233085</v>
      </c>
      <c r="AK105" s="11" t="n">
        <v>4.19564203386665</v>
      </c>
    </row>
    <row r="106" customFormat="false" ht="15" hidden="false" customHeight="false" outlineLevel="0" collapsed="false">
      <c r="A106" s="10" t="n">
        <v>-19</v>
      </c>
      <c r="B106" s="8" t="n">
        <v>40445</v>
      </c>
      <c r="C106" s="11" t="n">
        <v>0.840532100213236</v>
      </c>
      <c r="D106" s="11" t="n">
        <v>0.99901550777267</v>
      </c>
      <c r="E106" s="11" t="n">
        <v>1.17229984365746</v>
      </c>
      <c r="F106" s="11" t="n">
        <v>1.35312600558281</v>
      </c>
      <c r="G106" s="11" t="n">
        <v>1.53603968482804</v>
      </c>
      <c r="H106" s="11" t="n">
        <v>1.7172584200847</v>
      </c>
      <c r="I106" s="11" t="n">
        <v>1.89428572706751</v>
      </c>
      <c r="J106" s="11" t="n">
        <v>2.06548468605462</v>
      </c>
      <c r="K106" s="11" t="n">
        <v>2.22973071971779</v>
      </c>
      <c r="L106" s="11" t="n">
        <v>2.3862380992498</v>
      </c>
      <c r="M106" s="11" t="n">
        <v>3.69508039435264</v>
      </c>
      <c r="N106" s="11" t="n">
        <v>3.75066139216968</v>
      </c>
      <c r="O106" s="11" t="n">
        <v>3.80175542650654</v>
      </c>
      <c r="P106" s="11" t="n">
        <v>3.84869078795784</v>
      </c>
      <c r="Q106" s="11" t="n">
        <v>3.89177764629035</v>
      </c>
      <c r="R106" s="11" t="n">
        <v>3.93130336219046</v>
      </c>
      <c r="S106" s="11" t="n">
        <v>3.96752596468894</v>
      </c>
      <c r="T106" s="11" t="n">
        <v>4.0006772655917</v>
      </c>
      <c r="U106" s="11" t="n">
        <v>4.03096671463236</v>
      </c>
      <c r="V106" s="11" t="n">
        <v>4.05858463424346</v>
      </c>
      <c r="W106" s="11" t="n">
        <v>4.08370612102097</v>
      </c>
      <c r="X106" s="11" t="n">
        <v>4.1064955236713</v>
      </c>
      <c r="Y106" s="11" t="n">
        <v>4.12710825347288</v>
      </c>
      <c r="Z106" s="11" t="n">
        <v>4.14569172386352</v>
      </c>
      <c r="AA106" s="11" t="n">
        <v>4.16238630697541</v>
      </c>
      <c r="AB106" s="11" t="n">
        <v>4.17732619045224</v>
      </c>
      <c r="AC106" s="11" t="n">
        <v>4.19064005973958</v>
      </c>
      <c r="AD106" s="11" t="n">
        <v>4.20245163241021</v>
      </c>
      <c r="AE106" s="11" t="n">
        <v>4.212880150626</v>
      </c>
      <c r="AF106" s="11" t="n">
        <v>4.22203941589092</v>
      </c>
      <c r="AG106" s="11" t="n">
        <v>4.23003561954002</v>
      </c>
      <c r="AH106" s="11" t="n">
        <v>4.23696759964328</v>
      </c>
      <c r="AI106" s="11" t="n">
        <v>4.24292760540492</v>
      </c>
      <c r="AJ106" s="11" t="n">
        <v>4.2480019364854</v>
      </c>
      <c r="AK106" s="11" t="n">
        <v>4.25227049255703</v>
      </c>
    </row>
    <row r="107" customFormat="false" ht="15" hidden="false" customHeight="false" outlineLevel="0" collapsed="false">
      <c r="A107" s="10" t="n">
        <v>-18</v>
      </c>
      <c r="B107" s="8" t="n">
        <v>40448</v>
      </c>
      <c r="C107" s="11" t="n">
        <v>0.798977681874645</v>
      </c>
      <c r="D107" s="11" t="n">
        <v>0.953400516927691</v>
      </c>
      <c r="E107" s="11" t="n">
        <v>1.12376864899822</v>
      </c>
      <c r="F107" s="11" t="n">
        <v>1.30215423529812</v>
      </c>
      <c r="G107" s="11" t="n">
        <v>1.4828453881293</v>
      </c>
      <c r="H107" s="11" t="n">
        <v>1.6619788232104</v>
      </c>
      <c r="I107" s="11" t="n">
        <v>1.83704709991758</v>
      </c>
      <c r="J107" s="11" t="n">
        <v>2.00642096654413</v>
      </c>
      <c r="K107" s="11" t="n">
        <v>2.16898596277966</v>
      </c>
      <c r="L107" s="11" t="n">
        <v>2.3239636373051</v>
      </c>
      <c r="M107" s="11" t="n">
        <v>3.62581447888381</v>
      </c>
      <c r="N107" s="11" t="n">
        <v>3.68161534950802</v>
      </c>
      <c r="O107" s="11" t="n">
        <v>3.73299391993888</v>
      </c>
      <c r="P107" s="11" t="n">
        <v>3.78027035836086</v>
      </c>
      <c r="Q107" s="11" t="n">
        <v>3.82374704169388</v>
      </c>
      <c r="R107" s="11" t="n">
        <v>3.86370396100837</v>
      </c>
      <c r="S107" s="11" t="n">
        <v>3.90039244595158</v>
      </c>
      <c r="T107" s="11" t="n">
        <v>3.93403823803395</v>
      </c>
      <c r="U107" s="11" t="n">
        <v>3.96484525332287</v>
      </c>
      <c r="V107" s="11" t="n">
        <v>3.99299874337643</v>
      </c>
      <c r="W107" s="11" t="n">
        <v>4.01866919102881</v>
      </c>
      <c r="X107" s="11" t="n">
        <v>4.04201681163958</v>
      </c>
      <c r="Y107" s="11" t="n">
        <v>4.0631933588644</v>
      </c>
      <c r="Z107" s="11" t="n">
        <v>4.08234309858515</v>
      </c>
      <c r="AA107" s="11" t="n">
        <v>4.09960372182063</v>
      </c>
      <c r="AB107" s="11" t="n">
        <v>4.11510714581671</v>
      </c>
      <c r="AC107" s="11" t="n">
        <v>4.12898018163365</v>
      </c>
      <c r="AD107" s="11" t="n">
        <v>4.14134508971778</v>
      </c>
      <c r="AE107" s="11" t="n">
        <v>4.15232003647622</v>
      </c>
      <c r="AF107" s="11" t="n">
        <v>4.16201804357787</v>
      </c>
      <c r="AG107" s="11" t="n">
        <v>4.17054473897005</v>
      </c>
      <c r="AH107" s="11" t="n">
        <v>4.17799858894544</v>
      </c>
      <c r="AI107" s="11" t="n">
        <v>4.18447164266443</v>
      </c>
      <c r="AJ107" s="11" t="n">
        <v>4.19005015210701</v>
      </c>
      <c r="AK107" s="11" t="n">
        <v>4.19481407223058</v>
      </c>
    </row>
    <row r="108" customFormat="false" ht="15" hidden="false" customHeight="false" outlineLevel="0" collapsed="false">
      <c r="A108" s="10" t="n">
        <v>-17</v>
      </c>
      <c r="B108" s="8" t="n">
        <v>40449</v>
      </c>
      <c r="C108" s="11" t="n">
        <v>0.791418389596565</v>
      </c>
      <c r="D108" s="11" t="n">
        <v>0.940117662668899</v>
      </c>
      <c r="E108" s="11" t="n">
        <v>1.10540415324512</v>
      </c>
      <c r="F108" s="11" t="n">
        <v>1.27944896708565</v>
      </c>
      <c r="G108" s="11" t="n">
        <v>1.45654693960973</v>
      </c>
      <c r="H108" s="11" t="n">
        <v>1.6327800832576</v>
      </c>
      <c r="I108" s="11" t="n">
        <v>1.80554382736768</v>
      </c>
      <c r="J108" s="11" t="n">
        <v>1.9730950081678</v>
      </c>
      <c r="K108" s="11" t="n">
        <v>2.13420802139058</v>
      </c>
      <c r="L108" s="11" t="n">
        <v>2.28800216366391</v>
      </c>
      <c r="M108" s="11" t="n">
        <v>3.57176553826775</v>
      </c>
      <c r="N108" s="11" t="n">
        <v>3.62548741878215</v>
      </c>
      <c r="O108" s="11" t="n">
        <v>3.67478132992231</v>
      </c>
      <c r="P108" s="11" t="n">
        <v>3.71999526670691</v>
      </c>
      <c r="Q108" s="11" t="n">
        <v>3.76145914793131</v>
      </c>
      <c r="R108" s="11" t="n">
        <v>3.79947822144106</v>
      </c>
      <c r="S108" s="11" t="n">
        <v>3.83432461571211</v>
      </c>
      <c r="T108" s="11" t="n">
        <v>3.86624078378455</v>
      </c>
      <c r="U108" s="11" t="n">
        <v>3.89544386700998</v>
      </c>
      <c r="V108" s="11" t="n">
        <v>3.92212934260461</v>
      </c>
      <c r="W108" s="11" t="n">
        <v>3.9464749695186</v>
      </c>
      <c r="X108" s="11" t="n">
        <v>3.96864496612456</v>
      </c>
      <c r="Y108" s="11" t="n">
        <v>3.98879223008026</v>
      </c>
      <c r="Z108" s="11" t="n">
        <v>4.00705994053825</v>
      </c>
      <c r="AA108" s="11" t="n">
        <v>4.02358280323703</v>
      </c>
      <c r="AB108" s="11" t="n">
        <v>4.03848808793899</v>
      </c>
      <c r="AC108" s="11" t="n">
        <v>4.05189663289087</v>
      </c>
      <c r="AD108" s="11" t="n">
        <v>4.0639238201381</v>
      </c>
      <c r="AE108" s="11" t="n">
        <v>4.07468019160326</v>
      </c>
      <c r="AF108" s="11" t="n">
        <v>4.08427058747944</v>
      </c>
      <c r="AG108" s="11" t="n">
        <v>4.09279218686195</v>
      </c>
      <c r="AH108" s="11" t="n">
        <v>4.10033482044788</v>
      </c>
      <c r="AI108" s="11" t="n">
        <v>4.10698173472711</v>
      </c>
      <c r="AJ108" s="11" t="n">
        <v>4.11281023159216</v>
      </c>
      <c r="AK108" s="11" t="n">
        <v>4.11789128586628</v>
      </c>
    </row>
    <row r="109" customFormat="false" ht="15" hidden="false" customHeight="false" outlineLevel="0" collapsed="false">
      <c r="A109" s="10" t="n">
        <v>-16</v>
      </c>
      <c r="B109" s="8" t="n">
        <v>40450</v>
      </c>
      <c r="C109" s="11" t="n">
        <v>0.76889128827612</v>
      </c>
      <c r="D109" s="11" t="n">
        <v>0.915443386061968</v>
      </c>
      <c r="E109" s="11" t="n">
        <v>1.07942555460112</v>
      </c>
      <c r="F109" s="11" t="n">
        <v>1.25280579812758</v>
      </c>
      <c r="G109" s="11" t="n">
        <v>1.42974540214887</v>
      </c>
      <c r="H109" s="11" t="n">
        <v>1.60621782683081</v>
      </c>
      <c r="I109" s="11" t="n">
        <v>1.77951041417561</v>
      </c>
      <c r="J109" s="11" t="n">
        <v>1.94776587193277</v>
      </c>
      <c r="K109" s="11" t="n">
        <v>2.10964508577981</v>
      </c>
      <c r="L109" s="11" t="n">
        <v>2.26416431318334</v>
      </c>
      <c r="M109" s="11" t="n">
        <v>3.5361611569243</v>
      </c>
      <c r="N109" s="11" t="n">
        <v>3.58768155016761</v>
      </c>
      <c r="O109" s="11" t="n">
        <v>3.63475338515885</v>
      </c>
      <c r="P109" s="11" t="n">
        <v>3.67775855264413</v>
      </c>
      <c r="Q109" s="11" t="n">
        <v>3.71705943694519</v>
      </c>
      <c r="R109" s="11" t="n">
        <v>3.75299056604543</v>
      </c>
      <c r="S109" s="11" t="n">
        <v>3.78584827000572</v>
      </c>
      <c r="T109" s="11" t="n">
        <v>3.81589461652616</v>
      </c>
      <c r="U109" s="11" t="n">
        <v>3.84336244923788</v>
      </c>
      <c r="V109" s="11" t="n">
        <v>3.8684595817232</v>
      </c>
      <c r="W109" s="11" t="n">
        <v>3.89137282975036</v>
      </c>
      <c r="X109" s="11" t="n">
        <v>3.91227189933096</v>
      </c>
      <c r="Y109" s="11" t="n">
        <v>3.93131204465736</v>
      </c>
      <c r="Z109" s="11" t="n">
        <v>3.94863629529827</v>
      </c>
      <c r="AA109" s="11" t="n">
        <v>3.96437705882378</v>
      </c>
      <c r="AB109" s="11" t="n">
        <v>3.97865742286314</v>
      </c>
      <c r="AC109" s="11" t="n">
        <v>3.99159245349636</v>
      </c>
      <c r="AD109" s="11" t="n">
        <v>4.00329048400889</v>
      </c>
      <c r="AE109" s="11" t="n">
        <v>4.01385390526314</v>
      </c>
      <c r="AF109" s="11" t="n">
        <v>4.02337856960673</v>
      </c>
      <c r="AG109" s="11" t="n">
        <v>4.0319522136845</v>
      </c>
      <c r="AH109" s="11" t="n">
        <v>4.03965488232133</v>
      </c>
      <c r="AI109" s="11" t="n">
        <v>4.0465597287092</v>
      </c>
      <c r="AJ109" s="11" t="n">
        <v>4.05273368984075</v>
      </c>
      <c r="AK109" s="11" t="n">
        <v>4.05823728436143</v>
      </c>
    </row>
    <row r="110" customFormat="false" ht="15" hidden="false" customHeight="false" outlineLevel="0" collapsed="false">
      <c r="A110" s="10" t="n">
        <v>-15</v>
      </c>
      <c r="B110" s="8" t="n">
        <v>40451</v>
      </c>
      <c r="C110" s="11" t="n">
        <v>0.786717743738623</v>
      </c>
      <c r="D110" s="11" t="n">
        <v>0.935931384541655</v>
      </c>
      <c r="E110" s="11" t="n">
        <v>1.10261200876521</v>
      </c>
      <c r="F110" s="11" t="n">
        <v>1.27874960786012</v>
      </c>
      <c r="G110" s="11" t="n">
        <v>1.4583920040273</v>
      </c>
      <c r="H110" s="11" t="n">
        <v>1.63739890765133</v>
      </c>
      <c r="I110" s="11" t="n">
        <v>1.81297907066481</v>
      </c>
      <c r="J110" s="11" t="n">
        <v>1.98323227333552</v>
      </c>
      <c r="K110" s="11" t="n">
        <v>2.14680449667095</v>
      </c>
      <c r="L110" s="11" t="n">
        <v>2.30271744250878</v>
      </c>
      <c r="M110" s="11" t="n">
        <v>3.5782339734304</v>
      </c>
      <c r="N110" s="11" t="n">
        <v>3.62968208473108</v>
      </c>
      <c r="O110" s="11" t="n">
        <v>3.67668704764625</v>
      </c>
      <c r="P110" s="11" t="n">
        <v>3.71963517151162</v>
      </c>
      <c r="Q110" s="11" t="n">
        <v>3.75889261399062</v>
      </c>
      <c r="R110" s="11" t="n">
        <v>3.7947970884835</v>
      </c>
      <c r="S110" s="11" t="n">
        <v>3.82764773141763</v>
      </c>
      <c r="T110" s="11" t="n">
        <v>3.8577091374778</v>
      </c>
      <c r="U110" s="11" t="n">
        <v>3.88521643903177</v>
      </c>
      <c r="V110" s="11" t="n">
        <v>3.91037953232834</v>
      </c>
      <c r="W110" s="11" t="n">
        <v>3.93338707383014</v>
      </c>
      <c r="X110" s="11" t="n">
        <v>3.95441026931797</v>
      </c>
      <c r="Y110" s="11" t="n">
        <v>3.97360555990997</v>
      </c>
      <c r="Z110" s="11" t="n">
        <v>3.99111690711726</v>
      </c>
      <c r="AA110" s="11" t="n">
        <v>4.00707742983955</v>
      </c>
      <c r="AB110" s="11" t="n">
        <v>4.02161073284289</v>
      </c>
      <c r="AC110" s="11" t="n">
        <v>4.03483221060638</v>
      </c>
      <c r="AD110" s="11" t="n">
        <v>4.04685032085746</v>
      </c>
      <c r="AE110" s="11" t="n">
        <v>4.05776738519936</v>
      </c>
      <c r="AF110" s="11" t="n">
        <v>4.067678916481</v>
      </c>
      <c r="AG110" s="11" t="n">
        <v>4.07667192203134</v>
      </c>
      <c r="AH110" s="11" t="n">
        <v>4.08482534682599</v>
      </c>
      <c r="AI110" s="11" t="n">
        <v>4.09221091228396</v>
      </c>
      <c r="AJ110" s="11" t="n">
        <v>4.09889382116701</v>
      </c>
      <c r="AK110" s="11" t="n">
        <v>4.10493247565578</v>
      </c>
    </row>
    <row r="111" customFormat="false" ht="15" hidden="false" customHeight="false" outlineLevel="0" collapsed="false">
      <c r="A111" s="10" t="n">
        <v>-14</v>
      </c>
      <c r="B111" s="8" t="n">
        <v>40452</v>
      </c>
      <c r="C111" s="11" t="n">
        <v>0.790633764081309</v>
      </c>
      <c r="D111" s="11" t="n">
        <v>0.941372610404504</v>
      </c>
      <c r="E111" s="11" t="n">
        <v>1.10993681738849</v>
      </c>
      <c r="F111" s="11" t="n">
        <v>1.28807595660901</v>
      </c>
      <c r="G111" s="11" t="n">
        <v>1.4696870174302</v>
      </c>
      <c r="H111" s="11" t="n">
        <v>1.65055690797735</v>
      </c>
      <c r="I111" s="11" t="n">
        <v>1.82786172909109</v>
      </c>
      <c r="J111" s="11" t="n">
        <v>1.99968198398729</v>
      </c>
      <c r="K111" s="11" t="n">
        <v>2.16465316859146</v>
      </c>
      <c r="L111" s="11" t="n">
        <v>2.32179572273648</v>
      </c>
      <c r="M111" s="11" t="n">
        <v>3.60227865657489</v>
      </c>
      <c r="N111" s="11" t="n">
        <v>3.65360411116418</v>
      </c>
      <c r="O111" s="11" t="n">
        <v>3.70044164190007</v>
      </c>
      <c r="P111" s="11" t="n">
        <v>3.74318016752817</v>
      </c>
      <c r="Q111" s="11" t="n">
        <v>3.78218818352637</v>
      </c>
      <c r="R111" s="11" t="n">
        <v>3.81780541157267</v>
      </c>
      <c r="S111" s="11" t="n">
        <v>3.85033311201474</v>
      </c>
      <c r="T111" s="11" t="n">
        <v>3.88003822872945</v>
      </c>
      <c r="U111" s="11" t="n">
        <v>3.9071584355296</v>
      </c>
      <c r="V111" s="11" t="n">
        <v>3.93190633856747</v>
      </c>
      <c r="W111" s="11" t="n">
        <v>3.95447351707193</v>
      </c>
      <c r="X111" s="11" t="n">
        <v>3.97503436918472</v>
      </c>
      <c r="Y111" s="11" t="n">
        <v>3.99374866719479</v>
      </c>
      <c r="Z111" s="11" t="n">
        <v>4.01076362301448</v>
      </c>
      <c r="AA111" s="11" t="n">
        <v>4.02621549407653</v>
      </c>
      <c r="AB111" s="11" t="n">
        <v>4.04023092352226</v>
      </c>
      <c r="AC111" s="11" t="n">
        <v>4.05292819712279</v>
      </c>
      <c r="AD111" s="11" t="n">
        <v>4.0644184168886</v>
      </c>
      <c r="AE111" s="11" t="n">
        <v>4.07480630027747</v>
      </c>
      <c r="AF111" s="11" t="n">
        <v>4.08418949511229</v>
      </c>
      <c r="AG111" s="11" t="n">
        <v>4.09265692819317</v>
      </c>
      <c r="AH111" s="11" t="n">
        <v>4.10028929333174</v>
      </c>
      <c r="AI111" s="11" t="n">
        <v>4.10715990814384</v>
      </c>
      <c r="AJ111" s="11" t="n">
        <v>4.11333543073269</v>
      </c>
      <c r="AK111" s="11" t="n">
        <v>4.11887554673958</v>
      </c>
    </row>
    <row r="112" customFormat="false" ht="15" hidden="false" customHeight="false" outlineLevel="0" collapsed="false">
      <c r="A112" s="10" t="n">
        <v>-13</v>
      </c>
      <c r="B112" s="8" t="n">
        <v>40455</v>
      </c>
      <c r="C112" s="11" t="n">
        <v>0.766133002794399</v>
      </c>
      <c r="D112" s="11" t="n">
        <v>0.912208788292196</v>
      </c>
      <c r="E112" s="11" t="n">
        <v>1.07704598848545</v>
      </c>
      <c r="F112" s="11" t="n">
        <v>1.25214352646373</v>
      </c>
      <c r="G112" s="11" t="n">
        <v>1.43125886440819</v>
      </c>
      <c r="H112" s="11" t="n">
        <v>1.61009556145362</v>
      </c>
      <c r="I112" s="11" t="n">
        <v>1.78578351123752</v>
      </c>
      <c r="J112" s="11" t="n">
        <v>1.95637442216482</v>
      </c>
      <c r="K112" s="11" t="n">
        <v>2.1204816008162</v>
      </c>
      <c r="L112" s="11" t="n">
        <v>2.27710542892397</v>
      </c>
      <c r="M112" s="11" t="n">
        <v>3.5715066129221</v>
      </c>
      <c r="N112" s="11" t="n">
        <v>3.62467495249209</v>
      </c>
      <c r="O112" s="11" t="n">
        <v>3.67335616035551</v>
      </c>
      <c r="P112" s="11" t="n">
        <v>3.71792131584682</v>
      </c>
      <c r="Q112" s="11" t="n">
        <v>3.75872211113608</v>
      </c>
      <c r="R112" s="11" t="n">
        <v>3.79608323898177</v>
      </c>
      <c r="S112" s="11" t="n">
        <v>3.83029368743275</v>
      </c>
      <c r="T112" s="11" t="n">
        <v>3.86161063961999</v>
      </c>
      <c r="U112" s="11" t="n">
        <v>3.89026415085219</v>
      </c>
      <c r="V112" s="11" t="n">
        <v>3.91646105347853</v>
      </c>
      <c r="W112" s="11" t="n">
        <v>3.94038895180628</v>
      </c>
      <c r="X112" s="11" t="n">
        <v>3.96222018175914</v>
      </c>
      <c r="Y112" s="11" t="n">
        <v>3.98211409691732</v>
      </c>
      <c r="Z112" s="11" t="n">
        <v>4.00021877624016</v>
      </c>
      <c r="AA112" s="11" t="n">
        <v>4.0166724413589</v>
      </c>
      <c r="AB112" s="11" t="n">
        <v>4.03160465914964</v>
      </c>
      <c r="AC112" s="11" t="n">
        <v>4.04513738368365</v>
      </c>
      <c r="AD112" s="11" t="n">
        <v>4.05738586206319</v>
      </c>
      <c r="AE112" s="11" t="n">
        <v>4.06845933781817</v>
      </c>
      <c r="AF112" s="11" t="n">
        <v>4.07846017107643</v>
      </c>
      <c r="AG112" s="11" t="n">
        <v>4.08748193465493</v>
      </c>
      <c r="AH112" s="11" t="n">
        <v>4.09560987362024</v>
      </c>
      <c r="AI112" s="11" t="n">
        <v>4.10292177194396</v>
      </c>
      <c r="AJ112" s="11" t="n">
        <v>4.10948867356867</v>
      </c>
      <c r="AK112" s="11" t="n">
        <v>4.11537448391246</v>
      </c>
    </row>
    <row r="113" customFormat="false" ht="15" hidden="false" customHeight="false" outlineLevel="0" collapsed="false">
      <c r="A113" s="10" t="n">
        <v>-12</v>
      </c>
      <c r="B113" s="8" t="n">
        <v>40456</v>
      </c>
      <c r="C113" s="11" t="n">
        <v>0.800099420485197</v>
      </c>
      <c r="D113" s="11" t="n">
        <v>0.948957145703847</v>
      </c>
      <c r="E113" s="11" t="n">
        <v>1.11533754783808</v>
      </c>
      <c r="F113" s="11" t="n">
        <v>1.29110299887253</v>
      </c>
      <c r="G113" s="11" t="n">
        <v>1.47026562772613</v>
      </c>
      <c r="H113" s="11" t="n">
        <v>1.64872299934946</v>
      </c>
      <c r="I113" s="11" t="n">
        <v>1.82376175315081</v>
      </c>
      <c r="J113" s="11" t="n">
        <v>1.99355817406883</v>
      </c>
      <c r="K113" s="11" t="n">
        <v>2.15682618636781</v>
      </c>
      <c r="L113" s="11" t="n">
        <v>2.31264794413303</v>
      </c>
      <c r="M113" s="11" t="n">
        <v>3.61158998947929</v>
      </c>
      <c r="N113" s="11" t="n">
        <v>3.66601961277783</v>
      </c>
      <c r="O113" s="11" t="n">
        <v>3.71598921188974</v>
      </c>
      <c r="P113" s="11" t="n">
        <v>3.76184928606199</v>
      </c>
      <c r="Q113" s="11" t="n">
        <v>3.80393193876609</v>
      </c>
      <c r="R113" s="11" t="n">
        <v>3.84254436494757</v>
      </c>
      <c r="S113" s="11" t="n">
        <v>3.87796147127959</v>
      </c>
      <c r="T113" s="11" t="n">
        <v>3.91042947132925</v>
      </c>
      <c r="U113" s="11" t="n">
        <v>3.94017010506361</v>
      </c>
      <c r="V113" s="11" t="n">
        <v>3.96738417349388</v>
      </c>
      <c r="W113" s="11" t="n">
        <v>3.99225542986533</v>
      </c>
      <c r="X113" s="11" t="n">
        <v>4.0149545966444</v>
      </c>
      <c r="Y113" s="11" t="n">
        <v>4.03564129859381</v>
      </c>
      <c r="Z113" s="11" t="n">
        <v>4.05446531779113</v>
      </c>
      <c r="AA113" s="11" t="n">
        <v>4.07156779305496</v>
      </c>
      <c r="AB113" s="11" t="n">
        <v>4.08708226903322</v>
      </c>
      <c r="AC113" s="11" t="n">
        <v>4.1011354741919</v>
      </c>
      <c r="AD113" s="11" t="n">
        <v>4.11384789232084</v>
      </c>
      <c r="AE113" s="11" t="n">
        <v>4.12533435968415</v>
      </c>
      <c r="AF113" s="11" t="n">
        <v>4.13570295389972</v>
      </c>
      <c r="AG113" s="11" t="n">
        <v>4.14505278348566</v>
      </c>
      <c r="AH113" s="11" t="n">
        <v>4.15347442159551</v>
      </c>
      <c r="AI113" s="11" t="n">
        <v>4.16105079428232</v>
      </c>
      <c r="AJ113" s="11" t="n">
        <v>4.16785791418913</v>
      </c>
      <c r="AK113" s="11" t="n">
        <v>4.17396435579885</v>
      </c>
    </row>
    <row r="114" customFormat="false" ht="15" hidden="false" customHeight="false" outlineLevel="0" collapsed="false">
      <c r="A114" s="10" t="n">
        <v>-11</v>
      </c>
      <c r="B114" s="8" t="n">
        <v>40457</v>
      </c>
      <c r="C114" s="11" t="n">
        <v>0.758672799203296</v>
      </c>
      <c r="D114" s="11" t="n">
        <v>0.904777434406902</v>
      </c>
      <c r="E114" s="11" t="n">
        <v>1.06917628127936</v>
      </c>
      <c r="F114" s="11" t="n">
        <v>1.24310931869521</v>
      </c>
      <c r="G114" s="11" t="n">
        <v>1.42032448162673</v>
      </c>
      <c r="H114" s="11" t="n">
        <v>1.59663016187016</v>
      </c>
      <c r="I114" s="11" t="n">
        <v>1.76932767684786</v>
      </c>
      <c r="J114" s="11" t="n">
        <v>1.93667149276611</v>
      </c>
      <c r="K114" s="11" t="n">
        <v>2.09749069763954</v>
      </c>
      <c r="L114" s="11" t="n">
        <v>2.25099091922713</v>
      </c>
      <c r="M114" s="11" t="n">
        <v>3.55253725775066</v>
      </c>
      <c r="N114" s="11" t="n">
        <v>3.60935192473279</v>
      </c>
      <c r="O114" s="11" t="n">
        <v>3.66184776519703</v>
      </c>
      <c r="P114" s="11" t="n">
        <v>3.71033764122584</v>
      </c>
      <c r="Q114" s="11" t="n">
        <v>3.75511675202391</v>
      </c>
      <c r="R114" s="11" t="n">
        <v>3.79645773136873</v>
      </c>
      <c r="S114" s="11" t="n">
        <v>3.83460506726537</v>
      </c>
      <c r="T114" s="11" t="n">
        <v>3.86977833457096</v>
      </c>
      <c r="U114" s="11" t="n">
        <v>3.90217585864939</v>
      </c>
      <c r="V114" s="11" t="n">
        <v>3.93197781472496</v>
      </c>
      <c r="W114" s="11" t="n">
        <v>3.9593503460621</v>
      </c>
      <c r="X114" s="11" t="n">
        <v>3.98445021409426</v>
      </c>
      <c r="Y114" s="11" t="n">
        <v>4.00742646192332</v>
      </c>
      <c r="Z114" s="11" t="n">
        <v>4.02842128495973</v>
      </c>
      <c r="AA114" s="11" t="n">
        <v>4.04757086519589</v>
      </c>
      <c r="AB114" s="11" t="n">
        <v>4.065006101129</v>
      </c>
      <c r="AC114" s="11" t="n">
        <v>4.08085315163684</v>
      </c>
      <c r="AD114" s="11" t="n">
        <v>4.09523383964057</v>
      </c>
      <c r="AE114" s="11" t="n">
        <v>4.10826603271795</v>
      </c>
      <c r="AF114" s="11" t="n">
        <v>4.12006205659658</v>
      </c>
      <c r="AG114" s="11" t="n">
        <v>4.13072590653503</v>
      </c>
      <c r="AH114" s="11" t="n">
        <v>4.14035354267673</v>
      </c>
      <c r="AI114" s="11" t="n">
        <v>4.14903372615654</v>
      </c>
      <c r="AJ114" s="11" t="n">
        <v>4.15684869753329</v>
      </c>
      <c r="AK114" s="11" t="n">
        <v>4.16387339414976</v>
      </c>
    </row>
    <row r="115" customFormat="false" ht="15" hidden="false" customHeight="false" outlineLevel="0" collapsed="false">
      <c r="A115" s="10" t="n">
        <v>-10</v>
      </c>
      <c r="B115" s="8" t="n">
        <v>40458</v>
      </c>
      <c r="C115" s="11" t="n">
        <v>0.784499425207596</v>
      </c>
      <c r="D115" s="11" t="n">
        <v>0.931681063356278</v>
      </c>
      <c r="E115" s="11" t="n">
        <v>1.09662607296562</v>
      </c>
      <c r="F115" s="11" t="n">
        <v>1.27085043691379</v>
      </c>
      <c r="G115" s="11" t="n">
        <v>1.44823108631114</v>
      </c>
      <c r="H115" s="11" t="n">
        <v>1.62464990822854</v>
      </c>
      <c r="I115" s="11" t="n">
        <v>1.79745884034909</v>
      </c>
      <c r="J115" s="11" t="n">
        <v>1.96494583683481</v>
      </c>
      <c r="K115" s="11" t="n">
        <v>2.12596080481952</v>
      </c>
      <c r="L115" s="11" t="n">
        <v>2.2797193802535</v>
      </c>
      <c r="M115" s="11" t="n">
        <v>3.58474006063235</v>
      </c>
      <c r="N115" s="11" t="n">
        <v>3.64152815987529</v>
      </c>
      <c r="O115" s="11" t="n">
        <v>3.69395240544118</v>
      </c>
      <c r="P115" s="11" t="n">
        <v>3.7423286455219</v>
      </c>
      <c r="Q115" s="11" t="n">
        <v>3.78695533634915</v>
      </c>
      <c r="R115" s="11" t="n">
        <v>3.82810839880255</v>
      </c>
      <c r="S115" s="11" t="n">
        <v>3.86603551360515</v>
      </c>
      <c r="T115" s="11" t="n">
        <v>3.90095937061683</v>
      </c>
      <c r="U115" s="11" t="n">
        <v>3.93308134392687</v>
      </c>
      <c r="V115" s="11" t="n">
        <v>3.96258460444221</v>
      </c>
      <c r="W115" s="11" t="n">
        <v>3.98963830588986</v>
      </c>
      <c r="X115" s="11" t="n">
        <v>4.01440229992868</v>
      </c>
      <c r="Y115" s="11" t="n">
        <v>4.03702871780255</v>
      </c>
      <c r="Z115" s="11" t="n">
        <v>4.05766271123073</v>
      </c>
      <c r="AA115" s="11" t="n">
        <v>4.0764432802596</v>
      </c>
      <c r="AB115" s="11" t="n">
        <v>4.0935040172705</v>
      </c>
      <c r="AC115" s="11" t="n">
        <v>4.10897359979117</v>
      </c>
      <c r="AD115" s="11" t="n">
        <v>4.12297610357928</v>
      </c>
      <c r="AE115" s="11" t="n">
        <v>4.13563139184635</v>
      </c>
      <c r="AF115" s="11" t="n">
        <v>4.14705354797764</v>
      </c>
      <c r="AG115" s="11" t="n">
        <v>4.15734813779822</v>
      </c>
      <c r="AH115" s="11" t="n">
        <v>4.16661253738713</v>
      </c>
      <c r="AI115" s="11" t="n">
        <v>4.17493678537094</v>
      </c>
      <c r="AJ115" s="11" t="n">
        <v>4.18240427367852</v>
      </c>
      <c r="AK115" s="11" t="n">
        <v>4.1890909615798</v>
      </c>
    </row>
    <row r="116" customFormat="false" ht="15" hidden="false" customHeight="false" outlineLevel="0" collapsed="false">
      <c r="A116" s="10" t="n">
        <v>-9</v>
      </c>
      <c r="B116" s="8" t="n">
        <v>40459</v>
      </c>
      <c r="C116" s="11" t="n">
        <v>0.747505861861459</v>
      </c>
      <c r="D116" s="11" t="n">
        <v>0.891193609124577</v>
      </c>
      <c r="E116" s="11" t="n">
        <v>1.0533712328181</v>
      </c>
      <c r="F116" s="11" t="n">
        <v>1.22507150693064</v>
      </c>
      <c r="G116" s="11" t="n">
        <v>1.39999324176747</v>
      </c>
      <c r="H116" s="11" t="n">
        <v>1.57397801412355</v>
      </c>
      <c r="I116" s="11" t="n">
        <v>1.74440092240759</v>
      </c>
      <c r="J116" s="11" t="n">
        <v>1.9096015809645</v>
      </c>
      <c r="K116" s="11" t="n">
        <v>2.06848863242893</v>
      </c>
      <c r="L116" s="11" t="n">
        <v>2.22032909693906</v>
      </c>
      <c r="M116" s="11" t="n">
        <v>3.5232114241442</v>
      </c>
      <c r="N116" s="11" t="n">
        <v>3.58106416559439</v>
      </c>
      <c r="O116" s="11" t="n">
        <v>3.63461261208854</v>
      </c>
      <c r="P116" s="11" t="n">
        <v>3.68414810118605</v>
      </c>
      <c r="Q116" s="11" t="n">
        <v>3.72994490489572</v>
      </c>
      <c r="R116" s="11" t="n">
        <v>3.7722563512124</v>
      </c>
      <c r="S116" s="11" t="n">
        <v>3.81131067325136</v>
      </c>
      <c r="T116" s="11" t="n">
        <v>3.84731402064754</v>
      </c>
      <c r="U116" s="11" t="n">
        <v>3.88045370711463</v>
      </c>
      <c r="V116" s="11" t="n">
        <v>3.91090100840347</v>
      </c>
      <c r="W116" s="11" t="n">
        <v>3.93881586806636</v>
      </c>
      <c r="X116" s="11" t="n">
        <v>3.96435248622893</v>
      </c>
      <c r="Y116" s="11" t="n">
        <v>3.98766032978598</v>
      </c>
      <c r="Z116" s="11" t="n">
        <v>4.0088840116311</v>
      </c>
      <c r="AA116" s="11" t="n">
        <v>4.02816377270886</v>
      </c>
      <c r="AB116" s="11" t="n">
        <v>4.04563600142306</v>
      </c>
      <c r="AC116" s="11" t="n">
        <v>4.06143337670924</v>
      </c>
      <c r="AD116" s="11" t="n">
        <v>4.07568477828997</v>
      </c>
      <c r="AE116" s="11" t="n">
        <v>4.08851552551075</v>
      </c>
      <c r="AF116" s="11" t="n">
        <v>4.10004550193859</v>
      </c>
      <c r="AG116" s="11" t="n">
        <v>4.11038612318839</v>
      </c>
      <c r="AH116" s="11" t="n">
        <v>4.11964064116714</v>
      </c>
      <c r="AI116" s="11" t="n">
        <v>4.12790499380079</v>
      </c>
      <c r="AJ116" s="11" t="n">
        <v>4.13526848250707</v>
      </c>
      <c r="AK116" s="11" t="n">
        <v>4.14181281452216</v>
      </c>
    </row>
    <row r="117" customFormat="false" ht="15" hidden="false" customHeight="false" outlineLevel="0" collapsed="false">
      <c r="A117" s="10" t="n">
        <v>-8</v>
      </c>
      <c r="B117" s="8" t="n">
        <v>40462</v>
      </c>
      <c r="C117" s="11" t="n">
        <v>0.764538835070388</v>
      </c>
      <c r="D117" s="11" t="n">
        <v>0.908205771894942</v>
      </c>
      <c r="E117" s="11" t="n">
        <v>1.0699385906982</v>
      </c>
      <c r="F117" s="11" t="n">
        <v>1.24116572731017</v>
      </c>
      <c r="G117" s="11" t="n">
        <v>1.41572930098234</v>
      </c>
      <c r="H117" s="11" t="n">
        <v>1.58951285066451</v>
      </c>
      <c r="I117" s="11" t="n">
        <v>1.75988795387762</v>
      </c>
      <c r="J117" s="11" t="n">
        <v>1.92517635087272</v>
      </c>
      <c r="K117" s="11" t="n">
        <v>2.08426744581872</v>
      </c>
      <c r="L117" s="11" t="n">
        <v>2.23641269802475</v>
      </c>
      <c r="M117" s="11" t="n">
        <v>3.55225008691272</v>
      </c>
      <c r="N117" s="11" t="n">
        <v>3.61163028416853</v>
      </c>
      <c r="O117" s="11" t="n">
        <v>3.66671277503963</v>
      </c>
      <c r="P117" s="11" t="n">
        <v>3.7177723045842</v>
      </c>
      <c r="Q117" s="11" t="n">
        <v>3.76506688330369</v>
      </c>
      <c r="R117" s="11" t="n">
        <v>3.80883513545451</v>
      </c>
      <c r="S117" s="11" t="n">
        <v>3.84929340967224</v>
      </c>
      <c r="T117" s="11" t="n">
        <v>3.88663853325393</v>
      </c>
      <c r="U117" s="11" t="n">
        <v>3.92105068293668</v>
      </c>
      <c r="V117" s="11" t="n">
        <v>3.95269588817496</v>
      </c>
      <c r="W117" s="11" t="n">
        <v>3.98173082320618</v>
      </c>
      <c r="X117" s="11" t="n">
        <v>4.00830863757947</v>
      </c>
      <c r="Y117" s="11" t="n">
        <v>4.03257954355878</v>
      </c>
      <c r="Z117" s="11" t="n">
        <v>4.05469013451367</v>
      </c>
      <c r="AA117" s="11" t="n">
        <v>4.07478365853582</v>
      </c>
      <c r="AB117" s="11" t="n">
        <v>4.09300040399057</v>
      </c>
      <c r="AC117" s="11" t="n">
        <v>4.10947754667542</v>
      </c>
      <c r="AD117" s="11" t="n">
        <v>4.12434868748517</v>
      </c>
      <c r="AE117" s="11" t="n">
        <v>4.1377440052276</v>
      </c>
      <c r="AF117" s="11" t="n">
        <v>4.14978818331977</v>
      </c>
      <c r="AG117" s="11" t="n">
        <v>4.16059713954372</v>
      </c>
      <c r="AH117" s="11" t="n">
        <v>4.17027833068371</v>
      </c>
      <c r="AI117" s="11" t="n">
        <v>4.1789316332404</v>
      </c>
      <c r="AJ117" s="11" t="n">
        <v>4.1866500417445</v>
      </c>
      <c r="AK117" s="11" t="n">
        <v>4.19351862157397</v>
      </c>
    </row>
    <row r="118" customFormat="false" ht="15" hidden="false" customHeight="false" outlineLevel="0" collapsed="false">
      <c r="A118" s="10" t="n">
        <v>-7</v>
      </c>
      <c r="B118" s="8" t="n">
        <v>40463</v>
      </c>
      <c r="C118" s="11" t="n">
        <v>0.751545065874623</v>
      </c>
      <c r="D118" s="11" t="n">
        <v>0.889497342311047</v>
      </c>
      <c r="E118" s="11" t="n">
        <v>1.0463967418977</v>
      </c>
      <c r="F118" s="11" t="n">
        <v>1.21371846501472</v>
      </c>
      <c r="G118" s="11" t="n">
        <v>1.38520590501107</v>
      </c>
      <c r="H118" s="11" t="n">
        <v>1.55661415375675</v>
      </c>
      <c r="I118" s="11" t="n">
        <v>1.72519155482782</v>
      </c>
      <c r="J118" s="11" t="n">
        <v>1.88915924361396</v>
      </c>
      <c r="K118" s="11" t="n">
        <v>2.04732806402788</v>
      </c>
      <c r="L118" s="11" t="n">
        <v>2.19888931164715</v>
      </c>
      <c r="M118" s="11" t="n">
        <v>3.52475296542759</v>
      </c>
      <c r="N118" s="11" t="n">
        <v>3.58554115885188</v>
      </c>
      <c r="O118" s="11" t="n">
        <v>3.64204536805695</v>
      </c>
      <c r="P118" s="11" t="n">
        <v>3.6945307138321</v>
      </c>
      <c r="Q118" s="11" t="n">
        <v>3.74324659524404</v>
      </c>
      <c r="R118" s="11" t="n">
        <v>3.788424023381</v>
      </c>
      <c r="S118" s="11" t="n">
        <v>3.83027280949856</v>
      </c>
      <c r="T118" s="11" t="n">
        <v>3.86898419001324</v>
      </c>
      <c r="U118" s="11" t="n">
        <v>3.90473355809223</v>
      </c>
      <c r="V118" s="11" t="n">
        <v>3.93768285451153</v>
      </c>
      <c r="W118" s="11" t="n">
        <v>3.96798527311644</v>
      </c>
      <c r="X118" s="11" t="n">
        <v>3.99579097295291</v>
      </c>
      <c r="Y118" s="11" t="n">
        <v>4.02124765506205</v>
      </c>
      <c r="Z118" s="11" t="n">
        <v>4.04449994642189</v>
      </c>
      <c r="AA118" s="11" t="n">
        <v>4.06568962911781</v>
      </c>
      <c r="AB118" s="11" t="n">
        <v>4.08495596700075</v>
      </c>
      <c r="AC118" s="11" t="n">
        <v>4.10243555663391</v>
      </c>
      <c r="AD118" s="11" t="n">
        <v>4.11826191383985</v>
      </c>
      <c r="AE118" s="11" t="n">
        <v>4.13256558394166</v>
      </c>
      <c r="AF118" s="11" t="n">
        <v>4.1454719559278</v>
      </c>
      <c r="AG118" s="11" t="n">
        <v>4.15709790418013</v>
      </c>
      <c r="AH118" s="11" t="n">
        <v>4.16755206710682</v>
      </c>
      <c r="AI118" s="11" t="n">
        <v>4.17693570446855</v>
      </c>
      <c r="AJ118" s="11" t="n">
        <v>4.18534337110572</v>
      </c>
      <c r="AK118" s="11" t="n">
        <v>4.19286179542236</v>
      </c>
    </row>
    <row r="119" customFormat="false" ht="15" hidden="false" customHeight="false" outlineLevel="0" collapsed="false">
      <c r="A119" s="10" t="n">
        <v>-6</v>
      </c>
      <c r="B119" s="8" t="n">
        <v>40464</v>
      </c>
      <c r="C119" s="11" t="n">
        <v>0.766532890829522</v>
      </c>
      <c r="D119" s="11" t="n">
        <v>0.906303898733957</v>
      </c>
      <c r="E119" s="11" t="n">
        <v>1.06484975969589</v>
      </c>
      <c r="F119" s="11" t="n">
        <v>1.23371948785429</v>
      </c>
      <c r="G119" s="11" t="n">
        <v>1.4067002105111</v>
      </c>
      <c r="H119" s="11" t="n">
        <v>1.57957085198939</v>
      </c>
      <c r="I119" s="11" t="n">
        <v>1.74958407243977</v>
      </c>
      <c r="J119" s="11" t="n">
        <v>1.91495472822886</v>
      </c>
      <c r="K119" s="11" t="n">
        <v>2.07448097724455</v>
      </c>
      <c r="L119" s="11" t="n">
        <v>2.2273355955605</v>
      </c>
      <c r="M119" s="11" t="n">
        <v>3.55722125709826</v>
      </c>
      <c r="N119" s="11" t="n">
        <v>3.61750735845375</v>
      </c>
      <c r="O119" s="11" t="n">
        <v>3.67350324291349</v>
      </c>
      <c r="P119" s="11" t="n">
        <v>3.72549823918272</v>
      </c>
      <c r="Q119" s="11" t="n">
        <v>3.77376503181837</v>
      </c>
      <c r="R119" s="11" t="n">
        <v>3.81855508097787</v>
      </c>
      <c r="S119" s="11" t="n">
        <v>3.86009409457618</v>
      </c>
      <c r="T119" s="11" t="n">
        <v>3.89858513261003</v>
      </c>
      <c r="U119" s="11" t="n">
        <v>3.9342119377302</v>
      </c>
      <c r="V119" s="11" t="n">
        <v>3.96714179708726</v>
      </c>
      <c r="W119" s="11" t="n">
        <v>3.99753005799924</v>
      </c>
      <c r="X119" s="11" t="n">
        <v>4.02552527378418</v>
      </c>
      <c r="Y119" s="11" t="n">
        <v>4.05127053498154</v>
      </c>
      <c r="Z119" s="11" t="n">
        <v>4.07490394395247</v>
      </c>
      <c r="AA119" s="11" t="n">
        <v>4.09655920126381</v>
      </c>
      <c r="AB119" s="11" t="n">
        <v>4.11636614037633</v>
      </c>
      <c r="AC119" s="11" t="n">
        <v>4.13445114255784</v>
      </c>
      <c r="AD119" s="11" t="n">
        <v>4.15093746589099</v>
      </c>
      <c r="AE119" s="11" t="n">
        <v>4.16594547831923</v>
      </c>
      <c r="AF119" s="11" t="n">
        <v>4.17959070130967</v>
      </c>
      <c r="AG119" s="11" t="n">
        <v>4.19198083127859</v>
      </c>
      <c r="AH119" s="11" t="n">
        <v>4.2032160189915</v>
      </c>
      <c r="AI119" s="11" t="n">
        <v>4.21338965509298</v>
      </c>
      <c r="AJ119" s="11" t="n">
        <v>4.22258898504627</v>
      </c>
      <c r="AK119" s="11" t="n">
        <v>4.23089406266651</v>
      </c>
    </row>
    <row r="120" customFormat="false" ht="15" hidden="false" customHeight="false" outlineLevel="0" collapsed="false">
      <c r="A120" s="10" t="n">
        <v>-5</v>
      </c>
      <c r="B120" s="8" t="n">
        <v>40465</v>
      </c>
      <c r="C120" s="11" t="n">
        <v>0.765381155233218</v>
      </c>
      <c r="D120" s="11" t="n">
        <v>0.905280103007667</v>
      </c>
      <c r="E120" s="11" t="n">
        <v>1.06384908764077</v>
      </c>
      <c r="F120" s="11" t="n">
        <v>1.23270921490508</v>
      </c>
      <c r="G120" s="11" t="n">
        <v>1.4056694792149</v>
      </c>
      <c r="H120" s="11" t="n">
        <v>1.57851851084327</v>
      </c>
      <c r="I120" s="11" t="n">
        <v>1.74851496860338</v>
      </c>
      <c r="J120" s="11" t="n">
        <v>1.91388261307546</v>
      </c>
      <c r="K120" s="11" t="n">
        <v>2.07342781758791</v>
      </c>
      <c r="L120" s="11" t="n">
        <v>2.22633119555738</v>
      </c>
      <c r="M120" s="11" t="n">
        <v>3.55913825891225</v>
      </c>
      <c r="N120" s="11" t="n">
        <v>3.61957881965313</v>
      </c>
      <c r="O120" s="11" t="n">
        <v>3.67569968877955</v>
      </c>
      <c r="P120" s="11" t="n">
        <v>3.72779248049438</v>
      </c>
      <c r="Q120" s="11" t="n">
        <v>3.77613305693599</v>
      </c>
      <c r="R120" s="11" t="n">
        <v>3.82097629367581</v>
      </c>
      <c r="S120" s="11" t="n">
        <v>3.86255106421392</v>
      </c>
      <c r="T120" s="11" t="n">
        <v>3.90106334946071</v>
      </c>
      <c r="U120" s="11" t="n">
        <v>3.93669960429165</v>
      </c>
      <c r="V120" s="11" t="n">
        <v>3.96962964101304</v>
      </c>
      <c r="W120" s="11" t="n">
        <v>4.00001095299729</v>
      </c>
      <c r="X120" s="11" t="n">
        <v>4.027993530192</v>
      </c>
      <c r="Y120" s="11" t="n">
        <v>4.05372126749283</v>
      </c>
      <c r="Z120" s="11" t="n">
        <v>4.07733260777278</v>
      </c>
      <c r="AA120" s="11" t="n">
        <v>4.09896120092068</v>
      </c>
      <c r="AB120" s="11" t="n">
        <v>4.11873648756437</v>
      </c>
      <c r="AC120" s="11" t="n">
        <v>4.13678418375155</v>
      </c>
      <c r="AD120" s="11" t="n">
        <v>4.15322668819311</v>
      </c>
      <c r="AE120" s="11" t="n">
        <v>4.16818334653968</v>
      </c>
      <c r="AF120" s="11" t="n">
        <v>4.18176858544578</v>
      </c>
      <c r="AG120" s="11" t="n">
        <v>4.19408909349145</v>
      </c>
      <c r="AH120" s="11" t="n">
        <v>4.2052441227822</v>
      </c>
      <c r="AI120" s="11" t="n">
        <v>4.2153262631715</v>
      </c>
      <c r="AJ120" s="11" t="n">
        <v>4.22442204882043</v>
      </c>
      <c r="AK120" s="11" t="n">
        <v>4.23261096997634</v>
      </c>
    </row>
    <row r="121" customFormat="false" ht="15" hidden="false" customHeight="false" outlineLevel="0" collapsed="false">
      <c r="A121" s="10" t="n">
        <v>-4</v>
      </c>
      <c r="B121" s="8" t="n">
        <v>40466</v>
      </c>
      <c r="C121" s="11" t="n">
        <v>0.796204640860031</v>
      </c>
      <c r="D121" s="11" t="n">
        <v>0.938718412709498</v>
      </c>
      <c r="E121" s="11" t="n">
        <v>1.09990882552693</v>
      </c>
      <c r="F121" s="11" t="n">
        <v>1.27151698703503</v>
      </c>
      <c r="G121" s="11" t="n">
        <v>1.44730537618777</v>
      </c>
      <c r="H121" s="11" t="n">
        <v>1.62300447354014</v>
      </c>
      <c r="I121" s="11" t="n">
        <v>1.79581573255174</v>
      </c>
      <c r="J121" s="11" t="n">
        <v>1.96390480211341</v>
      </c>
      <c r="K121" s="11" t="n">
        <v>2.12602536657981</v>
      </c>
      <c r="L121" s="11" t="n">
        <v>2.28131745289907</v>
      </c>
      <c r="M121" s="11" t="n">
        <v>3.63081990099938</v>
      </c>
      <c r="N121" s="11" t="n">
        <v>3.69215444385191</v>
      </c>
      <c r="O121" s="11" t="n">
        <v>3.74918471129808</v>
      </c>
      <c r="P121" s="11" t="n">
        <v>3.80220502008259</v>
      </c>
      <c r="Q121" s="11" t="n">
        <v>3.85149199381799</v>
      </c>
      <c r="R121" s="11" t="n">
        <v>3.89729932080236</v>
      </c>
      <c r="S121" s="11" t="n">
        <v>3.93985300752605</v>
      </c>
      <c r="T121" s="11" t="n">
        <v>3.97935477760056</v>
      </c>
      <c r="U121" s="11" t="n">
        <v>4.01598564276975</v>
      </c>
      <c r="V121" s="11" t="n">
        <v>4.04990897983953</v>
      </c>
      <c r="W121" s="11" t="n">
        <v>4.08127536635784</v>
      </c>
      <c r="X121" s="11" t="n">
        <v>4.11022792189751</v>
      </c>
      <c r="Y121" s="11" t="n">
        <v>4.13690388644117</v>
      </c>
      <c r="Z121" s="11" t="n">
        <v>4.16143543300585</v>
      </c>
      <c r="AA121" s="11" t="n">
        <v>4.1839503100609</v>
      </c>
      <c r="AB121" s="11" t="n">
        <v>4.2045723893679</v>
      </c>
      <c r="AC121" s="11" t="n">
        <v>4.22342229496347</v>
      </c>
      <c r="AD121" s="11" t="n">
        <v>4.24061803510663</v>
      </c>
      <c r="AE121" s="11" t="n">
        <v>4.25627522377372</v>
      </c>
      <c r="AF121" s="11" t="n">
        <v>4.27050513253847</v>
      </c>
      <c r="AG121" s="11" t="n">
        <v>4.28341191369461</v>
      </c>
      <c r="AH121" s="11" t="n">
        <v>4.29509287372031</v>
      </c>
      <c r="AI121" s="11" t="n">
        <v>4.30563918609757</v>
      </c>
      <c r="AJ121" s="11" t="n">
        <v>4.31513643921346</v>
      </c>
      <c r="AK121" s="11" t="n">
        <v>4.32366359545063</v>
      </c>
    </row>
    <row r="122" customFormat="false" ht="15" hidden="false" customHeight="false" outlineLevel="0" collapsed="false">
      <c r="A122" s="10" t="n">
        <v>-3</v>
      </c>
      <c r="B122" s="8" t="n">
        <v>40469</v>
      </c>
      <c r="C122" s="11" t="n">
        <v>0.785939219415167</v>
      </c>
      <c r="D122" s="11" t="n">
        <v>0.928972712955979</v>
      </c>
      <c r="E122" s="11" t="n">
        <v>1.0915517392896</v>
      </c>
      <c r="F122" s="11" t="n">
        <v>1.26516643471386</v>
      </c>
      <c r="G122" s="11" t="n">
        <v>1.44339797121182</v>
      </c>
      <c r="H122" s="11" t="n">
        <v>1.6218362231178</v>
      </c>
      <c r="I122" s="11" t="n">
        <v>1.79756195249828</v>
      </c>
      <c r="J122" s="11" t="n">
        <v>1.96863046102513</v>
      </c>
      <c r="K122" s="11" t="n">
        <v>2.1336947197547</v>
      </c>
      <c r="L122" s="11" t="n">
        <v>2.29180769184649</v>
      </c>
      <c r="M122" s="11" t="n">
        <v>3.65583415474336</v>
      </c>
      <c r="N122" s="11" t="n">
        <v>3.71689243723622</v>
      </c>
      <c r="O122" s="11" t="n">
        <v>3.77353405556803</v>
      </c>
      <c r="P122" s="11" t="n">
        <v>3.82606829624852</v>
      </c>
      <c r="Q122" s="11" t="n">
        <v>3.8747859150382</v>
      </c>
      <c r="R122" s="11" t="n">
        <v>3.91995353246233</v>
      </c>
      <c r="S122" s="11" t="n">
        <v>3.96180866894626</v>
      </c>
      <c r="T122" s="11" t="n">
        <v>4.00056333300328</v>
      </c>
      <c r="U122" s="11" t="n">
        <v>4.03640777298628</v>
      </c>
      <c r="V122" s="11" t="n">
        <v>4.06951370960404</v>
      </c>
      <c r="W122" s="11" t="n">
        <v>4.1000393666576</v>
      </c>
      <c r="X122" s="11" t="n">
        <v>4.1281349643857</v>
      </c>
      <c r="Y122" s="11" t="n">
        <v>4.15394426052462</v>
      </c>
      <c r="Z122" s="11" t="n">
        <v>4.17760527108886</v>
      </c>
      <c r="AA122" s="11" t="n">
        <v>4.19925097156992</v>
      </c>
      <c r="AB122" s="11" t="n">
        <v>4.21900991734629</v>
      </c>
      <c r="AC122" s="11" t="n">
        <v>4.23700688385989</v>
      </c>
      <c r="AD122" s="11" t="n">
        <v>4.25336347715459</v>
      </c>
      <c r="AE122" s="11" t="n">
        <v>4.26819840249828</v>
      </c>
      <c r="AF122" s="11" t="n">
        <v>4.28162556654236</v>
      </c>
      <c r="AG122" s="11" t="n">
        <v>4.29375137992872</v>
      </c>
      <c r="AH122" s="11" t="n">
        <v>4.30467508218168</v>
      </c>
      <c r="AI122" s="11" t="n">
        <v>4.31448948844658</v>
      </c>
      <c r="AJ122" s="11" t="n">
        <v>4.32328156422629</v>
      </c>
      <c r="AK122" s="11" t="n">
        <v>4.33113138282897</v>
      </c>
    </row>
    <row r="123" customFormat="false" ht="15" hidden="false" customHeight="false" outlineLevel="0" collapsed="false">
      <c r="A123" s="10" t="n">
        <v>-2</v>
      </c>
      <c r="B123" s="8" t="n">
        <v>40470</v>
      </c>
      <c r="C123" s="11" t="n">
        <v>0.772026200792359</v>
      </c>
      <c r="D123" s="11" t="n">
        <v>0.916468517997928</v>
      </c>
      <c r="E123" s="11" t="n">
        <v>1.08208257984601</v>
      </c>
      <c r="F123" s="11" t="n">
        <v>1.25960672714325</v>
      </c>
      <c r="G123" s="11" t="n">
        <v>1.44219490637193</v>
      </c>
      <c r="H123" s="11" t="n">
        <v>1.62519698198019</v>
      </c>
      <c r="I123" s="11" t="n">
        <v>1.80554665157596</v>
      </c>
      <c r="J123" s="11" t="n">
        <v>1.98119369236886</v>
      </c>
      <c r="K123" s="11" t="n">
        <v>2.15070702330906</v>
      </c>
      <c r="L123" s="11" t="n">
        <v>2.31307008208826</v>
      </c>
      <c r="M123" s="11" t="n">
        <v>3.70754954018302</v>
      </c>
      <c r="N123" s="11" t="n">
        <v>3.76948026960843</v>
      </c>
      <c r="O123" s="11" t="n">
        <v>3.82686624034343</v>
      </c>
      <c r="P123" s="11" t="n">
        <v>3.88002808349064</v>
      </c>
      <c r="Q123" s="11" t="n">
        <v>3.9292667962863</v>
      </c>
      <c r="R123" s="11" t="n">
        <v>3.97485816373697</v>
      </c>
      <c r="S123" s="11" t="n">
        <v>4.01704791423225</v>
      </c>
      <c r="T123" s="11" t="n">
        <v>4.05605546118489</v>
      </c>
      <c r="U123" s="11" t="n">
        <v>4.09207777288021</v>
      </c>
      <c r="V123" s="11" t="n">
        <v>4.12529272154209</v>
      </c>
      <c r="W123" s="11" t="n">
        <v>4.15586451130885</v>
      </c>
      <c r="X123" s="11" t="n">
        <v>4.18394961020687</v>
      </c>
      <c r="Y123" s="11" t="n">
        <v>4.2096980998377</v>
      </c>
      <c r="Z123" s="11" t="n">
        <v>4.23325407372895</v>
      </c>
      <c r="AA123" s="11" t="n">
        <v>4.25475632249355</v>
      </c>
      <c r="AB123" s="11" t="n">
        <v>4.27433898178332</v>
      </c>
      <c r="AC123" s="11" t="n">
        <v>4.29213211181307</v>
      </c>
      <c r="AD123" s="11" t="n">
        <v>4.30826220885144</v>
      </c>
      <c r="AE123" s="11" t="n">
        <v>4.32285249326728</v>
      </c>
      <c r="AF123" s="11" t="n">
        <v>4.336021002987</v>
      </c>
      <c r="AG123" s="11" t="n">
        <v>4.34787790386958</v>
      </c>
      <c r="AH123" s="11" t="n">
        <v>4.35852585650819</v>
      </c>
      <c r="AI123" s="11" t="n">
        <v>4.36806079780196</v>
      </c>
      <c r="AJ123" s="11" t="n">
        <v>4.37657254205162</v>
      </c>
      <c r="AK123" s="11" t="n">
        <v>4.38414371364468</v>
      </c>
    </row>
    <row r="124" customFormat="false" ht="15" hidden="false" customHeight="false" outlineLevel="0" collapsed="false">
      <c r="A124" s="10" t="n">
        <v>-1</v>
      </c>
      <c r="B124" s="8" t="n">
        <v>40471</v>
      </c>
      <c r="C124" s="11" t="n">
        <v>0.72494106225082</v>
      </c>
      <c r="D124" s="11" t="n">
        <v>0.861672983996948</v>
      </c>
      <c r="E124" s="11" t="n">
        <v>1.02330988870525</v>
      </c>
      <c r="F124" s="11" t="n">
        <v>1.19960604236388</v>
      </c>
      <c r="G124" s="11" t="n">
        <v>1.38299233276749</v>
      </c>
      <c r="H124" s="11" t="n">
        <v>1.5682861748554</v>
      </c>
      <c r="I124" s="11" t="n">
        <v>1.75200910358794</v>
      </c>
      <c r="J124" s="11" t="n">
        <v>1.93177796385147</v>
      </c>
      <c r="K124" s="11" t="n">
        <v>2.10588594947901</v>
      </c>
      <c r="L124" s="11" t="n">
        <v>2.27308578730797</v>
      </c>
      <c r="M124" s="11" t="n">
        <v>3.70442041791098</v>
      </c>
      <c r="N124" s="11" t="n">
        <v>3.76648248969675</v>
      </c>
      <c r="O124" s="11" t="n">
        <v>3.82374807066827</v>
      </c>
      <c r="P124" s="11" t="n">
        <v>3.87657789455929</v>
      </c>
      <c r="Q124" s="11" t="n">
        <v>3.92531292218614</v>
      </c>
      <c r="R124" s="11" t="n">
        <v>3.97026632570859</v>
      </c>
      <c r="S124" s="11" t="n">
        <v>4.01171671097151</v>
      </c>
      <c r="T124" s="11" t="n">
        <v>4.04991234266487</v>
      </c>
      <c r="U124" s="11" t="n">
        <v>4.08507560625827</v>
      </c>
      <c r="V124" s="11" t="n">
        <v>4.11740682820445</v>
      </c>
      <c r="W124" s="11" t="n">
        <v>4.14708969272497</v>
      </c>
      <c r="X124" s="11" t="n">
        <v>4.1742969073368</v>
      </c>
      <c r="Y124" s="11" t="n">
        <v>4.1991918235672</v>
      </c>
      <c r="Z124" s="11" t="n">
        <v>4.22192915091414</v>
      </c>
      <c r="AA124" s="11" t="n">
        <v>4.24265596501374</v>
      </c>
      <c r="AB124" s="11" t="n">
        <v>4.26151263998032</v>
      </c>
      <c r="AC124" s="11" t="n">
        <v>4.27863367351662</v>
      </c>
      <c r="AD124" s="11" t="n">
        <v>4.29414841022752</v>
      </c>
      <c r="AE124" s="11" t="n">
        <v>4.30818151537306</v>
      </c>
      <c r="AF124" s="11" t="n">
        <v>4.32085135350307</v>
      </c>
      <c r="AG124" s="11" t="n">
        <v>4.33226764194483</v>
      </c>
      <c r="AH124" s="11" t="n">
        <v>4.34253193846753</v>
      </c>
      <c r="AI124" s="11" t="n">
        <v>4.35173849104943</v>
      </c>
      <c r="AJ124" s="11" t="n">
        <v>4.35997490128477</v>
      </c>
      <c r="AK124" s="11" t="n">
        <v>4.36732118942586</v>
      </c>
    </row>
    <row r="125" customFormat="false" ht="15" hidden="false" customHeight="false" outlineLevel="0" collapsed="false">
      <c r="A125" s="10" t="n">
        <v>0</v>
      </c>
      <c r="B125" s="8" t="n">
        <v>40472</v>
      </c>
      <c r="C125" s="11" t="n">
        <v>0.697872927134115</v>
      </c>
      <c r="D125" s="11" t="n">
        <v>0.825908353341414</v>
      </c>
      <c r="E125" s="11" t="n">
        <v>0.98060895895159</v>
      </c>
      <c r="F125" s="11" t="n">
        <v>1.1516556449738</v>
      </c>
      <c r="G125" s="11" t="n">
        <v>1.33128599061432</v>
      </c>
      <c r="H125" s="11" t="n">
        <v>1.51407834648542</v>
      </c>
      <c r="I125" s="11" t="n">
        <v>1.69630808615648</v>
      </c>
      <c r="J125" s="11" t="n">
        <v>1.8753639500131</v>
      </c>
      <c r="K125" s="11" t="n">
        <v>2.04933738027426</v>
      </c>
      <c r="L125" s="11" t="n">
        <v>2.21680807166538</v>
      </c>
      <c r="M125" s="11" t="n">
        <v>3.65365197617112</v>
      </c>
      <c r="N125" s="11" t="n">
        <v>3.7156688637933</v>
      </c>
      <c r="O125" s="11" t="n">
        <v>3.77285453568739</v>
      </c>
      <c r="P125" s="11" t="n">
        <v>3.82557904209888</v>
      </c>
      <c r="Q125" s="11" t="n">
        <v>3.87419198529809</v>
      </c>
      <c r="R125" s="11" t="n">
        <v>3.91901375195427</v>
      </c>
      <c r="S125" s="11" t="n">
        <v>3.96032824768964</v>
      </c>
      <c r="T125" s="11" t="n">
        <v>3.99838736474221</v>
      </c>
      <c r="U125" s="11" t="n">
        <v>4.03341568981641</v>
      </c>
      <c r="V125" s="11" t="n">
        <v>4.06561453591601</v>
      </c>
      <c r="W125" s="11" t="n">
        <v>4.09516763228451</v>
      </c>
      <c r="X125" s="11" t="n">
        <v>4.12224702758409</v>
      </c>
      <c r="Y125" s="11" t="n">
        <v>4.14701482875374</v>
      </c>
      <c r="Z125" s="11" t="n">
        <v>4.16962402007599</v>
      </c>
      <c r="AA125" s="11" t="n">
        <v>4.1902195368523</v>
      </c>
      <c r="AB125" s="11" t="n">
        <v>4.20893925773124</v>
      </c>
      <c r="AC125" s="11" t="n">
        <v>4.22591504778336</v>
      </c>
      <c r="AD125" s="11" t="n">
        <v>4.24127375162035</v>
      </c>
      <c r="AE125" s="11" t="n">
        <v>4.25513769415338</v>
      </c>
      <c r="AF125" s="11" t="n">
        <v>4.26762316851755</v>
      </c>
      <c r="AG125" s="11" t="n">
        <v>4.2788382739611</v>
      </c>
      <c r="AH125" s="11" t="n">
        <v>4.28888339157117</v>
      </c>
      <c r="AI125" s="11" t="n">
        <v>4.2978519880961</v>
      </c>
      <c r="AJ125" s="11" t="n">
        <v>4.30583124083815</v>
      </c>
      <c r="AK125" s="11" t="n">
        <v>4.31290113169696</v>
      </c>
    </row>
    <row r="126" customFormat="false" ht="15" hidden="false" customHeight="false" outlineLevel="0" collapsed="false">
      <c r="A126" s="10" t="n">
        <v>1</v>
      </c>
      <c r="B126" s="8" t="n">
        <v>40473</v>
      </c>
      <c r="C126" s="11" t="n">
        <v>0.739809716411783</v>
      </c>
      <c r="D126" s="11" t="n">
        <v>0.86844551495032</v>
      </c>
      <c r="E126" s="11" t="n">
        <v>1.0219605013368</v>
      </c>
      <c r="F126" s="11" t="n">
        <v>1.19095705021376</v>
      </c>
      <c r="G126" s="11" t="n">
        <v>1.36812277326259</v>
      </c>
      <c r="H126" s="11" t="n">
        <v>1.54828811976378</v>
      </c>
      <c r="I126" s="11" t="n">
        <v>1.72788429800151</v>
      </c>
      <c r="J126" s="11" t="n">
        <v>1.90439807571697</v>
      </c>
      <c r="K126" s="11" t="n">
        <v>2.07598711842248</v>
      </c>
      <c r="L126" s="11" t="n">
        <v>2.24127783117965</v>
      </c>
      <c r="M126" s="11" t="n">
        <v>3.66939928025106</v>
      </c>
      <c r="N126" s="11" t="n">
        <v>3.73180279884317</v>
      </c>
      <c r="O126" s="11" t="n">
        <v>3.78944876319546</v>
      </c>
      <c r="P126" s="11" t="n">
        <v>3.84269402227022</v>
      </c>
      <c r="Q126" s="11" t="n">
        <v>3.89187555783333</v>
      </c>
      <c r="R126" s="11" t="n">
        <v>3.93730191666248</v>
      </c>
      <c r="S126" s="11" t="n">
        <v>3.97924652086712</v>
      </c>
      <c r="T126" s="11" t="n">
        <v>4.01795203956395</v>
      </c>
      <c r="U126" s="11" t="n">
        <v>4.05363491137577</v>
      </c>
      <c r="V126" s="11" t="n">
        <v>4.08648924402998</v>
      </c>
      <c r="W126" s="11" t="n">
        <v>4.11669262098507</v>
      </c>
      <c r="X126" s="11" t="n">
        <v>4.14441207707675</v>
      </c>
      <c r="Y126" s="11" t="n">
        <v>4.16980563885877</v>
      </c>
      <c r="Z126" s="11" t="n">
        <v>4.19302295889433</v>
      </c>
      <c r="AA126" s="11" t="n">
        <v>4.21420628959492</v>
      </c>
      <c r="AB126" s="11" t="n">
        <v>4.23349139893358</v>
      </c>
      <c r="AC126" s="11" t="n">
        <v>4.25100857917565</v>
      </c>
      <c r="AD126" s="11" t="n">
        <v>4.26688361429268</v>
      </c>
      <c r="AE126" s="11" t="n">
        <v>4.2812382138935</v>
      </c>
      <c r="AF126" s="11" t="n">
        <v>4.29418835528087</v>
      </c>
      <c r="AG126" s="11" t="n">
        <v>4.30584205777356</v>
      </c>
      <c r="AH126" s="11" t="n">
        <v>4.31629984622947</v>
      </c>
      <c r="AI126" s="11" t="n">
        <v>4.32565553161593</v>
      </c>
      <c r="AJ126" s="11" t="n">
        <v>4.33399680554968</v>
      </c>
      <c r="AK126" s="11" t="n">
        <v>4.34140422214854</v>
      </c>
    </row>
    <row r="127" customFormat="false" ht="15" hidden="false" customHeight="false" outlineLevel="0" collapsed="false">
      <c r="A127" s="10" t="n">
        <v>2</v>
      </c>
      <c r="B127" s="8" t="n">
        <v>40476</v>
      </c>
      <c r="C127" s="11" t="n">
        <v>0.749138563730304</v>
      </c>
      <c r="D127" s="11" t="n">
        <v>0.876595929304137</v>
      </c>
      <c r="E127" s="11" t="n">
        <v>1.02807249094628</v>
      </c>
      <c r="F127" s="11" t="n">
        <v>1.19444302318881</v>
      </c>
      <c r="G127" s="11" t="n">
        <v>1.36858066575391</v>
      </c>
      <c r="H127" s="11" t="n">
        <v>1.54546495700534</v>
      </c>
      <c r="I127" s="11" t="n">
        <v>1.72165886137529</v>
      </c>
      <c r="J127" s="11" t="n">
        <v>1.89476506528755</v>
      </c>
      <c r="K127" s="11" t="n">
        <v>2.06304281790802</v>
      </c>
      <c r="L127" s="11" t="n">
        <v>2.22520181201213</v>
      </c>
      <c r="M127" s="11" t="n">
        <v>3.63521221489764</v>
      </c>
      <c r="N127" s="11" t="n">
        <v>3.69739721374135</v>
      </c>
      <c r="O127" s="11" t="n">
        <v>3.7548878474722</v>
      </c>
      <c r="P127" s="11" t="n">
        <v>3.80802459808087</v>
      </c>
      <c r="Q127" s="11" t="n">
        <v>3.85712924034456</v>
      </c>
      <c r="R127" s="11" t="n">
        <v>3.90249687259782</v>
      </c>
      <c r="S127" s="11" t="n">
        <v>3.94438981973964</v>
      </c>
      <c r="T127" s="11" t="n">
        <v>3.98304173679183</v>
      </c>
      <c r="U127" s="11" t="n">
        <v>4.0186618250574</v>
      </c>
      <c r="V127" s="11" t="n">
        <v>4.05143849332442</v>
      </c>
      <c r="W127" s="11" t="n">
        <v>4.08154517134658</v>
      </c>
      <c r="X127" s="11" t="n">
        <v>4.10914632519146</v>
      </c>
      <c r="Y127" s="11" t="n">
        <v>4.13439864894413</v>
      </c>
      <c r="Z127" s="11" t="n">
        <v>4.1574513152826</v>
      </c>
      <c r="AA127" s="11" t="n">
        <v>4.17844681273568</v>
      </c>
      <c r="AB127" s="11" t="n">
        <v>4.19752176933682</v>
      </c>
      <c r="AC127" s="11" t="n">
        <v>4.21480779995199</v>
      </c>
      <c r="AD127" s="11" t="n">
        <v>4.23043229574318</v>
      </c>
      <c r="AE127" s="11" t="n">
        <v>4.24451880102673</v>
      </c>
      <c r="AF127" s="11" t="n">
        <v>4.25718525279131</v>
      </c>
      <c r="AG127" s="11" t="n">
        <v>4.26854167218136</v>
      </c>
      <c r="AH127" s="11" t="n">
        <v>4.27869061997435</v>
      </c>
      <c r="AI127" s="11" t="n">
        <v>4.28772797361155</v>
      </c>
      <c r="AJ127" s="11" t="n">
        <v>4.29574351350578</v>
      </c>
      <c r="AK127" s="11" t="n">
        <v>4.30281984185661</v>
      </c>
    </row>
    <row r="128" customFormat="false" ht="15" hidden="false" customHeight="false" outlineLevel="0" collapsed="false">
      <c r="A128" s="10" t="n">
        <v>3</v>
      </c>
      <c r="B128" s="8" t="n">
        <v>40477</v>
      </c>
      <c r="C128" s="11" t="n">
        <v>0.843686997161745</v>
      </c>
      <c r="D128" s="11" t="n">
        <v>0.988098089304023</v>
      </c>
      <c r="E128" s="11" t="n">
        <v>1.15193001093499</v>
      </c>
      <c r="F128" s="11" t="n">
        <v>1.327208376693</v>
      </c>
      <c r="G128" s="11" t="n">
        <v>1.50758318494327</v>
      </c>
      <c r="H128" s="11" t="n">
        <v>1.68860645512032</v>
      </c>
      <c r="I128" s="11" t="n">
        <v>1.86729433480177</v>
      </c>
      <c r="J128" s="11" t="n">
        <v>2.04161060181238</v>
      </c>
      <c r="K128" s="11" t="n">
        <v>2.21010447478714</v>
      </c>
      <c r="L128" s="11" t="n">
        <v>2.37171906287489</v>
      </c>
      <c r="M128" s="11" t="n">
        <v>3.75058352205975</v>
      </c>
      <c r="N128" s="11" t="n">
        <v>3.8097386113654</v>
      </c>
      <c r="O128" s="11" t="n">
        <v>3.8641836667107</v>
      </c>
      <c r="P128" s="11" t="n">
        <v>3.91427333464337</v>
      </c>
      <c r="Q128" s="11" t="n">
        <v>3.96034394563516</v>
      </c>
      <c r="R128" s="11" t="n">
        <v>4.00270470800822</v>
      </c>
      <c r="S128" s="11" t="n">
        <v>4.0416310892795</v>
      </c>
      <c r="T128" s="11" t="n">
        <v>4.07736903134001</v>
      </c>
      <c r="U128" s="11" t="n">
        <v>4.11013929245857</v>
      </c>
      <c r="V128" s="11" t="n">
        <v>4.14014117038822</v>
      </c>
      <c r="W128" s="11" t="n">
        <v>4.16755763098411</v>
      </c>
      <c r="X128" s="11" t="n">
        <v>4.19256040669506</v>
      </c>
      <c r="Y128" s="11" t="n">
        <v>4.21531141498925</v>
      </c>
      <c r="Z128" s="11" t="n">
        <v>4.23596339669658</v>
      </c>
      <c r="AA128" s="11" t="n">
        <v>4.25466097878795</v>
      </c>
      <c r="AB128" s="11" t="n">
        <v>4.27154167316691</v>
      </c>
      <c r="AC128" s="11" t="n">
        <v>4.28673688397814</v>
      </c>
      <c r="AD128" s="11" t="n">
        <v>4.30037283639194</v>
      </c>
      <c r="AE128" s="11" t="n">
        <v>4.31257107614056</v>
      </c>
      <c r="AF128" s="11" t="n">
        <v>4.32344705052493</v>
      </c>
      <c r="AG128" s="11" t="n">
        <v>4.33310821599566</v>
      </c>
      <c r="AH128" s="11" t="n">
        <v>4.34165455464371</v>
      </c>
      <c r="AI128" s="11" t="n">
        <v>4.34917935271121</v>
      </c>
      <c r="AJ128" s="11" t="n">
        <v>4.35576979325119</v>
      </c>
      <c r="AK128" s="11" t="n">
        <v>4.36150599417005</v>
      </c>
    </row>
    <row r="129" customFormat="false" ht="15" hidden="false" customHeight="false" outlineLevel="0" collapsed="false">
      <c r="A129" s="10" t="n">
        <v>4</v>
      </c>
      <c r="B129" s="8" t="n">
        <v>40478</v>
      </c>
      <c r="C129" s="11" t="n">
        <v>0.855184130318965</v>
      </c>
      <c r="D129" s="11" t="n">
        <v>1.01358041219869</v>
      </c>
      <c r="E129" s="11" t="n">
        <v>1.19043868872227</v>
      </c>
      <c r="F129" s="11" t="n">
        <v>1.37716189695906</v>
      </c>
      <c r="G129" s="11" t="n">
        <v>1.56729072620699</v>
      </c>
      <c r="H129" s="11" t="n">
        <v>1.75647519670174</v>
      </c>
      <c r="I129" s="11" t="n">
        <v>1.94191106387985</v>
      </c>
      <c r="J129" s="11" t="n">
        <v>2.12175193848849</v>
      </c>
      <c r="K129" s="11" t="n">
        <v>2.29472586515096</v>
      </c>
      <c r="L129" s="11" t="n">
        <v>2.45993829926411</v>
      </c>
      <c r="M129" s="11" t="n">
        <v>3.85194039496867</v>
      </c>
      <c r="N129" s="11" t="n">
        <v>3.91147344324132</v>
      </c>
      <c r="O129" s="11" t="n">
        <v>3.96631181552821</v>
      </c>
      <c r="P129" s="11" t="n">
        <v>4.01681042788573</v>
      </c>
      <c r="Q129" s="11" t="n">
        <v>4.06330345642072</v>
      </c>
      <c r="R129" s="11" t="n">
        <v>4.10609669573756</v>
      </c>
      <c r="S129" s="11" t="n">
        <v>4.14546197269489</v>
      </c>
      <c r="T129" s="11" t="n">
        <v>4.18164147842391</v>
      </c>
      <c r="U129" s="11" t="n">
        <v>4.21485212652362</v>
      </c>
      <c r="V129" s="11" t="n">
        <v>4.24528932450073</v>
      </c>
      <c r="W129" s="11" t="n">
        <v>4.27313265792149</v>
      </c>
      <c r="X129" s="11" t="n">
        <v>4.29855161196862</v>
      </c>
      <c r="Y129" s="11" t="n">
        <v>4.3217067573379</v>
      </c>
      <c r="Z129" s="11" t="n">
        <v>4.34275004973595</v>
      </c>
      <c r="AA129" s="11" t="n">
        <v>4.36182579375846</v>
      </c>
      <c r="AB129" s="11" t="n">
        <v>4.37907157983261</v>
      </c>
      <c r="AC129" s="11" t="n">
        <v>4.39461914956021</v>
      </c>
      <c r="AD129" s="11" t="n">
        <v>4.40859516480548</v>
      </c>
      <c r="AE129" s="11" t="n">
        <v>4.42112166906652</v>
      </c>
      <c r="AF129" s="11" t="n">
        <v>4.43231455032908</v>
      </c>
      <c r="AG129" s="11" t="n">
        <v>4.44228154011676</v>
      </c>
      <c r="AH129" s="11" t="n">
        <v>4.45112273775608</v>
      </c>
      <c r="AI129" s="11" t="n">
        <v>4.4589314053362</v>
      </c>
      <c r="AJ129" s="11" t="n">
        <v>4.46579456979256</v>
      </c>
      <c r="AK129" s="11" t="n">
        <v>4.47179201709375</v>
      </c>
    </row>
    <row r="130" customFormat="false" ht="15" hidden="false" customHeight="false" outlineLevel="0" collapsed="false">
      <c r="A130" s="10" t="n">
        <v>5</v>
      </c>
      <c r="B130" s="8" t="n">
        <v>40479</v>
      </c>
      <c r="C130" s="11" t="n">
        <v>0.863074657628657</v>
      </c>
      <c r="D130" s="11" t="n">
        <v>1.02087942055168</v>
      </c>
      <c r="E130" s="11" t="n">
        <v>1.19663949184965</v>
      </c>
      <c r="F130" s="11" t="n">
        <v>1.38208176828755</v>
      </c>
      <c r="G130" s="11" t="n">
        <v>1.57091333443315</v>
      </c>
      <c r="H130" s="11" t="n">
        <v>1.75886353701332</v>
      </c>
      <c r="I130" s="11" t="n">
        <v>1.94316702876358</v>
      </c>
      <c r="J130" s="11" t="n">
        <v>2.1219991135754</v>
      </c>
      <c r="K130" s="11" t="n">
        <v>2.29410132928012</v>
      </c>
      <c r="L130" s="11" t="n">
        <v>2.45858771404563</v>
      </c>
      <c r="M130" s="11" t="n">
        <v>3.8516612174248</v>
      </c>
      <c r="N130" s="11" t="n">
        <v>3.91163048172545</v>
      </c>
      <c r="O130" s="11" t="n">
        <v>3.96688621614119</v>
      </c>
      <c r="P130" s="11" t="n">
        <v>4.01777379597288</v>
      </c>
      <c r="Q130" s="11" t="n">
        <v>4.06461904372289</v>
      </c>
      <c r="R130" s="11" t="n">
        <v>4.10772104145639</v>
      </c>
      <c r="S130" s="11" t="n">
        <v>4.14734698979728</v>
      </c>
      <c r="T130" s="11" t="n">
        <v>4.18373629318841</v>
      </c>
      <c r="U130" s="11" t="n">
        <v>4.21710464756527</v>
      </c>
      <c r="V130" s="11" t="n">
        <v>4.24764757200474</v>
      </c>
      <c r="W130" s="11" t="n">
        <v>4.27554560219954</v>
      </c>
      <c r="X130" s="11" t="n">
        <v>4.30096945698483</v>
      </c>
      <c r="Y130" s="11" t="n">
        <v>4.32408125086634</v>
      </c>
      <c r="Z130" s="11" t="n">
        <v>4.34503493669106</v>
      </c>
      <c r="AA130" s="11" t="n">
        <v>4.36397723866574</v>
      </c>
      <c r="AB130" s="11" t="n">
        <v>4.38104853760708</v>
      </c>
      <c r="AC130" s="11" t="n">
        <v>4.39638368797425</v>
      </c>
      <c r="AD130" s="11" t="n">
        <v>4.41011274285201</v>
      </c>
      <c r="AE130" s="11" t="n">
        <v>4.4223613739261</v>
      </c>
      <c r="AF130" s="11" t="n">
        <v>4.43324920625704</v>
      </c>
      <c r="AG130" s="11" t="n">
        <v>4.44288770620473</v>
      </c>
      <c r="AH130" s="11" t="n">
        <v>4.45138069842138</v>
      </c>
      <c r="AI130" s="11" t="n">
        <v>4.45882516180928</v>
      </c>
      <c r="AJ130" s="11" t="n">
        <v>4.46531182531227</v>
      </c>
      <c r="AK130" s="11" t="n">
        <v>4.47092407280517</v>
      </c>
    </row>
    <row r="131" customFormat="false" ht="15" hidden="false" customHeight="false" outlineLevel="0" collapsed="false">
      <c r="A131" s="10" t="n">
        <v>6</v>
      </c>
      <c r="B131" s="8" t="n">
        <v>40480</v>
      </c>
      <c r="C131" s="11" t="n">
        <v>0.819157577953707</v>
      </c>
      <c r="D131" s="11" t="n">
        <v>0.970740198468018</v>
      </c>
      <c r="E131" s="11" t="n">
        <v>1.14182575663133</v>
      </c>
      <c r="F131" s="11" t="n">
        <v>1.32365261296109</v>
      </c>
      <c r="G131" s="11" t="n">
        <v>1.5096606380789</v>
      </c>
      <c r="H131" s="11" t="n">
        <v>1.69541282997714</v>
      </c>
      <c r="I131" s="11" t="n">
        <v>1.87802512907753</v>
      </c>
      <c r="J131" s="11" t="n">
        <v>2.05559201402437</v>
      </c>
      <c r="K131" s="11" t="n">
        <v>2.22679627324153</v>
      </c>
      <c r="L131" s="11" t="n">
        <v>2.39070318328876</v>
      </c>
      <c r="M131" s="11" t="n">
        <v>3.78985607519105</v>
      </c>
      <c r="N131" s="11" t="n">
        <v>3.85036561483861</v>
      </c>
      <c r="O131" s="11" t="n">
        <v>3.90608376669097</v>
      </c>
      <c r="P131" s="11" t="n">
        <v>3.95735229317867</v>
      </c>
      <c r="Q131" s="11" t="n">
        <v>4.00449586731763</v>
      </c>
      <c r="R131" s="11" t="n">
        <v>4.04781428813218</v>
      </c>
      <c r="S131" s="11" t="n">
        <v>4.0875772054442</v>
      </c>
      <c r="T131" s="11" t="n">
        <v>4.12402799066194</v>
      </c>
      <c r="U131" s="11" t="n">
        <v>4.15738760125258</v>
      </c>
      <c r="V131" s="11" t="n">
        <v>4.18785789356479</v>
      </c>
      <c r="W131" s="11" t="n">
        <v>4.21562601274289</v>
      </c>
      <c r="X131" s="11" t="n">
        <v>4.2408685812849</v>
      </c>
      <c r="Y131" s="11" t="n">
        <v>4.26375300986355</v>
      </c>
      <c r="Z131" s="11" t="n">
        <v>4.28443822462572</v>
      </c>
      <c r="AA131" s="11" t="n">
        <v>4.30307567047391</v>
      </c>
      <c r="AB131" s="11" t="n">
        <v>4.31981022441367</v>
      </c>
      <c r="AC131" s="11" t="n">
        <v>4.33478099332791</v>
      </c>
      <c r="AD131" s="11" t="n">
        <v>4.34812200532687</v>
      </c>
      <c r="AE131" s="11" t="n">
        <v>4.35996263975042</v>
      </c>
      <c r="AF131" s="11" t="n">
        <v>4.37042590359564</v>
      </c>
      <c r="AG131" s="11" t="n">
        <v>4.37962634280224</v>
      </c>
      <c r="AH131" s="11" t="n">
        <v>4.38767060535461</v>
      </c>
      <c r="AI131" s="11" t="n">
        <v>4.39465826395436</v>
      </c>
      <c r="AJ131" s="11" t="n">
        <v>4.40068242526635</v>
      </c>
      <c r="AK131" s="11" t="n">
        <v>4.40582858784587</v>
      </c>
    </row>
    <row r="132" customFormat="false" ht="15" hidden="false" customHeight="false" outlineLevel="0" collapsed="false">
      <c r="A132" s="10" t="n">
        <v>7</v>
      </c>
      <c r="B132" s="8" t="n">
        <v>40483</v>
      </c>
      <c r="C132" s="11" t="n">
        <v>0.817970623657403</v>
      </c>
      <c r="D132" s="11" t="n">
        <v>0.966631107897086</v>
      </c>
      <c r="E132" s="11" t="n">
        <v>1.13456966919146</v>
      </c>
      <c r="F132" s="11" t="n">
        <v>1.31328433824226</v>
      </c>
      <c r="G132" s="11" t="n">
        <v>1.49628682078048</v>
      </c>
      <c r="H132" s="11" t="n">
        <v>1.6791625725898</v>
      </c>
      <c r="I132" s="11" t="n">
        <v>1.85904383886004</v>
      </c>
      <c r="J132" s="11" t="n">
        <v>2.03405245536465</v>
      </c>
      <c r="K132" s="11" t="n">
        <v>2.20290503533464</v>
      </c>
      <c r="L132" s="11" t="n">
        <v>2.3646974929795</v>
      </c>
      <c r="M132" s="11" t="n">
        <v>3.75538562441244</v>
      </c>
      <c r="N132" s="11" t="n">
        <v>3.8160079375829</v>
      </c>
      <c r="O132" s="11" t="n">
        <v>3.87186467449044</v>
      </c>
      <c r="P132" s="11" t="n">
        <v>3.92328835245603</v>
      </c>
      <c r="Q132" s="11" t="n">
        <v>3.97059563624674</v>
      </c>
      <c r="R132" s="11" t="n">
        <v>4.01407953559816</v>
      </c>
      <c r="S132" s="11" t="n">
        <v>4.05400420523114</v>
      </c>
      <c r="T132" s="11" t="n">
        <v>4.09060865094324</v>
      </c>
      <c r="U132" s="11" t="n">
        <v>4.12411042797984</v>
      </c>
      <c r="V132" s="11" t="n">
        <v>4.15470881286578</v>
      </c>
      <c r="W132" s="11" t="n">
        <v>4.18258899727361</v>
      </c>
      <c r="X132" s="11" t="n">
        <v>4.20792606563868</v>
      </c>
      <c r="Y132" s="11" t="n">
        <v>4.23088629157756</v>
      </c>
      <c r="Z132" s="11" t="n">
        <v>4.25162789581032</v>
      </c>
      <c r="AA132" s="11" t="n">
        <v>4.27030200654093</v>
      </c>
      <c r="AB132" s="11" t="n">
        <v>4.28705352595734</v>
      </c>
      <c r="AC132" s="11" t="n">
        <v>4.30202189562491</v>
      </c>
      <c r="AD132" s="11" t="n">
        <v>4.31534176216867</v>
      </c>
      <c r="AE132" s="11" t="n">
        <v>4.32714337049582</v>
      </c>
      <c r="AF132" s="11" t="n">
        <v>4.33755076599548</v>
      </c>
      <c r="AG132" s="11" t="n">
        <v>4.34667966260192</v>
      </c>
      <c r="AH132" s="11" t="n">
        <v>4.35463799422301</v>
      </c>
      <c r="AI132" s="11" t="n">
        <v>4.36152672513389</v>
      </c>
      <c r="AJ132" s="11" t="n">
        <v>4.36744044375716</v>
      </c>
      <c r="AK132" s="11" t="n">
        <v>4.37246616981326</v>
      </c>
    </row>
    <row r="133" customFormat="false" ht="15" hidden="false" customHeight="false" outlineLevel="0" collapsed="false">
      <c r="A133" s="10" t="n">
        <v>8</v>
      </c>
      <c r="B133" s="8" t="n">
        <v>40484</v>
      </c>
      <c r="C133" s="11" t="n">
        <v>0.81876967093343</v>
      </c>
      <c r="D133" s="11" t="n">
        <v>0.966895003752237</v>
      </c>
      <c r="E133" s="11" t="n">
        <v>1.13388362720769</v>
      </c>
      <c r="F133" s="11" t="n">
        <v>1.3113776067974</v>
      </c>
      <c r="G133" s="11" t="n">
        <v>1.49300476380968</v>
      </c>
      <c r="H133" s="11" t="n">
        <v>1.67443739160762</v>
      </c>
      <c r="I133" s="11" t="n">
        <v>1.85287098597842</v>
      </c>
      <c r="J133" s="11" t="n">
        <v>2.02648171610071</v>
      </c>
      <c r="K133" s="11" t="n">
        <v>2.19403398352279</v>
      </c>
      <c r="L133" s="11" t="n">
        <v>2.35466192801527</v>
      </c>
      <c r="M133" s="11" t="n">
        <v>3.74537225551161</v>
      </c>
      <c r="N133" s="11" t="n">
        <v>3.80685002114709</v>
      </c>
      <c r="O133" s="11" t="n">
        <v>3.86361726601571</v>
      </c>
      <c r="P133" s="11" t="n">
        <v>3.91599300274966</v>
      </c>
      <c r="Q133" s="11" t="n">
        <v>3.96428062639209</v>
      </c>
      <c r="R133" s="11" t="n">
        <v>4.00876064140731</v>
      </c>
      <c r="S133" s="11" t="n">
        <v>4.04968593021863</v>
      </c>
      <c r="T133" s="11" t="n">
        <v>4.08728532679722</v>
      </c>
      <c r="U133" s="11" t="n">
        <v>4.12176715319919</v>
      </c>
      <c r="V133" s="11" t="n">
        <v>4.15332228113207</v>
      </c>
      <c r="W133" s="11" t="n">
        <v>4.18212854295301</v>
      </c>
      <c r="X133" s="11" t="n">
        <v>4.20835496082596</v>
      </c>
      <c r="Y133" s="11" t="n">
        <v>4.23216295928701</v>
      </c>
      <c r="Z133" s="11" t="n">
        <v>4.25370702573356</v>
      </c>
      <c r="AA133" s="11" t="n">
        <v>4.27313553914106</v>
      </c>
      <c r="AB133" s="11" t="n">
        <v>4.29059152081985</v>
      </c>
      <c r="AC133" s="11" t="n">
        <v>4.30621336085966</v>
      </c>
      <c r="AD133" s="11" t="n">
        <v>4.3201354678329</v>
      </c>
      <c r="AE133" s="11" t="n">
        <v>4.33248857167002</v>
      </c>
      <c r="AF133" s="11" t="n">
        <v>4.34339777241169</v>
      </c>
      <c r="AG133" s="11" t="n">
        <v>4.3529802909654</v>
      </c>
      <c r="AH133" s="11" t="n">
        <v>4.3613459709148</v>
      </c>
      <c r="AI133" s="11" t="n">
        <v>4.36859804696967</v>
      </c>
      <c r="AJ133" s="11" t="n">
        <v>4.37483369547721</v>
      </c>
      <c r="AK133" s="11" t="n">
        <v>4.38014274276774</v>
      </c>
    </row>
    <row r="134" customFormat="false" ht="15" hidden="false" customHeight="false" outlineLevel="0" collapsed="false">
      <c r="A134" s="10" t="n">
        <v>9</v>
      </c>
      <c r="B134" s="8" t="n">
        <v>40485</v>
      </c>
      <c r="C134" s="11" t="n">
        <v>0.805493543994657</v>
      </c>
      <c r="D134" s="11" t="n">
        <v>0.950550213047696</v>
      </c>
      <c r="E134" s="11" t="n">
        <v>1.11506145364274</v>
      </c>
      <c r="F134" s="11" t="n">
        <v>1.29046843309179</v>
      </c>
      <c r="G134" s="11" t="n">
        <v>1.47028590671463</v>
      </c>
      <c r="H134" s="11" t="n">
        <v>1.65011501406521</v>
      </c>
      <c r="I134" s="11" t="n">
        <v>1.82710298951579</v>
      </c>
      <c r="J134" s="11" t="n">
        <v>1.99940120746112</v>
      </c>
      <c r="K134" s="11" t="n">
        <v>2.16576711819007</v>
      </c>
      <c r="L134" s="11" t="n">
        <v>2.32533560984394</v>
      </c>
      <c r="M134" s="11" t="n">
        <v>3.71018607101308</v>
      </c>
      <c r="N134" s="11" t="n">
        <v>3.77145376450627</v>
      </c>
      <c r="O134" s="11" t="n">
        <v>3.8280150894557</v>
      </c>
      <c r="P134" s="11" t="n">
        <v>3.88018759909007</v>
      </c>
      <c r="Q134" s="11" t="n">
        <v>3.92827386893229</v>
      </c>
      <c r="R134" s="11" t="n">
        <v>3.97255410707616</v>
      </c>
      <c r="S134" s="11" t="n">
        <v>4.01328142915825</v>
      </c>
      <c r="T134" s="11" t="n">
        <v>4.05068536826218</v>
      </c>
      <c r="U134" s="11" t="n">
        <v>4.08497534294114</v>
      </c>
      <c r="V134" s="11" t="n">
        <v>4.11634365675993</v>
      </c>
      <c r="W134" s="11" t="n">
        <v>4.14496975052196</v>
      </c>
      <c r="X134" s="11" t="n">
        <v>4.17102423696894</v>
      </c>
      <c r="Y134" s="11" t="n">
        <v>4.19467005621811</v>
      </c>
      <c r="Z134" s="11" t="n">
        <v>4.21606310665526</v>
      </c>
      <c r="AA134" s="11" t="n">
        <v>4.23535308256554</v>
      </c>
      <c r="AB134" s="11" t="n">
        <v>4.25268423355783</v>
      </c>
      <c r="AC134" s="11" t="n">
        <v>4.26819605502863</v>
      </c>
      <c r="AD134" s="11" t="n">
        <v>4.28202389340129</v>
      </c>
      <c r="AE134" s="11" t="n">
        <v>4.29429925307021</v>
      </c>
      <c r="AF134" s="11" t="n">
        <v>4.30514779442806</v>
      </c>
      <c r="AG134" s="11" t="n">
        <v>4.31468705927796</v>
      </c>
      <c r="AH134" s="11" t="n">
        <v>4.32302699753469</v>
      </c>
      <c r="AI134" s="11" t="n">
        <v>4.33027075802921</v>
      </c>
      <c r="AJ134" s="11" t="n">
        <v>4.33651525318606</v>
      </c>
      <c r="AK134" s="11" t="n">
        <v>4.3418498360384</v>
      </c>
    </row>
    <row r="135" customFormat="false" ht="15" hidden="false" customHeight="false" outlineLevel="0" collapsed="false">
      <c r="A135" s="10" t="n">
        <v>10</v>
      </c>
      <c r="B135" s="8" t="n">
        <v>40486</v>
      </c>
      <c r="C135" s="11" t="n">
        <v>0.775947485349222</v>
      </c>
      <c r="D135" s="11" t="n">
        <v>0.916254284733734</v>
      </c>
      <c r="E135" s="11" t="n">
        <v>1.07690560221894</v>
      </c>
      <c r="F135" s="11" t="n">
        <v>1.24911668989504</v>
      </c>
      <c r="G135" s="11" t="n">
        <v>1.42632558726251</v>
      </c>
      <c r="H135" s="11" t="n">
        <v>1.60408718457459</v>
      </c>
      <c r="I135" s="11" t="n">
        <v>1.77950728834419</v>
      </c>
      <c r="J135" s="11" t="n">
        <v>1.95069726287006</v>
      </c>
      <c r="K135" s="11" t="n">
        <v>2.11637567919845</v>
      </c>
      <c r="L135" s="11" t="n">
        <v>2.27564028820789</v>
      </c>
      <c r="M135" s="11" t="n">
        <v>3.67863006719802</v>
      </c>
      <c r="N135" s="11" t="n">
        <v>3.74213592137355</v>
      </c>
      <c r="O135" s="11" t="n">
        <v>3.80095122068606</v>
      </c>
      <c r="P135" s="11" t="n">
        <v>3.85537620960703</v>
      </c>
      <c r="Q135" s="11" t="n">
        <v>3.90569675656713</v>
      </c>
      <c r="R135" s="11" t="n">
        <v>3.95217764615706</v>
      </c>
      <c r="S135" s="11" t="n">
        <v>3.99505839718219</v>
      </c>
      <c r="T135" s="11" t="n">
        <v>4.03455655866769</v>
      </c>
      <c r="U135" s="11" t="n">
        <v>4.07087094070855</v>
      </c>
      <c r="V135" s="11" t="n">
        <v>4.10418447930754</v>
      </c>
      <c r="W135" s="11" t="n">
        <v>4.13466918824168</v>
      </c>
      <c r="X135" s="11" t="n">
        <v>4.16249095294973</v>
      </c>
      <c r="Y135" s="11" t="n">
        <v>4.18781023179371</v>
      </c>
      <c r="Z135" s="11" t="n">
        <v>4.21078213699737</v>
      </c>
      <c r="AA135" s="11" t="n">
        <v>4.23155702980248</v>
      </c>
      <c r="AB135" s="11" t="n">
        <v>4.25028109640751</v>
      </c>
      <c r="AC135" s="11" t="n">
        <v>4.26709679443062</v>
      </c>
      <c r="AD135" s="11" t="n">
        <v>4.28214322452131</v>
      </c>
      <c r="AE135" s="11" t="n">
        <v>4.29555630998649</v>
      </c>
      <c r="AF135" s="11" t="n">
        <v>4.30746643204874</v>
      </c>
      <c r="AG135" s="11" t="n">
        <v>4.31799581489401</v>
      </c>
      <c r="AH135" s="11" t="n">
        <v>4.32725902645309</v>
      </c>
      <c r="AI135" s="11" t="n">
        <v>4.33536377591316</v>
      </c>
      <c r="AJ135" s="11" t="n">
        <v>4.34241147015603</v>
      </c>
      <c r="AK135" s="11" t="n">
        <v>4.34849572197408</v>
      </c>
    </row>
    <row r="138" customFormat="false" ht="52.2" hidden="false" customHeight="false" outlineLevel="0" collapsed="false">
      <c r="A138" s="3" t="s">
        <v>85</v>
      </c>
      <c r="B138" s="3" t="s">
        <v>72</v>
      </c>
      <c r="C138" s="3" t="s">
        <v>194</v>
      </c>
      <c r="D138" s="3" t="s">
        <v>195</v>
      </c>
      <c r="E138" s="3" t="s">
        <v>196</v>
      </c>
      <c r="F138" s="3" t="s">
        <v>197</v>
      </c>
      <c r="G138" s="3" t="s">
        <v>198</v>
      </c>
      <c r="H138" s="3" t="s">
        <v>199</v>
      </c>
      <c r="I138" s="3" t="s">
        <v>200</v>
      </c>
      <c r="J138" s="3" t="s">
        <v>201</v>
      </c>
      <c r="K138" s="3" t="s">
        <v>202</v>
      </c>
      <c r="L138" s="3" t="s">
        <v>203</v>
      </c>
      <c r="M138" s="3" t="s">
        <v>131</v>
      </c>
      <c r="N138" s="3" t="s">
        <v>132</v>
      </c>
      <c r="O138" s="3" t="s">
        <v>133</v>
      </c>
      <c r="P138" s="3" t="s">
        <v>134</v>
      </c>
      <c r="Q138" s="3" t="s">
        <v>135</v>
      </c>
      <c r="R138" s="3" t="s">
        <v>136</v>
      </c>
      <c r="S138" s="3" t="s">
        <v>137</v>
      </c>
      <c r="T138" s="3" t="s">
        <v>138</v>
      </c>
      <c r="U138" s="3" t="s">
        <v>139</v>
      </c>
      <c r="V138" s="3" t="s">
        <v>140</v>
      </c>
      <c r="W138" s="3" t="s">
        <v>141</v>
      </c>
      <c r="X138" s="3" t="s">
        <v>142</v>
      </c>
      <c r="Y138" s="3" t="s">
        <v>143</v>
      </c>
      <c r="Z138" s="3" t="s">
        <v>144</v>
      </c>
      <c r="AA138" s="3" t="s">
        <v>145</v>
      </c>
      <c r="AB138" s="3" t="s">
        <v>146</v>
      </c>
      <c r="AC138" s="3" t="s">
        <v>147</v>
      </c>
      <c r="AD138" s="3" t="s">
        <v>148</v>
      </c>
      <c r="AE138" s="3" t="s">
        <v>149</v>
      </c>
      <c r="AF138" s="3" t="s">
        <v>150</v>
      </c>
      <c r="AG138" s="3" t="s">
        <v>151</v>
      </c>
      <c r="AH138" s="3" t="s">
        <v>152</v>
      </c>
      <c r="AI138" s="3" t="s">
        <v>153</v>
      </c>
      <c r="AJ138" s="3" t="s">
        <v>154</v>
      </c>
      <c r="AK138" s="3" t="s">
        <v>155</v>
      </c>
      <c r="AL138" s="3" t="s">
        <v>156</v>
      </c>
    </row>
    <row r="139" customFormat="false" ht="15" hidden="false" customHeight="false" outlineLevel="0" collapsed="false">
      <c r="A139" s="20" t="n">
        <f aca="false">A5</f>
        <v>-120</v>
      </c>
      <c r="B139" s="21" t="n">
        <f aca="false">B5</f>
        <v>40302</v>
      </c>
      <c r="C139" s="22" t="n">
        <f aca="false">100*(C5-C4)</f>
        <v>-2.95871826902612</v>
      </c>
      <c r="D139" s="22" t="n">
        <f aca="false">100*(D5-D4)</f>
        <v>-3.4884487156811</v>
      </c>
      <c r="E139" s="22" t="n">
        <f aca="false">100*(E5-E4)</f>
        <v>-3.91400995274021</v>
      </c>
      <c r="F139" s="22" t="n">
        <f aca="false">100*(F5-F4)</f>
        <v>-4.30431895413599</v>
      </c>
      <c r="G139" s="22" t="n">
        <f aca="false">100*(G5-G4)</f>
        <v>-4.68560349008489</v>
      </c>
      <c r="H139" s="22" t="n">
        <f aca="false">100*(H5-H4)</f>
        <v>-5.06435729747943</v>
      </c>
      <c r="I139" s="22" t="n">
        <f aca="false">100*(I5-I4)</f>
        <v>-5.43809588786761</v>
      </c>
      <c r="J139" s="22" t="n">
        <f aca="false">100*(J5-J4)</f>
        <v>-5.80096474866001</v>
      </c>
      <c r="K139" s="22" t="n">
        <f aca="false">100*(K5-K4)</f>
        <v>-6.14634711637732</v>
      </c>
      <c r="L139" s="22" t="n">
        <f aca="false">100*(L5-L4)</f>
        <v>-6.46851627923351</v>
      </c>
      <c r="M139" s="22" t="n">
        <f aca="false">100*(M5-M4)</f>
        <v>-8.27283348837158</v>
      </c>
      <c r="N139" s="22" t="n">
        <f aca="false">100*(N5-N4)</f>
        <v>-8.28794878590999</v>
      </c>
      <c r="O139" s="22" t="n">
        <f aca="false">100*(O5-O4)</f>
        <v>-8.293975991662</v>
      </c>
      <c r="P139" s="22" t="n">
        <f aca="false">100*(P5-P4)</f>
        <v>-8.29197864105193</v>
      </c>
      <c r="Q139" s="22" t="n">
        <f aca="false">100*(Q5-Q4)</f>
        <v>-8.28289824997439</v>
      </c>
      <c r="R139" s="22" t="n">
        <f aca="false">100*(R5-R4)</f>
        <v>-8.26757665120184</v>
      </c>
      <c r="S139" s="22" t="n">
        <f aca="false">100*(S5-S4)</f>
        <v>-8.24674866525923</v>
      </c>
      <c r="T139" s="22" t="n">
        <f aca="false">100*(T5-T4)</f>
        <v>-8.22104266767996</v>
      </c>
      <c r="U139" s="22" t="n">
        <f aca="false">100*(U5-U4)</f>
        <v>-8.19099584586338</v>
      </c>
      <c r="V139" s="22" t="n">
        <f aca="false">100*(V5-V4)</f>
        <v>-8.15706722595033</v>
      </c>
      <c r="W139" s="22" t="n">
        <f aca="false">100*(W5-W4)</f>
        <v>-8.11964955581042</v>
      </c>
      <c r="X139" s="22" t="n">
        <f aca="false">100*(X5-X4)</f>
        <v>-8.07909016812909</v>
      </c>
      <c r="Y139" s="22" t="n">
        <f aca="false">100*(Y5-Y4)</f>
        <v>-8.03569990589015</v>
      </c>
      <c r="Z139" s="22" t="n">
        <f aca="false">100*(Z5-Z4)</f>
        <v>-7.98975536277871</v>
      </c>
      <c r="AA139" s="22" t="n">
        <f aca="false">100*(AA5-AA4)</f>
        <v>-7.94150944016501</v>
      </c>
      <c r="AB139" s="22" t="n">
        <f aca="false">100*(AB5-AB4)</f>
        <v>-7.89119638528089</v>
      </c>
      <c r="AC139" s="22" t="n">
        <f aca="false">100*(AC5-AC4)</f>
        <v>-7.83903416900404</v>
      </c>
      <c r="AD139" s="22" t="n">
        <f aca="false">100*(AD5-AD4)</f>
        <v>-7.78523049771787</v>
      </c>
      <c r="AE139" s="22" t="n">
        <f aca="false">100*(AE5-AE4)</f>
        <v>-7.72999176311124</v>
      </c>
      <c r="AF139" s="22" t="n">
        <f aca="false">100*(AF5-AF4)</f>
        <v>-7.6735244992145</v>
      </c>
      <c r="AG139" s="22" t="n">
        <f aca="false">100*(AG5-AG4)</f>
        <v>-7.61603214362339</v>
      </c>
      <c r="AH139" s="22" t="n">
        <f aca="false">100*(AH5-AH4)</f>
        <v>-7.55771405544845</v>
      </c>
      <c r="AI139" s="22" t="n">
        <f aca="false">100*(AI5-AI4)</f>
        <v>-7.4987669460775</v>
      </c>
      <c r="AJ139" s="22" t="n">
        <f aca="false">100*(AJ5-AJ4)</f>
        <v>-7.43938493693666</v>
      </c>
      <c r="AK139" s="22" t="n">
        <f aca="false">100*(AK5-AK4)</f>
        <v>-7.37975661994073</v>
      </c>
      <c r="AL139" s="22" t="n">
        <f aca="false">AVERAGE(C139:AK139)</f>
        <v>-7.06739381066684</v>
      </c>
    </row>
    <row r="140" customFormat="false" ht="15" hidden="false" customHeight="false" outlineLevel="0" collapsed="false">
      <c r="A140" s="20" t="n">
        <f aca="false">A6</f>
        <v>-119</v>
      </c>
      <c r="B140" s="21" t="n">
        <f aca="false">B6</f>
        <v>40303</v>
      </c>
      <c r="C140" s="22" t="n">
        <f aca="false">100*(C6-C5)</f>
        <v>-2.2001598272726</v>
      </c>
      <c r="D140" s="22" t="n">
        <f aca="false">100*(D6-D5)</f>
        <v>-2.39178192260501</v>
      </c>
      <c r="E140" s="22" t="n">
        <f aca="false">100*(E6-E5)</f>
        <v>-2.48721099957019</v>
      </c>
      <c r="F140" s="22" t="n">
        <f aca="false">100*(F6-F5)</f>
        <v>-2.52336403239122</v>
      </c>
      <c r="G140" s="22" t="n">
        <f aca="false">100*(G6-G5)</f>
        <v>-2.52119268855808</v>
      </c>
      <c r="H140" s="22" t="n">
        <f aca="false">100*(H6-H5)</f>
        <v>-2.4950727728116</v>
      </c>
      <c r="I140" s="22" t="n">
        <f aca="false">100*(I6-I5)</f>
        <v>-2.45575144892709</v>
      </c>
      <c r="J140" s="22" t="n">
        <f aca="false">100*(J6-J5)</f>
        <v>-2.41154126612639</v>
      </c>
      <c r="K140" s="22" t="n">
        <f aca="false">100*(K6-K5)</f>
        <v>-2.3687149082825</v>
      </c>
      <c r="L140" s="22" t="n">
        <f aca="false">100*(L6-L5)</f>
        <v>-2.33165077652382</v>
      </c>
      <c r="M140" s="22" t="n">
        <f aca="false">100*(M6-M5)</f>
        <v>-2.02671479072212</v>
      </c>
      <c r="N140" s="22" t="n">
        <f aca="false">100*(N6-N5)</f>
        <v>-1.95234293812794</v>
      </c>
      <c r="O140" s="22" t="n">
        <f aca="false">100*(O6-O5)</f>
        <v>-1.86909257526802</v>
      </c>
      <c r="P140" s="22" t="n">
        <f aca="false">100*(P6-P5)</f>
        <v>-1.7780609070714</v>
      </c>
      <c r="Q140" s="22" t="n">
        <f aca="false">100*(Q6-Q5)</f>
        <v>-1.68047067397001</v>
      </c>
      <c r="R140" s="22" t="n">
        <f aca="false">100*(R6-R5)</f>
        <v>-1.5776055752414</v>
      </c>
      <c r="S140" s="22" t="n">
        <f aca="false">100*(S6-S5)</f>
        <v>-1.47065498058279</v>
      </c>
      <c r="T140" s="22" t="n">
        <f aca="false">100*(T6-T5)</f>
        <v>-1.36067772349717</v>
      </c>
      <c r="U140" s="22" t="n">
        <f aca="false">100*(U6-U5)</f>
        <v>-1.24862058498358</v>
      </c>
      <c r="V140" s="22" t="n">
        <f aca="false">100*(V6-V5)</f>
        <v>-1.13533430103692</v>
      </c>
      <c r="W140" s="22" t="n">
        <f aca="false">100*(W6-W5)</f>
        <v>-1.02158785738151</v>
      </c>
      <c r="X140" s="22" t="n">
        <f aca="false">100*(X6-X5)</f>
        <v>-0.908088629403459</v>
      </c>
      <c r="Y140" s="22" t="n">
        <f aca="false">100*(Y6-Y5)</f>
        <v>-0.795487506979598</v>
      </c>
      <c r="Z140" s="22" t="n">
        <f aca="false">100*(Z6-Z5)</f>
        <v>-0.684370750105678</v>
      </c>
      <c r="AA140" s="22" t="n">
        <f aca="false">100*(AA6-AA5)</f>
        <v>-0.575251503991936</v>
      </c>
      <c r="AB140" s="22" t="n">
        <f aca="false">100*(AB6-AB5)</f>
        <v>-0.468576179515612</v>
      </c>
      <c r="AC140" s="22" t="n">
        <f aca="false">100*(AC6-AC5)</f>
        <v>-0.364732289183678</v>
      </c>
      <c r="AD140" s="22" t="n">
        <f aca="false">100*(AD6-AD5)</f>
        <v>-0.264051019279421</v>
      </c>
      <c r="AE140" s="22" t="n">
        <f aca="false">100*(AE6-AE5)</f>
        <v>-0.166804329178394</v>
      </c>
      <c r="AF140" s="22" t="n">
        <f aca="false">100*(AF6-AF5)</f>
        <v>-0.0732091506987054</v>
      </c>
      <c r="AG140" s="22" t="n">
        <f aca="false">100*(AG6-AG5)</f>
        <v>0.0165688165674638</v>
      </c>
      <c r="AH140" s="22" t="n">
        <f aca="false">100*(AH6-AH5)</f>
        <v>0.10240875646037</v>
      </c>
      <c r="AI140" s="22" t="n">
        <f aca="false">100*(AI6-AI5)</f>
        <v>0.184228585639268</v>
      </c>
      <c r="AJ140" s="22" t="n">
        <f aca="false">100*(AJ6-AJ5)</f>
        <v>0.261981170037284</v>
      </c>
      <c r="AK140" s="22" t="n">
        <f aca="false">100*(AK6-AK5)</f>
        <v>0.335652503257133</v>
      </c>
      <c r="AL140" s="22" t="n">
        <f aca="false">AVERAGE(C140:AK140)</f>
        <v>-1.27735243078075</v>
      </c>
    </row>
    <row r="141" customFormat="false" ht="15" hidden="false" customHeight="false" outlineLevel="0" collapsed="false">
      <c r="A141" s="20" t="n">
        <f aca="false">A7</f>
        <v>-118</v>
      </c>
      <c r="B141" s="21" t="n">
        <f aca="false">B7</f>
        <v>40304</v>
      </c>
      <c r="C141" s="22" t="n">
        <f aca="false">100*(C7-C6)</f>
        <v>1.00218725008241</v>
      </c>
      <c r="D141" s="22" t="n">
        <f aca="false">100*(D7-D6)</f>
        <v>0.83700016334991</v>
      </c>
      <c r="E141" s="22" t="n">
        <f aca="false">100*(E7-E6)</f>
        <v>0.621920411863997</v>
      </c>
      <c r="F141" s="22" t="n">
        <f aca="false">100*(F7-F6)</f>
        <v>0.386957025953505</v>
      </c>
      <c r="G141" s="22" t="n">
        <f aca="false">100*(G7-G6)</f>
        <v>0.145100840313983</v>
      </c>
      <c r="H141" s="22" t="n">
        <f aca="false">100*(H7-H6)</f>
        <v>-0.0974588952928901</v>
      </c>
      <c r="I141" s="22" t="n">
        <f aca="false">100*(I7-I6)</f>
        <v>-0.33712128476302</v>
      </c>
      <c r="J141" s="22" t="n">
        <f aca="false">100*(J7-J6)</f>
        <v>-0.571212190942427</v>
      </c>
      <c r="K141" s="22" t="n">
        <f aca="false">100*(K7-K6)</f>
        <v>-0.797375640052289</v>
      </c>
      <c r="L141" s="22" t="n">
        <f aca="false">100*(L7-L6)</f>
        <v>-1.01367817747358</v>
      </c>
      <c r="M141" s="22" t="n">
        <f aca="false">100*(M7-M6)</f>
        <v>-2.80383214301558</v>
      </c>
      <c r="N141" s="22" t="n">
        <f aca="false">100*(N7-N6)</f>
        <v>-2.87864754799303</v>
      </c>
      <c r="O141" s="22" t="n">
        <f aca="false">100*(O7-O6)</f>
        <v>-2.94725371557361</v>
      </c>
      <c r="P141" s="22" t="n">
        <f aca="false">100*(P7-P6)</f>
        <v>-3.010200707139</v>
      </c>
      <c r="Q141" s="22" t="n">
        <f aca="false">100*(Q7-Q6)</f>
        <v>-3.06803598444763</v>
      </c>
      <c r="R141" s="22" t="n">
        <f aca="false">100*(R7-R6)</f>
        <v>-3.12130488466691</v>
      </c>
      <c r="S141" s="22" t="n">
        <f aca="false">100*(S7-S6)</f>
        <v>-3.17052331533558</v>
      </c>
      <c r="T141" s="22" t="n">
        <f aca="false">100*(T7-T6)</f>
        <v>-3.21616620554765</v>
      </c>
      <c r="U141" s="22" t="n">
        <f aca="false">100*(U7-U6)</f>
        <v>-3.25867317387294</v>
      </c>
      <c r="V141" s="22" t="n">
        <f aca="false">100*(V7-V6)</f>
        <v>-3.29845357271719</v>
      </c>
      <c r="W141" s="22" t="n">
        <f aca="false">100*(W7-W6)</f>
        <v>-3.33589125550517</v>
      </c>
      <c r="X141" s="22" t="n">
        <f aca="false">100*(X7-X6)</f>
        <v>-3.37134552081011</v>
      </c>
      <c r="Y141" s="22" t="n">
        <f aca="false">100*(Y7-Y6)</f>
        <v>-3.40513013940758</v>
      </c>
      <c r="Z141" s="22" t="n">
        <f aca="false">100*(Z7-Z6)</f>
        <v>-3.43750832142131</v>
      </c>
      <c r="AA141" s="22" t="n">
        <f aca="false">100*(AA7-AA6)</f>
        <v>-3.46869921739694</v>
      </c>
      <c r="AB141" s="22" t="n">
        <f aca="false">100*(AB7-AB6)</f>
        <v>-3.4988841945264</v>
      </c>
      <c r="AC141" s="22" t="n">
        <f aca="false">100*(AC7-AC6)</f>
        <v>-3.5282112983106</v>
      </c>
      <c r="AD141" s="22" t="n">
        <f aca="false">100*(AD7-AD6)</f>
        <v>-3.55679701470404</v>
      </c>
      <c r="AE141" s="22" t="n">
        <f aca="false">100*(AE7-AE6)</f>
        <v>-3.58472507311705</v>
      </c>
      <c r="AF141" s="22" t="n">
        <f aca="false">100*(AF7-AF6)</f>
        <v>-3.61204873058636</v>
      </c>
      <c r="AG141" s="22" t="n">
        <f aca="false">100*(AG7-AG6)</f>
        <v>-3.63879243675225</v>
      </c>
      <c r="AH141" s="22" t="n">
        <f aca="false">100*(AH7-AH6)</f>
        <v>-3.66495689744006</v>
      </c>
      <c r="AI141" s="22" t="n">
        <f aca="false">100*(AI7-AI6)</f>
        <v>-3.69052323754699</v>
      </c>
      <c r="AJ141" s="22" t="n">
        <f aca="false">100*(AJ7-AJ6)</f>
        <v>-3.71545481853488</v>
      </c>
      <c r="AK141" s="22" t="n">
        <f aca="false">100*(AK7-AK6)</f>
        <v>-3.73969712492883</v>
      </c>
      <c r="AL141" s="22" t="n">
        <f aca="false">AVERAGE(C141:AK141)</f>
        <v>-2.39558391509309</v>
      </c>
    </row>
    <row r="142" customFormat="false" ht="15" hidden="false" customHeight="false" outlineLevel="0" collapsed="false">
      <c r="A142" s="20" t="n">
        <f aca="false">A8</f>
        <v>-117</v>
      </c>
      <c r="B142" s="21" t="n">
        <f aca="false">B8</f>
        <v>40305</v>
      </c>
      <c r="C142" s="22" t="n">
        <f aca="false">100*(C8-C7)</f>
        <v>1.5726773472007</v>
      </c>
      <c r="D142" s="22" t="n">
        <f aca="false">100*(D8-D7)</f>
        <v>1.51714573999848</v>
      </c>
      <c r="E142" s="22" t="n">
        <f aca="false">100*(E8-E7)</f>
        <v>1.55011742706681</v>
      </c>
      <c r="F142" s="22" t="n">
        <f aca="false">100*(F8-F7)</f>
        <v>1.65734054545661</v>
      </c>
      <c r="G142" s="22" t="n">
        <f aca="false">100*(G8-G7)</f>
        <v>1.82362663091959</v>
      </c>
      <c r="H142" s="22" t="n">
        <f aca="false">100*(H8-H7)</f>
        <v>2.03476076539282</v>
      </c>
      <c r="I142" s="22" t="n">
        <f aca="false">100*(I8-I7)</f>
        <v>2.27720403862963</v>
      </c>
      <c r="J142" s="22" t="n">
        <f aca="false">100*(J8-J7)</f>
        <v>2.53756914550523</v>
      </c>
      <c r="K142" s="22" t="n">
        <f aca="false">100*(K8-K7)</f>
        <v>2.80281043714492</v>
      </c>
      <c r="L142" s="22" t="n">
        <f aca="false">100*(L8-L7)</f>
        <v>3.06057136273008</v>
      </c>
      <c r="M142" s="22" t="n">
        <f aca="false">100*(M8-M7)</f>
        <v>3.56067093604988</v>
      </c>
      <c r="N142" s="22" t="n">
        <f aca="false">100*(N8-N7)</f>
        <v>3.40280061512797</v>
      </c>
      <c r="O142" s="22" t="n">
        <f aca="false">100*(O8-O7)</f>
        <v>3.23259702949867</v>
      </c>
      <c r="P142" s="22" t="n">
        <f aca="false">100*(P8-P7)</f>
        <v>3.05332378696379</v>
      </c>
      <c r="Q142" s="22" t="n">
        <f aca="false">100*(Q8-Q7)</f>
        <v>2.8680947404446</v>
      </c>
      <c r="R142" s="22" t="n">
        <f aca="false">100*(R8-R7)</f>
        <v>2.67977025699953</v>
      </c>
      <c r="S142" s="22" t="n">
        <f aca="false">100*(S8-S7)</f>
        <v>2.49075901016527</v>
      </c>
      <c r="T142" s="22" t="n">
        <f aca="false">100*(T8-T7)</f>
        <v>2.30304565230872</v>
      </c>
      <c r="U142" s="22" t="n">
        <f aca="false">100*(U8-U7)</f>
        <v>2.11825342769503</v>
      </c>
      <c r="V142" s="22" t="n">
        <f aca="false">100*(V8-V7)</f>
        <v>1.93769580221534</v>
      </c>
      <c r="W142" s="22" t="n">
        <f aca="false">100*(W8-W7)</f>
        <v>1.76241581030858</v>
      </c>
      <c r="X142" s="22" t="n">
        <f aca="false">100*(X8-X7)</f>
        <v>1.5931786561481</v>
      </c>
      <c r="Y142" s="22" t="n">
        <f aca="false">100*(Y8-Y7)</f>
        <v>1.43048766876301</v>
      </c>
      <c r="Z142" s="22" t="n">
        <f aca="false">100*(Z8-Z7)</f>
        <v>1.27463782767911</v>
      </c>
      <c r="AA142" s="22" t="n">
        <f aca="false">100*(AA8-AA7)</f>
        <v>1.12575163671798</v>
      </c>
      <c r="AB142" s="22" t="n">
        <f aca="false">100*(AB8-AB7)</f>
        <v>0.983799520072726</v>
      </c>
      <c r="AC142" s="22" t="n">
        <f aca="false">100*(AC8-AC7)</f>
        <v>0.84861840698105</v>
      </c>
      <c r="AD142" s="22" t="n">
        <f aca="false">100*(AD8-AD7)</f>
        <v>0.719943952085522</v>
      </c>
      <c r="AE142" s="22" t="n">
        <f aca="false">100*(AE8-AE7)</f>
        <v>0.597455596691265</v>
      </c>
      <c r="AF142" s="22" t="n">
        <f aca="false">100*(AF8-AF7)</f>
        <v>0.480791373275391</v>
      </c>
      <c r="AG142" s="22" t="n">
        <f aca="false">100*(AG8-AG7)</f>
        <v>0.369579235381146</v>
      </c>
      <c r="AH142" s="22" t="n">
        <f aca="false">100*(AH8-AH7)</f>
        <v>0.263474052734303</v>
      </c>
      <c r="AI142" s="22" t="n">
        <f aca="false">100*(AI8-AI7)</f>
        <v>0.162158437878812</v>
      </c>
      <c r="AJ142" s="22" t="n">
        <f aca="false">100*(AJ8-AJ7)</f>
        <v>0.0653408480148165</v>
      </c>
      <c r="AK142" s="22" t="n">
        <f aca="false">100*(AK8-AK7)</f>
        <v>-0.0272319574070146</v>
      </c>
      <c r="AL142" s="22" t="n">
        <f aca="false">AVERAGE(C142:AK142)</f>
        <v>1.71803530750967</v>
      </c>
    </row>
    <row r="143" customFormat="false" ht="15" hidden="false" customHeight="false" outlineLevel="0" collapsed="false">
      <c r="A143" s="20" t="n">
        <f aca="false">A9</f>
        <v>-116</v>
      </c>
      <c r="B143" s="21" t="n">
        <f aca="false">B9</f>
        <v>40308</v>
      </c>
      <c r="C143" s="22" t="n">
        <f aca="false">100*(C9-C8)</f>
        <v>4.6082421563574</v>
      </c>
      <c r="D143" s="22" t="n">
        <f aca="false">100*(D9-D8)</f>
        <v>5.5366749159935</v>
      </c>
      <c r="E143" s="22" t="n">
        <f aca="false">100*(E9-E8)</f>
        <v>6.2201110029251</v>
      </c>
      <c r="F143" s="22" t="n">
        <f aca="false">100*(F9-F8)</f>
        <v>6.74507874896828</v>
      </c>
      <c r="G143" s="22" t="n">
        <f aca="false">100*(G9-G8)</f>
        <v>7.15722420448222</v>
      </c>
      <c r="H143" s="22" t="n">
        <f aca="false">100*(H9-H8)</f>
        <v>7.48230410275981</v>
      </c>
      <c r="I143" s="22" t="n">
        <f aca="false">100*(I9-I8)</f>
        <v>7.73728302373318</v>
      </c>
      <c r="J143" s="22" t="n">
        <f aca="false">100*(J9-J8)</f>
        <v>7.93581044014391</v>
      </c>
      <c r="K143" s="22" t="n">
        <f aca="false">100*(K9-K8)</f>
        <v>8.0898271995598</v>
      </c>
      <c r="L143" s="22" t="n">
        <f aca="false">100*(L9-L8)</f>
        <v>8.20939691621301</v>
      </c>
      <c r="M143" s="22" t="n">
        <f aca="false">100*(M9-M8)</f>
        <v>9.12626140147506</v>
      </c>
      <c r="N143" s="22" t="n">
        <f aca="false">100*(N9-N8)</f>
        <v>9.22712028588117</v>
      </c>
      <c r="O143" s="22" t="n">
        <f aca="false">100*(O9-O8)</f>
        <v>9.33201516291007</v>
      </c>
      <c r="P143" s="22" t="n">
        <f aca="false">100*(P9-P8)</f>
        <v>9.43973821540061</v>
      </c>
      <c r="Q143" s="22" t="n">
        <f aca="false">100*(Q9-Q8)</f>
        <v>9.54899423140994</v>
      </c>
      <c r="R143" s="22" t="n">
        <f aca="false">100*(R9-R8)</f>
        <v>9.65846181168342</v>
      </c>
      <c r="S143" s="22" t="n">
        <f aca="false">100*(S9-S8)</f>
        <v>9.76694369376725</v>
      </c>
      <c r="T143" s="22" t="n">
        <f aca="false">100*(T9-T8)</f>
        <v>9.87339573143524</v>
      </c>
      <c r="U143" s="22" t="n">
        <f aca="false">100*(U9-U8)</f>
        <v>9.97690495827541</v>
      </c>
      <c r="V143" s="22" t="n">
        <f aca="false">100*(V9-V8)</f>
        <v>10.0766708477172</v>
      </c>
      <c r="W143" s="22" t="n">
        <f aca="false">100*(W9-W8)</f>
        <v>10.1719900137336</v>
      </c>
      <c r="X143" s="22" t="n">
        <f aca="false">100*(X9-X8)</f>
        <v>10.2622698433553</v>
      </c>
      <c r="Y143" s="22" t="n">
        <f aca="false">100*(Y9-Y8)</f>
        <v>10.3470801473203</v>
      </c>
      <c r="Z143" s="22" t="n">
        <f aca="false">100*(Z9-Z8)</f>
        <v>10.4261441953567</v>
      </c>
      <c r="AA143" s="22" t="n">
        <f aca="false">100*(AA9-AA8)</f>
        <v>10.4993076904451</v>
      </c>
      <c r="AB143" s="22" t="n">
        <f aca="false">100*(AB9-AB8)</f>
        <v>10.5665207390929</v>
      </c>
      <c r="AC143" s="22" t="n">
        <f aca="false">100*(AC9-AC8)</f>
        <v>10.627825326141</v>
      </c>
      <c r="AD143" s="22" t="n">
        <f aca="false">100*(AD9-AD8)</f>
        <v>10.6833423818123</v>
      </c>
      <c r="AE143" s="22" t="n">
        <f aca="false">100*(AE9-AE8)</f>
        <v>10.7332586730369</v>
      </c>
      <c r="AF143" s="22" t="n">
        <f aca="false">100*(AF9-AF8)</f>
        <v>10.7778186065546</v>
      </c>
      <c r="AG143" s="22" t="n">
        <f aca="false">100*(AG9-AG8)</f>
        <v>10.8173104100002</v>
      </c>
      <c r="AH143" s="22" t="n">
        <f aca="false">100*(AH9-AH8)</f>
        <v>10.8520414977213</v>
      </c>
      <c r="AI143" s="22" t="n">
        <f aca="false">100*(AI9-AI8)</f>
        <v>10.8823311516143</v>
      </c>
      <c r="AJ143" s="22" t="n">
        <f aca="false">100*(AJ9-AJ8)</f>
        <v>10.9085092265914</v>
      </c>
      <c r="AK143" s="22" t="n">
        <f aca="false">100*(AK9-AK8)</f>
        <v>10.9309091043617</v>
      </c>
      <c r="AL143" s="22" t="n">
        <f aca="false">AVERAGE(C143:AK143)</f>
        <v>9.29243194452083</v>
      </c>
    </row>
    <row r="144" customFormat="false" ht="15" hidden="false" customHeight="false" outlineLevel="0" collapsed="false">
      <c r="A144" s="20" t="n">
        <f aca="false">A10</f>
        <v>-115</v>
      </c>
      <c r="B144" s="21" t="n">
        <f aca="false">B10</f>
        <v>40309</v>
      </c>
      <c r="C144" s="22" t="n">
        <f aca="false">100*(C10-C9)</f>
        <v>-0.700266380096304</v>
      </c>
      <c r="D144" s="22" t="n">
        <f aca="false">100*(D10-D9)</f>
        <v>-1.26799524641219</v>
      </c>
      <c r="E144" s="22" t="n">
        <f aca="false">100*(E10-E9)</f>
        <v>-1.69983550441191</v>
      </c>
      <c r="F144" s="22" t="n">
        <f aca="false">100*(F10-F9)</f>
        <v>-2.05076574752359</v>
      </c>
      <c r="G144" s="22" t="n">
        <f aca="false">100*(G10-G9)</f>
        <v>-2.35379446922979</v>
      </c>
      <c r="H144" s="22" t="n">
        <f aca="false">100*(H10-H9)</f>
        <v>-2.62465297187893</v>
      </c>
      <c r="I144" s="22" t="n">
        <f aca="false">100*(I10-I9)</f>
        <v>-2.86917011418111</v>
      </c>
      <c r="J144" s="22" t="n">
        <f aca="false">100*(J10-J9)</f>
        <v>-3.08792967036133</v>
      </c>
      <c r="K144" s="22" t="n">
        <f aca="false">100*(K10-K9)</f>
        <v>-3.27849813614471</v>
      </c>
      <c r="L144" s="22" t="n">
        <f aca="false">100*(L10-L9)</f>
        <v>-3.43677317831288</v>
      </c>
      <c r="M144" s="22" t="n">
        <f aca="false">100*(M10-M9)</f>
        <v>-1.94422524857876</v>
      </c>
      <c r="N144" s="22" t="n">
        <f aca="false">100*(N10-N9)</f>
        <v>-1.65321759360424</v>
      </c>
      <c r="O144" s="22" t="n">
        <f aca="false">100*(O10-O9)</f>
        <v>-1.36200043389545</v>
      </c>
      <c r="P144" s="22" t="n">
        <f aca="false">100*(P10-P9)</f>
        <v>-1.07512293570924</v>
      </c>
      <c r="Q144" s="22" t="n">
        <f aca="false">100*(Q10-Q9)</f>
        <v>-0.796816743005735</v>
      </c>
      <c r="R144" s="22" t="n">
        <f aca="false">100*(R10-R9)</f>
        <v>-0.530884706443047</v>
      </c>
      <c r="S144" s="22" t="n">
        <f aca="false">100*(S10-S9)</f>
        <v>-0.280344203992922</v>
      </c>
      <c r="T144" s="22" t="n">
        <f aca="false">100*(T10-T9)</f>
        <v>-0.0474260568775975</v>
      </c>
      <c r="U144" s="22" t="n">
        <f aca="false">100*(U10-U9)</f>
        <v>0.166310901004074</v>
      </c>
      <c r="V144" s="22" t="n">
        <f aca="false">100*(V10-V9)</f>
        <v>0.359883824887142</v>
      </c>
      <c r="W144" s="22" t="n">
        <f aca="false">100*(W10-W9)</f>
        <v>0.5328063714785</v>
      </c>
      <c r="X144" s="22" t="n">
        <f aca="false">100*(X10-X9)</f>
        <v>0.685052397063046</v>
      </c>
      <c r="Y144" s="22" t="n">
        <f aca="false">100*(Y10-Y9)</f>
        <v>0.817066473810169</v>
      </c>
      <c r="Z144" s="22" t="n">
        <f aca="false">100*(Z10-Z9)</f>
        <v>0.929695834815103</v>
      </c>
      <c r="AA144" s="22" t="n">
        <f aca="false">100*(AA10-AA9)</f>
        <v>1.02409253616509</v>
      </c>
      <c r="AB144" s="22" t="n">
        <f aca="false">100*(AB10-AB9)</f>
        <v>1.10166658981781</v>
      </c>
      <c r="AC144" s="22" t="n">
        <f aca="false">100*(AC10-AC9)</f>
        <v>1.16405390097833</v>
      </c>
      <c r="AD144" s="22" t="n">
        <f aca="false">100*(AD10-AD9)</f>
        <v>1.21305210669407</v>
      </c>
      <c r="AE144" s="22" t="n">
        <f aca="false">100*(AE10-AE9)</f>
        <v>1.25053150381058</v>
      </c>
      <c r="AF144" s="22" t="n">
        <f aca="false">100*(AF10-AF9)</f>
        <v>1.27841156407333</v>
      </c>
      <c r="AG144" s="22" t="n">
        <f aca="false">100*(AG10-AG9)</f>
        <v>1.29860885891038</v>
      </c>
      <c r="AH144" s="22" t="n">
        <f aca="false">100*(AH10-AH9)</f>
        <v>1.31294451157347</v>
      </c>
      <c r="AI144" s="22" t="n">
        <f aca="false">100*(AI10-AI9)</f>
        <v>1.32313448686885</v>
      </c>
      <c r="AJ144" s="22" t="n">
        <f aca="false">100*(AJ10-AJ9)</f>
        <v>1.33079804081531</v>
      </c>
      <c r="AK144" s="22" t="n">
        <f aca="false">100*(AK10-AK9)</f>
        <v>1.3374026385387</v>
      </c>
      <c r="AL144" s="22" t="n">
        <f aca="false">AVERAGE(C144:AK144)</f>
        <v>-0.398120194267308</v>
      </c>
    </row>
    <row r="145" customFormat="false" ht="15" hidden="false" customHeight="false" outlineLevel="0" collapsed="false">
      <c r="A145" s="20" t="n">
        <f aca="false">A11</f>
        <v>-114</v>
      </c>
      <c r="B145" s="21" t="n">
        <f aca="false">B11</f>
        <v>40310</v>
      </c>
      <c r="C145" s="22" t="n">
        <f aca="false">100*(C11-C10)</f>
        <v>-7.24433467863139</v>
      </c>
      <c r="D145" s="22" t="n">
        <f aca="false">100*(D11-D10)</f>
        <v>-7.5413308806207</v>
      </c>
      <c r="E145" s="22" t="n">
        <f aca="false">100*(E11-E10)</f>
        <v>-7.53043805390501</v>
      </c>
      <c r="F145" s="22" t="n">
        <f aca="false">100*(F11-F10)</f>
        <v>-7.34993393513919</v>
      </c>
      <c r="G145" s="22" t="n">
        <f aca="false">100*(G11-G10)</f>
        <v>-7.0875713224511</v>
      </c>
      <c r="H145" s="22" t="n">
        <f aca="false">100*(H11-H10)</f>
        <v>-6.79737318937801</v>
      </c>
      <c r="I145" s="22" t="n">
        <f aca="false">100*(I11-I10)</f>
        <v>-6.50987760943287</v>
      </c>
      <c r="J145" s="22" t="n">
        <f aca="false">100*(J11-J10)</f>
        <v>-6.24018828946449</v>
      </c>
      <c r="K145" s="22" t="n">
        <f aca="false">100*(K11-K10)</f>
        <v>-5.9942136262964</v>
      </c>
      <c r="L145" s="22" t="n">
        <f aca="false">100*(L11-L10)</f>
        <v>-5.77279046981603</v>
      </c>
      <c r="M145" s="22" t="n">
        <f aca="false">100*(M11-M10)</f>
        <v>-3.7482184098538</v>
      </c>
      <c r="N145" s="22" t="n">
        <f aca="false">100*(N11-N10)</f>
        <v>-3.57733875793835</v>
      </c>
      <c r="O145" s="22" t="n">
        <f aca="false">100*(O11-O10)</f>
        <v>-3.40118013276829</v>
      </c>
      <c r="P145" s="22" t="n">
        <f aca="false">100*(P11-P10)</f>
        <v>-3.22041322828168</v>
      </c>
      <c r="Q145" s="22" t="n">
        <f aca="false">100*(Q11-Q10)</f>
        <v>-3.03585771397383</v>
      </c>
      <c r="R145" s="22" t="n">
        <f aca="false">100*(R11-R10)</f>
        <v>-2.84845115679735</v>
      </c>
      <c r="S145" s="22" t="n">
        <f aca="false">100*(S11-S10)</f>
        <v>-2.65919050475638</v>
      </c>
      <c r="T145" s="22" t="n">
        <f aca="false">100*(T11-T10)</f>
        <v>-2.46910615245444</v>
      </c>
      <c r="U145" s="22" t="n">
        <f aca="false">100*(U11-U10)</f>
        <v>-2.27925675363538</v>
      </c>
      <c r="V145" s="22" t="n">
        <f aca="false">100*(V11-V10)</f>
        <v>-2.09072518416376</v>
      </c>
      <c r="W145" s="22" t="n">
        <f aca="false">100*(W11-W10)</f>
        <v>-1.90461585764092</v>
      </c>
      <c r="X145" s="22" t="n">
        <f aca="false">100*(X11-X10)</f>
        <v>-1.722051461521</v>
      </c>
      <c r="Y145" s="22" t="n">
        <f aca="false">100*(Y11-Y10)</f>
        <v>-1.54415131875423</v>
      </c>
      <c r="Z145" s="22" t="n">
        <f aca="false">100*(Z11-Z10)</f>
        <v>-1.37200253633392</v>
      </c>
      <c r="AA145" s="22" t="n">
        <f aca="false">100*(AA11-AA10)</f>
        <v>-1.20662792877289</v>
      </c>
      <c r="AB145" s="22" t="n">
        <f aca="false">100*(AB11-AB10)</f>
        <v>-1.04898787707803</v>
      </c>
      <c r="AC145" s="22" t="n">
        <f aca="false">100*(AC11-AC10)</f>
        <v>-0.899987053061224</v>
      </c>
      <c r="AD145" s="22" t="n">
        <f aca="false">100*(AD11-AD10)</f>
        <v>-0.760460184021472</v>
      </c>
      <c r="AE145" s="22" t="n">
        <f aca="false">100*(AE11-AE10)</f>
        <v>-0.631140711938905</v>
      </c>
      <c r="AF145" s="22" t="n">
        <f aca="false">100*(AF11-AF10)</f>
        <v>-0.512663215959286</v>
      </c>
      <c r="AG145" s="22" t="n">
        <f aca="false">100*(AG11-AG10)</f>
        <v>-0.405552087306305</v>
      </c>
      <c r="AH145" s="22" t="n">
        <f aca="false">100*(AH11-AH10)</f>
        <v>-0.310196745284408</v>
      </c>
      <c r="AI145" s="22" t="n">
        <f aca="false">100*(AI11-AI10)</f>
        <v>-0.226859522909173</v>
      </c>
      <c r="AJ145" s="22" t="n">
        <f aca="false">100*(AJ11-AJ10)</f>
        <v>-0.155686919967035</v>
      </c>
      <c r="AK145" s="22" t="n">
        <f aca="false">100*(AK11-AK10)</f>
        <v>-0.0966784947697974</v>
      </c>
      <c r="AL145" s="22" t="n">
        <f aca="false">AVERAGE(C145:AK145)</f>
        <v>-3.14844148471649</v>
      </c>
    </row>
    <row r="146" customFormat="false" ht="15" hidden="false" customHeight="false" outlineLevel="0" collapsed="false">
      <c r="A146" s="20" t="n">
        <f aca="false">A12</f>
        <v>-113</v>
      </c>
      <c r="B146" s="21" t="n">
        <f aca="false">B12</f>
        <v>40311</v>
      </c>
      <c r="C146" s="22" t="n">
        <f aca="false">100*(C12-C11)</f>
        <v>-5.72566936675061</v>
      </c>
      <c r="D146" s="22" t="n">
        <f aca="false">100*(D12-D11)</f>
        <v>-6.5020372630662</v>
      </c>
      <c r="E146" s="22" t="n">
        <f aca="false">100*(E12-E11)</f>
        <v>-6.72475705813249</v>
      </c>
      <c r="F146" s="22" t="n">
        <f aca="false">100*(F12-F11)</f>
        <v>-6.56853148464482</v>
      </c>
      <c r="G146" s="22" t="n">
        <f aca="false">100*(G12-G11)</f>
        <v>-6.15574006840673</v>
      </c>
      <c r="H146" s="22" t="n">
        <f aca="false">100*(H12-H11)</f>
        <v>-5.57358798561167</v>
      </c>
      <c r="I146" s="22" t="n">
        <f aca="false">100*(I12-I11)</f>
        <v>-4.88715917409004</v>
      </c>
      <c r="J146" s="22" t="n">
        <f aca="false">100*(J12-J11)</f>
        <v>-4.14718036126489</v>
      </c>
      <c r="K146" s="22" t="n">
        <f aca="false">100*(K12-K11)</f>
        <v>-3.39377372331828</v>
      </c>
      <c r="L146" s="22" t="n">
        <f aca="false">100*(L12-L11)</f>
        <v>-2.65809298520088</v>
      </c>
      <c r="M146" s="22" t="n">
        <f aca="false">100*(M12-M11)</f>
        <v>2.09612034911677</v>
      </c>
      <c r="N146" s="22" t="n">
        <f aca="false">100*(N12-N11)</f>
        <v>2.17436628821028</v>
      </c>
      <c r="O146" s="22" t="n">
        <f aca="false">100*(O12-O11)</f>
        <v>2.22925506695004</v>
      </c>
      <c r="P146" s="22" t="n">
        <f aca="false">100*(P12-P11)</f>
        <v>2.26337589346173</v>
      </c>
      <c r="Q146" s="22" t="n">
        <f aca="false">100*(Q12-Q11)</f>
        <v>2.27911484678796</v>
      </c>
      <c r="R146" s="22" t="n">
        <f aca="false">100*(R12-R11)</f>
        <v>2.27866122025127</v>
      </c>
      <c r="S146" s="22" t="n">
        <f aca="false">100*(S12-S11)</f>
        <v>2.26399818465257</v>
      </c>
      <c r="T146" s="22" t="n">
        <f aca="false">100*(T12-T11)</f>
        <v>2.23692994565807</v>
      </c>
      <c r="U146" s="22" t="n">
        <f aca="false">100*(U12-U11)</f>
        <v>2.19910816961884</v>
      </c>
      <c r="V146" s="22" t="n">
        <f aca="false">100*(V12-V11)</f>
        <v>2.15205377490166</v>
      </c>
      <c r="W146" s="22" t="n">
        <f aca="false">100*(W12-W11)</f>
        <v>2.09717400653213</v>
      </c>
      <c r="X146" s="22" t="n">
        <f aca="false">100*(X12-X11)</f>
        <v>2.03576855038303</v>
      </c>
      <c r="Y146" s="22" t="n">
        <f aca="false">100*(Y12-Y11)</f>
        <v>1.96904533302922</v>
      </c>
      <c r="Z146" s="22" t="n">
        <f aca="false">100*(Z12-Z11)</f>
        <v>1.8981294479385</v>
      </c>
      <c r="AA146" s="22" t="n">
        <f aca="false">100*(AA12-AA11)</f>
        <v>1.8240582547512</v>
      </c>
      <c r="AB146" s="22" t="n">
        <f aca="false">100*(AB12-AB11)</f>
        <v>1.74778854677884</v>
      </c>
      <c r="AC146" s="22" t="n">
        <f aca="false">100*(AC12-AC11)</f>
        <v>1.67020585361195</v>
      </c>
      <c r="AD146" s="22" t="n">
        <f aca="false">100*(AD12-AD11)</f>
        <v>1.59212567187277</v>
      </c>
      <c r="AE146" s="22" t="n">
        <f aca="false">100*(AE12-AE11)</f>
        <v>1.51428909369491</v>
      </c>
      <c r="AF146" s="22" t="n">
        <f aca="false">100*(AF12-AF11)</f>
        <v>1.43736896707782</v>
      </c>
      <c r="AG146" s="22" t="n">
        <f aca="false">100*(AG12-AG11)</f>
        <v>1.3619768984193</v>
      </c>
      <c r="AH146" s="22" t="n">
        <f aca="false">100*(AH12-AH11)</f>
        <v>1.28866429180441</v>
      </c>
      <c r="AI146" s="22" t="n">
        <f aca="false">100*(AI12-AI11)</f>
        <v>1.21792650840309</v>
      </c>
      <c r="AJ146" s="22" t="n">
        <f aca="false">100*(AJ12-AJ11)</f>
        <v>1.15020865792239</v>
      </c>
      <c r="AK146" s="22" t="n">
        <f aca="false">100*(AK12-AK11)</f>
        <v>1.08590910416639</v>
      </c>
      <c r="AL146" s="22" t="n">
        <f aca="false">AVERAGE(C146:AK146)</f>
        <v>-0.179225901271185</v>
      </c>
    </row>
    <row r="147" customFormat="false" ht="15" hidden="false" customHeight="false" outlineLevel="0" collapsed="false">
      <c r="A147" s="20" t="n">
        <f aca="false">A13</f>
        <v>-112</v>
      </c>
      <c r="B147" s="21" t="n">
        <f aca="false">B13</f>
        <v>40312</v>
      </c>
      <c r="C147" s="22" t="n">
        <f aca="false">100*(C13-C12)</f>
        <v>-5.3183826264579</v>
      </c>
      <c r="D147" s="22" t="n">
        <f aca="false">100*(D13-D12)</f>
        <v>-7.04893558586202</v>
      </c>
      <c r="E147" s="22" t="n">
        <f aca="false">100*(E13-E12)</f>
        <v>-8.2021751111065</v>
      </c>
      <c r="F147" s="22" t="n">
        <f aca="false">100*(F13-F12)</f>
        <v>-8.93829005626139</v>
      </c>
      <c r="G147" s="22" t="n">
        <f aca="false">100*(G13-G12)</f>
        <v>-9.37739551877397</v>
      </c>
      <c r="H147" s="22" t="n">
        <f aca="false">100*(H13-H12)</f>
        <v>-9.6030423681257</v>
      </c>
      <c r="I147" s="22" t="n">
        <f aca="false">100*(I13-I12)</f>
        <v>-9.673886087496</v>
      </c>
      <c r="J147" s="22" t="n">
        <f aca="false">100*(J13-J12)</f>
        <v>-9.63272783077529</v>
      </c>
      <c r="K147" s="22" t="n">
        <f aca="false">100*(K13-K12)</f>
        <v>-9.51183995684031</v>
      </c>
      <c r="L147" s="22" t="n">
        <f aca="false">100*(L13-L12)</f>
        <v>-9.33659064395491</v>
      </c>
      <c r="M147" s="22" t="n">
        <f aca="false">100*(M13-M12)</f>
        <v>-7.10388336366226</v>
      </c>
      <c r="N147" s="22" t="n">
        <f aca="false">100*(N13-N12)</f>
        <v>-7.03221303312116</v>
      </c>
      <c r="O147" s="22" t="n">
        <f aca="false">100*(O13-O12)</f>
        <v>-6.96997201093978</v>
      </c>
      <c r="P147" s="22" t="n">
        <f aca="false">100*(P13-P12)</f>
        <v>-6.91551371038992</v>
      </c>
      <c r="Q147" s="22" t="n">
        <f aca="false">100*(Q13-Q12)</f>
        <v>-6.86724275030679</v>
      </c>
      <c r="R147" s="22" t="n">
        <f aca="false">100*(R13-R12)</f>
        <v>-6.82369463674473</v>
      </c>
      <c r="S147" s="22" t="n">
        <f aca="false">100*(S13-S12)</f>
        <v>-6.78364820106783</v>
      </c>
      <c r="T147" s="22" t="n">
        <f aca="false">100*(T13-T12)</f>
        <v>-6.74610289980251</v>
      </c>
      <c r="U147" s="22" t="n">
        <f aca="false">100*(U13-U12)</f>
        <v>-6.71024606548025</v>
      </c>
      <c r="V147" s="22" t="n">
        <f aca="false">100*(V13-V12)</f>
        <v>-6.67542606720781</v>
      </c>
      <c r="W147" s="22" t="n">
        <f aca="false">100*(W13-W12)</f>
        <v>-6.64113409444616</v>
      </c>
      <c r="X147" s="22" t="n">
        <f aca="false">100*(X13-X12)</f>
        <v>-6.6070295939757</v>
      </c>
      <c r="Y147" s="22" t="n">
        <f aca="false">100*(Y13-Y12)</f>
        <v>-6.57293817095068</v>
      </c>
      <c r="Z147" s="22" t="n">
        <f aca="false">100*(Z13-Z12)</f>
        <v>-6.53879913242657</v>
      </c>
      <c r="AA147" s="22" t="n">
        <f aca="false">100*(AA13-AA12)</f>
        <v>-6.50462066125854</v>
      </c>
      <c r="AB147" s="22" t="n">
        <f aca="false">100*(AB13-AB12)</f>
        <v>-6.47046818559183</v>
      </c>
      <c r="AC147" s="22" t="n">
        <f aca="false">100*(AC13-AC12)</f>
        <v>-6.43645706341944</v>
      </c>
      <c r="AD147" s="22" t="n">
        <f aca="false">100*(AD13-AD12)</f>
        <v>-6.40273158279356</v>
      </c>
      <c r="AE147" s="22" t="n">
        <f aca="false">100*(AE13-AE12)</f>
        <v>-6.36943286886824</v>
      </c>
      <c r="AF147" s="22" t="n">
        <f aca="false">100*(AF13-AF12)</f>
        <v>-6.33669251875544</v>
      </c>
      <c r="AG147" s="22" t="n">
        <f aca="false">100*(AG13-AG12)</f>
        <v>-6.30462218519217</v>
      </c>
      <c r="AH147" s="22" t="n">
        <f aca="false">100*(AH13-AH12)</f>
        <v>-6.27330932808548</v>
      </c>
      <c r="AI147" s="22" t="n">
        <f aca="false">100*(AI13-AI12)</f>
        <v>-6.24282160732737</v>
      </c>
      <c r="AJ147" s="22" t="n">
        <f aca="false">100*(AJ13-AJ12)</f>
        <v>-6.21320821690015</v>
      </c>
      <c r="AK147" s="22" t="n">
        <f aca="false">100*(AK13-AK12)</f>
        <v>-6.18449506088998</v>
      </c>
      <c r="AL147" s="22" t="n">
        <f aca="false">AVERAGE(C147:AK147)</f>
        <v>-7.18199910843595</v>
      </c>
    </row>
    <row r="148" customFormat="false" ht="15" hidden="false" customHeight="false" outlineLevel="0" collapsed="false">
      <c r="A148" s="20" t="n">
        <f aca="false">A14</f>
        <v>-111</v>
      </c>
      <c r="B148" s="21" t="n">
        <f aca="false">B14</f>
        <v>40315</v>
      </c>
      <c r="C148" s="22" t="n">
        <f aca="false">100*(C14-C13)</f>
        <v>-2.73525467958731</v>
      </c>
      <c r="D148" s="22" t="n">
        <f aca="false">100*(D14-D13)</f>
        <v>-2.99595165356839</v>
      </c>
      <c r="E148" s="22" t="n">
        <f aca="false">100*(E14-E13)</f>
        <v>-3.1498335532353</v>
      </c>
      <c r="F148" s="22" t="n">
        <f aca="false">100*(F14-F13)</f>
        <v>-3.20672391935881</v>
      </c>
      <c r="G148" s="22" t="n">
        <f aca="false">100*(G14-G13)</f>
        <v>-3.1792665473859</v>
      </c>
      <c r="H148" s="22" t="n">
        <f aca="false">100*(H14-H13)</f>
        <v>-3.08163610049461</v>
      </c>
      <c r="I148" s="22" t="n">
        <f aca="false">100*(I14-I13)</f>
        <v>-2.92844699237658</v>
      </c>
      <c r="J148" s="22" t="n">
        <f aca="false">100*(J14-J13)</f>
        <v>-2.73386221440322</v>
      </c>
      <c r="K148" s="22" t="n">
        <f aca="false">100*(K14-K13)</f>
        <v>-2.51107687616732</v>
      </c>
      <c r="L148" s="22" t="n">
        <f aca="false">100*(L14-L13)</f>
        <v>-2.27217593474562</v>
      </c>
      <c r="M148" s="22" t="n">
        <f aca="false">100*(M14-M13)</f>
        <v>-0.0677081482834296</v>
      </c>
      <c r="N148" s="22" t="n">
        <f aca="false">100*(N14-N13)</f>
        <v>0.00155022897443402</v>
      </c>
      <c r="O148" s="22" t="n">
        <f aca="false">100*(O14-O13)</f>
        <v>0.0604063948188127</v>
      </c>
      <c r="P148" s="22" t="n">
        <f aca="false">100*(P14-P13)</f>
        <v>0.11007472577429</v>
      </c>
      <c r="Q148" s="22" t="n">
        <f aca="false">100*(Q14-Q13)</f>
        <v>0.151784499928453</v>
      </c>
      <c r="R148" s="22" t="n">
        <f aca="false">100*(R14-R13)</f>
        <v>0.18673491186485</v>
      </c>
      <c r="S148" s="22" t="n">
        <f aca="false">100*(S14-S13)</f>
        <v>0.216028131826906</v>
      </c>
      <c r="T148" s="22" t="n">
        <f aca="false">100*(T14-T13)</f>
        <v>0.24067303082731</v>
      </c>
      <c r="U148" s="22" t="n">
        <f aca="false">100*(U14-U13)</f>
        <v>0.261598963493181</v>
      </c>
      <c r="V148" s="22" t="n">
        <f aca="false">100*(V14-V13)</f>
        <v>0.27966712755001</v>
      </c>
      <c r="W148" s="22" t="n">
        <f aca="false">100*(W14-W13)</f>
        <v>0.295677581664489</v>
      </c>
      <c r="X148" s="22" t="n">
        <f aca="false">100*(X14-X13)</f>
        <v>0.310340370817919</v>
      </c>
      <c r="Y148" s="22" t="n">
        <f aca="false">100*(Y14-Y13)</f>
        <v>0.324245499877573</v>
      </c>
      <c r="Z148" s="22" t="n">
        <f aca="false">100*(Z14-Z13)</f>
        <v>0.337879489080084</v>
      </c>
      <c r="AA148" s="22" t="n">
        <f aca="false">100*(AA14-AA13)</f>
        <v>0.351642394327545</v>
      </c>
      <c r="AB148" s="22" t="n">
        <f aca="false">100*(AB14-AB13)</f>
        <v>0.365858294990851</v>
      </c>
      <c r="AC148" s="22" t="n">
        <f aca="false">100*(AC14-AC13)</f>
        <v>0.380784297410486</v>
      </c>
      <c r="AD148" s="22" t="n">
        <f aca="false">100*(AD14-AD13)</f>
        <v>0.396617759554374</v>
      </c>
      <c r="AE148" s="22" t="n">
        <f aca="false">100*(AE14-AE13)</f>
        <v>0.413502450431302</v>
      </c>
      <c r="AF148" s="22" t="n">
        <f aca="false">100*(AF14-AF13)</f>
        <v>0.431534784893461</v>
      </c>
      <c r="AG148" s="22" t="n">
        <f aca="false">100*(AG14-AG13)</f>
        <v>0.450772565157909</v>
      </c>
      <c r="AH148" s="22" t="n">
        <f aca="false">100*(AH14-AH13)</f>
        <v>0.471240624960068</v>
      </c>
      <c r="AI148" s="22" t="n">
        <f aca="false">100*(AI14-AI13)</f>
        <v>0.492933533498352</v>
      </c>
      <c r="AJ148" s="22" t="n">
        <f aca="false">100*(AJ14-AJ13)</f>
        <v>0.515818962014336</v>
      </c>
      <c r="AK148" s="22" t="n">
        <f aca="false">100*(AK14-AK13)</f>
        <v>0.539843501149395</v>
      </c>
      <c r="AL148" s="22" t="n">
        <f aca="false">AVERAGE(C148:AK148)</f>
        <v>-0.607849328420574</v>
      </c>
    </row>
    <row r="149" customFormat="false" ht="15" hidden="false" customHeight="false" outlineLevel="0" collapsed="false">
      <c r="A149" s="20" t="n">
        <f aca="false">A15</f>
        <v>-110</v>
      </c>
      <c r="B149" s="21" t="n">
        <f aca="false">B15</f>
        <v>40316</v>
      </c>
      <c r="C149" s="22" t="n">
        <f aca="false">100*(C15-C14)</f>
        <v>1.51493126694551</v>
      </c>
      <c r="D149" s="22" t="n">
        <f aca="false">100*(D15-D14)</f>
        <v>1.3432641178867</v>
      </c>
      <c r="E149" s="22" t="n">
        <f aca="false">100*(E15-E14)</f>
        <v>1.18632382822079</v>
      </c>
      <c r="F149" s="22" t="n">
        <f aca="false">100*(F15-F14)</f>
        <v>1.06092539687761</v>
      </c>
      <c r="G149" s="22" t="n">
        <f aca="false">100*(G15-G14)</f>
        <v>0.96530383929716</v>
      </c>
      <c r="H149" s="22" t="n">
        <f aca="false">100*(H15-H14)</f>
        <v>0.893600461191202</v>
      </c>
      <c r="I149" s="22" t="n">
        <f aca="false">100*(I15-I14)</f>
        <v>0.839736104028699</v>
      </c>
      <c r="J149" s="22" t="n">
        <f aca="false">100*(J15-J14)</f>
        <v>0.798992797892995</v>
      </c>
      <c r="K149" s="22" t="n">
        <f aca="false">100*(K15-K14)</f>
        <v>0.768143763549301</v>
      </c>
      <c r="L149" s="22" t="n">
        <f aca="false">100*(L15-L14)</f>
        <v>0.744705852347138</v>
      </c>
      <c r="M149" s="22" t="n">
        <f aca="false">100*(M15-M14)</f>
        <v>0.66004883288846</v>
      </c>
      <c r="N149" s="22" t="n">
        <f aca="false">100*(N15-N14)</f>
        <v>0.670909369930151</v>
      </c>
      <c r="O149" s="22" t="n">
        <f aca="false">100*(O15-O14)</f>
        <v>0.685284612321002</v>
      </c>
      <c r="P149" s="22" t="n">
        <f aca="false">100*(P15-P14)</f>
        <v>0.703329530325902</v>
      </c>
      <c r="Q149" s="22" t="n">
        <f aca="false">100*(Q15-Q14)</f>
        <v>0.725203997314061</v>
      </c>
      <c r="R149" s="22" t="n">
        <f aca="false">100*(R15-R14)</f>
        <v>0.751060496582223</v>
      </c>
      <c r="S149" s="22" t="n">
        <f aca="false">100*(S15-S14)</f>
        <v>0.78104504582619</v>
      </c>
      <c r="T149" s="22" t="n">
        <f aca="false">100*(T15-T14)</f>
        <v>0.81530483197616</v>
      </c>
      <c r="U149" s="22" t="n">
        <f aca="false">100*(U15-U14)</f>
        <v>0.853988205537171</v>
      </c>
      <c r="V149" s="22" t="n">
        <f aca="false">100*(V15-V14)</f>
        <v>0.897244514363216</v>
      </c>
      <c r="W149" s="22" t="n">
        <f aca="false">100*(W15-W14)</f>
        <v>0.945221734299917</v>
      </c>
      <c r="X149" s="22" t="n">
        <f aca="false">100*(X15-X14)</f>
        <v>0.998035954863763</v>
      </c>
      <c r="Y149" s="22" t="n">
        <f aca="false">100*(Y15-Y14)</f>
        <v>1.05574492894789</v>
      </c>
      <c r="Z149" s="22" t="n">
        <f aca="false">100*(Z15-Z14)</f>
        <v>1.11835307759085</v>
      </c>
      <c r="AA149" s="22" t="n">
        <f aca="false">100*(AA15-AA14)</f>
        <v>1.18581281916867</v>
      </c>
      <c r="AB149" s="22" t="n">
        <f aca="false">100*(AB15-AB14)</f>
        <v>1.25802924689458</v>
      </c>
      <c r="AC149" s="22" t="n">
        <f aca="false">100*(AC15-AC14)</f>
        <v>1.33486545260144</v>
      </c>
      <c r="AD149" s="22" t="n">
        <f aca="false">100*(AD15-AD14)</f>
        <v>1.41614024969199</v>
      </c>
      <c r="AE149" s="22" t="n">
        <f aca="false">100*(AE15-AE14)</f>
        <v>1.50162125804769</v>
      </c>
      <c r="AF149" s="22" t="n">
        <f aca="false">100*(AF15-AF14)</f>
        <v>1.59102902185726</v>
      </c>
      <c r="AG149" s="22" t="n">
        <f aca="false">100*(AG15-AG14)</f>
        <v>1.68404998953919</v>
      </c>
      <c r="AH149" s="22" t="n">
        <f aca="false">100*(AH15-AH14)</f>
        <v>1.78034893742902</v>
      </c>
      <c r="AI149" s="22" t="n">
        <f aca="false">100*(AI15-AI14)</f>
        <v>1.87957180698586</v>
      </c>
      <c r="AJ149" s="22" t="n">
        <f aca="false">100*(AJ15-AJ14)</f>
        <v>1.98134817769473</v>
      </c>
      <c r="AK149" s="22" t="n">
        <f aca="false">100*(AK15-AK14)</f>
        <v>2.08530224533057</v>
      </c>
      <c r="AL149" s="22" t="n">
        <f aca="false">AVERAGE(C149:AK149)</f>
        <v>1.12785205046414</v>
      </c>
    </row>
    <row r="150" customFormat="false" ht="15" hidden="false" customHeight="false" outlineLevel="0" collapsed="false">
      <c r="A150" s="20" t="n">
        <f aca="false">A16</f>
        <v>-109</v>
      </c>
      <c r="B150" s="21" t="n">
        <f aca="false">B16</f>
        <v>40317</v>
      </c>
      <c r="C150" s="22" t="n">
        <f aca="false">100*(C16-C15)</f>
        <v>-4.05414239221471</v>
      </c>
      <c r="D150" s="22" t="n">
        <f aca="false">100*(D16-D15)</f>
        <v>-5.3631464536694</v>
      </c>
      <c r="E150" s="22" t="n">
        <f aca="false">100*(E16-E15)</f>
        <v>-6.4100501068588</v>
      </c>
      <c r="F150" s="22" t="n">
        <f aca="false">100*(F16-F15)</f>
        <v>-7.2279131061159</v>
      </c>
      <c r="G150" s="22" t="n">
        <f aca="false">100*(G16-G15)</f>
        <v>-7.85586489068708</v>
      </c>
      <c r="H150" s="22" t="n">
        <f aca="false">100*(H16-H15)</f>
        <v>-8.3289577363153</v>
      </c>
      <c r="I150" s="22" t="n">
        <f aca="false">100*(I16-I15)</f>
        <v>-8.67669843580559</v>
      </c>
      <c r="J150" s="22" t="n">
        <f aca="false">100*(J16-J15)</f>
        <v>-8.9234886637986</v>
      </c>
      <c r="K150" s="22" t="n">
        <f aca="false">100*(K16-K15)</f>
        <v>-9.0898479021047</v>
      </c>
      <c r="L150" s="22" t="n">
        <f aca="false">100*(L16-L15)</f>
        <v>-9.19263571934441</v>
      </c>
      <c r="M150" s="22" t="n">
        <f aca="false">100*(M16-M15)</f>
        <v>-8.72109546193229</v>
      </c>
      <c r="N150" s="22" t="n">
        <f aca="false">100*(N16-N15)</f>
        <v>-8.67624267239933</v>
      </c>
      <c r="O150" s="22" t="n">
        <f aca="false">100*(O16-O15)</f>
        <v>-8.63544217320431</v>
      </c>
      <c r="P150" s="22" t="n">
        <f aca="false">100*(P16-P15)</f>
        <v>-8.59853194251832</v>
      </c>
      <c r="Q150" s="22" t="n">
        <f aca="false">100*(Q16-Q15)</f>
        <v>-8.56522599100105</v>
      </c>
      <c r="R150" s="22" t="n">
        <f aca="false">100*(R16-R15)</f>
        <v>-8.53516807679959</v>
      </c>
      <c r="S150" s="22" t="n">
        <f aca="false">100*(S16-S15)</f>
        <v>-8.5079916448068</v>
      </c>
      <c r="T150" s="22" t="n">
        <f aca="false">100*(T16-T15)</f>
        <v>-8.48332641892116</v>
      </c>
      <c r="U150" s="22" t="n">
        <f aca="false">100*(U16-U15)</f>
        <v>-8.46079885396405</v>
      </c>
      <c r="V150" s="22" t="n">
        <f aca="false">100*(V16-V15)</f>
        <v>-8.44003260269002</v>
      </c>
      <c r="W150" s="22" t="n">
        <f aca="false">100*(W16-W15)</f>
        <v>-8.42065103370713</v>
      </c>
      <c r="X150" s="22" t="n">
        <f aca="false">100*(X16-X15)</f>
        <v>-8.40230435842209</v>
      </c>
      <c r="Y150" s="22" t="n">
        <f aca="false">100*(Y16-Y15)</f>
        <v>-8.38468988794752</v>
      </c>
      <c r="Z150" s="22" t="n">
        <f aca="false">100*(Z16-Z15)</f>
        <v>-8.367542134493</v>
      </c>
      <c r="AA150" s="22" t="n">
        <f aca="false">100*(AA16-AA15)</f>
        <v>-8.35062508950433</v>
      </c>
      <c r="AB150" s="22" t="n">
        <f aca="false">100*(AB16-AB15)</f>
        <v>-8.33372885403243</v>
      </c>
      <c r="AC150" s="22" t="n">
        <f aca="false">100*(AC16-AC15)</f>
        <v>-8.31666663891948</v>
      </c>
      <c r="AD150" s="22" t="n">
        <f aca="false">100*(AD16-AD15)</f>
        <v>-8.29927409963567</v>
      </c>
      <c r="AE150" s="22" t="n">
        <f aca="false">100*(AE16-AE15)</f>
        <v>-8.28140971862483</v>
      </c>
      <c r="AF150" s="22" t="n">
        <f aca="false">100*(AF16-AF15)</f>
        <v>-8.26295236691266</v>
      </c>
      <c r="AG150" s="22" t="n">
        <f aca="false">100*(AG16-AG15)</f>
        <v>-8.24379606919417</v>
      </c>
      <c r="AH150" s="22" t="n">
        <f aca="false">100*(AH16-AH15)</f>
        <v>-8.22384810091341</v>
      </c>
      <c r="AI150" s="22" t="n">
        <f aca="false">100*(AI16-AI15)</f>
        <v>-8.20302857012711</v>
      </c>
      <c r="AJ150" s="22" t="n">
        <f aca="false">100*(AJ16-AJ15)</f>
        <v>-8.1812689211743</v>
      </c>
      <c r="AK150" s="22" t="n">
        <f aca="false">100*(AK16-AK15)</f>
        <v>-8.15851027201431</v>
      </c>
      <c r="AL150" s="22" t="n">
        <f aca="false">AVERAGE(C150:AK150)</f>
        <v>-8.14791135316497</v>
      </c>
    </row>
    <row r="151" customFormat="false" ht="15" hidden="false" customHeight="false" outlineLevel="0" collapsed="false">
      <c r="A151" s="20" t="n">
        <f aca="false">A17</f>
        <v>-108</v>
      </c>
      <c r="B151" s="21" t="n">
        <f aca="false">B17</f>
        <v>40318</v>
      </c>
      <c r="C151" s="22" t="n">
        <f aca="false">100*(C17-C16)</f>
        <v>-4.28652163005363</v>
      </c>
      <c r="D151" s="22" t="n">
        <f aca="false">100*(D17-D16)</f>
        <v>-5.28466425187621</v>
      </c>
      <c r="E151" s="22" t="n">
        <f aca="false">100*(E17-E16)</f>
        <v>-6.12631599290958</v>
      </c>
      <c r="F151" s="22" t="n">
        <f aca="false">100*(F17-F16)</f>
        <v>-6.8486986002293</v>
      </c>
      <c r="G151" s="22" t="n">
        <f aca="false">100*(G17-G16)</f>
        <v>-7.47616366963051</v>
      </c>
      <c r="H151" s="22" t="n">
        <f aca="false">100*(H17-H16)</f>
        <v>-8.02494474385269</v>
      </c>
      <c r="I151" s="22" t="n">
        <f aca="false">100*(I17-I16)</f>
        <v>-8.50622294503252</v>
      </c>
      <c r="J151" s="22" t="n">
        <f aca="false">100*(J17-J16)</f>
        <v>-8.92707462575491</v>
      </c>
      <c r="K151" s="22" t="n">
        <f aca="false">100*(K17-K16)</f>
        <v>-9.29229164832739</v>
      </c>
      <c r="L151" s="22" t="n">
        <f aca="false">100*(L17-L16)</f>
        <v>-9.60515075092912</v>
      </c>
      <c r="M151" s="22" t="n">
        <f aca="false">100*(M17-M16)</f>
        <v>-10.76119836802</v>
      </c>
      <c r="N151" s="22" t="n">
        <f aca="false">100*(N17-N16)</f>
        <v>-10.7534871307065</v>
      </c>
      <c r="O151" s="22" t="n">
        <f aca="false">100*(O17-O16)</f>
        <v>-10.7430412843895</v>
      </c>
      <c r="P151" s="22" t="n">
        <f aca="false">100*(P17-P16)</f>
        <v>-10.7309548413256</v>
      </c>
      <c r="Q151" s="22" t="n">
        <f aca="false">100*(Q17-Q16)</f>
        <v>-10.7181837316784</v>
      </c>
      <c r="R151" s="22" t="n">
        <f aca="false">100*(R17-R16)</f>
        <v>-10.7055699286861</v>
      </c>
      <c r="S151" s="22" t="n">
        <f aca="false">100*(S17-S16)</f>
        <v>-10.6938373020439</v>
      </c>
      <c r="T151" s="22" t="n">
        <f aca="false">100*(T17-T16)</f>
        <v>-10.6835976296371</v>
      </c>
      <c r="U151" s="22" t="n">
        <f aca="false">100*(U17-U16)</f>
        <v>-10.6753668977342</v>
      </c>
      <c r="V151" s="22" t="n">
        <f aca="false">100*(V17-V16)</f>
        <v>-10.669578985503</v>
      </c>
      <c r="W151" s="22" t="n">
        <f aca="false">100*(W17-W16)</f>
        <v>-10.6665977962145</v>
      </c>
      <c r="X151" s="22" t="n">
        <f aca="false">100*(X17-X16)</f>
        <v>-10.6667229674517</v>
      </c>
      <c r="Y151" s="22" t="n">
        <f aca="false">100*(Y17-Y16)</f>
        <v>-10.6701734580683</v>
      </c>
      <c r="Z151" s="22" t="n">
        <f aca="false">100*(Z17-Z16)</f>
        <v>-10.6770877343731</v>
      </c>
      <c r="AA151" s="22" t="n">
        <f aca="false">100*(AA17-AA16)</f>
        <v>-10.6875333543653</v>
      </c>
      <c r="AB151" s="22" t="n">
        <f aca="false">100*(AB17-AB16)</f>
        <v>-10.701516274707</v>
      </c>
      <c r="AC151" s="22" t="n">
        <f aca="false">100*(AC17-AC16)</f>
        <v>-10.7189880910367</v>
      </c>
      <c r="AD151" s="22" t="n">
        <f aca="false">100*(AD17-AD16)</f>
        <v>-10.7398494838605</v>
      </c>
      <c r="AE151" s="22" t="n">
        <f aca="false">100*(AE17-AE16)</f>
        <v>-10.763950648349</v>
      </c>
      <c r="AF151" s="22" t="n">
        <f aca="false">100*(AF17-AF16)</f>
        <v>-10.7910956161948</v>
      </c>
      <c r="AG151" s="22" t="n">
        <f aca="false">100*(AG17-AG16)</f>
        <v>-10.8210462415753</v>
      </c>
      <c r="AH151" s="22" t="n">
        <f aca="false">100*(AH17-AH16)</f>
        <v>-10.8535298005379</v>
      </c>
      <c r="AI151" s="22" t="n">
        <f aca="false">100*(AI17-AI16)</f>
        <v>-10.8882441402625</v>
      </c>
      <c r="AJ151" s="22" t="n">
        <f aca="false">100*(AJ17-AJ16)</f>
        <v>-10.9248605847417</v>
      </c>
      <c r="AK151" s="22" t="n">
        <f aca="false">100*(AK17-AK16)</f>
        <v>-10.9630281626567</v>
      </c>
      <c r="AL151" s="22" t="n">
        <f aca="false">AVERAGE(C151:AK151)</f>
        <v>-9.80134540893471</v>
      </c>
    </row>
    <row r="152" customFormat="false" ht="15" hidden="false" customHeight="false" outlineLevel="0" collapsed="false">
      <c r="A152" s="20" t="n">
        <f aca="false">A18</f>
        <v>-107</v>
      </c>
      <c r="B152" s="21" t="n">
        <f aca="false">B18</f>
        <v>40319</v>
      </c>
      <c r="C152" s="22" t="n">
        <f aca="false">100*(C18-C17)</f>
        <v>2.03919507693533</v>
      </c>
      <c r="D152" s="22" t="n">
        <f aca="false">100*(D18-D17)</f>
        <v>1.77754603286631</v>
      </c>
      <c r="E152" s="22" t="n">
        <f aca="false">100*(E18-E17)</f>
        <v>1.41903174977009</v>
      </c>
      <c r="F152" s="22" t="n">
        <f aca="false">100*(F18-F17)</f>
        <v>1.04012872593751</v>
      </c>
      <c r="G152" s="22" t="n">
        <f aca="false">100*(G18-G17)</f>
        <v>0.674767483911021</v>
      </c>
      <c r="H152" s="22" t="n">
        <f aca="false">100*(H18-H17)</f>
        <v>0.337554323707279</v>
      </c>
      <c r="I152" s="22" t="n">
        <f aca="false">100*(I18-I17)</f>
        <v>0.0334648328987885</v>
      </c>
      <c r="J152" s="22" t="n">
        <f aca="false">100*(J18-J17)</f>
        <v>-0.237680465601775</v>
      </c>
      <c r="K152" s="22" t="n">
        <f aca="false">100*(K18-K17)</f>
        <v>-0.47863143620579</v>
      </c>
      <c r="L152" s="22" t="n">
        <f aca="false">100*(L18-L17)</f>
        <v>-0.69293330013549</v>
      </c>
      <c r="M152" s="22" t="n">
        <f aca="false">100*(M18-M17)</f>
        <v>-2.71783141833755</v>
      </c>
      <c r="N152" s="22" t="n">
        <f aca="false">100*(N18-N17)</f>
        <v>-2.88636255329742</v>
      </c>
      <c r="O152" s="22" t="n">
        <f aca="false">100*(O18-O17)</f>
        <v>-3.05913669574798</v>
      </c>
      <c r="P152" s="22" t="n">
        <f aca="false">100*(P18-P17)</f>
        <v>-3.23583173097335</v>
      </c>
      <c r="Q152" s="22" t="n">
        <f aca="false">100*(Q18-Q17)</f>
        <v>-3.41605516288999</v>
      </c>
      <c r="R152" s="22" t="n">
        <f aca="false">100*(R18-R17)</f>
        <v>-3.5994022431451</v>
      </c>
      <c r="S152" s="22" t="n">
        <f aca="false">100*(S18-S17)</f>
        <v>-3.78548010204902</v>
      </c>
      <c r="T152" s="22" t="n">
        <f aca="false">100*(T18-T17)</f>
        <v>-3.97389144716467</v>
      </c>
      <c r="U152" s="22" t="n">
        <f aca="false">100*(U18-U17)</f>
        <v>-4.16423481052046</v>
      </c>
      <c r="V152" s="22" t="n">
        <f aca="false">100*(V18-V17)</f>
        <v>-4.35610514511549</v>
      </c>
      <c r="W152" s="22" t="n">
        <f aca="false">100*(W18-W17)</f>
        <v>-4.54909759866649</v>
      </c>
      <c r="X152" s="22" t="n">
        <f aca="false">100*(X18-X17)</f>
        <v>-4.742817478067</v>
      </c>
      <c r="Y152" s="22" t="n">
        <f aca="false">100*(Y18-Y17)</f>
        <v>-4.9368392081889</v>
      </c>
      <c r="Z152" s="22" t="n">
        <f aca="false">100*(Z18-Z17)</f>
        <v>-5.1307048855004</v>
      </c>
      <c r="AA152" s="22" t="n">
        <f aca="false">100*(AA18-AA17)</f>
        <v>-5.32395635180496</v>
      </c>
      <c r="AB152" s="22" t="n">
        <f aca="false">100*(AB18-AB17)</f>
        <v>-5.51614181098934</v>
      </c>
      <c r="AC152" s="22" t="n">
        <f aca="false">100*(AC18-AC17)</f>
        <v>-5.70681529546198</v>
      </c>
      <c r="AD152" s="22" t="n">
        <f aca="false">100*(AD18-AD17)</f>
        <v>-5.89553924699287</v>
      </c>
      <c r="AE152" s="22" t="n">
        <f aca="false">100*(AE18-AE17)</f>
        <v>-6.08188744013374</v>
      </c>
      <c r="AF152" s="22" t="n">
        <f aca="false">100*(AF18-AF17)</f>
        <v>-6.26544300543399</v>
      </c>
      <c r="AG152" s="22" t="n">
        <f aca="false">100*(AG18-AG17)</f>
        <v>-6.44578687699076</v>
      </c>
      <c r="AH152" s="22" t="n">
        <f aca="false">100*(AH18-AH17)</f>
        <v>-6.62249518759204</v>
      </c>
      <c r="AI152" s="22" t="n">
        <f aca="false">100*(AI18-AI17)</f>
        <v>-6.79514221058906</v>
      </c>
      <c r="AJ152" s="22" t="n">
        <f aca="false">100*(AJ18-AJ17)</f>
        <v>-6.96329998911587</v>
      </c>
      <c r="AK152" s="22" t="n">
        <f aca="false">100*(AK18-AK17)</f>
        <v>-7.12653759814756</v>
      </c>
      <c r="AL152" s="22" t="n">
        <f aca="false">AVERAGE(C152:AK152)</f>
        <v>-3.35383978482379</v>
      </c>
    </row>
    <row r="153" customFormat="false" ht="15" hidden="false" customHeight="false" outlineLevel="0" collapsed="false">
      <c r="A153" s="20" t="n">
        <f aca="false">A19</f>
        <v>-106</v>
      </c>
      <c r="B153" s="21" t="n">
        <f aca="false">B19</f>
        <v>40322</v>
      </c>
      <c r="C153" s="22" t="n">
        <f aca="false">100*(C19-C18)</f>
        <v>1.5538787768276</v>
      </c>
      <c r="D153" s="22" t="n">
        <f aca="false">100*(D19-D18)</f>
        <v>1.1769542229779</v>
      </c>
      <c r="E153" s="22" t="n">
        <f aca="false">100*(E19-E18)</f>
        <v>0.751347174999406</v>
      </c>
      <c r="F153" s="22" t="n">
        <f aca="false">100*(F19-F18)</f>
        <v>0.363913139637884</v>
      </c>
      <c r="G153" s="22" t="n">
        <f aca="false">100*(G19-G18)</f>
        <v>0.0440659699241008</v>
      </c>
      <c r="H153" s="22" t="n">
        <f aca="false">100*(H19-H18)</f>
        <v>-0.202118262840179</v>
      </c>
      <c r="I153" s="22" t="n">
        <f aca="false">100*(I19-I18)</f>
        <v>-0.37738758255208</v>
      </c>
      <c r="J153" s="22" t="n">
        <f aca="false">100*(J19-J18)</f>
        <v>-0.488658071347903</v>
      </c>
      <c r="K153" s="22" t="n">
        <f aca="false">100*(K19-K18)</f>
        <v>-0.544437120033914</v>
      </c>
      <c r="L153" s="22" t="n">
        <f aca="false">100*(L19-L18)</f>
        <v>-0.553755567523417</v>
      </c>
      <c r="M153" s="22" t="n">
        <f aca="false">100*(M19-M18)</f>
        <v>1.16897432451246</v>
      </c>
      <c r="N153" s="22" t="n">
        <f aca="false">100*(N19-N18)</f>
        <v>1.3518352240812</v>
      </c>
      <c r="O153" s="22" t="n">
        <f aca="false">100*(O19-O18)</f>
        <v>1.53321716878487</v>
      </c>
      <c r="P153" s="22" t="n">
        <f aca="false">100*(P19-P18)</f>
        <v>1.71179143306794</v>
      </c>
      <c r="Q153" s="22" t="n">
        <f aca="false">100*(Q19-Q18)</f>
        <v>1.88631484410857</v>
      </c>
      <c r="R153" s="22" t="n">
        <f aca="false">100*(R19-R18)</f>
        <v>2.05565670777617</v>
      </c>
      <c r="S153" s="22" t="n">
        <f aca="false">100*(S19-S18)</f>
        <v>2.21889167342875</v>
      </c>
      <c r="T153" s="22" t="n">
        <f aca="false">100*(T19-T18)</f>
        <v>2.37529968457579</v>
      </c>
      <c r="U153" s="22" t="n">
        <f aca="false">100*(U19-U18)</f>
        <v>2.52433602823228</v>
      </c>
      <c r="V153" s="22" t="n">
        <f aca="false">100*(V19-V18)</f>
        <v>2.66560628584669</v>
      </c>
      <c r="W153" s="22" t="n">
        <f aca="false">100*(W19-W18)</f>
        <v>2.7988449058765</v>
      </c>
      <c r="X153" s="22" t="n">
        <f aca="false">100*(X19-X18)</f>
        <v>2.92390571057606</v>
      </c>
      <c r="Y153" s="22" t="n">
        <f aca="false">100*(Y19-Y18)</f>
        <v>3.04077561766825</v>
      </c>
      <c r="Z153" s="22" t="n">
        <f aca="false">100*(Z19-Z18)</f>
        <v>3.14955643842163</v>
      </c>
      <c r="AA153" s="22" t="n">
        <f aca="false">100*(AA19-AA18)</f>
        <v>3.25043359184729</v>
      </c>
      <c r="AB153" s="22" t="n">
        <f aca="false">100*(AB19-AB18)</f>
        <v>3.34366263634234</v>
      </c>
      <c r="AC153" s="22" t="n">
        <f aca="false">100*(AC19-AC18)</f>
        <v>3.42956041409188</v>
      </c>
      <c r="AD153" s="22" t="n">
        <f aca="false">100*(AD19-AD18)</f>
        <v>3.50848744010044</v>
      </c>
      <c r="AE153" s="22" t="n">
        <f aca="false">100*(AE19-AE18)</f>
        <v>3.58082669862094</v>
      </c>
      <c r="AF153" s="22" t="n">
        <f aca="false">100*(AF19-AF18)</f>
        <v>3.64697842000572</v>
      </c>
      <c r="AG153" s="22" t="n">
        <f aca="false">100*(AG19-AG18)</f>
        <v>3.70735010433183</v>
      </c>
      <c r="AH153" s="22" t="n">
        <f aca="false">100*(AH19-AH18)</f>
        <v>3.76233795633851</v>
      </c>
      <c r="AI153" s="22" t="n">
        <f aca="false">100*(AI19-AI18)</f>
        <v>3.81232416459074</v>
      </c>
      <c r="AJ153" s="22" t="n">
        <f aca="false">100*(AJ19-AJ18)</f>
        <v>3.85767832788186</v>
      </c>
      <c r="AK153" s="22" t="n">
        <f aca="false">100*(AK19-AK18)</f>
        <v>3.8987549475836</v>
      </c>
      <c r="AL153" s="22" t="n">
        <f aca="false">AVERAGE(C153:AK153)</f>
        <v>2.08363438367891</v>
      </c>
    </row>
    <row r="154" customFormat="false" ht="15" hidden="false" customHeight="false" outlineLevel="0" collapsed="false">
      <c r="A154" s="20" t="n">
        <f aca="false">A20</f>
        <v>-105</v>
      </c>
      <c r="B154" s="21" t="n">
        <f aca="false">B20</f>
        <v>40323</v>
      </c>
      <c r="C154" s="22" t="n">
        <f aca="false">100*(C20-C19)</f>
        <v>-5.31447998796852</v>
      </c>
      <c r="D154" s="22" t="n">
        <f aca="false">100*(D20-D19)</f>
        <v>-6.22931586942399</v>
      </c>
      <c r="E154" s="22" t="n">
        <f aca="false">100*(E20-E19)</f>
        <v>-6.92849164352272</v>
      </c>
      <c r="F154" s="22" t="n">
        <f aca="false">100*(F20-F19)</f>
        <v>-7.46675803334269</v>
      </c>
      <c r="G154" s="22" t="n">
        <f aca="false">100*(G20-G19)</f>
        <v>-7.87832106983002</v>
      </c>
      <c r="H154" s="22" t="n">
        <f aca="false">100*(H20-H19)</f>
        <v>-8.18586426921311</v>
      </c>
      <c r="I154" s="22" t="n">
        <f aca="false">100*(I20-I19)</f>
        <v>-8.40544656700413</v>
      </c>
      <c r="J154" s="22" t="n">
        <f aca="false">100*(J20-J19)</f>
        <v>-8.5492374621142</v>
      </c>
      <c r="K154" s="22" t="n">
        <f aca="false">100*(K20-K19)</f>
        <v>-8.62728458979429</v>
      </c>
      <c r="L154" s="22" t="n">
        <f aca="false">100*(L20-L19)</f>
        <v>-8.64858008501388</v>
      </c>
      <c r="M154" s="22" t="n">
        <f aca="false">100*(M20-M19)</f>
        <v>-6.46219930505847</v>
      </c>
      <c r="N154" s="22" t="n">
        <f aca="false">100*(N20-N19)</f>
        <v>-6.25119564700105</v>
      </c>
      <c r="O154" s="22" t="n">
        <f aca="false">100*(O20-O19)</f>
        <v>-6.05046928638426</v>
      </c>
      <c r="P154" s="22" t="n">
        <f aca="false">100*(P20-P19)</f>
        <v>-5.86220875387555</v>
      </c>
      <c r="Q154" s="22" t="n">
        <f aca="false">100*(Q20-Q19)</f>
        <v>-5.68834849560531</v>
      </c>
      <c r="R154" s="22" t="n">
        <f aca="false">100*(R20-R19)</f>
        <v>-5.5305185962057</v>
      </c>
      <c r="S154" s="22" t="n">
        <f aca="false">100*(S20-S19)</f>
        <v>-5.3898806084745</v>
      </c>
      <c r="T154" s="22" t="n">
        <f aca="false">100*(T20-T19)</f>
        <v>-5.26714591403996</v>
      </c>
      <c r="U154" s="22" t="n">
        <f aca="false">100*(U20-U19)</f>
        <v>-5.16264161053694</v>
      </c>
      <c r="V154" s="22" t="n">
        <f aca="false">100*(V20-V19)</f>
        <v>-5.07636540931991</v>
      </c>
      <c r="W154" s="22" t="n">
        <f aca="false">100*(W20-W19)</f>
        <v>-5.00803209576386</v>
      </c>
      <c r="X154" s="22" t="n">
        <f aca="false">100*(X20-X19)</f>
        <v>-4.95710695075236</v>
      </c>
      <c r="Y154" s="22" t="n">
        <f aca="false">100*(Y20-Y19)</f>
        <v>-4.92281496559048</v>
      </c>
      <c r="Z154" s="22" t="n">
        <f aca="false">100*(Z20-Z19)</f>
        <v>-4.90418862296744</v>
      </c>
      <c r="AA154" s="22" t="n">
        <f aca="false">100*(AA20-AA19)</f>
        <v>-4.90013091659671</v>
      </c>
      <c r="AB154" s="22" t="n">
        <f aca="false">100*(AB20-AB19)</f>
        <v>-4.909437707951</v>
      </c>
      <c r="AC154" s="22" t="n">
        <f aca="false">100*(AC20-AC19)</f>
        <v>-4.93081189007567</v>
      </c>
      <c r="AD154" s="22" t="n">
        <f aca="false">100*(AD20-AD19)</f>
        <v>-4.96290375762882</v>
      </c>
      <c r="AE154" s="22" t="n">
        <f aca="false">100*(AE20-AE19)</f>
        <v>-5.00436294913484</v>
      </c>
      <c r="AF154" s="22" t="n">
        <f aca="false">100*(AF20-AF19)</f>
        <v>-5.05384648191525</v>
      </c>
      <c r="AG154" s="22" t="n">
        <f aca="false">100*(AG20-AG19)</f>
        <v>-5.11003606254716</v>
      </c>
      <c r="AH154" s="22" t="n">
        <f aca="false">100*(AH20-AH19)</f>
        <v>-5.17166870489829</v>
      </c>
      <c r="AI154" s="22" t="n">
        <f aca="false">100*(AI20-AI19)</f>
        <v>-5.23753728955434</v>
      </c>
      <c r="AJ154" s="22" t="n">
        <f aca="false">100*(AJ20-AJ19)</f>
        <v>-5.30648533468021</v>
      </c>
      <c r="AK154" s="22" t="n">
        <f aca="false">100*(AK20-AK19)</f>
        <v>-5.37741524671498</v>
      </c>
      <c r="AL154" s="22" t="n">
        <f aca="false">AVERAGE(C154:AK154)</f>
        <v>-5.96375806230002</v>
      </c>
    </row>
    <row r="155" customFormat="false" ht="15" hidden="false" customHeight="false" outlineLevel="0" collapsed="false">
      <c r="A155" s="20" t="n">
        <f aca="false">A21</f>
        <v>-104</v>
      </c>
      <c r="B155" s="21" t="n">
        <f aca="false">B21</f>
        <v>40324</v>
      </c>
      <c r="C155" s="22" t="n">
        <f aca="false">100*(C21-C20)</f>
        <v>4.66449765670753</v>
      </c>
      <c r="D155" s="22" t="n">
        <f aca="false">100*(D21-D20)</f>
        <v>5.74635578507459</v>
      </c>
      <c r="E155" s="22" t="n">
        <f aca="false">100*(E21-E20)</f>
        <v>6.57742271490991</v>
      </c>
      <c r="F155" s="22" t="n">
        <f aca="false">100*(F21-F20)</f>
        <v>7.22934359178951</v>
      </c>
      <c r="G155" s="22" t="n">
        <f aca="false">100*(G21-G20)</f>
        <v>7.74400239927231</v>
      </c>
      <c r="H155" s="22" t="n">
        <f aca="false">100*(H21-H20)</f>
        <v>8.1479479305536</v>
      </c>
      <c r="I155" s="22" t="n">
        <f aca="false">100*(I21-I20)</f>
        <v>8.46108552635672</v>
      </c>
      <c r="J155" s="22" t="n">
        <f aca="false">100*(J21-J20)</f>
        <v>8.70050602963031</v>
      </c>
      <c r="K155" s="22" t="n">
        <f aca="false">100*(K21-K20)</f>
        <v>8.88246590352</v>
      </c>
      <c r="L155" s="22" t="n">
        <f aca="false">100*(L21-L20)</f>
        <v>9.02309589741481</v>
      </c>
      <c r="M155" s="22" t="n">
        <f aca="false">100*(M21-M20)</f>
        <v>10.7284095548798</v>
      </c>
      <c r="N155" s="22" t="n">
        <f aca="false">100*(N21-N20)</f>
        <v>10.8893572068725</v>
      </c>
      <c r="O155" s="22" t="n">
        <f aca="false">100*(O21-O20)</f>
        <v>11.0445686487608</v>
      </c>
      <c r="P155" s="22" t="n">
        <f aca="false">100*(P21-P20)</f>
        <v>11.1913891456837</v>
      </c>
      <c r="Q155" s="22" t="n">
        <f aca="false">100*(Q21-Q20)</f>
        <v>11.3271549461227</v>
      </c>
      <c r="R155" s="22" t="n">
        <f aca="false">100*(R21-R20)</f>
        <v>11.4493551135596</v>
      </c>
      <c r="S155" s="22" t="n">
        <f aca="false">100*(S21-S20)</f>
        <v>11.5559546376425</v>
      </c>
      <c r="T155" s="22" t="n">
        <f aca="false">100*(T21-T20)</f>
        <v>11.6454030179528</v>
      </c>
      <c r="U155" s="22" t="n">
        <f aca="false">100*(U21-U20)</f>
        <v>11.7165634154373</v>
      </c>
      <c r="V155" s="22" t="n">
        <f aca="false">100*(V21-V20)</f>
        <v>11.768653557924</v>
      </c>
      <c r="W155" s="22" t="n">
        <f aca="false">100*(W21-W20)</f>
        <v>11.8011538143913</v>
      </c>
      <c r="X155" s="22" t="n">
        <f aca="false">100*(X21-X20)</f>
        <v>11.8137841904735</v>
      </c>
      <c r="Y155" s="22" t="n">
        <f aca="false">100*(Y21-Y20)</f>
        <v>11.8069914774952</v>
      </c>
      <c r="Z155" s="22" t="n">
        <f aca="false">100*(Z21-Z20)</f>
        <v>11.7819076643831</v>
      </c>
      <c r="AA155" s="22" t="n">
        <f aca="false">100*(AA21-AA20)</f>
        <v>11.7401013609229</v>
      </c>
      <c r="AB155" s="22" t="n">
        <f aca="false">100*(AB21-AB20)</f>
        <v>11.6834952765708</v>
      </c>
      <c r="AC155" s="22" t="n">
        <f aca="false">100*(AC21-AC20)</f>
        <v>11.6143116595777</v>
      </c>
      <c r="AD155" s="22" t="n">
        <f aca="false">100*(AD21-AD20)</f>
        <v>11.5349431167519</v>
      </c>
      <c r="AE155" s="22" t="n">
        <f aca="false">100*(AE21-AE20)</f>
        <v>11.4478848686733</v>
      </c>
      <c r="AF155" s="22" t="n">
        <f aca="false">100*(AF21-AF20)</f>
        <v>11.3557329592117</v>
      </c>
      <c r="AG155" s="22" t="n">
        <f aca="false">100*(AG21-AG20)</f>
        <v>11.2611098420556</v>
      </c>
      <c r="AH155" s="22" t="n">
        <f aca="false">100*(AH21-AH20)</f>
        <v>11.1664561987775</v>
      </c>
      <c r="AI155" s="22" t="n">
        <f aca="false">100*(AI21-AI20)</f>
        <v>11.074004550966</v>
      </c>
      <c r="AJ155" s="22" t="n">
        <f aca="false">100*(AJ21-AJ20)</f>
        <v>10.9857962705129</v>
      </c>
      <c r="AK155" s="22" t="n">
        <f aca="false">100*(AK21-AK20)</f>
        <v>10.9036125127307</v>
      </c>
      <c r="AL155" s="22" t="n">
        <f aca="false">AVERAGE(C155:AK155)</f>
        <v>10.2989948126731</v>
      </c>
    </row>
    <row r="156" customFormat="false" ht="15" hidden="false" customHeight="false" outlineLevel="0" collapsed="false">
      <c r="A156" s="20" t="n">
        <f aca="false">A22</f>
        <v>-103</v>
      </c>
      <c r="B156" s="21" t="n">
        <f aca="false">B22</f>
        <v>40325</v>
      </c>
      <c r="C156" s="22" t="n">
        <f aca="false">100*(C22-C21)</f>
        <v>2.99803155076879</v>
      </c>
      <c r="D156" s="22" t="n">
        <f aca="false">100*(D22-D21)</f>
        <v>4.4112305612928</v>
      </c>
      <c r="E156" s="22" t="n">
        <f aca="false">100*(E22-E21)</f>
        <v>5.50325839338679</v>
      </c>
      <c r="F156" s="22" t="n">
        <f aca="false">100*(F22-F21)</f>
        <v>6.28420967700349</v>
      </c>
      <c r="G156" s="22" t="n">
        <f aca="false">100*(G22-G21)</f>
        <v>6.7983659397806</v>
      </c>
      <c r="H156" s="22" t="n">
        <f aca="false">100*(H22-H21)</f>
        <v>7.09506760041898</v>
      </c>
      <c r="I156" s="22" t="n">
        <f aca="false">100*(I22-I21)</f>
        <v>7.22070222224418</v>
      </c>
      <c r="J156" s="22" t="n">
        <f aca="false">100*(J22-J21)</f>
        <v>7.21632147994389</v>
      </c>
      <c r="K156" s="22" t="n">
        <f aca="false">100*(K22-K21)</f>
        <v>7.11739848176429</v>
      </c>
      <c r="L156" s="22" t="n">
        <f aca="false">100*(L22-L21)</f>
        <v>6.95413790405528</v>
      </c>
      <c r="M156" s="22" t="n">
        <f aca="false">100*(M22-M21)</f>
        <v>4.82360609439461</v>
      </c>
      <c r="N156" s="22" t="n">
        <f aca="false">100*(N22-N21)</f>
        <v>4.75962203999227</v>
      </c>
      <c r="O156" s="22" t="n">
        <f aca="false">100*(O22-O21)</f>
        <v>4.70558335887503</v>
      </c>
      <c r="P156" s="22" t="n">
        <f aca="false">100*(P22-P21)</f>
        <v>4.66003253144462</v>
      </c>
      <c r="Q156" s="22" t="n">
        <f aca="false">100*(Q22-Q21)</f>
        <v>4.62152944721197</v>
      </c>
      <c r="R156" s="22" t="n">
        <f aca="false">100*(R22-R21)</f>
        <v>4.5886795334388</v>
      </c>
      <c r="S156" s="22" t="n">
        <f aca="false">100*(S22-S21)</f>
        <v>4.56020636092571</v>
      </c>
      <c r="T156" s="22" t="n">
        <f aca="false">100*(T22-T21)</f>
        <v>4.53495511009407</v>
      </c>
      <c r="U156" s="22" t="n">
        <f aca="false">100*(U22-U21)</f>
        <v>4.51187483082034</v>
      </c>
      <c r="V156" s="22" t="n">
        <f aca="false">100*(V22-V21)</f>
        <v>4.49000360393823</v>
      </c>
      <c r="W156" s="22" t="n">
        <f aca="false">100*(W22-W21)</f>
        <v>4.46845908960158</v>
      </c>
      <c r="X156" s="22" t="n">
        <f aca="false">100*(X22-X21)</f>
        <v>4.44647281287871</v>
      </c>
      <c r="Y156" s="22" t="n">
        <f aca="false">100*(Y22-Y21)</f>
        <v>4.42342775204008</v>
      </c>
      <c r="Z156" s="22" t="n">
        <f aca="false">100*(Z22-Z21)</f>
        <v>4.39883588256089</v>
      </c>
      <c r="AA156" s="22" t="n">
        <f aca="false">100*(AA22-AA21)</f>
        <v>4.37231301035963</v>
      </c>
      <c r="AB156" s="22" t="n">
        <f aca="false">100*(AB22-AB21)</f>
        <v>4.34356525820956</v>
      </c>
      <c r="AC156" s="22" t="n">
        <f aca="false">100*(AC22-AC21)</f>
        <v>4.31237833182658</v>
      </c>
      <c r="AD156" s="22" t="n">
        <f aca="false">100*(AD22-AD21)</f>
        <v>4.27861097087545</v>
      </c>
      <c r="AE156" s="22" t="n">
        <f aca="false">100*(AE22-AE21)</f>
        <v>4.24219102114529</v>
      </c>
      <c r="AF156" s="22" t="n">
        <f aca="false">100*(AF22-AF21)</f>
        <v>4.20310841225557</v>
      </c>
      <c r="AG156" s="22" t="n">
        <f aca="false">100*(AG22-AG21)</f>
        <v>4.1614066776674</v>
      </c>
      <c r="AH156" s="22" t="n">
        <f aca="false">100*(AH22-AH21)</f>
        <v>4.11717393385365</v>
      </c>
      <c r="AI156" s="22" t="n">
        <f aca="false">100*(AI22-AI21)</f>
        <v>4.07053777409532</v>
      </c>
      <c r="AJ156" s="22" t="n">
        <f aca="false">100*(AJ22-AJ21)</f>
        <v>4.02166130705304</v>
      </c>
      <c r="AK156" s="22" t="n">
        <f aca="false">100*(AK22-AK21)</f>
        <v>3.97073904960923</v>
      </c>
      <c r="AL156" s="22" t="n">
        <f aca="false">AVERAGE(C156:AK156)</f>
        <v>4.90530565730934</v>
      </c>
    </row>
    <row r="157" customFormat="false" ht="15" hidden="false" customHeight="false" outlineLevel="0" collapsed="false">
      <c r="A157" s="20" t="n">
        <f aca="false">A23</f>
        <v>-102</v>
      </c>
      <c r="B157" s="21" t="n">
        <f aca="false">B23</f>
        <v>40326</v>
      </c>
      <c r="C157" s="22" t="n">
        <f aca="false">100*(C23-C22)</f>
        <v>-0.420355587228394</v>
      </c>
      <c r="D157" s="22" t="n">
        <f aca="false">100*(D23-D22)</f>
        <v>0.0361370029827057</v>
      </c>
      <c r="E157" s="22" t="n">
        <f aca="false">100*(E23-E22)</f>
        <v>0.321899376816415</v>
      </c>
      <c r="F157" s="22" t="n">
        <f aca="false">100*(F23-F22)</f>
        <v>0.457447953878609</v>
      </c>
      <c r="G157" s="22" t="n">
        <f aca="false">100*(G23-G22)</f>
        <v>0.462051858247992</v>
      </c>
      <c r="H157" s="22" t="n">
        <f aca="false">100*(H23-H22)</f>
        <v>0.356871041891615</v>
      </c>
      <c r="I157" s="22" t="n">
        <f aca="false">100*(I23-I22)</f>
        <v>0.164878459236428</v>
      </c>
      <c r="J157" s="22" t="n">
        <f aca="false">100*(J23-J22)</f>
        <v>-0.0912764871066063</v>
      </c>
      <c r="K157" s="22" t="n">
        <f aca="false">100*(K23-K22)</f>
        <v>-0.39051361346889</v>
      </c>
      <c r="L157" s="22" t="n">
        <f aca="false">100*(L23-L22)</f>
        <v>-0.713724605270416</v>
      </c>
      <c r="M157" s="22" t="n">
        <f aca="false">100*(M23-M22)</f>
        <v>-2.95245683907845</v>
      </c>
      <c r="N157" s="22" t="n">
        <f aca="false">100*(N23-N22)</f>
        <v>-2.90907327617198</v>
      </c>
      <c r="O157" s="22" t="n">
        <f aca="false">100*(O23-O22)</f>
        <v>-2.84235140866107</v>
      </c>
      <c r="P157" s="22" t="n">
        <f aca="false">100*(P23-P22)</f>
        <v>-2.75463859924709</v>
      </c>
      <c r="Q157" s="22" t="n">
        <f aca="false">100*(Q23-Q22)</f>
        <v>-2.64829943276421</v>
      </c>
      <c r="R157" s="22" t="n">
        <f aca="false">100*(R23-R22)</f>
        <v>-2.52569681511794</v>
      </c>
      <c r="S157" s="22" t="n">
        <f aca="false">100*(S23-S22)</f>
        <v>-2.3890955393977</v>
      </c>
      <c r="T157" s="22" t="n">
        <f aca="false">100*(T23-T22)</f>
        <v>-2.24064173972121</v>
      </c>
      <c r="U157" s="22" t="n">
        <f aca="false">100*(U23-U22)</f>
        <v>-2.08238001643668</v>
      </c>
      <c r="V157" s="22" t="n">
        <f aca="false">100*(V23-V22)</f>
        <v>-1.91626794112976</v>
      </c>
      <c r="W157" s="22" t="n">
        <f aca="false">100*(W23-W22)</f>
        <v>-1.744196166044</v>
      </c>
      <c r="X157" s="22" t="n">
        <f aca="false">100*(X23-X22)</f>
        <v>-1.56801776144846</v>
      </c>
      <c r="Y157" s="22" t="n">
        <f aca="false">100*(Y23-Y22)</f>
        <v>-1.38952508912089</v>
      </c>
      <c r="Z157" s="22" t="n">
        <f aca="false">100*(Z23-Z22)</f>
        <v>-1.21040239078001</v>
      </c>
      <c r="AA157" s="22" t="n">
        <f aca="false">100*(AA23-AA22)</f>
        <v>-1.03219810156592</v>
      </c>
      <c r="AB157" s="22" t="n">
        <f aca="false">100*(AB23-AB22)</f>
        <v>-0.856338435902071</v>
      </c>
      <c r="AC157" s="22" t="n">
        <f aca="false">100*(AC23-AC22)</f>
        <v>-0.684140202329431</v>
      </c>
      <c r="AD157" s="22" t="n">
        <f aca="false">100*(AD23-AD22)</f>
        <v>-0.516797215349385</v>
      </c>
      <c r="AE157" s="22" t="n">
        <f aca="false">100*(AE23-AE22)</f>
        <v>-0.355363667661734</v>
      </c>
      <c r="AF157" s="22" t="n">
        <f aca="false">100*(AF23-AF22)</f>
        <v>-0.200765291543714</v>
      </c>
      <c r="AG157" s="22" t="n">
        <f aca="false">100*(AG23-AG22)</f>
        <v>-0.0538124142764218</v>
      </c>
      <c r="AH157" s="22" t="n">
        <f aca="false">100*(AH23-AH22)</f>
        <v>0.0847818695880243</v>
      </c>
      <c r="AI157" s="22" t="n">
        <f aca="false">100*(AI23-AI22)</f>
        <v>0.214390388677721</v>
      </c>
      <c r="AJ157" s="22" t="n">
        <f aca="false">100*(AJ23-AJ22)</f>
        <v>0.334463981118383</v>
      </c>
      <c r="AK157" s="22" t="n">
        <f aca="false">100*(AK23-AK22)</f>
        <v>0.444532299518663</v>
      </c>
      <c r="AL157" s="22" t="n">
        <f aca="false">AVERAGE(C157:AK157)</f>
        <v>-0.960310697281882</v>
      </c>
    </row>
    <row r="158" customFormat="false" ht="15" hidden="false" customHeight="false" outlineLevel="0" collapsed="false">
      <c r="A158" s="20" t="n">
        <f aca="false">A24</f>
        <v>-101</v>
      </c>
      <c r="B158" s="21" t="n">
        <f aca="false">B24</f>
        <v>40330</v>
      </c>
      <c r="C158" s="22" t="n">
        <f aca="false">100*(C24-C23)</f>
        <v>1.67058863040841</v>
      </c>
      <c r="D158" s="22" t="n">
        <f aca="false">100*(D24-D23)</f>
        <v>1.7971009773613</v>
      </c>
      <c r="E158" s="22" t="n">
        <f aca="false">100*(E24-E23)</f>
        <v>1.86535360681679</v>
      </c>
      <c r="F158" s="22" t="n">
        <f aca="false">100*(F24-F23)</f>
        <v>1.86362621345819</v>
      </c>
      <c r="G158" s="22" t="n">
        <f aca="false">100*(G24-G23)</f>
        <v>1.78968357956519</v>
      </c>
      <c r="H158" s="22" t="n">
        <f aca="false">100*(H24-H23)</f>
        <v>1.6485616105578</v>
      </c>
      <c r="I158" s="22" t="n">
        <f aca="false">100*(I24-I23)</f>
        <v>1.45072462020539</v>
      </c>
      <c r="J158" s="22" t="n">
        <f aca="false">100*(J24-J23)</f>
        <v>1.20973228234842</v>
      </c>
      <c r="K158" s="22" t="n">
        <f aca="false">100*(K24-K23)</f>
        <v>0.939960529868689</v>
      </c>
      <c r="L158" s="22" t="n">
        <f aca="false">100*(L24-L23)</f>
        <v>0.65512569472892</v>
      </c>
      <c r="M158" s="22" t="n">
        <f aca="false">100*(M24-M23)</f>
        <v>-1.24760809367501</v>
      </c>
      <c r="N158" s="22" t="n">
        <f aca="false">100*(N24-N23)</f>
        <v>-1.21937471879328</v>
      </c>
      <c r="O158" s="22" t="n">
        <f aca="false">100*(O24-O23)</f>
        <v>-1.17535882733346</v>
      </c>
      <c r="P158" s="22" t="n">
        <f aca="false">100*(P24-P23)</f>
        <v>-1.11791112070492</v>
      </c>
      <c r="Q158" s="22" t="n">
        <f aca="false">100*(Q24-Q23)</f>
        <v>-1.04933044865057</v>
      </c>
      <c r="R158" s="22" t="n">
        <f aca="false">100*(R24-R23)</f>
        <v>-0.97180283873568</v>
      </c>
      <c r="S158" s="22" t="n">
        <f aca="false">100*(S24-S23)</f>
        <v>-0.887272820208551</v>
      </c>
      <c r="T158" s="22" t="n">
        <f aca="false">100*(T24-T23)</f>
        <v>-0.797447145854502</v>
      </c>
      <c r="U158" s="22" t="n">
        <f aca="false">100*(U24-U23)</f>
        <v>-0.70382961941311</v>
      </c>
      <c r="V158" s="22" t="n">
        <f aca="false">100*(V24-V23)</f>
        <v>-0.607750088423931</v>
      </c>
      <c r="W158" s="22" t="n">
        <f aca="false">100*(W24-W23)</f>
        <v>-0.510388380480187</v>
      </c>
      <c r="X158" s="22" t="n">
        <f aca="false">100*(X24-X23)</f>
        <v>-0.412777762130734</v>
      </c>
      <c r="Y158" s="22" t="n">
        <f aca="false">100*(Y24-Y23)</f>
        <v>-0.315799694937802</v>
      </c>
      <c r="Z158" s="22" t="n">
        <f aca="false">100*(Z24-Z23)</f>
        <v>-0.220206336827999</v>
      </c>
      <c r="AA158" s="22" t="n">
        <f aca="false">100*(AA24-AA23)</f>
        <v>-0.126643228152723</v>
      </c>
      <c r="AB158" s="22" t="n">
        <f aca="false">100*(AB24-AB23)</f>
        <v>-0.035662925310298</v>
      </c>
      <c r="AC158" s="22" t="n">
        <f aca="false">100*(AC24-AC23)</f>
        <v>0.0522624252672799</v>
      </c>
      <c r="AD158" s="22" t="n">
        <f aca="false">100*(AD24-AD23)</f>
        <v>0.136719516839001</v>
      </c>
      <c r="AE158" s="22" t="n">
        <f aca="false">100*(AE24-AE23)</f>
        <v>0.217337746028878</v>
      </c>
      <c r="AF158" s="22" t="n">
        <f aca="false">100*(AF24-AF23)</f>
        <v>0.293783522769964</v>
      </c>
      <c r="AG158" s="22" t="n">
        <f aca="false">100*(AG24-AG23)</f>
        <v>0.365750567122269</v>
      </c>
      <c r="AH158" s="22" t="n">
        <f aca="false">100*(AH24-AH23)</f>
        <v>0.432950497136719</v>
      </c>
      <c r="AI158" s="22" t="n">
        <f aca="false">100*(AI24-AI23)</f>
        <v>0.49511030913445</v>
      </c>
      <c r="AJ158" s="22" t="n">
        <f aca="false">100*(AJ24-AJ23)</f>
        <v>0.551971058145018</v>
      </c>
      <c r="AK158" s="22" t="n">
        <f aca="false">100*(AK24-AK23)</f>
        <v>0.603289010670416</v>
      </c>
      <c r="AL158" s="22" t="n">
        <f aca="false">AVERAGE(C158:AK158)</f>
        <v>0.189727667108581</v>
      </c>
    </row>
    <row r="159" customFormat="false" ht="15" hidden="false" customHeight="false" outlineLevel="0" collapsed="false">
      <c r="A159" s="20" t="n">
        <f aca="false">A25</f>
        <v>-100</v>
      </c>
      <c r="B159" s="21" t="n">
        <f aca="false">B25</f>
        <v>40331</v>
      </c>
      <c r="C159" s="22" t="n">
        <f aca="false">100*(C25-C24)</f>
        <v>-2.04529866218501</v>
      </c>
      <c r="D159" s="22" t="n">
        <f aca="false">100*(D25-D24)</f>
        <v>-2.56812942485529</v>
      </c>
      <c r="E159" s="22" t="n">
        <f aca="false">100*(E25-E24)</f>
        <v>-2.97349851677879</v>
      </c>
      <c r="F159" s="22" t="n">
        <f aca="false">100*(F25-F24)</f>
        <v>-3.27344992300549</v>
      </c>
      <c r="G159" s="22" t="n">
        <f aca="false">100*(G25-G24)</f>
        <v>-3.4804327617203</v>
      </c>
      <c r="H159" s="22" t="n">
        <f aca="false">100*(H25-H24)</f>
        <v>-3.60643865551671</v>
      </c>
      <c r="I159" s="22" t="n">
        <f aca="false">100*(I25-I24)</f>
        <v>-3.6645575570847</v>
      </c>
      <c r="J159" s="22" t="n">
        <f aca="false">100*(J25-J24)</f>
        <v>-3.66873599822011</v>
      </c>
      <c r="K159" s="22" t="n">
        <f aca="false">100*(K25-K24)</f>
        <v>-3.63234746064363</v>
      </c>
      <c r="L159" s="22" t="n">
        <f aca="false">100*(L25-L24)</f>
        <v>-3.5669429953201</v>
      </c>
      <c r="M159" s="22" t="n">
        <f aca="false">100*(M25-M24)</f>
        <v>-2.02602023828344</v>
      </c>
      <c r="N159" s="22" t="n">
        <f aca="false">100*(N25-N24)</f>
        <v>-1.90024239834097</v>
      </c>
      <c r="O159" s="22" t="n">
        <f aca="false">100*(O25-O24)</f>
        <v>-1.77616274842363</v>
      </c>
      <c r="P159" s="22" t="n">
        <f aca="false">100*(P25-P24)</f>
        <v>-1.65406875475984</v>
      </c>
      <c r="Q159" s="22" t="n">
        <f aca="false">100*(Q25-Q24)</f>
        <v>-1.5341997640939</v>
      </c>
      <c r="R159" s="22" t="n">
        <f aca="false">100*(R25-R24)</f>
        <v>-1.41675612159951</v>
      </c>
      <c r="S159" s="22" t="n">
        <f aca="false">100*(S25-S24)</f>
        <v>-1.30189396078784</v>
      </c>
      <c r="T159" s="22" t="n">
        <f aca="false">100*(T25-T24)</f>
        <v>-1.18972653196368</v>
      </c>
      <c r="U159" s="22" t="n">
        <f aca="false">100*(U25-U24)</f>
        <v>-1.08033045675162</v>
      </c>
      <c r="V159" s="22" t="n">
        <f aca="false">100*(V25-V24)</f>
        <v>-0.973750960964637</v>
      </c>
      <c r="W159" s="22" t="n">
        <f aca="false">100*(W25-W24)</f>
        <v>-0.870010656587184</v>
      </c>
      <c r="X159" s="22" t="n">
        <f aca="false">100*(X25-X24)</f>
        <v>-0.769139294158716</v>
      </c>
      <c r="Y159" s="22" t="n">
        <f aca="false">100*(Y25-Y24)</f>
        <v>-0.671184754372156</v>
      </c>
      <c r="Z159" s="22" t="n">
        <f aca="false">100*(Z25-Z24)</f>
        <v>-0.576197367285669</v>
      </c>
      <c r="AA159" s="22" t="n">
        <f aca="false">100*(AA25-AA24)</f>
        <v>-0.484218976840545</v>
      </c>
      <c r="AB159" s="22" t="n">
        <f aca="false">100*(AB25-AB24)</f>
        <v>-0.395283273641756</v>
      </c>
      <c r="AC159" s="22" t="n">
        <f aca="false">100*(AC25-AC24)</f>
        <v>-0.309416873543533</v>
      </c>
      <c r="AD159" s="22" t="n">
        <f aca="false">100*(AD25-AD24)</f>
        <v>-0.226638929750589</v>
      </c>
      <c r="AE159" s="22" t="n">
        <f aca="false">100*(AE25-AE24)</f>
        <v>-0.146959399950397</v>
      </c>
      <c r="AF159" s="22" t="n">
        <f aca="false">100*(AF25-AF24)</f>
        <v>-0.0703800615537986</v>
      </c>
      <c r="AG159" s="22" t="n">
        <f aca="false">100*(AG25-AG24)</f>
        <v>0.00309910573950134</v>
      </c>
      <c r="AH159" s="22" t="n">
        <f aca="false">100*(AH25-AH24)</f>
        <v>0.0734735149861443</v>
      </c>
      <c r="AI159" s="22" t="n">
        <f aca="false">100*(AI25-AI24)</f>
        <v>0.140733836120255</v>
      </c>
      <c r="AJ159" s="22" t="n">
        <f aca="false">100*(AJ25-AJ24)</f>
        <v>0.204866532944692</v>
      </c>
      <c r="AK159" s="22" t="n">
        <f aca="false">100*(AK25-AK24)</f>
        <v>0.265853217884082</v>
      </c>
      <c r="AL159" s="22" t="n">
        <f aca="false">AVERAGE(C159:AK159)</f>
        <v>-1.46183963632311</v>
      </c>
    </row>
    <row r="160" customFormat="false" ht="15" hidden="false" customHeight="false" outlineLevel="0" collapsed="false">
      <c r="A160" s="20" t="n">
        <f aca="false">A26</f>
        <v>-99</v>
      </c>
      <c r="B160" s="21" t="n">
        <f aca="false">B26</f>
        <v>40332</v>
      </c>
      <c r="C160" s="22" t="n">
        <f aca="false">100*(C26-C25)</f>
        <v>2.6798434432511</v>
      </c>
      <c r="D160" s="22" t="n">
        <f aca="false">100*(D26-D25)</f>
        <v>2.7772216169814</v>
      </c>
      <c r="E160" s="22" t="n">
        <f aca="false">100*(E26-E25)</f>
        <v>2.8214674628948</v>
      </c>
      <c r="F160" s="22" t="n">
        <f aca="false">100*(F26-F25)</f>
        <v>2.86820093728208</v>
      </c>
      <c r="G160" s="22" t="n">
        <f aca="false">100*(G26-G25)</f>
        <v>2.94362666530739</v>
      </c>
      <c r="H160" s="22" t="n">
        <f aca="false">100*(H26-H25)</f>
        <v>3.0564002023711</v>
      </c>
      <c r="I160" s="22" t="n">
        <f aca="false">100*(I26-I25)</f>
        <v>3.20479256039552</v>
      </c>
      <c r="J160" s="22" t="n">
        <f aca="false">100*(J26-J25)</f>
        <v>3.38126653178881</v>
      </c>
      <c r="K160" s="22" t="n">
        <f aca="false">100*(K26-K25)</f>
        <v>3.57555918261743</v>
      </c>
      <c r="L160" s="22" t="n">
        <f aca="false">100*(L26-L25)</f>
        <v>3.7766626693573</v>
      </c>
      <c r="M160" s="22" t="n">
        <f aca="false">100*(M26-M25)</f>
        <v>4.81920836135288</v>
      </c>
      <c r="N160" s="22" t="n">
        <f aca="false">100*(N26-N25)</f>
        <v>4.77588092075703</v>
      </c>
      <c r="O160" s="22" t="n">
        <f aca="false">100*(O26-O25)</f>
        <v>4.7243413218407</v>
      </c>
      <c r="P160" s="22" t="n">
        <f aca="false">100*(P26-P25)</f>
        <v>4.66676910490547</v>
      </c>
      <c r="Q160" s="22" t="n">
        <f aca="false">100*(Q26-Q25)</f>
        <v>4.60530200601985</v>
      </c>
      <c r="R160" s="22" t="n">
        <f aca="false">100*(R26-R25)</f>
        <v>4.54195737774414</v>
      </c>
      <c r="S160" s="22" t="n">
        <f aca="false">100*(S26-S25)</f>
        <v>4.47850764624214</v>
      </c>
      <c r="T160" s="22" t="n">
        <f aca="false">100*(T26-T25)</f>
        <v>4.41649256154078</v>
      </c>
      <c r="U160" s="22" t="n">
        <f aca="false">100*(U26-U25)</f>
        <v>4.35725338470059</v>
      </c>
      <c r="V160" s="22" t="n">
        <f aca="false">100*(V26-V25)</f>
        <v>4.30196124307747</v>
      </c>
      <c r="W160" s="22" t="n">
        <f aca="false">100*(W26-W25)</f>
        <v>4.25163383091887</v>
      </c>
      <c r="X160" s="22" t="n">
        <f aca="false">100*(X26-X25)</f>
        <v>4.20710749818873</v>
      </c>
      <c r="Y160" s="22" t="n">
        <f aca="false">100*(Y26-Y25)</f>
        <v>4.16902881105026</v>
      </c>
      <c r="Z160" s="22" t="n">
        <f aca="false">100*(Z26-Z25)</f>
        <v>4.13787360228</v>
      </c>
      <c r="AA160" s="22" t="n">
        <f aca="false">100*(AA26-AA25)</f>
        <v>4.11396373921606</v>
      </c>
      <c r="AB160" s="22" t="n">
        <f aca="false">100*(AB26-AB25)</f>
        <v>4.09748542992867</v>
      </c>
      <c r="AC160" s="22" t="n">
        <f aca="false">100*(AC26-AC25)</f>
        <v>4.08850432789194</v>
      </c>
      <c r="AD160" s="22" t="n">
        <f aca="false">100*(AD26-AD25)</f>
        <v>4.08697214045706</v>
      </c>
      <c r="AE160" s="22" t="n">
        <f aca="false">100*(AE26-AE25)</f>
        <v>4.09273463750415</v>
      </c>
      <c r="AF160" s="22" t="n">
        <f aca="false">100*(AF26-AF25)</f>
        <v>4.10554388709583</v>
      </c>
      <c r="AG160" s="22" t="n">
        <f aca="false">100*(AG26-AG25)</f>
        <v>4.12507218328635</v>
      </c>
      <c r="AH160" s="22" t="n">
        <f aca="false">100*(AH26-AH25)</f>
        <v>4.15092218993651</v>
      </c>
      <c r="AI160" s="22" t="n">
        <f aca="false">100*(AI26-AI25)</f>
        <v>4.18263416213076</v>
      </c>
      <c r="AJ160" s="22" t="n">
        <f aca="false">100*(AJ26-AJ25)</f>
        <v>4.21969274289316</v>
      </c>
      <c r="AK160" s="22" t="n">
        <f aca="false">100*(AK26-AK25)</f>
        <v>4.26153805116893</v>
      </c>
      <c r="AL160" s="22" t="n">
        <f aca="false">AVERAGE(C160:AK160)</f>
        <v>3.97324064098215</v>
      </c>
    </row>
    <row r="161" customFormat="false" ht="15" hidden="false" customHeight="false" outlineLevel="0" collapsed="false">
      <c r="A161" s="20" t="n">
        <f aca="false">A27</f>
        <v>-98</v>
      </c>
      <c r="B161" s="21" t="n">
        <f aca="false">B27</f>
        <v>40333</v>
      </c>
      <c r="C161" s="22" t="n">
        <f aca="false">100*(C27-C26)</f>
        <v>-5.45493459063708</v>
      </c>
      <c r="D161" s="22" t="n">
        <f aca="false">100*(D27-D26)</f>
        <v>-6.2181768470913</v>
      </c>
      <c r="E161" s="22" t="n">
        <f aca="false">100*(E27-E26)</f>
        <v>-6.74534549488861</v>
      </c>
      <c r="F161" s="22" t="n">
        <f aca="false">100*(F27-F26)</f>
        <v>-7.1102403801059</v>
      </c>
      <c r="G161" s="22" t="n">
        <f aca="false">100*(G27-G26)</f>
        <v>-7.35871319409858</v>
      </c>
      <c r="H161" s="22" t="n">
        <f aca="false">100*(H27-H26)</f>
        <v>-7.52064892141</v>
      </c>
      <c r="I161" s="22" t="n">
        <f aca="false">100*(I27-I26)</f>
        <v>-7.61796659851282</v>
      </c>
      <c r="J161" s="22" t="n">
        <f aca="false">100*(J27-J26)</f>
        <v>-7.6667968433402</v>
      </c>
      <c r="K161" s="22" t="n">
        <f aca="false">100*(K27-K26)</f>
        <v>-7.67905233706592</v>
      </c>
      <c r="L161" s="22" t="n">
        <f aca="false">100*(L27-L26)</f>
        <v>-7.66420953371272</v>
      </c>
      <c r="M161" s="22" t="n">
        <f aca="false">100*(M27-M26)</f>
        <v>-6.42254137885807</v>
      </c>
      <c r="N161" s="22" t="n">
        <f aca="false">100*(N27-N26)</f>
        <v>-6.28310898332822</v>
      </c>
      <c r="O161" s="22" t="n">
        <f aca="false">100*(O27-O26)</f>
        <v>-6.1416585150857</v>
      </c>
      <c r="P161" s="22" t="n">
        <f aca="false">100*(P27-P26)</f>
        <v>-5.99906381622706</v>
      </c>
      <c r="Q161" s="22" t="n">
        <f aca="false">100*(Q27-Q26)</f>
        <v>-5.85617583353635</v>
      </c>
      <c r="R161" s="22" t="n">
        <f aca="false">100*(R27-R26)</f>
        <v>-5.71380211436834</v>
      </c>
      <c r="S161" s="22" t="n">
        <f aca="false">100*(S27-S26)</f>
        <v>-5.57262505050495</v>
      </c>
      <c r="T161" s="22" t="n">
        <f aca="false">100*(T27-T26)</f>
        <v>-5.43319414517169</v>
      </c>
      <c r="U161" s="22" t="n">
        <f aca="false">100*(U27-U26)</f>
        <v>-5.29594538935401</v>
      </c>
      <c r="V161" s="22" t="n">
        <f aca="false">100*(V27-V26)</f>
        <v>-5.16121747932488</v>
      </c>
      <c r="W161" s="22" t="n">
        <f aca="false">100*(W27-W26)</f>
        <v>-5.02927088629646</v>
      </c>
      <c r="X161" s="22" t="n">
        <f aca="false">100*(X27-X26)</f>
        <v>-4.9003014070359</v>
      </c>
      <c r="Y161" s="22" t="n">
        <f aca="false">100*(Y27-Y26)</f>
        <v>-4.77442124577605</v>
      </c>
      <c r="Z161" s="22" t="n">
        <f aca="false">100*(Z27-Z26)</f>
        <v>-4.65167641810833</v>
      </c>
      <c r="AA161" s="22" t="n">
        <f aca="false">100*(AA27-AA26)</f>
        <v>-4.53206831526369</v>
      </c>
      <c r="AB161" s="22" t="n">
        <f aca="false">100*(AB27-AB26)</f>
        <v>-4.41556044941454</v>
      </c>
      <c r="AC161" s="22" t="n">
        <f aca="false">100*(AC27-AC26)</f>
        <v>-4.30208522989801</v>
      </c>
      <c r="AD161" s="22" t="n">
        <f aca="false">100*(AD27-AD26)</f>
        <v>-4.19156068881321</v>
      </c>
      <c r="AE161" s="22" t="n">
        <f aca="false">100*(AE27-AE26)</f>
        <v>-4.08389850325168</v>
      </c>
      <c r="AF161" s="22" t="n">
        <f aca="false">100*(AF27-AF26)</f>
        <v>-3.97900435923662</v>
      </c>
      <c r="AG161" s="22" t="n">
        <f aca="false">100*(AG27-AG26)</f>
        <v>-3.8767826420246</v>
      </c>
      <c r="AH161" s="22" t="n">
        <f aca="false">100*(AH27-AH26)</f>
        <v>-3.77714428732459</v>
      </c>
      <c r="AI161" s="22" t="n">
        <f aca="false">100*(AI27-AI26)</f>
        <v>-3.68000707541487</v>
      </c>
      <c r="AJ161" s="22" t="n">
        <f aca="false">100*(AJ27-AJ26)</f>
        <v>-3.58529449780374</v>
      </c>
      <c r="AK161" s="22" t="n">
        <f aca="false">100*(AK27-AK26)</f>
        <v>-3.49293402559585</v>
      </c>
      <c r="AL161" s="22" t="n">
        <f aca="false">AVERAGE(C161:AK161)</f>
        <v>-5.49106935651087</v>
      </c>
    </row>
    <row r="162" customFormat="false" ht="15" hidden="false" customHeight="false" outlineLevel="0" collapsed="false">
      <c r="A162" s="20" t="n">
        <f aca="false">A28</f>
        <v>-97</v>
      </c>
      <c r="B162" s="21" t="n">
        <f aca="false">B28</f>
        <v>40336</v>
      </c>
      <c r="C162" s="22" t="n">
        <f aca="false">100*(C28-C27)</f>
        <v>-3.15572189939976</v>
      </c>
      <c r="D162" s="22" t="n">
        <f aca="false">100*(D28-D27)</f>
        <v>-3.32458898922321</v>
      </c>
      <c r="E162" s="22" t="n">
        <f aca="false">100*(E28-E27)</f>
        <v>-3.3757961706947</v>
      </c>
      <c r="F162" s="22" t="n">
        <f aca="false">100*(F28-F27)</f>
        <v>-3.35061717412779</v>
      </c>
      <c r="G162" s="22" t="n">
        <f aca="false">100*(G28-G27)</f>
        <v>-3.27697599768471</v>
      </c>
      <c r="H162" s="22" t="n">
        <f aca="false">100*(H28-H27)</f>
        <v>-3.1734436725773</v>
      </c>
      <c r="I162" s="22" t="n">
        <f aca="false">100*(I28-I27)</f>
        <v>-3.05275815257851</v>
      </c>
      <c r="J162" s="22" t="n">
        <f aca="false">100*(J28-J27)</f>
        <v>-2.92391643970724</v>
      </c>
      <c r="K162" s="22" t="n">
        <f aca="false">100*(K28-K27)</f>
        <v>-2.7935498246753</v>
      </c>
      <c r="L162" s="22" t="n">
        <f aca="false">100*(L28-L27)</f>
        <v>-2.6669593732997</v>
      </c>
      <c r="M162" s="22" t="n">
        <f aca="false">100*(M28-M27)</f>
        <v>-1.9951567794859</v>
      </c>
      <c r="N162" s="22" t="n">
        <f aca="false">100*(N28-N27)</f>
        <v>-2.0050778900937</v>
      </c>
      <c r="O162" s="22" t="n">
        <f aca="false">100*(O28-O27)</f>
        <v>-2.02018405770943</v>
      </c>
      <c r="P162" s="22" t="n">
        <f aca="false">100*(P28-P27)</f>
        <v>-2.03986943518908</v>
      </c>
      <c r="Q162" s="22" t="n">
        <f aca="false">100*(Q28-Q27)</f>
        <v>-2.0635522131748</v>
      </c>
      <c r="R162" s="22" t="n">
        <f aca="false">100*(R28-R27)</f>
        <v>-2.09068090767097</v>
      </c>
      <c r="S162" s="22" t="n">
        <f aca="false">100*(S28-S27)</f>
        <v>-2.12073315497037</v>
      </c>
      <c r="T162" s="22" t="n">
        <f aca="false">100*(T28-T27)</f>
        <v>-2.1532088729141</v>
      </c>
      <c r="U162" s="22" t="n">
        <f aca="false">100*(U28-U27)</f>
        <v>-2.18762694944044</v>
      </c>
      <c r="V162" s="22" t="n">
        <f aca="false">100*(V28-V27)</f>
        <v>-2.22352253342004</v>
      </c>
      <c r="W162" s="22" t="n">
        <f aca="false">100*(W28-W27)</f>
        <v>-2.2604491397848</v>
      </c>
      <c r="X162" s="22" t="n">
        <f aca="false">100*(X28-X27)</f>
        <v>-2.2979983344757</v>
      </c>
      <c r="Y162" s="22" t="n">
        <f aca="false">100*(Y28-Y27)</f>
        <v>-2.33580342236541</v>
      </c>
      <c r="Z162" s="22" t="n">
        <f aca="false">100*(Z28-Z27)</f>
        <v>-2.37353905247959</v>
      </c>
      <c r="AA162" s="22" t="n">
        <f aca="false">100*(AA28-AA27)</f>
        <v>-2.4109214618254</v>
      </c>
      <c r="AB162" s="22" t="n">
        <f aca="false">100*(AB28-AB27)</f>
        <v>-2.44770388352489</v>
      </c>
      <c r="AC162" s="22" t="n">
        <f aca="false">100*(AC28-AC27)</f>
        <v>-2.48367337044471</v>
      </c>
      <c r="AD162" s="22" t="n">
        <f aca="false">100*(AD28-AD27)</f>
        <v>-2.5186549912295</v>
      </c>
      <c r="AE162" s="22" t="n">
        <f aca="false">100*(AE28-AE27)</f>
        <v>-2.55251261143314</v>
      </c>
      <c r="AF162" s="22" t="n">
        <f aca="false">100*(AF28-AF27)</f>
        <v>-2.58514372369429</v>
      </c>
      <c r="AG162" s="22" t="n">
        <f aca="false">100*(AG28-AG27)</f>
        <v>-2.61646926810073</v>
      </c>
      <c r="AH162" s="22" t="n">
        <f aca="false">100*(AH28-AH27)</f>
        <v>-2.64642733172513</v>
      </c>
      <c r="AI162" s="22" t="n">
        <f aca="false">100*(AI28-AI27)</f>
        <v>-2.6749712429381</v>
      </c>
      <c r="AJ162" s="22" t="n">
        <f aca="false">100*(AJ28-AJ27)</f>
        <v>-2.70206766920893</v>
      </c>
      <c r="AK162" s="22" t="n">
        <f aca="false">100*(AK28-AK27)</f>
        <v>-2.72769167589546</v>
      </c>
      <c r="AL162" s="22" t="n">
        <f aca="false">AVERAGE(C162:AK162)</f>
        <v>-2.56079907620465</v>
      </c>
    </row>
    <row r="163" customFormat="false" ht="15" hidden="false" customHeight="false" outlineLevel="0" collapsed="false">
      <c r="A163" s="20" t="n">
        <f aca="false">A29</f>
        <v>-96</v>
      </c>
      <c r="B163" s="21" t="n">
        <f aca="false">B29</f>
        <v>40337</v>
      </c>
      <c r="C163" s="22" t="n">
        <f aca="false">100*(C29-C28)</f>
        <v>-2.25922619846276</v>
      </c>
      <c r="D163" s="22" t="n">
        <f aca="false">100*(D29-D28)</f>
        <v>-2.7269715133071</v>
      </c>
      <c r="E163" s="22" t="n">
        <f aca="false">100*(E29-E28)</f>
        <v>-2.9769464932121</v>
      </c>
      <c r="F163" s="22" t="n">
        <f aca="false">100*(F29-F28)</f>
        <v>-3.09278816598071</v>
      </c>
      <c r="G163" s="22" t="n">
        <f aca="false">100*(G29-G28)</f>
        <v>-3.12534011001</v>
      </c>
      <c r="H163" s="22" t="n">
        <f aca="false">100*(H29-H28)</f>
        <v>-3.10572740463999</v>
      </c>
      <c r="I163" s="22" t="n">
        <f aca="false">100*(I29-I28)</f>
        <v>-3.05394614812431</v>
      </c>
      <c r="J163" s="22" t="n">
        <f aca="false">100*(J29-J28)</f>
        <v>-2.98344248077029</v>
      </c>
      <c r="K163" s="22" t="n">
        <f aca="false">100*(K29-K28)</f>
        <v>-2.90384952110867</v>
      </c>
      <c r="L163" s="22" t="n">
        <f aca="false">100*(L29-L28)</f>
        <v>-2.82243471563648</v>
      </c>
      <c r="M163" s="22" t="n">
        <f aca="false">100*(M29-M28)</f>
        <v>-2.66096771251609</v>
      </c>
      <c r="N163" s="22" t="n">
        <f aca="false">100*(N29-N28)</f>
        <v>-2.70630861894308</v>
      </c>
      <c r="O163" s="22" t="n">
        <f aca="false">100*(O29-O28)</f>
        <v>-2.7521900682026</v>
      </c>
      <c r="P163" s="22" t="n">
        <f aca="false">100*(P29-P28)</f>
        <v>-2.79696908947624</v>
      </c>
      <c r="Q163" s="22" t="n">
        <f aca="false">100*(Q29-Q28)</f>
        <v>-2.83906682138442</v>
      </c>
      <c r="R163" s="22" t="n">
        <f aca="false">100*(R29-R28)</f>
        <v>-2.87705601194093</v>
      </c>
      <c r="S163" s="22" t="n">
        <f aca="false">100*(S29-S28)</f>
        <v>-2.9097926070575</v>
      </c>
      <c r="T163" s="22" t="n">
        <f aca="false">100*(T29-T28)</f>
        <v>-2.93639803336738</v>
      </c>
      <c r="U163" s="22" t="n">
        <f aca="false">100*(U29-U28)</f>
        <v>-2.95622017692265</v>
      </c>
      <c r="V163" s="22" t="n">
        <f aca="false">100*(V29-V28)</f>
        <v>-2.96880103303403</v>
      </c>
      <c r="W163" s="22" t="n">
        <f aca="false">100*(W29-W28)</f>
        <v>-2.97385757131998</v>
      </c>
      <c r="X163" s="22" t="n">
        <f aca="false">100*(X29-X28)</f>
        <v>-2.97130873251703</v>
      </c>
      <c r="Y163" s="22" t="n">
        <f aca="false">100*(Y29-Y28)</f>
        <v>-2.96127623988465</v>
      </c>
      <c r="Z163" s="22" t="n">
        <f aca="false">100*(Z29-Z28)</f>
        <v>-2.94402950668689</v>
      </c>
      <c r="AA163" s="22" t="n">
        <f aca="false">100*(AA29-AA28)</f>
        <v>-2.91994341879116</v>
      </c>
      <c r="AB163" s="22" t="n">
        <f aca="false">100*(AB29-AB28)</f>
        <v>-2.88948391320805</v>
      </c>
      <c r="AC163" s="22" t="n">
        <f aca="false">100*(AC29-AC28)</f>
        <v>-2.85319481429189</v>
      </c>
      <c r="AD163" s="22" t="n">
        <f aca="false">100*(AD29-AD28)</f>
        <v>-2.81166640170376</v>
      </c>
      <c r="AE163" s="22" t="n">
        <f aca="false">100*(AE29-AE28)</f>
        <v>-2.76551016241413</v>
      </c>
      <c r="AF163" s="22" t="n">
        <f aca="false">100*(AF29-AF28)</f>
        <v>-2.71535181649423</v>
      </c>
      <c r="AG163" s="22" t="n">
        <f aca="false">100*(AG29-AG28)</f>
        <v>-2.66180714371034</v>
      </c>
      <c r="AH163" s="22" t="n">
        <f aca="false">100*(AH29-AH28)</f>
        <v>-2.60546662584611</v>
      </c>
      <c r="AI163" s="22" t="n">
        <f aca="false">100*(AI29-AI28)</f>
        <v>-2.54689713436429</v>
      </c>
      <c r="AJ163" s="22" t="n">
        <f aca="false">100*(AJ29-AJ28)</f>
        <v>-2.48664335978406</v>
      </c>
      <c r="AK163" s="22" t="n">
        <f aca="false">100*(AK29-AK28)</f>
        <v>-2.42521642133928</v>
      </c>
      <c r="AL163" s="22" t="n">
        <f aca="false">AVERAGE(C163:AK163)</f>
        <v>-2.82817417675581</v>
      </c>
    </row>
    <row r="164" customFormat="false" ht="15" hidden="false" customHeight="false" outlineLevel="0" collapsed="false">
      <c r="A164" s="20" t="n">
        <f aca="false">A30</f>
        <v>-95</v>
      </c>
      <c r="B164" s="21" t="n">
        <f aca="false">B30</f>
        <v>40338</v>
      </c>
      <c r="C164" s="22" t="n">
        <f aca="false">100*(C30-C29)</f>
        <v>3.17818499636491</v>
      </c>
      <c r="D164" s="22" t="n">
        <f aca="false">100*(D30-D29)</f>
        <v>3.5691974128486</v>
      </c>
      <c r="E164" s="22" t="n">
        <f aca="false">100*(E30-E29)</f>
        <v>3.8883759710425</v>
      </c>
      <c r="F164" s="22" t="n">
        <f aca="false">100*(F30-F29)</f>
        <v>4.15757033174682</v>
      </c>
      <c r="G164" s="22" t="n">
        <f aca="false">100*(G30-G29)</f>
        <v>4.3910971622515</v>
      </c>
      <c r="H164" s="22" t="n">
        <f aca="false">100*(H30-H29)</f>
        <v>4.59889649293102</v>
      </c>
      <c r="I164" s="22" t="n">
        <f aca="false">100*(I30-I29)</f>
        <v>4.78775521066521</v>
      </c>
      <c r="J164" s="22" t="n">
        <f aca="false">100*(J30-J29)</f>
        <v>4.96181015386932</v>
      </c>
      <c r="K164" s="22" t="n">
        <f aca="false">100*(K30-K29)</f>
        <v>5.12261700436296</v>
      </c>
      <c r="L164" s="22" t="n">
        <f aca="false">100*(L30-L29)</f>
        <v>5.26993218417169</v>
      </c>
      <c r="M164" s="22" t="n">
        <f aca="false">100*(M30-M29)</f>
        <v>5.07117099398231</v>
      </c>
      <c r="N164" s="22" t="n">
        <f aca="false">100*(N30-N29)</f>
        <v>4.89891678250336</v>
      </c>
      <c r="O164" s="22" t="n">
        <f aca="false">100*(O30-O29)</f>
        <v>4.71723405166875</v>
      </c>
      <c r="P164" s="22" t="n">
        <f aca="false">100*(P30-P29)</f>
        <v>4.52955402770074</v>
      </c>
      <c r="Q164" s="22" t="n">
        <f aca="false">100*(Q30-Q29)</f>
        <v>4.33927181672438</v>
      </c>
      <c r="R164" s="22" t="n">
        <f aca="false">100*(R30-R29)</f>
        <v>4.14956447565986</v>
      </c>
      <c r="S164" s="22" t="n">
        <f aca="false">100*(S30-S29)</f>
        <v>3.96311963880045</v>
      </c>
      <c r="T164" s="22" t="n">
        <f aca="false">100*(T30-T29)</f>
        <v>3.78215828617412</v>
      </c>
      <c r="U164" s="22" t="n">
        <f aca="false">100*(U30-U29)</f>
        <v>3.60850330719256</v>
      </c>
      <c r="V164" s="22" t="n">
        <f aca="false">100*(V30-V29)</f>
        <v>3.44363636915928</v>
      </c>
      <c r="W164" s="22" t="n">
        <f aca="false">100*(W30-W29)</f>
        <v>3.28873571302077</v>
      </c>
      <c r="X164" s="22" t="n">
        <f aca="false">100*(X30-X29)</f>
        <v>3.14465344797075</v>
      </c>
      <c r="Y164" s="22" t="n">
        <f aca="false">100*(Y30-Y29)</f>
        <v>3.01192006432256</v>
      </c>
      <c r="Z164" s="22" t="n">
        <f aca="false">100*(Z30-Z29)</f>
        <v>2.89080189680266</v>
      </c>
      <c r="AA164" s="22" t="n">
        <f aca="false">100*(AA30-AA29)</f>
        <v>2.78134744364849</v>
      </c>
      <c r="AB164" s="22" t="n">
        <f aca="false">100*(AB30-AB29)</f>
        <v>2.68341472320932</v>
      </c>
      <c r="AC164" s="22" t="n">
        <f aca="false">100*(AC30-AC29)</f>
        <v>2.59669595755385</v>
      </c>
      <c r="AD164" s="22" t="n">
        <f aca="false">100*(AD30-AD29)</f>
        <v>2.52075592738494</v>
      </c>
      <c r="AE164" s="22" t="n">
        <f aca="false">100*(AE30-AE29)</f>
        <v>2.45506330562284</v>
      </c>
      <c r="AF164" s="22" t="n">
        <f aca="false">100*(AF30-AF29)</f>
        <v>2.3990067837576</v>
      </c>
      <c r="AG164" s="22" t="n">
        <f aca="false">100*(AG30-AG29)</f>
        <v>2.35193444287489</v>
      </c>
      <c r="AH164" s="22" t="n">
        <f aca="false">100*(AH30-AH29)</f>
        <v>2.31318036572192</v>
      </c>
      <c r="AI164" s="22" t="n">
        <f aca="false">100*(AI30-AI29)</f>
        <v>2.2820673898079</v>
      </c>
      <c r="AJ164" s="22" t="n">
        <f aca="false">100*(AJ30-AJ29)</f>
        <v>2.25790954418317</v>
      </c>
      <c r="AK164" s="22" t="n">
        <f aca="false">100*(AK30-AK29)</f>
        <v>2.24003092081357</v>
      </c>
      <c r="AL164" s="22" t="n">
        <f aca="false">AVERAGE(C164:AK164)</f>
        <v>3.58988813132902</v>
      </c>
    </row>
    <row r="165" customFormat="false" ht="15" hidden="false" customHeight="false" outlineLevel="0" collapsed="false">
      <c r="A165" s="20" t="n">
        <f aca="false">A31</f>
        <v>-94</v>
      </c>
      <c r="B165" s="21" t="n">
        <f aca="false">B31</f>
        <v>40339</v>
      </c>
      <c r="C165" s="22" t="n">
        <f aca="false">100*(C31-C30)</f>
        <v>5.55810766922</v>
      </c>
      <c r="D165" s="22" t="n">
        <f aca="false">100*(D31-D30)</f>
        <v>6.0715296539112</v>
      </c>
      <c r="E165" s="22" t="n">
        <f aca="false">100*(E31-E30)</f>
        <v>6.29030916378111</v>
      </c>
      <c r="F165" s="22" t="n">
        <f aca="false">100*(F31-F30)</f>
        <v>6.3163397995379</v>
      </c>
      <c r="G165" s="22" t="n">
        <f aca="false">100*(G31-G30)</f>
        <v>6.21070692049031</v>
      </c>
      <c r="H165" s="22" t="n">
        <f aca="false">100*(H31-H30)</f>
        <v>6.01444743573047</v>
      </c>
      <c r="I165" s="22" t="n">
        <f aca="false">100*(I31-I30)</f>
        <v>5.75827446931858</v>
      </c>
      <c r="J165" s="22" t="n">
        <f aca="false">100*(J31-J30)</f>
        <v>5.46639111837082</v>
      </c>
      <c r="K165" s="22" t="n">
        <f aca="false">100*(K31-K30)</f>
        <v>5.15770530455812</v>
      </c>
      <c r="L165" s="22" t="n">
        <f aca="false">100*(L31-L30)</f>
        <v>4.84693800959102</v>
      </c>
      <c r="M165" s="22" t="n">
        <f aca="false">100*(M31-M30)</f>
        <v>2.23244253675237</v>
      </c>
      <c r="N165" s="22" t="n">
        <f aca="false">100*(N31-N30)</f>
        <v>2.12246140963641</v>
      </c>
      <c r="O165" s="22" t="n">
        <f aca="false">100*(O31-O30)</f>
        <v>2.02193780705064</v>
      </c>
      <c r="P165" s="22" t="n">
        <f aca="false">100*(P31-P30)</f>
        <v>1.93084221362394</v>
      </c>
      <c r="Q165" s="22" t="n">
        <f aca="false">100*(Q31-Q30)</f>
        <v>1.84924206375472</v>
      </c>
      <c r="R165" s="22" t="n">
        <f aca="false">100*(R31-R30)</f>
        <v>1.77722054828431</v>
      </c>
      <c r="S165" s="22" t="n">
        <f aca="false">100*(S31-S30)</f>
        <v>1.71478297973673</v>
      </c>
      <c r="T165" s="22" t="n">
        <f aca="false">100*(T31-T30)</f>
        <v>1.66185658757323</v>
      </c>
      <c r="U165" s="22" t="n">
        <f aca="false">100*(U31-U30)</f>
        <v>1.61830201588797</v>
      </c>
      <c r="V165" s="22" t="n">
        <f aca="false">100*(V31-V30)</f>
        <v>1.58392283360724</v>
      </c>
      <c r="W165" s="22" t="n">
        <f aca="false">100*(W31-W30)</f>
        <v>1.55846382593579</v>
      </c>
      <c r="X165" s="22" t="n">
        <f aca="false">100*(X31-X30)</f>
        <v>1.54155702526175</v>
      </c>
      <c r="Y165" s="22" t="n">
        <f aca="false">100*(Y31-Y30)</f>
        <v>1.53270132290828</v>
      </c>
      <c r="Z165" s="22" t="n">
        <f aca="false">100*(Z31-Z30)</f>
        <v>1.53130086176265</v>
      </c>
      <c r="AA165" s="22" t="n">
        <f aca="false">100*(AA31-AA30)</f>
        <v>1.53669370653597</v>
      </c>
      <c r="AB165" s="22" t="n">
        <f aca="false">100*(AB31-AB30)</f>
        <v>1.54816090091465</v>
      </c>
      <c r="AC165" s="22" t="n">
        <f aca="false">100*(AC31-AC30)</f>
        <v>1.56493515723417</v>
      </c>
      <c r="AD165" s="22" t="n">
        <f aca="false">100*(AD31-AD30)</f>
        <v>1.58622413143759</v>
      </c>
      <c r="AE165" s="22" t="n">
        <f aca="false">100*(AE31-AE30)</f>
        <v>1.61122860605865</v>
      </c>
      <c r="AF165" s="22" t="n">
        <f aca="false">100*(AF31-AF30)</f>
        <v>1.63914905657974</v>
      </c>
      <c r="AG165" s="22" t="n">
        <f aca="false">100*(AG31-AG30)</f>
        <v>1.66921934463042</v>
      </c>
      <c r="AH165" s="22" t="n">
        <f aca="false">100*(AH31-AH30)</f>
        <v>1.70072721007326</v>
      </c>
      <c r="AI165" s="22" t="n">
        <f aca="false">100*(AI31-AI30)</f>
        <v>1.73301001823454</v>
      </c>
      <c r="AJ165" s="22" t="n">
        <f aca="false">100*(AJ31-AJ30)</f>
        <v>1.76545108658885</v>
      </c>
      <c r="AK165" s="22" t="n">
        <f aca="false">100*(AK31-AK30)</f>
        <v>1.79749400164129</v>
      </c>
      <c r="AL165" s="22" t="n">
        <f aca="false">AVERAGE(C165:AK165)</f>
        <v>2.87200219417756</v>
      </c>
    </row>
    <row r="166" customFormat="false" ht="15" hidden="false" customHeight="false" outlineLevel="0" collapsed="false">
      <c r="A166" s="20" t="n">
        <f aca="false">A32</f>
        <v>-93</v>
      </c>
      <c r="B166" s="21" t="n">
        <f aca="false">B32</f>
        <v>40340</v>
      </c>
      <c r="C166" s="22" t="n">
        <f aca="false">100*(C32-C31)</f>
        <v>-5.46299488885467</v>
      </c>
      <c r="D166" s="22" t="n">
        <f aca="false">100*(D32-D31)</f>
        <v>-5.8810642851749</v>
      </c>
      <c r="E166" s="22" t="n">
        <f aca="false">100*(E32-E31)</f>
        <v>-6.1225042987425</v>
      </c>
      <c r="F166" s="22" t="n">
        <f aca="false">100*(F32-F31)</f>
        <v>-6.32901859988921</v>
      </c>
      <c r="G166" s="22" t="n">
        <f aca="false">100*(G32-G31)</f>
        <v>-6.55547931014111</v>
      </c>
      <c r="H166" s="22" t="n">
        <f aca="false">100*(H32-H31)</f>
        <v>-6.81797347057338</v>
      </c>
      <c r="I166" s="22" t="n">
        <f aca="false">100*(I32-I31)</f>
        <v>-7.11408558105147</v>
      </c>
      <c r="J166" s="22" t="n">
        <f aca="false">100*(J32-J31)</f>
        <v>-7.43369228916024</v>
      </c>
      <c r="K166" s="22" t="n">
        <f aca="false">100*(K32-K31)</f>
        <v>-7.76287684650812</v>
      </c>
      <c r="L166" s="22" t="n">
        <f aca="false">100*(L32-L31)</f>
        <v>-8.08681097129202</v>
      </c>
      <c r="M166" s="22" t="n">
        <f aca="false">100*(M32-M31)</f>
        <v>-9.0906697552839</v>
      </c>
      <c r="N166" s="22" t="n">
        <f aca="false">100*(N32-N31)</f>
        <v>-8.94497978892561</v>
      </c>
      <c r="O166" s="22" t="n">
        <f aca="false">100*(O32-O31)</f>
        <v>-8.78580234292787</v>
      </c>
      <c r="P166" s="22" t="n">
        <f aca="false">100*(P32-P31)</f>
        <v>-8.61702914997542</v>
      </c>
      <c r="Q166" s="22" t="n">
        <f aca="false">100*(Q32-Q31)</f>
        <v>-8.44240506434648</v>
      </c>
      <c r="R166" s="22" t="n">
        <f aca="false">100*(R32-R31)</f>
        <v>-8.26539959301043</v>
      </c>
      <c r="S166" s="22" t="n">
        <f aca="false">100*(S32-S31)</f>
        <v>-8.08893963119823</v>
      </c>
      <c r="T166" s="22" t="n">
        <f aca="false">100*(T32-T31)</f>
        <v>-7.91542627444777</v>
      </c>
      <c r="U166" s="22" t="n">
        <f aca="false">100*(U32-U31)</f>
        <v>-7.74681195329681</v>
      </c>
      <c r="V166" s="22" t="n">
        <f aca="false">100*(V32-V31)</f>
        <v>-7.58466453466928</v>
      </c>
      <c r="W166" s="22" t="n">
        <f aca="false">100*(W32-W31)</f>
        <v>-7.43022080331306</v>
      </c>
      <c r="X166" s="22" t="n">
        <f aca="false">100*(X32-X31)</f>
        <v>-7.28437809958624</v>
      </c>
      <c r="Y166" s="22" t="n">
        <f aca="false">100*(Y32-Y31)</f>
        <v>-7.14766844037094</v>
      </c>
      <c r="Z166" s="22" t="n">
        <f aca="false">100*(Z32-Z31)</f>
        <v>-7.02033664056865</v>
      </c>
      <c r="AA166" s="22" t="n">
        <f aca="false">100*(AA32-AA31)</f>
        <v>-6.9024109623812</v>
      </c>
      <c r="AB166" s="22" t="n">
        <f aca="false">100*(AB32-AB31)</f>
        <v>-6.7937321786343</v>
      </c>
      <c r="AC166" s="22" t="n">
        <f aca="false">100*(AC32-AC31)</f>
        <v>-6.69398126377834</v>
      </c>
      <c r="AD166" s="22" t="n">
        <f aca="false">100*(AD32-AD31)</f>
        <v>-6.60273537032632</v>
      </c>
      <c r="AE166" s="22" t="n">
        <f aca="false">100*(AE32-AE31)</f>
        <v>-6.51950526426655</v>
      </c>
      <c r="AF166" s="22" t="n">
        <f aca="false">100*(AF32-AF31)</f>
        <v>-6.44374578698796</v>
      </c>
      <c r="AG166" s="22" t="n">
        <f aca="false">100*(AG32-AG31)</f>
        <v>-6.37488570509905</v>
      </c>
      <c r="AH166" s="22" t="n">
        <f aca="false">100*(AH32-AH31)</f>
        <v>-6.31235468498925</v>
      </c>
      <c r="AI166" s="22" t="n">
        <f aca="false">100*(AI32-AI31)</f>
        <v>-6.25558527073906</v>
      </c>
      <c r="AJ166" s="22" t="n">
        <f aca="false">100*(AJ32-AJ31)</f>
        <v>-6.20401270830584</v>
      </c>
      <c r="AK166" s="22" t="n">
        <f aca="false">100*(AK32-AK31)</f>
        <v>-6.15708504124974</v>
      </c>
      <c r="AL166" s="22" t="n">
        <f aca="false">AVERAGE(C166:AK166)</f>
        <v>-7.17689333857331</v>
      </c>
    </row>
    <row r="167" customFormat="false" ht="15" hidden="false" customHeight="false" outlineLevel="0" collapsed="false">
      <c r="A167" s="20" t="n">
        <f aca="false">A33</f>
        <v>-92</v>
      </c>
      <c r="B167" s="21" t="n">
        <f aca="false">B33</f>
        <v>40343</v>
      </c>
      <c r="C167" s="22" t="n">
        <f aca="false">100*(C33-C32)</f>
        <v>9.90101769050977</v>
      </c>
      <c r="D167" s="22" t="n">
        <f aca="false">100*(D33-D32)</f>
        <v>10.6469460148863</v>
      </c>
      <c r="E167" s="22" t="n">
        <f aca="false">100*(E33-E32)</f>
        <v>10.9690355403398</v>
      </c>
      <c r="F167" s="22" t="n">
        <f aca="false">100*(F33-F32)</f>
        <v>11.0529634739913</v>
      </c>
      <c r="G167" s="22" t="n">
        <f aca="false">100*(G33-G32)</f>
        <v>10.9983715766809</v>
      </c>
      <c r="H167" s="22" t="n">
        <f aca="false">100*(H33-H32)</f>
        <v>10.8615993441866</v>
      </c>
      <c r="I167" s="22" t="n">
        <f aca="false">100*(I33-I32)</f>
        <v>10.6768542618534</v>
      </c>
      <c r="J167" s="22" t="n">
        <f aca="false">100*(J33-J32)</f>
        <v>10.4657946817978</v>
      </c>
      <c r="K167" s="22" t="n">
        <f aca="false">100*(K33-K32)</f>
        <v>10.2428087070305</v>
      </c>
      <c r="L167" s="22" t="n">
        <f aca="false">100*(L33-L32)</f>
        <v>10.0178569236306</v>
      </c>
      <c r="M167" s="22" t="n">
        <f aca="false">100*(M33-M32)</f>
        <v>7.81531629841457</v>
      </c>
      <c r="N167" s="22" t="n">
        <f aca="false">100*(N33-N32)</f>
        <v>7.6833129456765</v>
      </c>
      <c r="O167" s="22" t="n">
        <f aca="false">100*(O33-O32)</f>
        <v>7.5553878268412</v>
      </c>
      <c r="P167" s="22" t="n">
        <f aca="false">100*(P33-P32)</f>
        <v>7.43195929200846</v>
      </c>
      <c r="Q167" s="22" t="n">
        <f aca="false">100*(Q33-Q32)</f>
        <v>7.31351160062665</v>
      </c>
      <c r="R167" s="22" t="n">
        <f aca="false">100*(R33-R32)</f>
        <v>7.2005162335171</v>
      </c>
      <c r="S167" s="22" t="n">
        <f aca="false">100*(S33-S32)</f>
        <v>7.09334121316116</v>
      </c>
      <c r="T167" s="22" t="n">
        <f aca="false">100*(T33-T32)</f>
        <v>6.99225469898588</v>
      </c>
      <c r="U167" s="22" t="n">
        <f aca="false">100*(U33-U32)</f>
        <v>6.89743968191729</v>
      </c>
      <c r="V167" s="22" t="n">
        <f aca="false">100*(V33-V32)</f>
        <v>6.8090061478828</v>
      </c>
      <c r="W167" s="22" t="n">
        <f aca="false">100*(W33-W32)</f>
        <v>6.72699532070658</v>
      </c>
      <c r="X167" s="22" t="n">
        <f aca="false">100*(X33-X32)</f>
        <v>6.65136056915561</v>
      </c>
      <c r="Y167" s="22" t="n">
        <f aca="false">100*(Y33-Y32)</f>
        <v>6.58196964405606</v>
      </c>
      <c r="Z167" s="22" t="n">
        <f aca="false">100*(Z33-Z32)</f>
        <v>6.51862689533767</v>
      </c>
      <c r="AA167" s="22" t="n">
        <f aca="false">100*(AA33-AA32)</f>
        <v>6.46108838039483</v>
      </c>
      <c r="AB167" s="22" t="n">
        <f aca="false">100*(AB33-AB32)</f>
        <v>6.40906809891533</v>
      </c>
      <c r="AC167" s="22" t="n">
        <f aca="false">100*(AC33-AC32)</f>
        <v>6.36224456116814</v>
      </c>
      <c r="AD167" s="22" t="n">
        <f aca="false">100*(AD33-AD32)</f>
        <v>6.32027928257974</v>
      </c>
      <c r="AE167" s="22" t="n">
        <f aca="false">100*(AE33-AE32)</f>
        <v>6.28283101602003</v>
      </c>
      <c r="AF167" s="22" t="n">
        <f aca="false">100*(AF33-AF32)</f>
        <v>6.24955886736291</v>
      </c>
      <c r="AG167" s="22" t="n">
        <f aca="false">100*(AG33-AG32)</f>
        <v>6.22013327262847</v>
      </c>
      <c r="AH167" s="22" t="n">
        <f aca="false">100*(AH33-AH32)</f>
        <v>6.19424098070871</v>
      </c>
      <c r="AI167" s="22" t="n">
        <f aca="false">100*(AI33-AI32)</f>
        <v>6.17158355335583</v>
      </c>
      <c r="AJ167" s="22" t="n">
        <f aca="false">100*(AJ33-AJ32)</f>
        <v>6.15187629915432</v>
      </c>
      <c r="AK167" s="22" t="n">
        <f aca="false">100*(AK33-AK32)</f>
        <v>6.13485061875645</v>
      </c>
      <c r="AL167" s="22" t="n">
        <f aca="false">AVERAGE(C167:AK167)</f>
        <v>7.83034290040684</v>
      </c>
    </row>
    <row r="168" customFormat="false" ht="15" hidden="false" customHeight="false" outlineLevel="0" collapsed="false">
      <c r="A168" s="20" t="n">
        <f aca="false">A34</f>
        <v>-91</v>
      </c>
      <c r="B168" s="21" t="n">
        <f aca="false">B34</f>
        <v>40344</v>
      </c>
      <c r="C168" s="22" t="n">
        <f aca="false">100*(C34-C33)</f>
        <v>-3.8025733179887</v>
      </c>
      <c r="D168" s="22" t="n">
        <f aca="false">100*(D34-D33)</f>
        <v>-3.53603964714599</v>
      </c>
      <c r="E168" s="22" t="n">
        <f aca="false">100*(E34-E33)</f>
        <v>-3.1073097072313</v>
      </c>
      <c r="F168" s="22" t="n">
        <f aca="false">100*(F34-F33)</f>
        <v>-2.63660180557721</v>
      </c>
      <c r="G168" s="22" t="n">
        <f aca="false">100*(G34-G33)</f>
        <v>-2.17518479734</v>
      </c>
      <c r="H168" s="22" t="n">
        <f aca="false">100*(H34-H33)</f>
        <v>-1.74419899002709</v>
      </c>
      <c r="I168" s="22" t="n">
        <f aca="false">100*(I34-I33)</f>
        <v>-1.35109998993181</v>
      </c>
      <c r="J168" s="22" t="n">
        <f aca="false">100*(J34-J33)</f>
        <v>-0.997586798591899</v>
      </c>
      <c r="K168" s="22" t="n">
        <f aca="false">100*(K34-K33)</f>
        <v>-0.683145623065595</v>
      </c>
      <c r="L168" s="22" t="n">
        <f aca="false">100*(L34-L33)</f>
        <v>-0.406383302573898</v>
      </c>
      <c r="M168" s="22" t="n">
        <f aca="false">100*(M34-M33)</f>
        <v>1.14576086761264</v>
      </c>
      <c r="N168" s="22" t="n">
        <f aca="false">100*(N34-N33)</f>
        <v>1.20835719373016</v>
      </c>
      <c r="O168" s="22" t="n">
        <f aca="false">100*(O34-O33)</f>
        <v>1.2696967869144</v>
      </c>
      <c r="P168" s="22" t="n">
        <f aca="false">100*(P34-P33)</f>
        <v>1.32980798069289</v>
      </c>
      <c r="Q168" s="22" t="n">
        <f aca="false">100*(Q34-Q33)</f>
        <v>1.38854877899188</v>
      </c>
      <c r="R168" s="22" t="n">
        <f aca="false">100*(R34-R33)</f>
        <v>1.4456684815328</v>
      </c>
      <c r="S168" s="22" t="n">
        <f aca="false">100*(S34-S33)</f>
        <v>1.5008973668353</v>
      </c>
      <c r="T168" s="22" t="n">
        <f aca="false">100*(T34-T33)</f>
        <v>1.5539651666697</v>
      </c>
      <c r="U168" s="22" t="n">
        <f aca="false">100*(U34-U33)</f>
        <v>1.6046011886103</v>
      </c>
      <c r="V168" s="22" t="n">
        <f aca="false">100*(V34-V33)</f>
        <v>1.6525343737789</v>
      </c>
      <c r="W168" s="22" t="n">
        <f aca="false">100*(W34-W33)</f>
        <v>1.69749599746707</v>
      </c>
      <c r="X168" s="22" t="n">
        <f aca="false">100*(X34-X33)</f>
        <v>1.7392572072283</v>
      </c>
      <c r="Y168" s="22" t="n">
        <f aca="false">100*(Y34-Y33)</f>
        <v>1.77766324273874</v>
      </c>
      <c r="Z168" s="22" t="n">
        <f aca="false">100*(Z34-Z33)</f>
        <v>1.81262863647511</v>
      </c>
      <c r="AA168" s="22" t="n">
        <f aca="false">100*(AA34-AA33)</f>
        <v>1.84412832989107</v>
      </c>
      <c r="AB168" s="22" t="n">
        <f aca="false">100*(AB34-AB33)</f>
        <v>1.87219018154829</v>
      </c>
      <c r="AC168" s="22" t="n">
        <f aca="false">100*(AC34-AC33)</f>
        <v>1.89688917406556</v>
      </c>
      <c r="AD168" s="22" t="n">
        <f aca="false">100*(AD34-AD33)</f>
        <v>1.91834782658598</v>
      </c>
      <c r="AE168" s="22" t="n">
        <f aca="false">100*(AE34-AE33)</f>
        <v>1.93673644588124</v>
      </c>
      <c r="AF168" s="22" t="n">
        <f aca="false">100*(AF34-AF33)</f>
        <v>1.95226774531356</v>
      </c>
      <c r="AG168" s="22" t="n">
        <f aca="false">100*(AG34-AG33)</f>
        <v>1.96518498264053</v>
      </c>
      <c r="AH168" s="22" t="n">
        <f aca="false">100*(AH34-AH33)</f>
        <v>1.97575145700233</v>
      </c>
      <c r="AI168" s="22" t="n">
        <f aca="false">100*(AI34-AI33)</f>
        <v>1.98424782148097</v>
      </c>
      <c r="AJ168" s="22" t="n">
        <f aca="false">100*(AJ34-AJ33)</f>
        <v>1.99097012952185</v>
      </c>
      <c r="AK168" s="22" t="n">
        <f aca="false">100*(AK34-AK33)</f>
        <v>1.99622292028501</v>
      </c>
      <c r="AL168" s="22" t="n">
        <f aca="false">AVERAGE(C168:AK168)</f>
        <v>0.629134180114888</v>
      </c>
    </row>
    <row r="169" customFormat="false" ht="15" hidden="false" customHeight="false" outlineLevel="0" collapsed="false">
      <c r="A169" s="20" t="n">
        <f aca="false">A35</f>
        <v>-90</v>
      </c>
      <c r="B169" s="21" t="n">
        <f aca="false">B35</f>
        <v>40345</v>
      </c>
      <c r="C169" s="22" t="n">
        <f aca="false">100*(C35-C34)</f>
        <v>-0.4257946810724</v>
      </c>
      <c r="D169" s="22" t="n">
        <f aca="false">100*(D35-D34)</f>
        <v>-0.6062543231381</v>
      </c>
      <c r="E169" s="22" t="n">
        <f aca="false">100*(E35-E34)</f>
        <v>-0.778259265918102</v>
      </c>
      <c r="F169" s="22" t="n">
        <f aca="false">100*(F35-F34)</f>
        <v>-0.936620080796202</v>
      </c>
      <c r="G169" s="22" t="n">
        <f aca="false">100*(G35-G34)</f>
        <v>-1.0782619492657</v>
      </c>
      <c r="H169" s="22" t="n">
        <f aca="false">100*(H35-H34)</f>
        <v>-1.2024762497115</v>
      </c>
      <c r="I169" s="22" t="n">
        <f aca="false">100*(I35-I34)</f>
        <v>-1.30974571318148</v>
      </c>
      <c r="J169" s="22" t="n">
        <f aca="false">100*(J35-J34)</f>
        <v>-1.40084479990121</v>
      </c>
      <c r="K169" s="22" t="n">
        <f aca="false">100*(K35-K34)</f>
        <v>-1.47600270282329</v>
      </c>
      <c r="L169" s="22" t="n">
        <f aca="false">100*(L35-L34)</f>
        <v>-1.53471102809539</v>
      </c>
      <c r="M169" s="22" t="n">
        <f aca="false">100*(M35-M34)</f>
        <v>-0.491183781279503</v>
      </c>
      <c r="N169" s="22" t="n">
        <f aca="false">100*(N35-N34)</f>
        <v>-0.294467677122956</v>
      </c>
      <c r="O169" s="22" t="n">
        <f aca="false">100*(O35-O34)</f>
        <v>-0.0931341170572253</v>
      </c>
      <c r="P169" s="22" t="n">
        <f aca="false">100*(P35-P34)</f>
        <v>0.109827391367734</v>
      </c>
      <c r="Q169" s="22" t="n">
        <f aca="false">100*(Q35-Q34)</f>
        <v>0.311476681215339</v>
      </c>
      <c r="R169" s="22" t="n">
        <f aca="false">100*(R35-R34)</f>
        <v>0.509073797348769</v>
      </c>
      <c r="S169" s="22" t="n">
        <f aca="false">100*(S35-S34)</f>
        <v>0.700315351055547</v>
      </c>
      <c r="T169" s="22" t="n">
        <f aca="false">100*(T35-T34)</f>
        <v>0.883315292827547</v>
      </c>
      <c r="U169" s="22" t="n">
        <f aca="false">100*(U35-U34)</f>
        <v>1.05654361086875</v>
      </c>
      <c r="V169" s="22" t="n">
        <f aca="false">100*(V35-V34)</f>
        <v>1.218775465773</v>
      </c>
      <c r="W169" s="22" t="n">
        <f aca="false">100*(W35-W34)</f>
        <v>1.36905344762717</v>
      </c>
      <c r="X169" s="22" t="n">
        <f aca="false">100*(X35-X34)</f>
        <v>1.5067033551702</v>
      </c>
      <c r="Y169" s="22" t="n">
        <f aca="false">100*(Y35-Y34)</f>
        <v>1.63134455266603</v>
      </c>
      <c r="Z169" s="22" t="n">
        <f aca="false">100*(Z35-Z34)</f>
        <v>1.74284648171552</v>
      </c>
      <c r="AA169" s="22" t="n">
        <f aca="false">100*(AA35-AA34)</f>
        <v>1.8412889889925</v>
      </c>
      <c r="AB169" s="22" t="n">
        <f aca="false">100*(AB35-AB34)</f>
        <v>1.92693604800951</v>
      </c>
      <c r="AC169" s="22" t="n">
        <f aca="false">100*(AC35-AC34)</f>
        <v>2.0002123008533</v>
      </c>
      <c r="AD169" s="22" t="n">
        <f aca="false">100*(AD35-AD34)</f>
        <v>2.06167469165175</v>
      </c>
      <c r="AE169" s="22" t="n">
        <f aca="false">100*(AE35-AE34)</f>
        <v>2.11199139297422</v>
      </c>
      <c r="AF169" s="22" t="n">
        <f aca="false">100*(AF35-AF34)</f>
        <v>2.1519251933956</v>
      </c>
      <c r="AG169" s="22" t="n">
        <f aca="false">100*(AG35-AG34)</f>
        <v>2.18229113181536</v>
      </c>
      <c r="AH169" s="22" t="n">
        <f aca="false">100*(AH35-AH34)</f>
        <v>2.20392600946484</v>
      </c>
      <c r="AI169" s="22" t="n">
        <f aca="false">100*(AI35-AI34)</f>
        <v>2.21768452183149</v>
      </c>
      <c r="AJ169" s="22" t="n">
        <f aca="false">100*(AJ35-AJ34)</f>
        <v>2.22443588917205</v>
      </c>
      <c r="AK169" s="22" t="n">
        <f aca="false">100*(AK35-AK34)</f>
        <v>2.22503814234489</v>
      </c>
      <c r="AL169" s="22" t="n">
        <f aca="false">AVERAGE(C169:AK169)</f>
        <v>0.644540667679373</v>
      </c>
    </row>
    <row r="170" customFormat="false" ht="15" hidden="false" customHeight="false" outlineLevel="0" collapsed="false">
      <c r="A170" s="20" t="n">
        <f aca="false">A36</f>
        <v>-89</v>
      </c>
      <c r="B170" s="21" t="n">
        <f aca="false">B36</f>
        <v>40346</v>
      </c>
      <c r="C170" s="22" t="n">
        <f aca="false">100*(C36-C35)</f>
        <v>-1.0008193886595</v>
      </c>
      <c r="D170" s="22" t="n">
        <f aca="false">100*(D36-D35)</f>
        <v>-1.26694621543881</v>
      </c>
      <c r="E170" s="22" t="n">
        <f aca="false">100*(E36-E35)</f>
        <v>-1.5302214441111</v>
      </c>
      <c r="F170" s="22" t="n">
        <f aca="false">100*(F36-F35)</f>
        <v>-1.79468233649009</v>
      </c>
      <c r="G170" s="22" t="n">
        <f aca="false">100*(G36-G35)</f>
        <v>-2.06333990821379</v>
      </c>
      <c r="H170" s="22" t="n">
        <f aca="false">100*(H36-H35)</f>
        <v>-2.33810076374099</v>
      </c>
      <c r="I170" s="22" t="n">
        <f aca="false">100*(I36-I35)</f>
        <v>-2.61847502652302</v>
      </c>
      <c r="J170" s="22" t="n">
        <f aca="false">100*(J36-J35)</f>
        <v>-2.90165559669857</v>
      </c>
      <c r="K170" s="22" t="n">
        <f aca="false">100*(K36-K35)</f>
        <v>-3.182636918342</v>
      </c>
      <c r="L170" s="22" t="n">
        <f aca="false">100*(L36-L35)</f>
        <v>-3.45485938829282</v>
      </c>
      <c r="M170" s="22" t="n">
        <f aca="false">100*(M36-M35)</f>
        <v>-4.7884169007018</v>
      </c>
      <c r="N170" s="22" t="n">
        <f aca="false">100*(N36-N35)</f>
        <v>-4.74322921925703</v>
      </c>
      <c r="O170" s="22" t="n">
        <f aca="false">100*(O36-O35)</f>
        <v>-4.68945366580984</v>
      </c>
      <c r="P170" s="22" t="n">
        <f aca="false">100*(P36-P35)</f>
        <v>-4.62978684612958</v>
      </c>
      <c r="Q170" s="22" t="n">
        <f aca="false">100*(Q36-Q35)</f>
        <v>-4.5668329826789</v>
      </c>
      <c r="R170" s="22" t="n">
        <f aca="false">100*(R36-R35)</f>
        <v>-4.50298730844674</v>
      </c>
      <c r="S170" s="22" t="n">
        <f aca="false">100*(S36-S35)</f>
        <v>-4.44024976419035</v>
      </c>
      <c r="T170" s="22" t="n">
        <f aca="false">100*(T36-T35)</f>
        <v>-4.38024704027837</v>
      </c>
      <c r="U170" s="22" t="n">
        <f aca="false">100*(U36-U35)</f>
        <v>-4.32428741250286</v>
      </c>
      <c r="V170" s="22" t="n">
        <f aca="false">100*(V36-V35)</f>
        <v>-4.27340623272992</v>
      </c>
      <c r="W170" s="22" t="n">
        <f aca="false">100*(W36-W35)</f>
        <v>-4.22839868222571</v>
      </c>
      <c r="X170" s="22" t="n">
        <f aca="false">100*(X36-X35)</f>
        <v>-4.18979785619626</v>
      </c>
      <c r="Y170" s="22" t="n">
        <f aca="false">100*(Y36-Y35)</f>
        <v>-4.1578639070603</v>
      </c>
      <c r="Z170" s="22" t="n">
        <f aca="false">100*(Z36-Z35)</f>
        <v>-4.13264725293736</v>
      </c>
      <c r="AA170" s="22" t="n">
        <f aca="false">100*(AA36-AA35)</f>
        <v>-4.11403935218262</v>
      </c>
      <c r="AB170" s="22" t="n">
        <f aca="false">100*(AB36-AB35)</f>
        <v>-4.1017936495507</v>
      </c>
      <c r="AC170" s="22" t="n">
        <f aca="false">100*(AC36-AC35)</f>
        <v>-4.09554607697835</v>
      </c>
      <c r="AD170" s="22" t="n">
        <f aca="false">100*(AD36-AD35)</f>
        <v>-4.09485691167362</v>
      </c>
      <c r="AE170" s="22" t="n">
        <f aca="false">100*(AE36-AE35)</f>
        <v>-4.09923884382435</v>
      </c>
      <c r="AF170" s="22" t="n">
        <f aca="false">100*(AF36-AF35)</f>
        <v>-4.10816578546429</v>
      </c>
      <c r="AG170" s="22" t="n">
        <f aca="false">100*(AG36-AG35)</f>
        <v>-4.12109743253124</v>
      </c>
      <c r="AH170" s="22" t="n">
        <f aca="false">100*(AH36-AH35)</f>
        <v>-4.137496814419</v>
      </c>
      <c r="AI170" s="22" t="n">
        <f aca="false">100*(AI36-AI35)</f>
        <v>-4.15683099185191</v>
      </c>
      <c r="AJ170" s="22" t="n">
        <f aca="false">100*(AJ36-AJ35)</f>
        <v>-4.17857122797685</v>
      </c>
      <c r="AK170" s="22" t="n">
        <f aca="false">100*(AK36-AK35)</f>
        <v>-4.20220283726902</v>
      </c>
      <c r="AL170" s="22" t="n">
        <f aca="false">AVERAGE(C170:AK170)</f>
        <v>-3.70311948518222</v>
      </c>
    </row>
    <row r="171" customFormat="false" ht="15" hidden="false" customHeight="false" outlineLevel="0" collapsed="false">
      <c r="A171" s="20" t="n">
        <f aca="false">A37</f>
        <v>-88</v>
      </c>
      <c r="B171" s="21" t="n">
        <f aca="false">B37</f>
        <v>40347</v>
      </c>
      <c r="C171" s="22" t="n">
        <f aca="false">100*(C37-C36)</f>
        <v>3.8742773899892</v>
      </c>
      <c r="D171" s="22" t="n">
        <f aca="false">100*(D37-D36)</f>
        <v>4.11731993376321</v>
      </c>
      <c r="E171" s="22" t="n">
        <f aca="false">100*(E37-E36)</f>
        <v>4.2726925269267</v>
      </c>
      <c r="F171" s="22" t="n">
        <f aca="false">100*(F37-F36)</f>
        <v>4.39632998709929</v>
      </c>
      <c r="G171" s="22" t="n">
        <f aca="false">100*(G37-G36)</f>
        <v>4.5123918422121</v>
      </c>
      <c r="H171" s="22" t="n">
        <f aca="false">100*(H37-H36)</f>
        <v>4.63036223544098</v>
      </c>
      <c r="I171" s="22" t="n">
        <f aca="false">100*(I37-I36)</f>
        <v>4.75196588739553</v>
      </c>
      <c r="J171" s="22" t="n">
        <f aca="false">100*(J37-J36)</f>
        <v>4.8751364215192</v>
      </c>
      <c r="K171" s="22" t="n">
        <f aca="false">100*(K37-K36)</f>
        <v>4.99571366016331</v>
      </c>
      <c r="L171" s="22" t="n">
        <f aca="false">100*(L37-L36)</f>
        <v>5.10858333005353</v>
      </c>
      <c r="M171" s="22" t="n">
        <f aca="false">100*(M37-M36)</f>
        <v>4.62557372814274</v>
      </c>
      <c r="N171" s="22" t="n">
        <f aca="false">100*(N37-N36)</f>
        <v>4.4450725908102</v>
      </c>
      <c r="O171" s="22" t="n">
        <f aca="false">100*(O37-O36)</f>
        <v>4.25396376453477</v>
      </c>
      <c r="P171" s="22" t="n">
        <f aca="false">100*(P37-P36)</f>
        <v>4.05470905813301</v>
      </c>
      <c r="Q171" s="22" t="n">
        <f aca="false">100*(Q37-Q36)</f>
        <v>3.84974852519226</v>
      </c>
      <c r="R171" s="22" t="n">
        <f aca="false">100*(R37-R36)</f>
        <v>3.6413892730609</v>
      </c>
      <c r="S171" s="22" t="n">
        <f aca="false">100*(S37-S36)</f>
        <v>3.43168827356291</v>
      </c>
      <c r="T171" s="22" t="n">
        <f aca="false">100*(T37-T36)</f>
        <v>3.22247563326226</v>
      </c>
      <c r="U171" s="22" t="n">
        <f aca="false">100*(U37-U36)</f>
        <v>3.01538798038754</v>
      </c>
      <c r="V171" s="22" t="n">
        <f aca="false">100*(V37-V36)</f>
        <v>2.81189608730355</v>
      </c>
      <c r="W171" s="22" t="n">
        <f aca="false">100*(W37-W36)</f>
        <v>2.61331428457927</v>
      </c>
      <c r="X171" s="22" t="n">
        <f aca="false">100*(X37-X36)</f>
        <v>2.42077048576324</v>
      </c>
      <c r="Y171" s="22" t="n">
        <f aca="false">100*(Y37-Y36)</f>
        <v>2.23521907224633</v>
      </c>
      <c r="Z171" s="22" t="n">
        <f aca="false">100*(Z37-Z36)</f>
        <v>2.05744376437034</v>
      </c>
      <c r="AA171" s="22" t="n">
        <f aca="false">100*(AA37-AA36)</f>
        <v>1.88806151979222</v>
      </c>
      <c r="AB171" s="22" t="n">
        <f aca="false">100*(AB37-AB36)</f>
        <v>1.7275416697359</v>
      </c>
      <c r="AC171" s="22" t="n">
        <f aca="false">100*(AC37-AC36)</f>
        <v>1.57622061728961</v>
      </c>
      <c r="AD171" s="22" t="n">
        <f aca="false">100*(AD37-AD36)</f>
        <v>1.4343041239643</v>
      </c>
      <c r="AE171" s="22" t="n">
        <f aca="false">100*(AE37-AE36)</f>
        <v>1.30187715390191</v>
      </c>
      <c r="AF171" s="22" t="n">
        <f aca="false">100*(AF37-AF36)</f>
        <v>1.17892115910223</v>
      </c>
      <c r="AG171" s="22" t="n">
        <f aca="false">100*(AG37-AG36)</f>
        <v>1.06534375548382</v>
      </c>
      <c r="AH171" s="22" t="n">
        <f aca="false">100*(AH37-AH36)</f>
        <v>0.960994997624898</v>
      </c>
      <c r="AI171" s="22" t="n">
        <f aca="false">100*(AI37-AI36)</f>
        <v>0.865673471822426</v>
      </c>
      <c r="AJ171" s="22" t="n">
        <f aca="false">100*(AJ37-AJ36)</f>
        <v>0.77913270191674</v>
      </c>
      <c r="AK171" s="22" t="n">
        <f aca="false">100*(AK37-AK36)</f>
        <v>0.701094649799838</v>
      </c>
      <c r="AL171" s="22" t="n">
        <f aca="false">AVERAGE(C171:AK171)</f>
        <v>3.01978833018132</v>
      </c>
    </row>
    <row r="172" customFormat="false" ht="15" hidden="false" customHeight="false" outlineLevel="0" collapsed="false">
      <c r="A172" s="20" t="n">
        <f aca="false">A38</f>
        <v>-87</v>
      </c>
      <c r="B172" s="21" t="n">
        <f aca="false">B38</f>
        <v>40350</v>
      </c>
      <c r="C172" s="22" t="n">
        <f aca="false">100*(C38-C37)</f>
        <v>-2.4287973896435</v>
      </c>
      <c r="D172" s="22" t="n">
        <f aca="false">100*(D38-D37)</f>
        <v>-2.7088639499824</v>
      </c>
      <c r="E172" s="22" t="n">
        <f aca="false">100*(E38-E37)</f>
        <v>-2.8982395513915</v>
      </c>
      <c r="F172" s="22" t="n">
        <f aca="false">100*(F38-F37)</f>
        <v>-3.0222242237093</v>
      </c>
      <c r="G172" s="22" t="n">
        <f aca="false">100*(G38-G37)</f>
        <v>-3.09633892468642</v>
      </c>
      <c r="H172" s="22" t="n">
        <f aca="false">100*(H38-H37)</f>
        <v>-3.13208839502628</v>
      </c>
      <c r="I172" s="22" t="n">
        <f aca="false">100*(I38-I37)</f>
        <v>-3.13936767811871</v>
      </c>
      <c r="J172" s="22" t="n">
        <f aca="false">100*(J38-J37)</f>
        <v>-3.12667346932733</v>
      </c>
      <c r="K172" s="22" t="n">
        <f aca="false">100*(K38-K37)</f>
        <v>-3.10132971771071</v>
      </c>
      <c r="L172" s="22" t="n">
        <f aca="false">100*(L38-L37)</f>
        <v>-3.06964410027053</v>
      </c>
      <c r="M172" s="22" t="n">
        <f aca="false">100*(M38-M37)</f>
        <v>-3.18189334535308</v>
      </c>
      <c r="N172" s="22" t="n">
        <f aca="false">100*(N38-N37)</f>
        <v>-3.23919719445334</v>
      </c>
      <c r="O172" s="22" t="n">
        <f aca="false">100*(O38-O37)</f>
        <v>-3.30027471126524</v>
      </c>
      <c r="P172" s="22" t="n">
        <f aca="false">100*(P38-P37)</f>
        <v>-3.36432564163109</v>
      </c>
      <c r="Q172" s="22" t="n">
        <f aca="false">100*(Q38-Q37)</f>
        <v>-3.43055338738756</v>
      </c>
      <c r="R172" s="22" t="n">
        <f aca="false">100*(R38-R37)</f>
        <v>-3.49820315267451</v>
      </c>
      <c r="S172" s="22" t="n">
        <f aca="false">100*(S38-S37)</f>
        <v>-3.56659970823028</v>
      </c>
      <c r="T172" s="22" t="n">
        <f aca="false">100*(T38-T37)</f>
        <v>-3.63513960501747</v>
      </c>
      <c r="U172" s="22" t="n">
        <f aca="false">100*(U38-U37)</f>
        <v>-3.70328060975123</v>
      </c>
      <c r="V172" s="22" t="n">
        <f aca="false">100*(V38-V37)</f>
        <v>-3.77053296866707</v>
      </c>
      <c r="W172" s="22" t="n">
        <f aca="false">100*(W38-W37)</f>
        <v>-3.8364615037926</v>
      </c>
      <c r="X172" s="22" t="n">
        <f aca="false">100*(X38-X37)</f>
        <v>-3.90072772154753</v>
      </c>
      <c r="Y172" s="22" t="n">
        <f aca="false">100*(Y38-Y37)</f>
        <v>-3.96309949244511</v>
      </c>
      <c r="Z172" s="22" t="n">
        <f aca="false">100*(Z38-Z37)</f>
        <v>-4.02341856171731</v>
      </c>
      <c r="AA172" s="22" t="n">
        <f aca="false">100*(AA38-AA37)</f>
        <v>-4.08157833008875</v>
      </c>
      <c r="AB172" s="22" t="n">
        <f aca="false">100*(AB38-AB37)</f>
        <v>-4.13751688783144</v>
      </c>
      <c r="AC172" s="22" t="n">
        <f aca="false">100*(AC38-AC37)</f>
        <v>-4.1912102261314</v>
      </c>
      <c r="AD172" s="22" t="n">
        <f aca="false">100*(AD38-AD37)</f>
        <v>-4.24265490183666</v>
      </c>
      <c r="AE172" s="22" t="n">
        <f aca="false">100*(AE38-AE37)</f>
        <v>-4.29185513172916</v>
      </c>
      <c r="AF172" s="22" t="n">
        <f aca="false">100*(AF38-AF37)</f>
        <v>-4.33881993330738</v>
      </c>
      <c r="AG172" s="22" t="n">
        <f aca="false">100*(AG38-AG37)</f>
        <v>-4.38355662333496</v>
      </c>
      <c r="AH172" s="22" t="n">
        <f aca="false">100*(AH38-AH37)</f>
        <v>-4.4260684687373</v>
      </c>
      <c r="AI172" s="22" t="n">
        <f aca="false">100*(AI38-AI37)</f>
        <v>-4.46635509857725</v>
      </c>
      <c r="AJ172" s="22" t="n">
        <f aca="false">100*(AJ38-AJ37)</f>
        <v>-4.50441260532166</v>
      </c>
      <c r="AK172" s="22" t="n">
        <f aca="false">100*(AK38-AK37)</f>
        <v>-4.54023262306711</v>
      </c>
      <c r="AL172" s="22" t="n">
        <f aca="false">AVERAGE(C172:AK172)</f>
        <v>-3.64975816667895</v>
      </c>
    </row>
    <row r="173" customFormat="false" ht="15" hidden="false" customHeight="false" outlineLevel="0" collapsed="false">
      <c r="A173" s="20" t="n">
        <f aca="false">A39</f>
        <v>-86</v>
      </c>
      <c r="B173" s="21" t="n">
        <f aca="false">B39</f>
        <v>40351</v>
      </c>
      <c r="C173" s="22" t="n">
        <f aca="false">100*(C39-C38)</f>
        <v>-7.3753518865758</v>
      </c>
      <c r="D173" s="22" t="n">
        <f aca="false">100*(D39-D38)</f>
        <v>-7.56351515852141</v>
      </c>
      <c r="E173" s="22" t="n">
        <f aca="false">100*(E39-E38)</f>
        <v>-7.4778935076377</v>
      </c>
      <c r="F173" s="22" t="n">
        <f aca="false">100*(F39-F38)</f>
        <v>-7.2759592569714</v>
      </c>
      <c r="G173" s="22" t="n">
        <f aca="false">100*(G39-G38)</f>
        <v>-7.0333526979059</v>
      </c>
      <c r="H173" s="22" t="n">
        <f aca="false">100*(H39-H38)</f>
        <v>-6.78585758702521</v>
      </c>
      <c r="I173" s="22" t="n">
        <f aca="false">100*(I39-I38)</f>
        <v>-6.54967201878991</v>
      </c>
      <c r="J173" s="22" t="n">
        <f aca="false">100*(J39-J38)</f>
        <v>-6.33115305926819</v>
      </c>
      <c r="K173" s="22" t="n">
        <f aca="false">100*(K39-K38)</f>
        <v>-6.131646178377</v>
      </c>
      <c r="L173" s="22" t="n">
        <f aca="false">100*(L39-L38)</f>
        <v>-5.94989160823087</v>
      </c>
      <c r="M173" s="22" t="n">
        <f aca="false">100*(M39-M38)</f>
        <v>-3.79695687930512</v>
      </c>
      <c r="N173" s="22" t="n">
        <f aca="false">100*(N39-N38)</f>
        <v>-3.58982824261025</v>
      </c>
      <c r="O173" s="22" t="n">
        <f aca="false">100*(O39-O38)</f>
        <v>-3.37938619638303</v>
      </c>
      <c r="P173" s="22" t="n">
        <f aca="false">100*(P39-P38)</f>
        <v>-3.16752846674664</v>
      </c>
      <c r="Q173" s="22" t="n">
        <f aca="false">100*(Q39-Q38)</f>
        <v>-2.95627735797162</v>
      </c>
      <c r="R173" s="22" t="n">
        <f aca="false">100*(R39-R38)</f>
        <v>-2.74762861456361</v>
      </c>
      <c r="S173" s="22" t="n">
        <f aca="false">100*(S39-S38)</f>
        <v>-2.54334957244566</v>
      </c>
      <c r="T173" s="22" t="n">
        <f aca="false">100*(T39-T38)</f>
        <v>-2.34498050142031</v>
      </c>
      <c r="U173" s="22" t="n">
        <f aca="false">100*(U39-U38)</f>
        <v>-2.15386796499537</v>
      </c>
      <c r="V173" s="22" t="n">
        <f aca="false">100*(V39-V38)</f>
        <v>-1.97119249354856</v>
      </c>
      <c r="W173" s="22" t="n">
        <f aca="false">100*(W39-W38)</f>
        <v>-1.79797517861386</v>
      </c>
      <c r="X173" s="22" t="n">
        <f aca="false">100*(X39-X38)</f>
        <v>-1.63496930823461</v>
      </c>
      <c r="Y173" s="22" t="n">
        <f aca="false">100*(Y39-Y38)</f>
        <v>-1.48260269944744</v>
      </c>
      <c r="Z173" s="22" t="n">
        <f aca="false">100*(Z39-Z38)</f>
        <v>-1.34105651216272</v>
      </c>
      <c r="AA173" s="22" t="n">
        <f aca="false">100*(AA39-AA38)</f>
        <v>-1.21032670106409</v>
      </c>
      <c r="AB173" s="22" t="n">
        <f aca="false">100*(AB39-AB38)</f>
        <v>-1.0902483341682</v>
      </c>
      <c r="AC173" s="22" t="n">
        <f aca="false">100*(AC39-AC38)</f>
        <v>-0.980517983420004</v>
      </c>
      <c r="AD173" s="22" t="n">
        <f aca="false">100*(AD39-AD38)</f>
        <v>-0.880729731273533</v>
      </c>
      <c r="AE173" s="22" t="n">
        <f aca="false">100*(AE39-AE38)</f>
        <v>-0.790399189735247</v>
      </c>
      <c r="AF173" s="22" t="n">
        <f aca="false">100*(AF39-AF38)</f>
        <v>-0.708976454219013</v>
      </c>
      <c r="AG173" s="22" t="n">
        <f aca="false">100*(AG39-AG38)</f>
        <v>-0.635880336985117</v>
      </c>
      <c r="AH173" s="22" t="n">
        <f aca="false">100*(AH39-AH38)</f>
        <v>-0.570521358393794</v>
      </c>
      <c r="AI173" s="22" t="n">
        <f aca="false">100*(AI39-AI38)</f>
        <v>-0.512303751579157</v>
      </c>
      <c r="AJ173" s="22" t="n">
        <f aca="false">100*(AJ39-AJ38)</f>
        <v>-0.460627280576897</v>
      </c>
      <c r="AK173" s="22" t="n">
        <f aca="false">100*(AK39-AK38)</f>
        <v>-0.414904795605686</v>
      </c>
      <c r="AL173" s="22" t="n">
        <f aca="false">AVERAGE(C173:AK173)</f>
        <v>-3.18963796756494</v>
      </c>
    </row>
    <row r="174" customFormat="false" ht="15" hidden="false" customHeight="false" outlineLevel="0" collapsed="false">
      <c r="A174" s="20" t="n">
        <f aca="false">A40</f>
        <v>-85</v>
      </c>
      <c r="B174" s="21" t="n">
        <f aca="false">B40</f>
        <v>40352</v>
      </c>
      <c r="C174" s="22" t="n">
        <f aca="false">100*(C40-C39)</f>
        <v>-0.935505225307243</v>
      </c>
      <c r="D174" s="22" t="n">
        <f aca="false">100*(D40-D39)</f>
        <v>-1.2626385856896</v>
      </c>
      <c r="E174" s="22" t="n">
        <f aca="false">100*(E40-E39)</f>
        <v>-1.4051943246274</v>
      </c>
      <c r="F174" s="22" t="n">
        <f aca="false">100*(F40-F39)</f>
        <v>-1.46156323463489</v>
      </c>
      <c r="G174" s="22" t="n">
        <f aca="false">100*(G40-G39)</f>
        <v>-1.48987878351399</v>
      </c>
      <c r="H174" s="22" t="n">
        <f aca="false">100*(H40-H39)</f>
        <v>-1.51947646285069</v>
      </c>
      <c r="I174" s="22" t="n">
        <f aca="false">100*(I40-I39)</f>
        <v>-1.56199723453598</v>
      </c>
      <c r="J174" s="22" t="n">
        <f aca="false">100*(J40-J39)</f>
        <v>-1.61908861590079</v>
      </c>
      <c r="K174" s="22" t="n">
        <f aca="false">100*(K40-K39)</f>
        <v>-1.68743880302809</v>
      </c>
      <c r="L174" s="22" t="n">
        <f aca="false">100*(L40-L39)</f>
        <v>-1.76183258160183</v>
      </c>
      <c r="M174" s="22" t="n">
        <f aca="false">100*(M40-M39)</f>
        <v>-1.81325382276007</v>
      </c>
      <c r="N174" s="22" t="n">
        <f aca="false">100*(N40-N39)</f>
        <v>-1.72659001300959</v>
      </c>
      <c r="O174" s="22" t="n">
        <f aca="false">100*(O40-O39)</f>
        <v>-1.63160365899273</v>
      </c>
      <c r="P174" s="22" t="n">
        <f aca="false">100*(P40-P39)</f>
        <v>-1.52991300610816</v>
      </c>
      <c r="Q174" s="22" t="n">
        <f aca="false">100*(Q40-Q39)</f>
        <v>-1.42320600114552</v>
      </c>
      <c r="R174" s="22" t="n">
        <f aca="false">100*(R40-R39)</f>
        <v>-1.31315927792874</v>
      </c>
      <c r="S174" s="22" t="n">
        <f aca="false">100*(S40-S39)</f>
        <v>-1.20132746924009</v>
      </c>
      <c r="T174" s="22" t="n">
        <f aca="false">100*(T40-T39)</f>
        <v>-1.08914310186297</v>
      </c>
      <c r="U174" s="22" t="n">
        <f aca="false">100*(U40-U39)</f>
        <v>-0.977934534172587</v>
      </c>
      <c r="V174" s="22" t="n">
        <f aca="false">100*(V40-V39)</f>
        <v>-0.868940838154408</v>
      </c>
      <c r="W174" s="22" t="n">
        <f aca="false">100*(W40-W39)</f>
        <v>-0.763309916609867</v>
      </c>
      <c r="X174" s="22" t="n">
        <f aca="false">100*(X40-X39)</f>
        <v>-0.661999278412928</v>
      </c>
      <c r="Y174" s="22" t="n">
        <f aca="false">100*(Y40-Y39)</f>
        <v>-0.565719742520354</v>
      </c>
      <c r="Z174" s="22" t="n">
        <f aca="false">100*(Z40-Z39)</f>
        <v>-0.474982297516036</v>
      </c>
      <c r="AA174" s="22" t="n">
        <f aca="false">100*(AA40-AA39)</f>
        <v>-0.39013740764231</v>
      </c>
      <c r="AB174" s="22" t="n">
        <f aca="false">100*(AB40-AB39)</f>
        <v>-0.311395389622682</v>
      </c>
      <c r="AC174" s="22" t="n">
        <f aca="false">100*(AC40-AC39)</f>
        <v>-0.238843421321633</v>
      </c>
      <c r="AD174" s="22" t="n">
        <f aca="false">100*(AD40-AD39)</f>
        <v>-0.172459338426201</v>
      </c>
      <c r="AE174" s="22" t="n">
        <f aca="false">100*(AE40-AE39)</f>
        <v>-0.112122163111916</v>
      </c>
      <c r="AF174" s="22" t="n">
        <f aca="false">100*(AF40-AF39)</f>
        <v>-0.0576253008351735</v>
      </c>
      <c r="AG174" s="22" t="n">
        <f aca="false">100*(AG40-AG39)</f>
        <v>-0.00870418351759383</v>
      </c>
      <c r="AH174" s="22" t="n">
        <f aca="false">100*(AH40-AH39)</f>
        <v>0.0349441425766095</v>
      </c>
      <c r="AI174" s="22" t="n">
        <f aca="false">100*(AI40-AI39)</f>
        <v>0.0736562329306523</v>
      </c>
      <c r="AJ174" s="22" t="n">
        <f aca="false">100*(AJ40-AJ39)</f>
        <v>0.107798119491687</v>
      </c>
      <c r="AK174" s="22" t="n">
        <f aca="false">100*(AK40-AK39)</f>
        <v>0.137751761984894</v>
      </c>
      <c r="AL174" s="22" t="n">
        <f aca="false">AVERAGE(C174:AK174)</f>
        <v>-0.905223821646235</v>
      </c>
    </row>
    <row r="175" customFormat="false" ht="15" hidden="false" customHeight="false" outlineLevel="0" collapsed="false">
      <c r="A175" s="20" t="n">
        <f aca="false">A41</f>
        <v>-84</v>
      </c>
      <c r="B175" s="21" t="n">
        <f aca="false">B41</f>
        <v>40353</v>
      </c>
      <c r="C175" s="22" t="n">
        <f aca="false">100*(C41-C40)</f>
        <v>-4.11589420053167</v>
      </c>
      <c r="D175" s="22" t="n">
        <f aca="false">100*(D41-D40)</f>
        <v>-4.76015158522909</v>
      </c>
      <c r="E175" s="22" t="n">
        <f aca="false">100*(E41-E40)</f>
        <v>-5.1570236600285</v>
      </c>
      <c r="F175" s="22" t="n">
        <f aca="false">100*(F41-F40)</f>
        <v>-5.4002219744907</v>
      </c>
      <c r="G175" s="22" t="n">
        <f aca="false">100*(G41-G40)</f>
        <v>-5.54693029297642</v>
      </c>
      <c r="H175" s="22" t="n">
        <f aca="false">100*(H41-H40)</f>
        <v>-5.63132995259932</v>
      </c>
      <c r="I175" s="22" t="n">
        <f aca="false">100*(I41-I40)</f>
        <v>-5.67410197409664</v>
      </c>
      <c r="J175" s="22" t="n">
        <f aca="false">100*(J41-J40)</f>
        <v>-5.6874610026155</v>
      </c>
      <c r="K175" s="22" t="n">
        <f aca="false">100*(K41-K40)</f>
        <v>-5.67862256191121</v>
      </c>
      <c r="L175" s="22" t="n">
        <f aca="false">100*(L41-L40)</f>
        <v>-5.65201173980308</v>
      </c>
      <c r="M175" s="22" t="n">
        <f aca="false">100*(M41-M40)</f>
        <v>-4.15320999055231</v>
      </c>
      <c r="N175" s="22" t="n">
        <f aca="false">100*(N41-N40)</f>
        <v>-3.97101580569474</v>
      </c>
      <c r="O175" s="22" t="n">
        <f aca="false">100*(O41-O40)</f>
        <v>-3.78526386258988</v>
      </c>
      <c r="P175" s="22" t="n">
        <f aca="false">100*(P41-P40)</f>
        <v>-3.59755242402438</v>
      </c>
      <c r="Q175" s="22" t="n">
        <f aca="false">100*(Q41-Q40)</f>
        <v>-3.40949478249577</v>
      </c>
      <c r="R175" s="22" t="n">
        <f aca="false">100*(R41-R40)</f>
        <v>-3.22263203165836</v>
      </c>
      <c r="S175" s="22" t="n">
        <f aca="false">100*(S41-S40)</f>
        <v>-3.03831288030398</v>
      </c>
      <c r="T175" s="22" t="n">
        <f aca="false">100*(T41-T40)</f>
        <v>-2.85770195130155</v>
      </c>
      <c r="U175" s="22" t="n">
        <f aca="false">100*(U41-U40)</f>
        <v>-2.68180683530925</v>
      </c>
      <c r="V175" s="22" t="n">
        <f aca="false">100*(V41-V40)</f>
        <v>-2.51150052753149</v>
      </c>
      <c r="W175" s="22" t="n">
        <f aca="false">100*(W41-W40)</f>
        <v>-2.34753382000363</v>
      </c>
      <c r="X175" s="22" t="n">
        <f aca="false">100*(X41-X40)</f>
        <v>-2.19049663698163</v>
      </c>
      <c r="Y175" s="22" t="n">
        <f aca="false">100*(Y41-Y40)</f>
        <v>-2.04079659570189</v>
      </c>
      <c r="Z175" s="22" t="n">
        <f aca="false">100*(Z41-Z40)</f>
        <v>-1.89869204529236</v>
      </c>
      <c r="AA175" s="22" t="n">
        <f aca="false">100*(AA41-AA40)</f>
        <v>-1.76431944623978</v>
      </c>
      <c r="AB175" s="22" t="n">
        <f aca="false">100*(AB41-AB40)</f>
        <v>-1.63770871385234</v>
      </c>
      <c r="AC175" s="22" t="n">
        <f aca="false">100*(AC41-AC40)</f>
        <v>-1.51879701140505</v>
      </c>
      <c r="AD175" s="22" t="n">
        <f aca="false">100*(AD41-AD40)</f>
        <v>-1.40744425732171</v>
      </c>
      <c r="AE175" s="22" t="n">
        <f aca="false">100*(AE41-AE40)</f>
        <v>-1.3034435742644</v>
      </c>
      <c r="AF175" s="22" t="n">
        <f aca="false">100*(AF41-AF40)</f>
        <v>-1.20653100914581</v>
      </c>
      <c r="AG175" s="22" t="n">
        <f aca="false">100*(AG41-AG40)</f>
        <v>-1.11640885393083</v>
      </c>
      <c r="AH175" s="22" t="n">
        <f aca="false">100*(AH41-AH40)</f>
        <v>-1.0327615581712</v>
      </c>
      <c r="AI175" s="22" t="n">
        <f aca="false">100*(AI41-AI40)</f>
        <v>-0.955258291946581</v>
      </c>
      <c r="AJ175" s="22" t="n">
        <f aca="false">100*(AJ41-AJ40)</f>
        <v>-0.883555155518589</v>
      </c>
      <c r="AK175" s="22" t="n">
        <f aca="false">100*(AK41-AK40)</f>
        <v>-0.81730620415037</v>
      </c>
      <c r="AL175" s="22" t="n">
        <f aca="false">AVERAGE(C175:AK175)</f>
        <v>-3.10437980599057</v>
      </c>
    </row>
    <row r="176" customFormat="false" ht="15" hidden="false" customHeight="false" outlineLevel="0" collapsed="false">
      <c r="A176" s="20" t="n">
        <f aca="false">A42</f>
        <v>-83</v>
      </c>
      <c r="B176" s="21" t="n">
        <f aca="false">B42</f>
        <v>40354</v>
      </c>
      <c r="C176" s="22" t="n">
        <f aca="false">100*(C42-C41)</f>
        <v>0.057135461153679</v>
      </c>
      <c r="D176" s="22" t="n">
        <f aca="false">100*(D42-D41)</f>
        <v>-0.184838241097407</v>
      </c>
      <c r="E176" s="22" t="n">
        <f aca="false">100*(E42-E41)</f>
        <v>-0.398659481439201</v>
      </c>
      <c r="F176" s="22" t="n">
        <f aca="false">100*(F42-F41)</f>
        <v>-0.564587431007202</v>
      </c>
      <c r="G176" s="22" t="n">
        <f aca="false">100*(G42-G41)</f>
        <v>-0.680875845020301</v>
      </c>
      <c r="H176" s="22" t="n">
        <f aca="false">100*(H42-H41)</f>
        <v>-0.751571890219394</v>
      </c>
      <c r="I176" s="22" t="n">
        <f aca="false">100*(I42-I41)</f>
        <v>-0.78298312720988</v>
      </c>
      <c r="J176" s="22" t="n">
        <f aca="false">100*(J42-J41)</f>
        <v>-0.781429731864503</v>
      </c>
      <c r="K176" s="22" t="n">
        <f aca="false">100*(K42-K41)</f>
        <v>-0.75305171515252</v>
      </c>
      <c r="L176" s="22" t="n">
        <f aca="false">100*(L42-L41)</f>
        <v>-0.703698194613223</v>
      </c>
      <c r="M176" s="22" t="n">
        <f aca="false">100*(M42-M41)</f>
        <v>0.800800719475259</v>
      </c>
      <c r="N176" s="22" t="n">
        <f aca="false">100*(N42-N41)</f>
        <v>0.947493475564176</v>
      </c>
      <c r="O176" s="22" t="n">
        <f aca="false">100*(O42-O41)</f>
        <v>1.09284016579663</v>
      </c>
      <c r="P176" s="22" t="n">
        <f aca="false">100*(P42-P41)</f>
        <v>1.23553369841085</v>
      </c>
      <c r="Q176" s="22" t="n">
        <f aca="false">100*(Q42-Q41)</f>
        <v>1.37429185035414</v>
      </c>
      <c r="R176" s="22" t="n">
        <f aca="false">100*(R42-R41)</f>
        <v>1.50793285395432</v>
      </c>
      <c r="S176" s="22" t="n">
        <f aca="false">100*(S42-S41)</f>
        <v>1.63549468497388</v>
      </c>
      <c r="T176" s="22" t="n">
        <f aca="false">100*(T42-T41)</f>
        <v>1.75622491592762</v>
      </c>
      <c r="U176" s="22" t="n">
        <f aca="false">100*(U42-U41)</f>
        <v>1.86954991670376</v>
      </c>
      <c r="V176" s="22" t="n">
        <f aca="false">100*(V42-V41)</f>
        <v>1.97504929029533</v>
      </c>
      <c r="W176" s="22" t="n">
        <f aca="false">100*(W42-W41)</f>
        <v>2.0724338265838</v>
      </c>
      <c r="X176" s="22" t="n">
        <f aca="false">100*(X42-X41)</f>
        <v>2.1615590578504</v>
      </c>
      <c r="Y176" s="22" t="n">
        <f aca="false">100*(Y42-Y41)</f>
        <v>2.2424451705171</v>
      </c>
      <c r="Z176" s="22" t="n">
        <f aca="false">100*(Z42-Z41)</f>
        <v>2.31524961622744</v>
      </c>
      <c r="AA176" s="22" t="n">
        <f aca="false">100*(AA42-AA41)</f>
        <v>2.38024311710943</v>
      </c>
      <c r="AB176" s="22" t="n">
        <f aca="false">100*(AB42-AB41)</f>
        <v>2.43779547344074</v>
      </c>
      <c r="AC176" s="22" t="n">
        <f aca="false">100*(AC42-AC41)</f>
        <v>2.48836077253918</v>
      </c>
      <c r="AD176" s="22" t="n">
        <f aca="false">100*(AD42-AD41)</f>
        <v>2.53245654308323</v>
      </c>
      <c r="AE176" s="22" t="n">
        <f aca="false">100*(AE42-AE41)</f>
        <v>2.57065391150295</v>
      </c>
      <c r="AF176" s="22" t="n">
        <f aca="false">100*(AF42-AF41)</f>
        <v>2.60356895202412</v>
      </c>
      <c r="AG176" s="22" t="n">
        <f aca="false">100*(AG42-AG41)</f>
        <v>2.63183427087021</v>
      </c>
      <c r="AH176" s="22" t="n">
        <f aca="false">100*(AH42-AH41)</f>
        <v>2.65607944996455</v>
      </c>
      <c r="AI176" s="22" t="n">
        <f aca="false">100*(AI42-AI41)</f>
        <v>2.67693029276375</v>
      </c>
      <c r="AJ176" s="22" t="n">
        <f aca="false">100*(AJ42-AJ41)</f>
        <v>2.6950081945504</v>
      </c>
      <c r="AK176" s="22" t="n">
        <f aca="false">100*(AK42-AK41)</f>
        <v>2.71091407415645</v>
      </c>
      <c r="AL176" s="22" t="n">
        <f aca="false">AVERAGE(C176:AK176)</f>
        <v>1.30931954566199</v>
      </c>
    </row>
    <row r="177" customFormat="false" ht="15" hidden="false" customHeight="false" outlineLevel="0" collapsed="false">
      <c r="A177" s="20" t="n">
        <f aca="false">A43</f>
        <v>-82</v>
      </c>
      <c r="B177" s="21" t="n">
        <f aca="false">B43</f>
        <v>40357</v>
      </c>
      <c r="C177" s="22" t="n">
        <f aca="false">100*(C43-C42)</f>
        <v>1.86689854019416</v>
      </c>
      <c r="D177" s="22" t="n">
        <f aca="false">100*(D43-D42)</f>
        <v>1.57213997412999</v>
      </c>
      <c r="E177" s="22" t="n">
        <f aca="false">100*(E43-E42)</f>
        <v>1.20987596816191</v>
      </c>
      <c r="F177" s="22" t="n">
        <f aca="false">100*(F43-F42)</f>
        <v>0.854707726444803</v>
      </c>
      <c r="G177" s="22" t="n">
        <f aca="false">100*(G43-G42)</f>
        <v>0.535042242712214</v>
      </c>
      <c r="H177" s="22" t="n">
        <f aca="false">100*(H43-H42)</f>
        <v>0.260059247663014</v>
      </c>
      <c r="I177" s="22" t="n">
        <f aca="false">100*(I43-I42)</f>
        <v>0.0307785440246899</v>
      </c>
      <c r="J177" s="22" t="n">
        <f aca="false">100*(J43-J42)</f>
        <v>-0.154849576636495</v>
      </c>
      <c r="K177" s="22" t="n">
        <f aca="false">100*(K43-K42)</f>
        <v>-0.299883921893773</v>
      </c>
      <c r="L177" s="22" t="n">
        <f aca="false">100*(L43-L42)</f>
        <v>-0.407633807066388</v>
      </c>
      <c r="M177" s="22" t="n">
        <f aca="false">100*(M43-M42)</f>
        <v>0.144630843673799</v>
      </c>
      <c r="N177" s="22" t="n">
        <f aca="false">100*(N43-N42)</f>
        <v>0.252039826566808</v>
      </c>
      <c r="O177" s="22" t="n">
        <f aca="false">100*(O43-O42)</f>
        <v>0.361387351218223</v>
      </c>
      <c r="P177" s="22" t="n">
        <f aca="false">100*(P43-P42)</f>
        <v>0.471841393606809</v>
      </c>
      <c r="Q177" s="22" t="n">
        <f aca="false">100*(Q43-Q42)</f>
        <v>0.582642019069457</v>
      </c>
      <c r="R177" s="22" t="n">
        <f aca="false">100*(R43-R42)</f>
        <v>0.693091739297103</v>
      </c>
      <c r="S177" s="22" t="n">
        <f aca="false">100*(S43-S42)</f>
        <v>0.802555280298645</v>
      </c>
      <c r="T177" s="22" t="n">
        <f aca="false">100*(T43-T42)</f>
        <v>0.910452620412627</v>
      </c>
      <c r="U177" s="22" t="n">
        <f aca="false">100*(U43-U42)</f>
        <v>1.0162508691165</v>
      </c>
      <c r="V177" s="22" t="n">
        <f aca="false">100*(V43-V42)</f>
        <v>1.1194575271797</v>
      </c>
      <c r="W177" s="22" t="n">
        <f aca="false">100*(W43-W42)</f>
        <v>1.21961683141647</v>
      </c>
      <c r="X177" s="22" t="n">
        <f aca="false">100*(X43-X42)</f>
        <v>1.31632882642965</v>
      </c>
      <c r="Y177" s="22" t="n">
        <f aca="false">100*(Y43-Y42)</f>
        <v>1.4092639069565</v>
      </c>
      <c r="Z177" s="22" t="n">
        <f aca="false">100*(Z43-Z42)</f>
        <v>1.49815631346089</v>
      </c>
      <c r="AA177" s="22" t="n">
        <f aca="false">100*(AA43-AA42)</f>
        <v>1.58279671950066</v>
      </c>
      <c r="AB177" s="22" t="n">
        <f aca="false">100*(AB43-AB42)</f>
        <v>1.66302537091205</v>
      </c>
      <c r="AC177" s="22" t="n">
        <f aca="false">100*(AC43-AC42)</f>
        <v>1.73872617003719</v>
      </c>
      <c r="AD177" s="22" t="n">
        <f aca="false">100*(AD43-AD42)</f>
        <v>1.80982442065938</v>
      </c>
      <c r="AE177" s="22" t="n">
        <f aca="false">100*(AE43-AE42)</f>
        <v>1.87628551104551</v>
      </c>
      <c r="AF177" s="22" t="n">
        <f aca="false">100*(AF43-AF42)</f>
        <v>1.93811028808968</v>
      </c>
      <c r="AG177" s="22" t="n">
        <f aca="false">100*(AG43-AG42)</f>
        <v>1.9953269051177</v>
      </c>
      <c r="AH177" s="22" t="n">
        <f aca="false">100*(AH43-AH42)</f>
        <v>2.0479844474913</v>
      </c>
      <c r="AI177" s="22" t="n">
        <f aca="false">100*(AI43-AI42)</f>
        <v>2.09615053258512</v>
      </c>
      <c r="AJ177" s="22" t="n">
        <f aca="false">100*(AJ43-AJ42)</f>
        <v>2.13990957967454</v>
      </c>
      <c r="AK177" s="22" t="n">
        <f aca="false">100*(AK43-AK42)</f>
        <v>2.17936167538042</v>
      </c>
      <c r="AL177" s="22" t="n">
        <f aca="false">AVERAGE(C177:AK177)</f>
        <v>1.09521005448374</v>
      </c>
    </row>
    <row r="178" customFormat="false" ht="15" hidden="false" customHeight="false" outlineLevel="0" collapsed="false">
      <c r="A178" s="20" t="n">
        <f aca="false">A44</f>
        <v>-81</v>
      </c>
      <c r="B178" s="21" t="n">
        <f aca="false">B44</f>
        <v>40358</v>
      </c>
      <c r="C178" s="22" t="n">
        <f aca="false">100*(C44-C43)</f>
        <v>3.52241995893117</v>
      </c>
      <c r="D178" s="22" t="n">
        <f aca="false">100*(D44-D43)</f>
        <v>3.41645629749301</v>
      </c>
      <c r="E178" s="22" t="n">
        <f aca="false">100*(E44-E43)</f>
        <v>3.21384426018629</v>
      </c>
      <c r="F178" s="22" t="n">
        <f aca="false">100*(F44-F43)</f>
        <v>2.989276531291</v>
      </c>
      <c r="G178" s="22" t="n">
        <f aca="false">100*(G44-G43)</f>
        <v>2.77092206624139</v>
      </c>
      <c r="H178" s="22" t="n">
        <f aca="false">100*(H44-H43)</f>
        <v>2.56866297035239</v>
      </c>
      <c r="I178" s="22" t="n">
        <f aca="false">100*(I44-I43)</f>
        <v>2.38503954940672</v>
      </c>
      <c r="J178" s="22" t="n">
        <f aca="false">100*(J44-J43)</f>
        <v>2.21998272884059</v>
      </c>
      <c r="K178" s="22" t="n">
        <f aca="false">100*(K44-K43)</f>
        <v>2.07260137416347</v>
      </c>
      <c r="L178" s="22" t="n">
        <f aca="false">100*(L44-L43)</f>
        <v>1.94201347790268</v>
      </c>
      <c r="M178" s="22" t="n">
        <f aca="false">100*(M44-M43)</f>
        <v>1.25204558851797</v>
      </c>
      <c r="N178" s="22" t="n">
        <f aca="false">100*(N44-N43)</f>
        <v>1.2350093329812</v>
      </c>
      <c r="O178" s="22" t="n">
        <f aca="false">100*(O44-O43)</f>
        <v>1.21785141341446</v>
      </c>
      <c r="P178" s="22" t="n">
        <f aca="false">100*(P44-P43)</f>
        <v>1.19972949558838</v>
      </c>
      <c r="Q178" s="22" t="n">
        <f aca="false">100*(Q44-Q43)</f>
        <v>1.1798458714213</v>
      </c>
      <c r="R178" s="22" t="n">
        <f aca="false">100*(R44-R43)</f>
        <v>1.15746442253544</v>
      </c>
      <c r="S178" s="22" t="n">
        <f aca="false">100*(S44-S43)</f>
        <v>1.13194031894395</v>
      </c>
      <c r="T178" s="22" t="n">
        <f aca="false">100*(T44-T43)</f>
        <v>1.1027126199922</v>
      </c>
      <c r="U178" s="22" t="n">
        <f aca="false">100*(U44-U43)</f>
        <v>1.06929194257228</v>
      </c>
      <c r="V178" s="22" t="n">
        <f aca="false">100*(V44-V43)</f>
        <v>1.03125023069204</v>
      </c>
      <c r="W178" s="22" t="n">
        <f aca="false">100*(W44-W43)</f>
        <v>0.988213093267465</v>
      </c>
      <c r="X178" s="22" t="n">
        <f aca="false">100*(X44-X43)</f>
        <v>0.93986921005591</v>
      </c>
      <c r="Y178" s="22" t="n">
        <f aca="false">100*(Y44-Y43)</f>
        <v>0.885979720138597</v>
      </c>
      <c r="Z178" s="22" t="n">
        <f aca="false">100*(Z44-Z43)</f>
        <v>0.82637683812381</v>
      </c>
      <c r="AA178" s="22" t="n">
        <f aca="false">100*(AA44-AA43)</f>
        <v>0.760959129012573</v>
      </c>
      <c r="AB178" s="22" t="n">
        <f aca="false">100*(AB44-AB43)</f>
        <v>0.689683610468439</v>
      </c>
      <c r="AC178" s="22" t="n">
        <f aca="false">100*(AC44-AC43)</f>
        <v>0.612561219619767</v>
      </c>
      <c r="AD178" s="22" t="n">
        <f aca="false">100*(AD44-AD43)</f>
        <v>0.52966853133869</v>
      </c>
      <c r="AE178" s="22" t="n">
        <f aca="false">100*(AE44-AE43)</f>
        <v>0.441153276496831</v>
      </c>
      <c r="AF178" s="22" t="n">
        <f aca="false">100*(AF44-AF43)</f>
        <v>0.347228933389765</v>
      </c>
      <c r="AG178" s="22" t="n">
        <f aca="false">100*(AG44-AG43)</f>
        <v>0.24817665498631</v>
      </c>
      <c r="AH178" s="22" t="n">
        <f aca="false">100*(AH44-AH43)</f>
        <v>0.144342891952043</v>
      </c>
      <c r="AI178" s="22" t="n">
        <f aca="false">100*(AI44-AI43)</f>
        <v>0.0361327540248979</v>
      </c>
      <c r="AJ178" s="22" t="n">
        <f aca="false">100*(AJ44-AJ43)</f>
        <v>-0.0759959019713818</v>
      </c>
      <c r="AK178" s="22" t="n">
        <f aca="false">100*(AK44-AK43)</f>
        <v>-0.19153822151452</v>
      </c>
      <c r="AL178" s="22" t="n">
        <f aca="false">AVERAGE(C178:AK178)</f>
        <v>1.31031920545306</v>
      </c>
    </row>
    <row r="179" customFormat="false" ht="15" hidden="false" customHeight="false" outlineLevel="0" collapsed="false">
      <c r="A179" s="20" t="n">
        <f aca="false">A45</f>
        <v>-80</v>
      </c>
      <c r="B179" s="21" t="n">
        <f aca="false">B45</f>
        <v>40359</v>
      </c>
      <c r="C179" s="22" t="n">
        <f aca="false">100*(C45-C44)</f>
        <v>-5.01801073727713</v>
      </c>
      <c r="D179" s="22" t="n">
        <f aca="false">100*(D45-D44)</f>
        <v>-5.3838155763428</v>
      </c>
      <c r="E179" s="22" t="n">
        <f aca="false">100*(E45-E44)</f>
        <v>-5.54979329217531</v>
      </c>
      <c r="F179" s="22" t="n">
        <f aca="false">100*(F45-F44)</f>
        <v>-5.5843183652085</v>
      </c>
      <c r="G179" s="22" t="n">
        <f aca="false">100*(G45-G44)</f>
        <v>-5.52766150393969</v>
      </c>
      <c r="H179" s="22" t="n">
        <f aca="false">100*(H45-H44)</f>
        <v>-5.4067642250704</v>
      </c>
      <c r="I179" s="22" t="n">
        <f aca="false">100*(I45-I44)</f>
        <v>-5.24207609080971</v>
      </c>
      <c r="J179" s="22" t="n">
        <f aca="false">100*(J45-J44)</f>
        <v>-5.05046886098439</v>
      </c>
      <c r="K179" s="22" t="n">
        <f aca="false">100*(K45-K44)</f>
        <v>-4.84688018963611</v>
      </c>
      <c r="L179" s="22" t="n">
        <f aca="false">100*(L45-L44)</f>
        <v>-4.64432238875308</v>
      </c>
      <c r="M179" s="22" t="n">
        <f aca="false">100*(M45-M44)</f>
        <v>-4.48353812802163</v>
      </c>
      <c r="N179" s="22" t="n">
        <f aca="false">100*(N45-N44)</f>
        <v>-4.64586329313086</v>
      </c>
      <c r="O179" s="22" t="n">
        <f aca="false">100*(O45-O44)</f>
        <v>-4.81747649069693</v>
      </c>
      <c r="P179" s="22" t="n">
        <f aca="false">100*(P45-P44)</f>
        <v>-4.99509516714687</v>
      </c>
      <c r="Q179" s="22" t="n">
        <f aca="false">100*(Q45-Q44)</f>
        <v>-5.17559599841704</v>
      </c>
      <c r="R179" s="22" t="n">
        <f aca="false">100*(R45-R44)</f>
        <v>-5.35619605594375</v>
      </c>
      <c r="S179" s="22" t="n">
        <f aca="false">100*(S45-S44)</f>
        <v>-5.5346693680522</v>
      </c>
      <c r="T179" s="22" t="n">
        <f aca="false">100*(T45-T44)</f>
        <v>-5.70929735601498</v>
      </c>
      <c r="U179" s="22" t="n">
        <f aca="false">100*(U45-U44)</f>
        <v>-5.87879422400635</v>
      </c>
      <c r="V179" s="22" t="n">
        <f aca="false">100*(V45-V44)</f>
        <v>-6.042245151197</v>
      </c>
      <c r="W179" s="22" t="n">
        <f aca="false">100*(W45-W44)</f>
        <v>-6.19906587684476</v>
      </c>
      <c r="X179" s="22" t="n">
        <f aca="false">100*(X45-X44)</f>
        <v>-6.3490149653977</v>
      </c>
      <c r="Y179" s="22" t="n">
        <f aca="false">100*(Y45-Y44)</f>
        <v>-6.49216662861756</v>
      </c>
      <c r="Z179" s="22" t="n">
        <f aca="false">100*(Z45-Z44)</f>
        <v>-6.62879853397547</v>
      </c>
      <c r="AA179" s="22" t="n">
        <f aca="false">100*(AA45-AA44)</f>
        <v>-6.75932090284084</v>
      </c>
      <c r="AB179" s="22" t="n">
        <f aca="false">100*(AB45-AB44)</f>
        <v>-6.88425821222696</v>
      </c>
      <c r="AC179" s="22" t="n">
        <f aca="false">100*(AC45-AC44)</f>
        <v>-7.00422403237724</v>
      </c>
      <c r="AD179" s="22" t="n">
        <f aca="false">100*(AD45-AD44)</f>
        <v>-7.11983700953427</v>
      </c>
      <c r="AE179" s="22" t="n">
        <f aca="false">100*(AE45-AE44)</f>
        <v>-7.23167260237139</v>
      </c>
      <c r="AF179" s="22" t="n">
        <f aca="false">100*(AF45-AF44)</f>
        <v>-7.34025948317054</v>
      </c>
      <c r="AG179" s="22" t="n">
        <f aca="false">100*(AG45-AG44)</f>
        <v>-7.44605051093235</v>
      </c>
      <c r="AH179" s="22" t="n">
        <f aca="false">100*(AH45-AH44)</f>
        <v>-7.54941089112391</v>
      </c>
      <c r="AI179" s="22" t="n">
        <f aca="false">100*(AI45-AI44)</f>
        <v>-7.65062647962527</v>
      </c>
      <c r="AJ179" s="22" t="n">
        <f aca="false">100*(AJ45-AJ44)</f>
        <v>-7.74991053399585</v>
      </c>
      <c r="AK179" s="22" t="n">
        <f aca="false">100*(AK45-AK44)</f>
        <v>-7.84739729495163</v>
      </c>
      <c r="AL179" s="22" t="n">
        <f aca="false">AVERAGE(C179:AK179)</f>
        <v>-6.03271132630887</v>
      </c>
    </row>
    <row r="180" customFormat="false" ht="15" hidden="false" customHeight="false" outlineLevel="0" collapsed="false">
      <c r="A180" s="20" t="n">
        <f aca="false">A46</f>
        <v>-79</v>
      </c>
      <c r="B180" s="21" t="n">
        <f aca="false">B46</f>
        <v>40360</v>
      </c>
      <c r="C180" s="22" t="n">
        <f aca="false">100*(C46-C45)</f>
        <v>0.948797193867046</v>
      </c>
      <c r="D180" s="22" t="n">
        <f aca="false">100*(D46-D45)</f>
        <v>0.613681163192492</v>
      </c>
      <c r="E180" s="22" t="n">
        <f aca="false">100*(E46-E45)</f>
        <v>0.184207527074598</v>
      </c>
      <c r="F180" s="22" t="n">
        <f aca="false">100*(F46-F45)</f>
        <v>-0.289577708378097</v>
      </c>
      <c r="G180" s="22" t="n">
        <f aca="false">100*(G46-G45)</f>
        <v>-0.777076844888214</v>
      </c>
      <c r="H180" s="22" t="n">
        <f aca="false">100*(H46-H45)</f>
        <v>-1.25854179813971</v>
      </c>
      <c r="I180" s="22" t="n">
        <f aca="false">100*(I46-I45)</f>
        <v>-1.7206453904536</v>
      </c>
      <c r="J180" s="22" t="n">
        <f aca="false">100*(J46-J45)</f>
        <v>-2.1543105310136</v>
      </c>
      <c r="K180" s="22" t="n">
        <f aca="false">100*(K46-K45)</f>
        <v>-2.55356252858401</v>
      </c>
      <c r="L180" s="22" t="n">
        <f aca="false">100*(L46-L45)</f>
        <v>-2.9147969933125</v>
      </c>
      <c r="M180" s="22" t="n">
        <f aca="false">100*(M46-M45)</f>
        <v>-5.07179771567725</v>
      </c>
      <c r="N180" s="22" t="n">
        <f aca="false">100*(N46-N45)</f>
        <v>-5.15338845800066</v>
      </c>
      <c r="O180" s="22" t="n">
        <f aca="false">100*(O46-O45)</f>
        <v>-5.232740881317</v>
      </c>
      <c r="P180" s="22" t="n">
        <f aca="false">100*(P46-P45)</f>
        <v>-5.31048620629093</v>
      </c>
      <c r="Q180" s="22" t="n">
        <f aca="false">100*(Q46-Q45)</f>
        <v>-5.38708244331199</v>
      </c>
      <c r="R180" s="22" t="n">
        <f aca="false">100*(R46-R45)</f>
        <v>-5.46287395999965</v>
      </c>
      <c r="S180" s="22" t="n">
        <f aca="false">100*(S46-S45)</f>
        <v>-5.5381415270956</v>
      </c>
      <c r="T180" s="22" t="n">
        <f aca="false">100*(T46-T45)</f>
        <v>-5.61311463662273</v>
      </c>
      <c r="U180" s="22" t="n">
        <f aca="false">100*(U46-U45)</f>
        <v>-5.68797904006031</v>
      </c>
      <c r="V180" s="22" t="n">
        <f aca="false">100*(V46-V45)</f>
        <v>-5.76288300928987</v>
      </c>
      <c r="W180" s="22" t="n">
        <f aca="false">100*(W46-W45)</f>
        <v>-5.83794458716058</v>
      </c>
      <c r="X180" s="22" t="n">
        <f aca="false">100*(X46-X45)</f>
        <v>-5.91325615921088</v>
      </c>
      <c r="Y180" s="22" t="n">
        <f aca="false">100*(Y46-Y45)</f>
        <v>-5.98888398848194</v>
      </c>
      <c r="Z180" s="22" t="n">
        <f aca="false">100*(Z46-Z45)</f>
        <v>-6.06488453294043</v>
      </c>
      <c r="AA180" s="22" t="n">
        <f aca="false">100*(AA46-AA45)</f>
        <v>-6.14131481409892</v>
      </c>
      <c r="AB180" s="22" t="n">
        <f aca="false">100*(AB46-AB45)</f>
        <v>-6.2182328197494</v>
      </c>
      <c r="AC180" s="22" t="n">
        <f aca="false">100*(AC46-AC45)</f>
        <v>-6.29569798779537</v>
      </c>
      <c r="AD180" s="22" t="n">
        <f aca="false">100*(AD46-AD45)</f>
        <v>-6.37377312198746</v>
      </c>
      <c r="AE180" s="22" t="n">
        <f aca="false">100*(AE46-AE45)</f>
        <v>-6.45252448776823</v>
      </c>
      <c r="AF180" s="22" t="n">
        <f aca="false">100*(AF46-AF45)</f>
        <v>-6.53201841093365</v>
      </c>
      <c r="AG180" s="22" t="n">
        <f aca="false">100*(AG46-AG45)</f>
        <v>-6.6123060024589</v>
      </c>
      <c r="AH180" s="22" t="n">
        <f aca="false">100*(AH46-AH45)</f>
        <v>-6.69341666387622</v>
      </c>
      <c r="AI180" s="22" t="n">
        <f aca="false">100*(AI46-AI45)</f>
        <v>-6.77536006977801</v>
      </c>
      <c r="AJ180" s="22" t="n">
        <f aca="false">100*(AJ46-AJ45)</f>
        <v>-6.85812725490056</v>
      </c>
      <c r="AK180" s="22" t="n">
        <f aca="false">100*(AK46-AK45)</f>
        <v>-6.94168384428959</v>
      </c>
      <c r="AL180" s="22" t="n">
        <f aca="false">AVERAGE(C180:AK180)</f>
        <v>-4.56690681524948</v>
      </c>
    </row>
    <row r="181" customFormat="false" ht="15" hidden="false" customHeight="false" outlineLevel="0" collapsed="false">
      <c r="A181" s="20" t="n">
        <f aca="false">A47</f>
        <v>-78</v>
      </c>
      <c r="B181" s="21" t="n">
        <f aca="false">B47</f>
        <v>40361</v>
      </c>
      <c r="C181" s="22" t="n">
        <f aca="false">100*(C47-C46)</f>
        <v>3.11970450537621</v>
      </c>
      <c r="D181" s="22" t="n">
        <f aca="false">100*(D47-D46)</f>
        <v>3.13370844915231</v>
      </c>
      <c r="E181" s="22" t="n">
        <f aca="false">100*(E47-E46)</f>
        <v>3.11187127900181</v>
      </c>
      <c r="F181" s="22" t="n">
        <f aca="false">100*(F47-F46)</f>
        <v>3.11727793874139</v>
      </c>
      <c r="G181" s="22" t="n">
        <f aca="false">100*(G47-G46)</f>
        <v>3.16851799973481</v>
      </c>
      <c r="H181" s="22" t="n">
        <f aca="false">100*(H47-H46)</f>
        <v>3.26626632939311</v>
      </c>
      <c r="I181" s="22" t="n">
        <f aca="false">100*(I47-I46)</f>
        <v>3.40456755418779</v>
      </c>
      <c r="J181" s="22" t="n">
        <f aca="false">100*(J47-J46)</f>
        <v>3.5727176695044</v>
      </c>
      <c r="K181" s="22" t="n">
        <f aca="false">100*(K47-K46)</f>
        <v>3.75854665487414</v>
      </c>
      <c r="L181" s="22" t="n">
        <f aca="false">100*(L47-L46)</f>
        <v>3.94989998719177</v>
      </c>
      <c r="M181" s="22" t="n">
        <f aca="false">100*(M47-M46)</f>
        <v>4.40914575204241</v>
      </c>
      <c r="N181" s="22" t="n">
        <f aca="false">100*(N47-N46)</f>
        <v>4.28475832681556</v>
      </c>
      <c r="O181" s="22" t="n">
        <f aca="false">100*(O47-O46)</f>
        <v>4.14965976498767</v>
      </c>
      <c r="P181" s="22" t="n">
        <f aca="false">100*(P47-P46)</f>
        <v>4.00656528304033</v>
      </c>
      <c r="Q181" s="22" t="n">
        <f aca="false">100*(Q47-Q46)</f>
        <v>3.85808756190196</v>
      </c>
      <c r="R181" s="22" t="n">
        <f aca="false">100*(R47-R46)</f>
        <v>3.70658744063972</v>
      </c>
      <c r="S181" s="22" t="n">
        <f aca="false">100*(S47-S46)</f>
        <v>3.55403127989016</v>
      </c>
      <c r="T181" s="22" t="n">
        <f aca="false">100*(T47-T46)</f>
        <v>3.40203263925787</v>
      </c>
      <c r="U181" s="22" t="n">
        <f aca="false">100*(U47-U46)</f>
        <v>3.25190416587891</v>
      </c>
      <c r="V181" s="22" t="n">
        <f aca="false">100*(V47-V46)</f>
        <v>3.10470053347629</v>
      </c>
      <c r="W181" s="22" t="n">
        <f aca="false">100*(W47-W46)</f>
        <v>2.96124323403628</v>
      </c>
      <c r="X181" s="22" t="n">
        <f aca="false">100*(X47-X46)</f>
        <v>2.82212317420463</v>
      </c>
      <c r="Y181" s="22" t="n">
        <f aca="false">100*(Y47-Y46)</f>
        <v>2.68773678165832</v>
      </c>
      <c r="Z181" s="22" t="n">
        <f aca="false">100*(Z47-Z46)</f>
        <v>2.55833725728918</v>
      </c>
      <c r="AA181" s="22" t="n">
        <f aca="false">100*(AA47-AA46)</f>
        <v>2.43406577799004</v>
      </c>
      <c r="AB181" s="22" t="n">
        <f aca="false">100*(AB47-AB46)</f>
        <v>2.31496561719871</v>
      </c>
      <c r="AC181" s="22" t="n">
        <f aca="false">100*(AC47-AC46)</f>
        <v>2.20099708143033</v>
      </c>
      <c r="AD181" s="22" t="n">
        <f aca="false">100*(AD47-AD46)</f>
        <v>2.09207083785401</v>
      </c>
      <c r="AE181" s="22" t="n">
        <f aca="false">100*(AE47-AE46)</f>
        <v>1.98807017963629</v>
      </c>
      <c r="AF181" s="22" t="n">
        <f aca="false">100*(AF47-AF46)</f>
        <v>1.88885790652753</v>
      </c>
      <c r="AG181" s="22" t="n">
        <f aca="false">100*(AG47-AG46)</f>
        <v>1.79428825296144</v>
      </c>
      <c r="AH181" s="22" t="n">
        <f aca="false">100*(AH47-AH46)</f>
        <v>1.70421001402792</v>
      </c>
      <c r="AI181" s="22" t="n">
        <f aca="false">100*(AI47-AI46)</f>
        <v>1.61846696329508</v>
      </c>
      <c r="AJ181" s="22" t="n">
        <f aca="false">100*(AJ47-AJ46)</f>
        <v>1.53689898066096</v>
      </c>
      <c r="AK181" s="22" t="n">
        <f aca="false">100*(AK47-AK46)</f>
        <v>1.45934405069088</v>
      </c>
      <c r="AL181" s="22" t="n">
        <f aca="false">AVERAGE(C181:AK181)</f>
        <v>2.95406363498715</v>
      </c>
    </row>
    <row r="182" customFormat="false" ht="15" hidden="false" customHeight="false" outlineLevel="0" collapsed="false">
      <c r="A182" s="20" t="n">
        <f aca="false">A48</f>
        <v>-77</v>
      </c>
      <c r="B182" s="21" t="n">
        <f aca="false">B48</f>
        <v>40364</v>
      </c>
      <c r="C182" s="22" t="n">
        <f aca="false">100*(C48-C47)</f>
        <v>-4.13750684630876</v>
      </c>
      <c r="D182" s="22" t="n">
        <f aca="false">100*(D48-D47)</f>
        <v>-4.4129066533442</v>
      </c>
      <c r="E182" s="22" t="n">
        <f aca="false">100*(E48-E47)</f>
        <v>-4.5367615171209</v>
      </c>
      <c r="F182" s="22" t="n">
        <f aca="false">100*(F48-F47)</f>
        <v>-4.57222199302079</v>
      </c>
      <c r="G182" s="22" t="n">
        <f aca="false">100*(G48-G47)</f>
        <v>-4.55488992490432</v>
      </c>
      <c r="H182" s="22" t="n">
        <f aca="false">100*(H48-H47)</f>
        <v>-4.50613808872529</v>
      </c>
      <c r="I182" s="22" t="n">
        <f aca="false">100*(I48-I47)</f>
        <v>-4.439112946066</v>
      </c>
      <c r="J182" s="22" t="n">
        <f aca="false">100*(J48-J47)</f>
        <v>-4.36256229734671</v>
      </c>
      <c r="K182" s="22" t="n">
        <f aca="false">100*(K48-K47)</f>
        <v>-4.28278022606721</v>
      </c>
      <c r="L182" s="22" t="n">
        <f aca="false">100*(L48-L47)</f>
        <v>-4.20453086931398</v>
      </c>
      <c r="M182" s="22" t="n">
        <f aca="false">100*(M48-M47)</f>
        <v>-3.92454213524638</v>
      </c>
      <c r="N182" s="22" t="n">
        <f aca="false">100*(N48-N47)</f>
        <v>-3.9418573435765</v>
      </c>
      <c r="O182" s="22" t="n">
        <f aca="false">100*(O48-O47)</f>
        <v>-3.95956057372731</v>
      </c>
      <c r="P182" s="22" t="n">
        <f aca="false">100*(P48-P47)</f>
        <v>-3.97682504223802</v>
      </c>
      <c r="Q182" s="22" t="n">
        <f aca="false">100*(Q48-Q47)</f>
        <v>-3.99289957640283</v>
      </c>
      <c r="R182" s="22" t="n">
        <f aca="false">100*(R48-R47)</f>
        <v>-4.00715118702797</v>
      </c>
      <c r="S182" s="22" t="n">
        <f aca="false">100*(S48-S47)</f>
        <v>-4.01910353185828</v>
      </c>
      <c r="T182" s="22" t="n">
        <f aca="false">100*(T48-T47)</f>
        <v>-4.02841834069454</v>
      </c>
      <c r="U182" s="22" t="n">
        <f aca="false">100*(U48-U47)</f>
        <v>-4.03487510857721</v>
      </c>
      <c r="V182" s="22" t="n">
        <f aca="false">100*(V48-V47)</f>
        <v>-4.03835429074961</v>
      </c>
      <c r="W182" s="22" t="n">
        <f aca="false">100*(W48-W47)</f>
        <v>-4.03882673246461</v>
      </c>
      <c r="X182" s="22" t="n">
        <f aca="false">100*(X48-X47)</f>
        <v>-4.03634898395628</v>
      </c>
      <c r="Y182" s="22" t="n">
        <f aca="false">100*(Y48-Y47)</f>
        <v>-4.03104867350068</v>
      </c>
      <c r="Z182" s="22" t="n">
        <f aca="false">100*(Z48-Z47)</f>
        <v>-4.0231067874303</v>
      </c>
      <c r="AA182" s="22" t="n">
        <f aca="false">100*(AA48-AA47)</f>
        <v>-4.01274691700859</v>
      </c>
      <c r="AB182" s="22" t="n">
        <f aca="false">100*(AB48-AB47)</f>
        <v>-4.00022993719693</v>
      </c>
      <c r="AC182" s="22" t="n">
        <f aca="false">100*(AC48-AC47)</f>
        <v>-3.98584767443655</v>
      </c>
      <c r="AD182" s="22" t="n">
        <f aca="false">100*(AD48-AD47)</f>
        <v>-3.96990724508797</v>
      </c>
      <c r="AE182" s="22" t="n">
        <f aca="false">100*(AE48-AE47)</f>
        <v>-3.95272154716499</v>
      </c>
      <c r="AF182" s="22" t="n">
        <f aca="false">100*(AF48-AF47)</f>
        <v>-3.93460483089179</v>
      </c>
      <c r="AG182" s="22" t="n">
        <f aca="false">100*(AG48-AG47)</f>
        <v>-3.9158561844201</v>
      </c>
      <c r="AH182" s="22" t="n">
        <f aca="false">100*(AH48-AH47)</f>
        <v>-3.89675295919751</v>
      </c>
      <c r="AI182" s="22" t="n">
        <f aca="false">100*(AI48-AI47)</f>
        <v>-3.8775527836675</v>
      </c>
      <c r="AJ182" s="22" t="n">
        <f aca="false">100*(AJ48-AJ47)</f>
        <v>-3.85849439653594</v>
      </c>
      <c r="AK182" s="22" t="n">
        <f aca="false">100*(AK48-AK47)</f>
        <v>-3.83978905634486</v>
      </c>
      <c r="AL182" s="22" t="n">
        <f aca="false">AVERAGE(C182:AK182)</f>
        <v>-4.09448094861775</v>
      </c>
    </row>
    <row r="183" customFormat="false" ht="15" hidden="false" customHeight="false" outlineLevel="0" collapsed="false">
      <c r="A183" s="20" t="n">
        <f aca="false">A49</f>
        <v>-76</v>
      </c>
      <c r="B183" s="21" t="n">
        <f aca="false">B49</f>
        <v>40365</v>
      </c>
      <c r="C183" s="22" t="n">
        <f aca="false">100*(C49-C48)</f>
        <v>0.468795413294654</v>
      </c>
      <c r="D183" s="22" t="n">
        <f aca="false">100*(D49-D48)</f>
        <v>0.592090925565292</v>
      </c>
      <c r="E183" s="22" t="n">
        <f aca="false">100*(E49-E48)</f>
        <v>0.744769640083409</v>
      </c>
      <c r="F183" s="22" t="n">
        <f aca="false">100*(F49-F48)</f>
        <v>0.921959207213585</v>
      </c>
      <c r="G183" s="22" t="n">
        <f aca="false">100*(G49-G48)</f>
        <v>1.116569865187</v>
      </c>
      <c r="H183" s="22" t="n">
        <f aca="false">100*(H49-H48)</f>
        <v>1.32135584984869</v>
      </c>
      <c r="I183" s="22" t="n">
        <f aca="false">100*(I49-I48)</f>
        <v>1.53034807121042</v>
      </c>
      <c r="J183" s="22" t="n">
        <f aca="false">100*(J49-J48)</f>
        <v>1.7384842029343</v>
      </c>
      <c r="K183" s="22" t="n">
        <f aca="false">100*(K49-K48)</f>
        <v>1.94130690661418</v>
      </c>
      <c r="L183" s="22" t="n">
        <f aca="false">100*(L49-L48)</f>
        <v>2.13491502528429</v>
      </c>
      <c r="M183" s="22" t="n">
        <f aca="false">100*(M49-M48)</f>
        <v>3.40639349357157</v>
      </c>
      <c r="N183" s="22" t="n">
        <f aca="false">100*(N49-N48)</f>
        <v>3.44358256204442</v>
      </c>
      <c r="O183" s="22" t="n">
        <f aca="false">100*(O49-O48)</f>
        <v>3.47932019554689</v>
      </c>
      <c r="P183" s="22" t="n">
        <f aca="false">100*(P49-P48)</f>
        <v>3.51457617275237</v>
      </c>
      <c r="Q183" s="22" t="n">
        <f aca="false">100*(Q49-Q48)</f>
        <v>3.55018489779617</v>
      </c>
      <c r="R183" s="22" t="n">
        <f aca="false">100*(R49-R48)</f>
        <v>3.58680942380696</v>
      </c>
      <c r="S183" s="22" t="n">
        <f aca="false">100*(S49-S48)</f>
        <v>3.6249089973567</v>
      </c>
      <c r="T183" s="22" t="n">
        <f aca="false">100*(T49-T48)</f>
        <v>3.66476468398478</v>
      </c>
      <c r="U183" s="22" t="n">
        <f aca="false">100*(U49-U48)</f>
        <v>3.70650557329153</v>
      </c>
      <c r="V183" s="22" t="n">
        <f aca="false">100*(V49-V48)</f>
        <v>3.75013047679404</v>
      </c>
      <c r="W183" s="22" t="n">
        <f aca="false">100*(W49-W48)</f>
        <v>3.79552773500196</v>
      </c>
      <c r="X183" s="22" t="n">
        <f aca="false">100*(X49-X48)</f>
        <v>3.84251200381458</v>
      </c>
      <c r="Y183" s="22" t="n">
        <f aca="false">100*(Y49-Y48)</f>
        <v>3.89085630808221</v>
      </c>
      <c r="Z183" s="22" t="n">
        <f aca="false">100*(Z49-Z48)</f>
        <v>3.94031683420026</v>
      </c>
      <c r="AA183" s="22" t="n">
        <f aca="false">100*(AA49-AA48)</f>
        <v>3.99064493048682</v>
      </c>
      <c r="AB183" s="22" t="n">
        <f aca="false">100*(AB49-AB48)</f>
        <v>4.04158806119375</v>
      </c>
      <c r="AC183" s="22" t="n">
        <f aca="false">100*(AC49-AC48)</f>
        <v>4.09289312049603</v>
      </c>
      <c r="AD183" s="22" t="n">
        <f aca="false">100*(AD49-AD48)</f>
        <v>4.14432364205277</v>
      </c>
      <c r="AE183" s="22" t="n">
        <f aca="false">100*(AE49-AE48)</f>
        <v>4.19566846851724</v>
      </c>
      <c r="AF183" s="22" t="n">
        <f aca="false">100*(AF49-AF48)</f>
        <v>4.24673893758341</v>
      </c>
      <c r="AG183" s="22" t="n">
        <f aca="false">100*(AG49-AG48)</f>
        <v>4.29736122999325</v>
      </c>
      <c r="AH183" s="22" t="n">
        <f aca="false">100*(AH49-AH48)</f>
        <v>4.34737057439953</v>
      </c>
      <c r="AI183" s="22" t="n">
        <f aca="false">100*(AI49-AI48)</f>
        <v>4.39661005295644</v>
      </c>
      <c r="AJ183" s="22" t="n">
        <f aca="false">100*(AJ49-AJ48)</f>
        <v>4.44492961874241</v>
      </c>
      <c r="AK183" s="22" t="n">
        <f aca="false">100*(AK49-AK48)</f>
        <v>4.49218176946733</v>
      </c>
      <c r="AL183" s="22" t="n">
        <f aca="false">AVERAGE(C183:AK183)</f>
        <v>3.15420842489055</v>
      </c>
    </row>
    <row r="184" customFormat="false" ht="15" hidden="false" customHeight="false" outlineLevel="0" collapsed="false">
      <c r="A184" s="20" t="n">
        <f aca="false">A50</f>
        <v>-75</v>
      </c>
      <c r="B184" s="21" t="n">
        <f aca="false">B50</f>
        <v>40366</v>
      </c>
      <c r="C184" s="22" t="n">
        <f aca="false">100*(C50-C49)</f>
        <v>1.83506180552444</v>
      </c>
      <c r="D184" s="22" t="n">
        <f aca="false">100*(D50-D49)</f>
        <v>1.78765117137141</v>
      </c>
      <c r="E184" s="22" t="n">
        <f aca="false">100*(E50-E49)</f>
        <v>1.63544989573758</v>
      </c>
      <c r="F184" s="22" t="n">
        <f aca="false">100*(F50-F49)</f>
        <v>1.46227449723499</v>
      </c>
      <c r="G184" s="22" t="n">
        <f aca="false">100*(G50-G49)</f>
        <v>1.30500006710932</v>
      </c>
      <c r="H184" s="22" t="n">
        <f aca="false">100*(H50-H49)</f>
        <v>1.17709462640661</v>
      </c>
      <c r="I184" s="22" t="n">
        <f aca="false">100*(I50-I49)</f>
        <v>1.08102612318608</v>
      </c>
      <c r="J184" s="22" t="n">
        <f aca="false">100*(J50-J49)</f>
        <v>1.01435320790881</v>
      </c>
      <c r="K184" s="22" t="n">
        <f aca="false">100*(K50-K49)</f>
        <v>0.9729504909469</v>
      </c>
      <c r="L184" s="22" t="n">
        <f aca="false">100*(L50-L49)</f>
        <v>0.9525475348374</v>
      </c>
      <c r="M184" s="22" t="n">
        <f aca="false">100*(M50-M49)</f>
        <v>1.42094689420715</v>
      </c>
      <c r="N184" s="22" t="n">
        <f aca="false">100*(N50-N49)</f>
        <v>1.4739495790173</v>
      </c>
      <c r="O184" s="22" t="n">
        <f aca="false">100*(O50-O49)</f>
        <v>1.52744582960596</v>
      </c>
      <c r="P184" s="22" t="n">
        <f aca="false">100*(P50-P49)</f>
        <v>1.58130005507973</v>
      </c>
      <c r="Q184" s="22" t="n">
        <f aca="false">100*(Q50-Q49)</f>
        <v>1.63539020246581</v>
      </c>
      <c r="R184" s="22" t="n">
        <f aca="false">100*(R50-R49)</f>
        <v>1.6895932276725</v>
      </c>
      <c r="S184" s="22" t="n">
        <f aca="false">100*(S50-S49)</f>
        <v>1.74378339486383</v>
      </c>
      <c r="T184" s="22" t="n">
        <f aca="false">100*(T50-T49)</f>
        <v>1.79783449621995</v>
      </c>
      <c r="U184" s="22" t="n">
        <f aca="false">100*(U50-U49)</f>
        <v>1.85161992387659</v>
      </c>
      <c r="V184" s="22" t="n">
        <f aca="false">100*(V50-V49)</f>
        <v>1.9050127117624</v>
      </c>
      <c r="W184" s="22" t="n">
        <f aca="false">100*(W50-W49)</f>
        <v>1.95788599088669</v>
      </c>
      <c r="X184" s="22" t="n">
        <f aca="false">100*(X50-X49)</f>
        <v>2.01012711053412</v>
      </c>
      <c r="Y184" s="22" t="n">
        <f aca="false">100*(Y50-Y49)</f>
        <v>2.06164962008808</v>
      </c>
      <c r="Z184" s="22" t="n">
        <f aca="false">100*(Z50-Z49)</f>
        <v>2.1123881427461</v>
      </c>
      <c r="AA184" s="22" t="n">
        <f aca="false">100*(AA50-AA49)</f>
        <v>2.16229328677198</v>
      </c>
      <c r="AB184" s="22" t="n">
        <f aca="false">100*(AB50-AB49)</f>
        <v>2.21132953392704</v>
      </c>
      <c r="AC184" s="22" t="n">
        <f aca="false">100*(AC50-AC49)</f>
        <v>2.25947307094101</v>
      </c>
      <c r="AD184" s="22" t="n">
        <f aca="false">100*(AD50-AD49)</f>
        <v>2.30670836057554</v>
      </c>
      <c r="AE184" s="22" t="n">
        <f aca="false">100*(AE50-AE49)</f>
        <v>2.35302641113098</v>
      </c>
      <c r="AF184" s="22" t="n">
        <f aca="false">100*(AF50-AF49)</f>
        <v>2.39842355841216</v>
      </c>
      <c r="AG184" s="22" t="n">
        <f aca="false">100*(AG50-AG49)</f>
        <v>2.44289576947532</v>
      </c>
      <c r="AH184" s="22" t="n">
        <f aca="false">100*(AH50-AH49)</f>
        <v>2.48643460059128</v>
      </c>
      <c r="AI184" s="22" t="n">
        <f aca="false">100*(AI50-AI49)</f>
        <v>2.52902741776486</v>
      </c>
      <c r="AJ184" s="22" t="n">
        <f aca="false">100*(AJ50-AJ49)</f>
        <v>2.57065774976608</v>
      </c>
      <c r="AK184" s="22" t="n">
        <f aca="false">100*(AK50-AK49)</f>
        <v>2.61130318576681</v>
      </c>
      <c r="AL184" s="22" t="n">
        <f aca="false">AVERAGE(C184:AK184)</f>
        <v>1.83782598698322</v>
      </c>
    </row>
    <row r="185" customFormat="false" ht="15" hidden="false" customHeight="false" outlineLevel="0" collapsed="false">
      <c r="A185" s="20" t="n">
        <f aca="false">A51</f>
        <v>-74</v>
      </c>
      <c r="B185" s="21" t="n">
        <f aca="false">B51</f>
        <v>40367</v>
      </c>
      <c r="C185" s="22" t="n">
        <f aca="false">100*(C51-C50)</f>
        <v>0.514092374233155</v>
      </c>
      <c r="D185" s="22" t="n">
        <f aca="false">100*(D51-D50)</f>
        <v>0.557718316209499</v>
      </c>
      <c r="E185" s="22" t="n">
        <f aca="false">100*(E51-E50)</f>
        <v>0.621425416231713</v>
      </c>
      <c r="F185" s="22" t="n">
        <f aca="false">100*(F51-F50)</f>
        <v>0.687783202516901</v>
      </c>
      <c r="G185" s="22" t="n">
        <f aca="false">100*(G51-G50)</f>
        <v>0.747966095343688</v>
      </c>
      <c r="H185" s="22" t="n">
        <f aca="false">100*(H51-H50)</f>
        <v>0.797906251972913</v>
      </c>
      <c r="I185" s="22" t="n">
        <f aca="false">100*(I51-I50)</f>
        <v>0.836189564437539</v>
      </c>
      <c r="J185" s="22" t="n">
        <f aca="false">100*(J51-J50)</f>
        <v>0.8632686712299</v>
      </c>
      <c r="K185" s="22" t="n">
        <f aca="false">100*(K51-K50)</f>
        <v>0.880849363522218</v>
      </c>
      <c r="L185" s="22" t="n">
        <f aca="false">100*(L51-L50)</f>
        <v>0.891290258145006</v>
      </c>
      <c r="M185" s="22" t="n">
        <f aca="false">100*(M51-M50)</f>
        <v>0.993653023246832</v>
      </c>
      <c r="N185" s="22" t="n">
        <f aca="false">100*(N51-N50)</f>
        <v>1.02098019911026</v>
      </c>
      <c r="O185" s="22" t="n">
        <f aca="false">100*(O51-O50)</f>
        <v>1.05330341452046</v>
      </c>
      <c r="P185" s="22" t="n">
        <f aca="false">100*(P51-P50)</f>
        <v>1.09077212036155</v>
      </c>
      <c r="Q185" s="22" t="n">
        <f aca="false">100*(Q51-Q50)</f>
        <v>1.13344834156583</v>
      </c>
      <c r="R185" s="22" t="n">
        <f aca="false">100*(R51-R50)</f>
        <v>1.18128096020529</v>
      </c>
      <c r="S185" s="22" t="n">
        <f aca="false">100*(S51-S50)</f>
        <v>1.23408840110555</v>
      </c>
      <c r="T185" s="22" t="n">
        <f aca="false">100*(T51-T50)</f>
        <v>1.29157627910343</v>
      </c>
      <c r="U185" s="22" t="n">
        <f aca="false">100*(U51-U50)</f>
        <v>1.35335399065069</v>
      </c>
      <c r="V185" s="22" t="n">
        <f aca="false">100*(V51-V50)</f>
        <v>1.41894845165504</v>
      </c>
      <c r="W185" s="22" t="n">
        <f aca="false">100*(W51-W50)</f>
        <v>1.48782126151801</v>
      </c>
      <c r="X185" s="22" t="n">
        <f aca="false">100*(X51-X50)</f>
        <v>1.5594203875219</v>
      </c>
      <c r="Y185" s="22" t="n">
        <f aca="false">100*(Y51-Y50)</f>
        <v>1.63321345112877</v>
      </c>
      <c r="Z185" s="22" t="n">
        <f aca="false">100*(Z51-Z50)</f>
        <v>1.70869263552298</v>
      </c>
      <c r="AA185" s="22" t="n">
        <f aca="false">100*(AA51-AA50)</f>
        <v>1.78537409601924</v>
      </c>
      <c r="AB185" s="22" t="n">
        <f aca="false">100*(AB51-AB50)</f>
        <v>1.86279508208012</v>
      </c>
      <c r="AC185" s="22" t="n">
        <f aca="false">100*(AC51-AC50)</f>
        <v>1.94051391015053</v>
      </c>
      <c r="AD185" s="22" t="n">
        <f aca="false">100*(AD51-AD50)</f>
        <v>2.01812197732449</v>
      </c>
      <c r="AE185" s="22" t="n">
        <f aca="false">100*(AE51-AE50)</f>
        <v>2.09524868008604</v>
      </c>
      <c r="AF185" s="22" t="n">
        <f aca="false">100*(AF51-AF50)</f>
        <v>2.17155799051492</v>
      </c>
      <c r="AG185" s="22" t="n">
        <f aca="false">100*(AG51-AG50)</f>
        <v>2.24674447255504</v>
      </c>
      <c r="AH185" s="22" t="n">
        <f aca="false">100*(AH51-AH50)</f>
        <v>2.32052872764674</v>
      </c>
      <c r="AI185" s="22" t="n">
        <f aca="false">100*(AI51-AI50)</f>
        <v>2.39265455655184</v>
      </c>
      <c r="AJ185" s="22" t="n">
        <f aca="false">100*(AJ51-AJ50)</f>
        <v>2.46288697681605</v>
      </c>
      <c r="AK185" s="22" t="n">
        <f aca="false">100*(AK51-AK50)</f>
        <v>2.53101217694827</v>
      </c>
      <c r="AL185" s="22" t="n">
        <f aca="false">AVERAGE(C185:AK185)</f>
        <v>1.41104231650721</v>
      </c>
    </row>
    <row r="186" customFormat="false" ht="15" hidden="false" customHeight="false" outlineLevel="0" collapsed="false">
      <c r="A186" s="20" t="n">
        <f aca="false">A52</f>
        <v>-73</v>
      </c>
      <c r="B186" s="21" t="n">
        <f aca="false">B52</f>
        <v>40368</v>
      </c>
      <c r="C186" s="22" t="n">
        <f aca="false">100*(C52-C51)</f>
        <v>-3.54573103409084</v>
      </c>
      <c r="D186" s="22" t="n">
        <f aca="false">100*(D52-D51)</f>
        <v>-3.84884564340191</v>
      </c>
      <c r="E186" s="22" t="n">
        <f aca="false">100*(E52-E51)</f>
        <v>-3.9948270344077</v>
      </c>
      <c r="F186" s="22" t="n">
        <f aca="false">100*(F52-F51)</f>
        <v>-4.06091432710689</v>
      </c>
      <c r="G186" s="22" t="n">
        <f aca="false">100*(G52-G51)</f>
        <v>-4.0882066689663</v>
      </c>
      <c r="H186" s="22" t="n">
        <f aca="false">100*(H52-H51)</f>
        <v>-4.09747979243962</v>
      </c>
      <c r="I186" s="22" t="n">
        <f aca="false">100*(I52-I51)</f>
        <v>-4.09929203015862</v>
      </c>
      <c r="J186" s="22" t="n">
        <f aca="false">100*(J52-J51)</f>
        <v>-4.0983123498517</v>
      </c>
      <c r="K186" s="22" t="n">
        <f aca="false">100*(K52-K51)</f>
        <v>-4.09608253855369</v>
      </c>
      <c r="L186" s="22" t="n">
        <f aca="false">100*(L52-L51)</f>
        <v>-4.0924968051463</v>
      </c>
      <c r="M186" s="22" t="n">
        <f aca="false">100*(M52-M51)</f>
        <v>-3.60029226249865</v>
      </c>
      <c r="N186" s="22" t="n">
        <f aca="false">100*(N52-N51)</f>
        <v>-3.5227582175275</v>
      </c>
      <c r="O186" s="22" t="n">
        <f aca="false">100*(O52-O51)</f>
        <v>-3.44164509558818</v>
      </c>
      <c r="P186" s="22" t="n">
        <f aca="false">100*(P52-P51)</f>
        <v>-3.35766546855325</v>
      </c>
      <c r="Q186" s="22" t="n">
        <f aca="false">100*(Q52-Q51)</f>
        <v>-3.27155497225942</v>
      </c>
      <c r="R186" s="22" t="n">
        <f aca="false">100*(R52-R51)</f>
        <v>-3.18404362440017</v>
      </c>
      <c r="S186" s="22" t="n">
        <f aca="false">100*(S52-S51)</f>
        <v>-3.09578674176425</v>
      </c>
      <c r="T186" s="22" t="n">
        <f aca="false">100*(T52-T51)</f>
        <v>-3.00736228881231</v>
      </c>
      <c r="U186" s="22" t="n">
        <f aca="false">100*(U52-U51)</f>
        <v>-2.91928224767828</v>
      </c>
      <c r="V186" s="22" t="n">
        <f aca="false">100*(V52-V51)</f>
        <v>-2.8320020996115</v>
      </c>
      <c r="W186" s="22" t="n">
        <f aca="false">100*(W52-W51)</f>
        <v>-2.74593014981868</v>
      </c>
      <c r="X186" s="22" t="n">
        <f aca="false">100*(X52-X51)</f>
        <v>-2.66140909201136</v>
      </c>
      <c r="Y186" s="22" t="n">
        <f aca="false">100*(Y52-Y51)</f>
        <v>-2.57869483824589</v>
      </c>
      <c r="Z186" s="22" t="n">
        <f aca="false">100*(Z52-Z51)</f>
        <v>-2.49796939311349</v>
      </c>
      <c r="AA186" s="22" t="n">
        <f aca="false">100*(AA52-AA51)</f>
        <v>-2.41935483753917</v>
      </c>
      <c r="AB186" s="22" t="n">
        <f aca="false">100*(AB52-AB51)</f>
        <v>-2.34292099413818</v>
      </c>
      <c r="AC186" s="22" t="n">
        <f aca="false">100*(AC52-AC51)</f>
        <v>-2.26869304270174</v>
      </c>
      <c r="AD186" s="22" t="n">
        <f aca="false">100*(AD52-AD51)</f>
        <v>-2.1966621828577</v>
      </c>
      <c r="AE186" s="22" t="n">
        <f aca="false">100*(AE52-AE51)</f>
        <v>-2.12679158368481</v>
      </c>
      <c r="AF186" s="22" t="n">
        <f aca="false">100*(AF52-AF51)</f>
        <v>-2.05902058873182</v>
      </c>
      <c r="AG186" s="22" t="n">
        <f aca="false">100*(AG52-AG51)</f>
        <v>-1.99327990933291</v>
      </c>
      <c r="AH186" s="22" t="n">
        <f aca="false">100*(AH52-AH51)</f>
        <v>-1.92950269362226</v>
      </c>
      <c r="AI186" s="22" t="n">
        <f aca="false">100*(AI52-AI51)</f>
        <v>-1.86762485582355</v>
      </c>
      <c r="AJ186" s="22" t="n">
        <f aca="false">100*(AJ52-AJ51)</f>
        <v>-1.807584715608</v>
      </c>
      <c r="AK186" s="22" t="n">
        <f aca="false">100*(AK52-AK51)</f>
        <v>-1.7493271101741</v>
      </c>
      <c r="AL186" s="22" t="n">
        <f aca="false">AVERAGE(C186:AK186)</f>
        <v>-3.01426706372059</v>
      </c>
    </row>
    <row r="187" customFormat="false" ht="15" hidden="false" customHeight="false" outlineLevel="0" collapsed="false">
      <c r="A187" s="20" t="n">
        <f aca="false">A53</f>
        <v>-72</v>
      </c>
      <c r="B187" s="21" t="n">
        <f aca="false">B53</f>
        <v>40371</v>
      </c>
      <c r="C187" s="22" t="n">
        <f aca="false">100*(C53-C52)</f>
        <v>0.813264916164924</v>
      </c>
      <c r="D187" s="22" t="n">
        <f aca="false">100*(D53-D52)</f>
        <v>0.834465426058606</v>
      </c>
      <c r="E187" s="22" t="n">
        <f aca="false">100*(E53-E52)</f>
        <v>0.819063130780084</v>
      </c>
      <c r="F187" s="22" t="n">
        <f aca="false">100*(F53-F52)</f>
        <v>0.785411795929392</v>
      </c>
      <c r="G187" s="22" t="n">
        <f aca="false">100*(G53-G52)</f>
        <v>0.744387237414013</v>
      </c>
      <c r="H187" s="22" t="n">
        <f aca="false">100*(H53-H52)</f>
        <v>0.702034812313501</v>
      </c>
      <c r="I187" s="22" t="n">
        <f aca="false">100*(I53-I52)</f>
        <v>0.661570161936487</v>
      </c>
      <c r="J187" s="22" t="n">
        <f aca="false">100*(J53-J52)</f>
        <v>0.624820534134196</v>
      </c>
      <c r="K187" s="22" t="n">
        <f aca="false">100*(K53-K52)</f>
        <v>0.592757845740977</v>
      </c>
      <c r="L187" s="22" t="n">
        <f aca="false">100*(L53-L52)</f>
        <v>0.565959029867891</v>
      </c>
      <c r="M187" s="22" t="n">
        <f aca="false">100*(M53-M52)</f>
        <v>0.760477554929784</v>
      </c>
      <c r="N187" s="22" t="n">
        <f aca="false">100*(N53-N52)</f>
        <v>0.809805484704285</v>
      </c>
      <c r="O187" s="22" t="n">
        <f aca="false">100*(O53-O52)</f>
        <v>0.862103928227054</v>
      </c>
      <c r="P187" s="22" t="n">
        <f aca="false">100*(P53-P52)</f>
        <v>0.916910480529154</v>
      </c>
      <c r="Q187" s="22" t="n">
        <f aca="false">100*(Q53-Q52)</f>
        <v>0.973754949052541</v>
      </c>
      <c r="R187" s="22" t="n">
        <f aca="false">100*(R53-R52)</f>
        <v>1.03216699530151</v>
      </c>
      <c r="S187" s="22" t="n">
        <f aca="false">100*(S53-S52)</f>
        <v>1.09169646007139</v>
      </c>
      <c r="T187" s="22" t="n">
        <f aca="false">100*(T53-T52)</f>
        <v>1.15191441936577</v>
      </c>
      <c r="U187" s="22" t="n">
        <f aca="false">100*(U53-U52)</f>
        <v>1.21241006274309</v>
      </c>
      <c r="V187" s="22" t="n">
        <f aca="false">100*(V53-V52)</f>
        <v>1.27278808878888</v>
      </c>
      <c r="W187" s="22" t="n">
        <f aca="false">100*(W53-W52)</f>
        <v>1.33266770221354</v>
      </c>
      <c r="X187" s="22" t="n">
        <f aca="false">100*(X53-X52)</f>
        <v>1.39169721049655</v>
      </c>
      <c r="Y187" s="22" t="n">
        <f aca="false">100*(Y53-Y52)</f>
        <v>1.44956627998578</v>
      </c>
      <c r="Z187" s="22" t="n">
        <f aca="false">100*(Z53-Z52)</f>
        <v>1.50601052683044</v>
      </c>
      <c r="AA187" s="22" t="n">
        <f aca="false">100*(AA53-AA52)</f>
        <v>1.56080987278697</v>
      </c>
      <c r="AB187" s="22" t="n">
        <f aca="false">100*(AB53-AB52)</f>
        <v>1.6137832447825</v>
      </c>
      <c r="AC187" s="22" t="n">
        <f aca="false">100*(AC53-AC52)</f>
        <v>1.66478602229363</v>
      </c>
      <c r="AD187" s="22" t="n">
        <f aca="false">100*(AD53-AD52)</f>
        <v>1.71371734779067</v>
      </c>
      <c r="AE187" s="22" t="n">
        <f aca="false">100*(AE53-AE52)</f>
        <v>1.76052177713002</v>
      </c>
      <c r="AF187" s="22" t="n">
        <f aca="false">100*(AF53-AF52)</f>
        <v>1.80518341553517</v>
      </c>
      <c r="AG187" s="22" t="n">
        <f aca="false">100*(AG53-AG52)</f>
        <v>1.84771396493666</v>
      </c>
      <c r="AH187" s="22" t="n">
        <f aca="false">100*(AH53-AH52)</f>
        <v>1.88814472197416</v>
      </c>
      <c r="AI187" s="22" t="n">
        <f aca="false">100*(AI53-AI52)</f>
        <v>1.92652429561235</v>
      </c>
      <c r="AJ187" s="22" t="n">
        <f aca="false">100*(AJ53-AJ52)</f>
        <v>1.96291651832015</v>
      </c>
      <c r="AK187" s="22" t="n">
        <f aca="false">100*(AK53-AK52)</f>
        <v>1.99739430491723</v>
      </c>
      <c r="AL187" s="22" t="n">
        <f aca="false">AVERAGE(C187:AK187)</f>
        <v>1.21854858627598</v>
      </c>
    </row>
    <row r="188" customFormat="false" ht="15" hidden="false" customHeight="false" outlineLevel="0" collapsed="false">
      <c r="A188" s="20" t="n">
        <f aca="false">A54</f>
        <v>-71</v>
      </c>
      <c r="B188" s="21" t="n">
        <f aca="false">B54</f>
        <v>40372</v>
      </c>
      <c r="C188" s="22" t="n">
        <f aca="false">100*(C54-C53)</f>
        <v>3.05256049239541</v>
      </c>
      <c r="D188" s="22" t="n">
        <f aca="false">100*(D54-D53)</f>
        <v>3.4369214435908</v>
      </c>
      <c r="E188" s="22" t="n">
        <f aca="false">100*(E54-E53)</f>
        <v>3.76914409106621</v>
      </c>
      <c r="F188" s="22" t="n">
        <f aca="false">100*(F54-F53)</f>
        <v>4.04173109808912</v>
      </c>
      <c r="G188" s="22" t="n">
        <f aca="false">100*(G54-G53)</f>
        <v>4.2477321924443</v>
      </c>
      <c r="H188" s="22" t="n">
        <f aca="false">100*(H54-H53)</f>
        <v>4.38741564604119</v>
      </c>
      <c r="I188" s="22" t="n">
        <f aca="false">100*(I54-I53)</f>
        <v>4.46859001412481</v>
      </c>
      <c r="J188" s="22" t="n">
        <f aca="false">100*(J54-J53)</f>
        <v>4.5042773325795</v>
      </c>
      <c r="K188" s="22" t="n">
        <f aca="false">100*(K54-K53)</f>
        <v>4.5078421925385</v>
      </c>
      <c r="L188" s="22" t="n">
        <f aca="false">100*(L54-L53)</f>
        <v>4.4891738201799</v>
      </c>
      <c r="M188" s="22" t="n">
        <f aca="false">100*(M54-M53)</f>
        <v>3.60945565633699</v>
      </c>
      <c r="N188" s="22" t="n">
        <f aca="false">100*(N54-N53)</f>
        <v>3.50416948848578</v>
      </c>
      <c r="O188" s="22" t="n">
        <f aca="false">100*(O54-O53)</f>
        <v>3.39508276003961</v>
      </c>
      <c r="P188" s="22" t="n">
        <f aca="false">100*(P54-P53)</f>
        <v>3.2828245304513</v>
      </c>
      <c r="Q188" s="22" t="n">
        <f aca="false">100*(Q54-Q53)</f>
        <v>3.16805166590344</v>
      </c>
      <c r="R188" s="22" t="n">
        <f aca="false">100*(R54-R53)</f>
        <v>3.05139524534104</v>
      </c>
      <c r="S188" s="22" t="n">
        <f aca="false">100*(S54-S53)</f>
        <v>2.93342109911938</v>
      </c>
      <c r="T188" s="22" t="n">
        <f aca="false">100*(T54-T53)</f>
        <v>2.81463673247657</v>
      </c>
      <c r="U188" s="22" t="n">
        <f aca="false">100*(U54-U53)</f>
        <v>2.69549990352918</v>
      </c>
      <c r="V188" s="22" t="n">
        <f aca="false">100*(V54-V53)</f>
        <v>2.57642568435053</v>
      </c>
      <c r="W188" s="22" t="n">
        <f aca="false">100*(W54-W53)</f>
        <v>2.45778071137286</v>
      </c>
      <c r="X188" s="22" t="n">
        <f aca="false">100*(X54-X53)</f>
        <v>2.33984057180416</v>
      </c>
      <c r="Y188" s="22" t="n">
        <f aca="false">100*(Y54-Y53)</f>
        <v>2.22278483633911</v>
      </c>
      <c r="Z188" s="22" t="n">
        <f aca="false">100*(Z54-Z53)</f>
        <v>2.10673023066263</v>
      </c>
      <c r="AA188" s="22" t="n">
        <f aca="false">100*(AA54-AA53)</f>
        <v>1.99174907251498</v>
      </c>
      <c r="AB188" s="22" t="n">
        <f aca="false">100*(AB54-AB53)</f>
        <v>1.87787502153292</v>
      </c>
      <c r="AC188" s="22" t="n">
        <f aca="false">100*(AC54-AC53)</f>
        <v>1.76511032212643</v>
      </c>
      <c r="AD188" s="22" t="n">
        <f aca="false">100*(AD54-AD53)</f>
        <v>1.6534435080243</v>
      </c>
      <c r="AE188" s="22" t="n">
        <f aca="false">100*(AE54-AE53)</f>
        <v>1.54285879657969</v>
      </c>
      <c r="AF188" s="22" t="n">
        <f aca="false">100*(AF54-AF53)</f>
        <v>1.43334381929048</v>
      </c>
      <c r="AG188" s="22" t="n">
        <f aca="false">100*(AG54-AG53)</f>
        <v>1.3249212862056</v>
      </c>
      <c r="AH188" s="22" t="n">
        <f aca="false">100*(AH54-AH53)</f>
        <v>1.21766091677058</v>
      </c>
      <c r="AI188" s="22" t="n">
        <f aca="false">100*(AI54-AI53)</f>
        <v>1.11167501956135</v>
      </c>
      <c r="AJ188" s="22" t="n">
        <f aca="false">100*(AJ54-AJ53)</f>
        <v>1.00711620362874</v>
      </c>
      <c r="AK188" s="22" t="n">
        <f aca="false">100*(AK54-AK53)</f>
        <v>0.904190466867405</v>
      </c>
      <c r="AL188" s="22" t="n">
        <f aca="false">AVERAGE(C188:AK188)</f>
        <v>2.76838376778185</v>
      </c>
    </row>
    <row r="189" customFormat="false" ht="15" hidden="false" customHeight="false" outlineLevel="0" collapsed="false">
      <c r="A189" s="20" t="n">
        <f aca="false">A55</f>
        <v>-70</v>
      </c>
      <c r="B189" s="21" t="n">
        <f aca="false">B55</f>
        <v>40373</v>
      </c>
      <c r="C189" s="22" t="n">
        <f aca="false">100*(C55-C54)</f>
        <v>2.16899072959986</v>
      </c>
      <c r="D189" s="22" t="n">
        <f aca="false">100*(D55-D54)</f>
        <v>2.40524685327941</v>
      </c>
      <c r="E189" s="22" t="n">
        <f aca="false">100*(E55-E54)</f>
        <v>2.55776894956801</v>
      </c>
      <c r="F189" s="22" t="n">
        <f aca="false">100*(F55-F54)</f>
        <v>2.65453434325178</v>
      </c>
      <c r="G189" s="22" t="n">
        <f aca="false">100*(G55-G54)</f>
        <v>2.70999177978679</v>
      </c>
      <c r="H189" s="22" t="n">
        <f aca="false">100*(H55-H54)</f>
        <v>2.73328395805592</v>
      </c>
      <c r="I189" s="22" t="n">
        <f aca="false">100*(I55-I54)</f>
        <v>2.73165665686199</v>
      </c>
      <c r="J189" s="22" t="n">
        <f aca="false">100*(J55-J54)</f>
        <v>2.71170905711862</v>
      </c>
      <c r="K189" s="22" t="n">
        <f aca="false">100*(K55-K54)</f>
        <v>2.6795318406649</v>
      </c>
      <c r="L189" s="22" t="n">
        <f aca="false">100*(L55-L54)</f>
        <v>2.64116688934561</v>
      </c>
      <c r="M189" s="22" t="n">
        <f aca="false">100*(M55-M54)</f>
        <v>2.70645101836866</v>
      </c>
      <c r="N189" s="22" t="n">
        <f aca="false">100*(N55-N54)</f>
        <v>2.74106136497663</v>
      </c>
      <c r="O189" s="22" t="n">
        <f aca="false">100*(O55-O54)</f>
        <v>2.77288338810884</v>
      </c>
      <c r="P189" s="22" t="n">
        <f aca="false">100*(P55-P54)</f>
        <v>2.80079138920035</v>
      </c>
      <c r="Q189" s="22" t="n">
        <f aca="false">100*(Q55-Q54)</f>
        <v>2.82377694385714</v>
      </c>
      <c r="R189" s="22" t="n">
        <f aca="false">100*(R55-R54)</f>
        <v>2.84099475052892</v>
      </c>
      <c r="S189" s="22" t="n">
        <f aca="false">100*(S55-S54)</f>
        <v>2.85182352332045</v>
      </c>
      <c r="T189" s="22" t="n">
        <f aca="false">100*(T55-T54)</f>
        <v>2.85584321488948</v>
      </c>
      <c r="U189" s="22" t="n">
        <f aca="false">100*(U55-U54)</f>
        <v>2.8528054234668</v>
      </c>
      <c r="V189" s="22" t="n">
        <f aca="false">100*(V55-V54)</f>
        <v>2.84260884333616</v>
      </c>
      <c r="W189" s="22" t="n">
        <f aca="false">100*(W55-W54)</f>
        <v>2.82527613505588</v>
      </c>
      <c r="X189" s="22" t="n">
        <f aca="false">100*(X55-X54)</f>
        <v>2.80093459923263</v>
      </c>
      <c r="Y189" s="22" t="n">
        <f aca="false">100*(Y55-Y54)</f>
        <v>2.7698043883615</v>
      </c>
      <c r="Z189" s="22" t="n">
        <f aca="false">100*(Z55-Z54)</f>
        <v>2.73217596479576</v>
      </c>
      <c r="AA189" s="22" t="n">
        <f aca="false">100*(AA55-AA54)</f>
        <v>2.68839443778184</v>
      </c>
      <c r="AB189" s="22" t="n">
        <f aca="false">100*(AB55-AB54)</f>
        <v>2.63885258528074</v>
      </c>
      <c r="AC189" s="22" t="n">
        <f aca="false">100*(AC55-AC54)</f>
        <v>2.58398226273755</v>
      </c>
      <c r="AD189" s="22" t="n">
        <f aca="false">100*(AD55-AD54)</f>
        <v>2.52423548988379</v>
      </c>
      <c r="AE189" s="22" t="n">
        <f aca="false">100*(AE55-AE54)</f>
        <v>2.46007468801643</v>
      </c>
      <c r="AF189" s="22" t="n">
        <f aca="false">100*(AF55-AF54)</f>
        <v>2.39197020611517</v>
      </c>
      <c r="AG189" s="22" t="n">
        <f aca="false">100*(AG55-AG54)</f>
        <v>2.32039174533778</v>
      </c>
      <c r="AH189" s="22" t="n">
        <f aca="false">100*(AH55-AH54)</f>
        <v>2.24580329835531</v>
      </c>
      <c r="AI189" s="22" t="n">
        <f aca="false">100*(AI55-AI54)</f>
        <v>2.16866350201395</v>
      </c>
      <c r="AJ189" s="22" t="n">
        <f aca="false">100*(AJ55-AJ54)</f>
        <v>2.08942571943638</v>
      </c>
      <c r="AK189" s="22" t="n">
        <f aca="false">100*(AK55-AK54)</f>
        <v>2.00853258551241</v>
      </c>
      <c r="AL189" s="22" t="n">
        <f aca="false">AVERAGE(C189:AK189)</f>
        <v>2.60946967215724</v>
      </c>
    </row>
    <row r="190" customFormat="false" ht="15" hidden="false" customHeight="false" outlineLevel="0" collapsed="false">
      <c r="A190" s="20" t="n">
        <f aca="false">A56</f>
        <v>-69</v>
      </c>
      <c r="B190" s="21" t="n">
        <f aca="false">B56</f>
        <v>40374</v>
      </c>
      <c r="C190" s="22" t="n">
        <f aca="false">100*(C56-C55)</f>
        <v>-1.4069852752663</v>
      </c>
      <c r="D190" s="22" t="n">
        <f aca="false">100*(D56-D55)</f>
        <v>-1.56337410834662</v>
      </c>
      <c r="E190" s="22" t="n">
        <f aca="false">100*(E56-E55)</f>
        <v>-1.65423933530262</v>
      </c>
      <c r="F190" s="22" t="n">
        <f aca="false">100*(F56-F55)</f>
        <v>-1.72363163164548</v>
      </c>
      <c r="G190" s="22" t="n">
        <f aca="false">100*(G56-G55)</f>
        <v>-1.7885265203015</v>
      </c>
      <c r="H190" s="22" t="n">
        <f aca="false">100*(H56-H55)</f>
        <v>-1.85397435500212</v>
      </c>
      <c r="I190" s="22" t="n">
        <f aca="false">100*(I56-I55)</f>
        <v>-1.91976483870149</v>
      </c>
      <c r="J190" s="22" t="n">
        <f aca="false">100*(J56-J55)</f>
        <v>-1.9832414296495</v>
      </c>
      <c r="K190" s="22" t="n">
        <f aca="false">100*(K56-K55)</f>
        <v>-2.04082138301511</v>
      </c>
      <c r="L190" s="22" t="n">
        <f aca="false">100*(L56-L55)</f>
        <v>-2.08849394328792</v>
      </c>
      <c r="M190" s="22" t="n">
        <f aca="false">100*(M56-M55)</f>
        <v>-1.41223548798823</v>
      </c>
      <c r="N190" s="22" t="n">
        <f aca="false">100*(N56-N55)</f>
        <v>-1.31793816051742</v>
      </c>
      <c r="O190" s="22" t="n">
        <f aca="false">100*(O56-O55)</f>
        <v>-1.22995398126609</v>
      </c>
      <c r="P190" s="22" t="n">
        <f aca="false">100*(P56-P55)</f>
        <v>-1.15014797574355</v>
      </c>
      <c r="Q190" s="22" t="n">
        <f aca="false">100*(Q56-Q55)</f>
        <v>-1.08018269917487</v>
      </c>
      <c r="R190" s="22" t="n">
        <f aca="false">100*(R56-R55)</f>
        <v>-1.0214192823061</v>
      </c>
      <c r="S190" s="22" t="n">
        <f aca="false">100*(S56-S55)</f>
        <v>-0.974805369682041</v>
      </c>
      <c r="T190" s="22" t="n">
        <f aca="false">100*(T56-T55)</f>
        <v>-0.940919179265887</v>
      </c>
      <c r="U190" s="22" t="n">
        <f aca="false">100*(U56-U55)</f>
        <v>-0.920023829095751</v>
      </c>
      <c r="V190" s="22" t="n">
        <f aca="false">100*(V56-V55)</f>
        <v>-0.912112381664354</v>
      </c>
      <c r="W190" s="22" t="n">
        <f aca="false">100*(W56-W55)</f>
        <v>-0.91694792745658</v>
      </c>
      <c r="X190" s="22" t="n">
        <f aca="false">100*(X56-X55)</f>
        <v>-0.934096436975906</v>
      </c>
      <c r="Y190" s="22" t="n">
        <f aca="false">100*(Y56-Y55)</f>
        <v>-0.962953784334086</v>
      </c>
      <c r="Z190" s="22" t="n">
        <f aca="false">100*(Z56-Z55)</f>
        <v>-1.00279510716605</v>
      </c>
      <c r="AA190" s="22" t="n">
        <f aca="false">100*(AA56-AA55)</f>
        <v>-1.05280548375513</v>
      </c>
      <c r="AB190" s="22" t="n">
        <f aca="false">100*(AB56-AB55)</f>
        <v>-1.11209153537173</v>
      </c>
      <c r="AC190" s="22" t="n">
        <f aca="false">100*(AC56-AC55)</f>
        <v>-1.17969858134854</v>
      </c>
      <c r="AD190" s="22" t="n">
        <f aca="false">100*(AD56-AD55)</f>
        <v>-1.25465611608879</v>
      </c>
      <c r="AE190" s="22" t="n">
        <f aca="false">100*(AE56-AE55)</f>
        <v>-1.33599950158683</v>
      </c>
      <c r="AF190" s="22" t="n">
        <f aca="false">100*(AF56-AF55)</f>
        <v>-1.42277540867877</v>
      </c>
      <c r="AG190" s="22" t="n">
        <f aca="false">100*(AG56-AG55)</f>
        <v>-1.5140689380809</v>
      </c>
      <c r="AH190" s="22" t="n">
        <f aca="false">100*(AH56-AH55)</f>
        <v>-1.60901501949597</v>
      </c>
      <c r="AI190" s="22" t="n">
        <f aca="false">100*(AI56-AI55)</f>
        <v>-1.70679379463623</v>
      </c>
      <c r="AJ190" s="22" t="n">
        <f aca="false">100*(AJ56-AJ55)</f>
        <v>-1.806627938719</v>
      </c>
      <c r="AK190" s="22" t="n">
        <f aca="false">100*(AK56-AK55)</f>
        <v>-1.90779718853271</v>
      </c>
      <c r="AL190" s="22" t="n">
        <f aca="false">AVERAGE(C190:AK190)</f>
        <v>-1.39148325512715</v>
      </c>
    </row>
    <row r="191" customFormat="false" ht="15" hidden="false" customHeight="false" outlineLevel="0" collapsed="false">
      <c r="A191" s="20" t="n">
        <f aca="false">A57</f>
        <v>-68</v>
      </c>
      <c r="B191" s="21" t="n">
        <f aca="false">B57</f>
        <v>40375</v>
      </c>
      <c r="C191" s="22" t="n">
        <f aca="false">100*(C57-C56)</f>
        <v>-2.06782236330683</v>
      </c>
      <c r="D191" s="22" t="n">
        <f aca="false">100*(D57-D56)</f>
        <v>-2.29851070616389</v>
      </c>
      <c r="E191" s="22" t="n">
        <f aca="false">100*(E57-E56)</f>
        <v>-2.54140657064439</v>
      </c>
      <c r="F191" s="22" t="n">
        <f aca="false">100*(F57-F56)</f>
        <v>-2.77163219542671</v>
      </c>
      <c r="G191" s="22" t="n">
        <f aca="false">100*(G57-G56)</f>
        <v>-2.98186393997009</v>
      </c>
      <c r="H191" s="22" t="n">
        <f aca="false">100*(H57-H56)</f>
        <v>-3.16950467423389</v>
      </c>
      <c r="I191" s="22" t="n">
        <f aca="false">100*(I57-I56)</f>
        <v>-3.33309683776761</v>
      </c>
      <c r="J191" s="22" t="n">
        <f aca="false">100*(J57-J56)</f>
        <v>-3.4715972690202</v>
      </c>
      <c r="K191" s="22" t="n">
        <f aca="false">100*(K57-K56)</f>
        <v>-3.5847938155479</v>
      </c>
      <c r="L191" s="22" t="n">
        <f aca="false">100*(L57-L56)</f>
        <v>-3.67256036224028</v>
      </c>
      <c r="M191" s="22" t="n">
        <f aca="false">100*(M57-M56)</f>
        <v>-3.32001933778159</v>
      </c>
      <c r="N191" s="22" t="n">
        <f aca="false">100*(N57-N56)</f>
        <v>-3.25375591738766</v>
      </c>
      <c r="O191" s="22" t="n">
        <f aca="false">100*(O57-O56)</f>
        <v>-3.19158512232089</v>
      </c>
      <c r="P191" s="22" t="n">
        <f aca="false">100*(P57-P56)</f>
        <v>-3.13467355046759</v>
      </c>
      <c r="Q191" s="22" t="n">
        <f aca="false">100*(Q57-Q56)</f>
        <v>-3.08400569429015</v>
      </c>
      <c r="R191" s="22" t="n">
        <f aca="false">100*(R57-R56)</f>
        <v>-3.04030495415475</v>
      </c>
      <c r="S191" s="22" t="n">
        <f aca="false">100*(S57-S56)</f>
        <v>-3.00392712333766</v>
      </c>
      <c r="T191" s="22" t="n">
        <f aca="false">100*(T57-T56)</f>
        <v>-2.97489697295044</v>
      </c>
      <c r="U191" s="22" t="n">
        <f aca="false">100*(U57-U56)</f>
        <v>-2.9529569307412</v>
      </c>
      <c r="V191" s="22" t="n">
        <f aca="false">100*(V57-V56)</f>
        <v>-2.93760748385123</v>
      </c>
      <c r="W191" s="22" t="n">
        <f aca="false">100*(W57-W56)</f>
        <v>-2.92813748895364</v>
      </c>
      <c r="X191" s="22" t="n">
        <f aca="false">100*(X57-X56)</f>
        <v>-2.92360466900519</v>
      </c>
      <c r="Y191" s="22" t="n">
        <f aca="false">100*(Y57-Y56)</f>
        <v>-2.92284077082829</v>
      </c>
      <c r="Z191" s="22" t="n">
        <f aca="false">100*(Z57-Z56)</f>
        <v>-2.92454956691266</v>
      </c>
      <c r="AA191" s="22" t="n">
        <f aca="false">100*(AA57-AA56)</f>
        <v>-2.9273609857106</v>
      </c>
      <c r="AB191" s="22" t="n">
        <f aca="false">100*(AB57-AB56)</f>
        <v>-2.92984156846874</v>
      </c>
      <c r="AC191" s="22" t="n">
        <f aca="false">100*(AC57-AC56)</f>
        <v>-2.9305247538705</v>
      </c>
      <c r="AD191" s="22" t="n">
        <f aca="false">100*(AD57-AD56)</f>
        <v>-2.92802016476958</v>
      </c>
      <c r="AE191" s="22" t="n">
        <f aca="false">100*(AE57-AE56)</f>
        <v>-2.92105695916831</v>
      </c>
      <c r="AF191" s="22" t="n">
        <f aca="false">100*(AF57-AF56)</f>
        <v>-2.90849626781791</v>
      </c>
      <c r="AG191" s="22" t="n">
        <f aca="false">100*(AG57-AG56)</f>
        <v>-2.88943360512688</v>
      </c>
      <c r="AH191" s="22" t="n">
        <f aca="false">100*(AH57-AH56)</f>
        <v>-2.86323378039013</v>
      </c>
      <c r="AI191" s="22" t="n">
        <f aca="false">100*(AI57-AI56)</f>
        <v>-2.8295048449789</v>
      </c>
      <c r="AJ191" s="22" t="n">
        <f aca="false">100*(AJ57-AJ56)</f>
        <v>-2.78808412417177</v>
      </c>
      <c r="AK191" s="22" t="n">
        <f aca="false">100*(AK57-AK56)</f>
        <v>-2.73911091917034</v>
      </c>
      <c r="AL191" s="22" t="n">
        <f aca="false">AVERAGE(C191:AK191)</f>
        <v>-2.97543777974138</v>
      </c>
    </row>
    <row r="192" customFormat="false" ht="15" hidden="false" customHeight="false" outlineLevel="0" collapsed="false">
      <c r="A192" s="20" t="n">
        <f aca="false">A58</f>
        <v>-67</v>
      </c>
      <c r="B192" s="21" t="n">
        <f aca="false">B58</f>
        <v>40378</v>
      </c>
      <c r="C192" s="22" t="n">
        <f aca="false">100*(C58-C57)</f>
        <v>2.32625982483664</v>
      </c>
      <c r="D192" s="22" t="n">
        <f aca="false">100*(D58-D57)</f>
        <v>2.288113273943</v>
      </c>
      <c r="E192" s="22" t="n">
        <f aca="false">100*(E58-E57)</f>
        <v>2.21648847325351</v>
      </c>
      <c r="F192" s="22" t="n">
        <f aca="false">100*(F58-F57)</f>
        <v>2.13219692303341</v>
      </c>
      <c r="G192" s="22" t="n">
        <f aca="false">100*(G58-G57)</f>
        <v>2.0423458979135</v>
      </c>
      <c r="H192" s="22" t="n">
        <f aca="false">100*(H58-H57)</f>
        <v>1.95044479801978</v>
      </c>
      <c r="I192" s="22" t="n">
        <f aca="false">100*(I58-I57)</f>
        <v>1.8596361705427</v>
      </c>
      <c r="J192" s="22" t="n">
        <f aca="false">100*(J58-J57)</f>
        <v>1.7734188172176</v>
      </c>
      <c r="K192" s="22" t="n">
        <f aca="false">100*(K58-K57)</f>
        <v>1.69539904473952</v>
      </c>
      <c r="L192" s="22" t="n">
        <f aca="false">100*(L58-L57)</f>
        <v>1.62909187983398</v>
      </c>
      <c r="M192" s="22" t="n">
        <f aca="false">100*(M58-M57)</f>
        <v>2.15460027610437</v>
      </c>
      <c r="N192" s="22" t="n">
        <f aca="false">100*(N58-N57)</f>
        <v>2.2596481542883</v>
      </c>
      <c r="O192" s="22" t="n">
        <f aca="false">100*(O58-O57)</f>
        <v>2.3650704356875</v>
      </c>
      <c r="P192" s="22" t="n">
        <f aca="false">100*(P58-P57)</f>
        <v>2.46954540263218</v>
      </c>
      <c r="Q192" s="22" t="n">
        <f aca="false">100*(Q58-Q57)</f>
        <v>2.5718871665144</v>
      </c>
      <c r="R192" s="22" t="n">
        <f aca="false">100*(R58-R57)</f>
        <v>2.67108141399293</v>
      </c>
      <c r="S192" s="22" t="n">
        <f aca="false">100*(S58-S57)</f>
        <v>2.76632856588765</v>
      </c>
      <c r="T192" s="22" t="n">
        <f aca="false">100*(T58-T57)</f>
        <v>2.85701935736222</v>
      </c>
      <c r="U192" s="22" t="n">
        <f aca="false">100*(U58-U57)</f>
        <v>2.94270685066618</v>
      </c>
      <c r="V192" s="22" t="n">
        <f aca="false">100*(V58-V57)</f>
        <v>3.02308321259419</v>
      </c>
      <c r="W192" s="22" t="n">
        <f aca="false">100*(W58-W57)</f>
        <v>3.09795858639417</v>
      </c>
      <c r="X192" s="22" t="n">
        <f aca="false">100*(X58-X57)</f>
        <v>3.16724692541328</v>
      </c>
      <c r="Y192" s="22" t="n">
        <f aca="false">100*(Y58-Y57)</f>
        <v>3.23095630316201</v>
      </c>
      <c r="Z192" s="22" t="n">
        <f aca="false">100*(Z58-Z57)</f>
        <v>3.28916966327641</v>
      </c>
      <c r="AA192" s="22" t="n">
        <f aca="false">100*(AA58-AA57)</f>
        <v>3.34203138543412</v>
      </c>
      <c r="AB192" s="22" t="n">
        <f aca="false">100*(AB58-AB57)</f>
        <v>3.38973963063012</v>
      </c>
      <c r="AC192" s="22" t="n">
        <f aca="false">100*(AC58-AC57)</f>
        <v>3.43253676849429</v>
      </c>
      <c r="AD192" s="22" t="n">
        <f aca="false">100*(AD58-AD57)</f>
        <v>3.47069179533071</v>
      </c>
      <c r="AE192" s="22" t="n">
        <f aca="false">100*(AE58-AE57)</f>
        <v>3.50449219023306</v>
      </c>
      <c r="AF192" s="22" t="n">
        <f aca="false">100*(AF58-AF57)</f>
        <v>3.53423913371964</v>
      </c>
      <c r="AG192" s="22" t="n">
        <f aca="false">100*(AG58-AG57)</f>
        <v>3.56023364110936</v>
      </c>
      <c r="AH192" s="22" t="n">
        <f aca="false">100*(AH58-AH57)</f>
        <v>3.58277039340917</v>
      </c>
      <c r="AI192" s="22" t="n">
        <f aca="false">100*(AI58-AI57)</f>
        <v>3.60213819967372</v>
      </c>
      <c r="AJ192" s="22" t="n">
        <f aca="false">100*(AJ58-AJ57)</f>
        <v>3.61862059618243</v>
      </c>
      <c r="AK192" s="22" t="n">
        <f aca="false">100*(AK58-AK57)</f>
        <v>3.63249637371936</v>
      </c>
      <c r="AL192" s="22" t="n">
        <f aca="false">AVERAGE(C192:AK192)</f>
        <v>2.78427678643558</v>
      </c>
    </row>
    <row r="193" customFormat="false" ht="15" hidden="false" customHeight="false" outlineLevel="0" collapsed="false">
      <c r="A193" s="20" t="n">
        <f aca="false">A59</f>
        <v>-66</v>
      </c>
      <c r="B193" s="21" t="n">
        <f aca="false">B59</f>
        <v>40379</v>
      </c>
      <c r="C193" s="22" t="n">
        <f aca="false">100*(C59-C58)</f>
        <v>1.30582174351801</v>
      </c>
      <c r="D193" s="22" t="n">
        <f aca="false">100*(D59-D58)</f>
        <v>1.5379525033264</v>
      </c>
      <c r="E193" s="22" t="n">
        <f aca="false">100*(E59-E58)</f>
        <v>1.65446218365688</v>
      </c>
      <c r="F193" s="22" t="n">
        <f aca="false">100*(F59-F58)</f>
        <v>1.67164753553399</v>
      </c>
      <c r="G193" s="22" t="n">
        <f aca="false">100*(G59-G58)</f>
        <v>1.60831575457339</v>
      </c>
      <c r="H193" s="22" t="n">
        <f aca="false">100*(H59-H58)</f>
        <v>1.48383489258204</v>
      </c>
      <c r="I193" s="22" t="n">
        <f aca="false">100*(I59-I58)</f>
        <v>1.31690865042171</v>
      </c>
      <c r="J193" s="22" t="n">
        <f aca="false">100*(J59-J58)</f>
        <v>1.12461925918219</v>
      </c>
      <c r="K193" s="22" t="n">
        <f aca="false">100*(K59-K58)</f>
        <v>0.922005359768185</v>
      </c>
      <c r="L193" s="22" t="n">
        <f aca="false">100*(L59-L58)</f>
        <v>0.722049386860491</v>
      </c>
      <c r="M193" s="22" t="n">
        <f aca="false">100*(M59-M58)</f>
        <v>0.32979184308628</v>
      </c>
      <c r="N193" s="22" t="n">
        <f aca="false">100*(N59-N58)</f>
        <v>0.442396899962461</v>
      </c>
      <c r="O193" s="22" t="n">
        <f aca="false">100*(O59-O58)</f>
        <v>0.562724530803838</v>
      </c>
      <c r="P193" s="22" t="n">
        <f aca="false">100*(P59-P58)</f>
        <v>0.688388083297831</v>
      </c>
      <c r="Q193" s="22" t="n">
        <f aca="false">100*(Q59-Q58)</f>
        <v>0.817130515601594</v>
      </c>
      <c r="R193" s="22" t="n">
        <f aca="false">100*(R59-R58)</f>
        <v>0.946926354793387</v>
      </c>
      <c r="S193" s="22" t="n">
        <f aca="false">100*(S59-S58)</f>
        <v>1.07608257203307</v>
      </c>
      <c r="T193" s="22" t="n">
        <f aca="false">100*(T59-T58)</f>
        <v>1.20320269800844</v>
      </c>
      <c r="U193" s="22" t="n">
        <f aca="false">100*(U59-U58)</f>
        <v>1.32714321134344</v>
      </c>
      <c r="V193" s="22" t="n">
        <f aca="false">100*(V59-V58)</f>
        <v>1.44697740025626</v>
      </c>
      <c r="W193" s="22" t="n">
        <f aca="false">100*(W59-W58)</f>
        <v>1.5619729558825</v>
      </c>
      <c r="X193" s="22" t="n">
        <f aca="false">100*(X59-X58)</f>
        <v>1.67161156728213</v>
      </c>
      <c r="Y193" s="22" t="n">
        <f aca="false">100*(Y59-Y58)</f>
        <v>1.77558274898439</v>
      </c>
      <c r="Z193" s="22" t="n">
        <f aca="false">100*(Z59-Z58)</f>
        <v>1.8737340462458</v>
      </c>
      <c r="AA193" s="22" t="n">
        <f aca="false">100*(AA59-AA58)</f>
        <v>1.96603909783288</v>
      </c>
      <c r="AB193" s="22" t="n">
        <f aca="false">100*(AB59-AB58)</f>
        <v>2.05258184410395</v>
      </c>
      <c r="AC193" s="22" t="n">
        <f aca="false">100*(AC59-AC58)</f>
        <v>2.13353938052547</v>
      </c>
      <c r="AD193" s="22" t="n">
        <f aca="false">100*(AD59-AD58)</f>
        <v>2.20915512191411</v>
      </c>
      <c r="AE193" s="22" t="n">
        <f aca="false">100*(AE59-AE58)</f>
        <v>2.27972450900777</v>
      </c>
      <c r="AF193" s="22" t="n">
        <f aca="false">100*(AF59-AF58)</f>
        <v>2.34558277443124</v>
      </c>
      <c r="AG193" s="22" t="n">
        <f aca="false">100*(AG59-AG58)</f>
        <v>2.40707212191413</v>
      </c>
      <c r="AH193" s="22" t="n">
        <f aca="false">100*(AH59-AH58)</f>
        <v>2.46452724989643</v>
      </c>
      <c r="AI193" s="22" t="n">
        <f aca="false">100*(AI59-AI58)</f>
        <v>2.51827572231198</v>
      </c>
      <c r="AJ193" s="22" t="n">
        <f aca="false">100*(AJ59-AJ58)</f>
        <v>2.5686386966008</v>
      </c>
      <c r="AK193" s="22" t="n">
        <f aca="false">100*(AK59-AK58)</f>
        <v>2.61593156435742</v>
      </c>
      <c r="AL193" s="22" t="n">
        <f aca="false">AVERAGE(C193:AK193)</f>
        <v>1.56092430799717</v>
      </c>
    </row>
    <row r="194" customFormat="false" ht="15" hidden="false" customHeight="false" outlineLevel="0" collapsed="false">
      <c r="A194" s="20" t="n">
        <f aca="false">A60</f>
        <v>-65</v>
      </c>
      <c r="B194" s="21" t="n">
        <f aca="false">B60</f>
        <v>40380</v>
      </c>
      <c r="C194" s="22" t="n">
        <f aca="false">100*(C60-C59)</f>
        <v>0.470912727859685</v>
      </c>
      <c r="D194" s="22" t="n">
        <f aca="false">100*(D60-D59)</f>
        <v>0.4337463374535</v>
      </c>
      <c r="E194" s="22" t="n">
        <f aca="false">100*(E60-E59)</f>
        <v>0.372045707974111</v>
      </c>
      <c r="F194" s="22" t="n">
        <f aca="false">100*(F60-F59)</f>
        <v>0.295849352968491</v>
      </c>
      <c r="G194" s="22" t="n">
        <f aca="false">100*(G60-G59)</f>
        <v>0.2096711882972</v>
      </c>
      <c r="H194" s="22" t="n">
        <f aca="false">100*(H60-H59)</f>
        <v>0.117113523586276</v>
      </c>
      <c r="I194" s="22" t="n">
        <f aca="false">100*(I60-I59)</f>
        <v>0.0217452191467071</v>
      </c>
      <c r="J194" s="22" t="n">
        <f aca="false">100*(J60-J59)</f>
        <v>-0.0727375563567279</v>
      </c>
      <c r="K194" s="22" t="n">
        <f aca="false">100*(K60-K59)</f>
        <v>-0.162227741158594</v>
      </c>
      <c r="L194" s="22" t="n">
        <f aca="false">100*(L60-L59)</f>
        <v>-0.242202416200765</v>
      </c>
      <c r="M194" s="22" t="n">
        <f aca="false">100*(M60-M59)</f>
        <v>0.680839446487092</v>
      </c>
      <c r="N194" s="22" t="n">
        <f aca="false">100*(N60-N59)</f>
        <v>0.891388387199665</v>
      </c>
      <c r="O194" s="22" t="n">
        <f aca="false">100*(O60-O59)</f>
        <v>1.11021509914266</v>
      </c>
      <c r="P194" s="22" t="n">
        <f aca="false">100*(P60-P59)</f>
        <v>1.33427298635258</v>
      </c>
      <c r="Q194" s="22" t="n">
        <f aca="false">100*(Q60-Q59)</f>
        <v>1.56051366751671</v>
      </c>
      <c r="R194" s="22" t="n">
        <f aca="false">100*(R60-R59)</f>
        <v>1.78608363013808</v>
      </c>
      <c r="S194" s="22" t="n">
        <f aca="false">100*(S60-S59)</f>
        <v>2.0085041570213</v>
      </c>
      <c r="T194" s="22" t="n">
        <f aca="false">100*(T60-T59)</f>
        <v>2.22563569762908</v>
      </c>
      <c r="U194" s="22" t="n">
        <f aca="false">100*(U60-U59)</f>
        <v>2.43562799069297</v>
      </c>
      <c r="V194" s="22" t="n">
        <f aca="false">100*(V60-V59)</f>
        <v>2.63687881884165</v>
      </c>
      <c r="W194" s="22" t="n">
        <f aca="false">100*(W60-W59)</f>
        <v>2.8280308374276</v>
      </c>
      <c r="X194" s="22" t="n">
        <f aca="false">100*(X60-X59)</f>
        <v>3.00809083811089</v>
      </c>
      <c r="Y194" s="22" t="n">
        <f aca="false">100*(Y60-Y59)</f>
        <v>3.17644926294181</v>
      </c>
      <c r="Z194" s="22" t="n">
        <f aca="false">100*(Z60-Z59)</f>
        <v>3.33278357178894</v>
      </c>
      <c r="AA194" s="22" t="n">
        <f aca="false">100*(AA60-AA59)</f>
        <v>3.4769978903852</v>
      </c>
      <c r="AB194" s="22" t="n">
        <f aca="false">100*(AB60-AB59)</f>
        <v>3.60919458514211</v>
      </c>
      <c r="AC194" s="22" t="n">
        <f aca="false">100*(AC60-AC59)</f>
        <v>3.72964465847145</v>
      </c>
      <c r="AD194" s="22" t="n">
        <f aca="false">100*(AD60-AD59)</f>
        <v>3.8387434801054</v>
      </c>
      <c r="AE194" s="22" t="n">
        <f aca="false">100*(AE60-AE59)</f>
        <v>3.93698582603399</v>
      </c>
      <c r="AF194" s="22" t="n">
        <f aca="false">100*(AF60-AF59)</f>
        <v>4.02494370438156</v>
      </c>
      <c r="AG194" s="22" t="n">
        <f aca="false">100*(AG60-AG59)</f>
        <v>4.10321012824468</v>
      </c>
      <c r="AH194" s="22" t="n">
        <f aca="false">100*(AH60-AH59)</f>
        <v>4.17237435631659</v>
      </c>
      <c r="AI194" s="22" t="n">
        <f aca="false">100*(AI60-AI59)</f>
        <v>4.23302163830917</v>
      </c>
      <c r="AJ194" s="22" t="n">
        <f aca="false">100*(AJ60-AJ59)</f>
        <v>4.28573362403153</v>
      </c>
      <c r="AK194" s="22" t="n">
        <f aca="false">100*(AK60-AK59)</f>
        <v>4.33108872338073</v>
      </c>
      <c r="AL194" s="22" t="n">
        <f aca="false">AVERAGE(C194:AK194)</f>
        <v>2.12003340999038</v>
      </c>
    </row>
    <row r="195" customFormat="false" ht="15" hidden="false" customHeight="false" outlineLevel="0" collapsed="false">
      <c r="A195" s="20" t="n">
        <f aca="false">A61</f>
        <v>-64</v>
      </c>
      <c r="B195" s="21" t="n">
        <f aca="false">B61</f>
        <v>40381</v>
      </c>
      <c r="C195" s="22" t="n">
        <f aca="false">100*(C61-C60)</f>
        <v>0.393466833916067</v>
      </c>
      <c r="D195" s="22" t="n">
        <f aca="false">100*(D61-D60)</f>
        <v>0.500323536705105</v>
      </c>
      <c r="E195" s="22" t="n">
        <f aca="false">100*(E61-E60)</f>
        <v>0.566117817713296</v>
      </c>
      <c r="F195" s="22" t="n">
        <f aca="false">100*(F61-F60)</f>
        <v>0.611277294082102</v>
      </c>
      <c r="G195" s="22" t="n">
        <f aca="false">100*(G61-G60)</f>
        <v>0.650439632439914</v>
      </c>
      <c r="H195" s="22" t="n">
        <f aca="false">100*(H61-H60)</f>
        <v>0.692395021146908</v>
      </c>
      <c r="I195" s="22" t="n">
        <f aca="false">100*(I61-I60)</f>
        <v>0.741244057708901</v>
      </c>
      <c r="J195" s="22" t="n">
        <f aca="false">100*(J61-J60)</f>
        <v>0.797496408049625</v>
      </c>
      <c r="K195" s="22" t="n">
        <f aca="false">100*(K61-K60)</f>
        <v>0.85942531742691</v>
      </c>
      <c r="L195" s="22" t="n">
        <f aca="false">100*(L61-L60)</f>
        <v>0.923792604912999</v>
      </c>
      <c r="M195" s="22" t="n">
        <f aca="false">100*(M61-M60)</f>
        <v>0.902588927879222</v>
      </c>
      <c r="N195" s="22" t="n">
        <f aca="false">100*(N61-N60)</f>
        <v>0.826942681821485</v>
      </c>
      <c r="O195" s="22" t="n">
        <f aca="false">100*(O61-O60)</f>
        <v>0.746349052487005</v>
      </c>
      <c r="P195" s="22" t="n">
        <f aca="false">100*(P61-P60)</f>
        <v>0.662286217599561</v>
      </c>
      <c r="Q195" s="22" t="n">
        <f aca="false">100*(Q61-Q60)</f>
        <v>0.576217487105168</v>
      </c>
      <c r="R195" s="22" t="n">
        <f aca="false">100*(R61-R60)</f>
        <v>0.489501656509095</v>
      </c>
      <c r="S195" s="22" t="n">
        <f aca="false">100*(S61-S60)</f>
        <v>0.403318361745075</v>
      </c>
      <c r="T195" s="22" t="n">
        <f aca="false">100*(T61-T60)</f>
        <v>0.318687011562435</v>
      </c>
      <c r="U195" s="22" t="n">
        <f aca="false">100*(U61-U60)</f>
        <v>0.236490350358576</v>
      </c>
      <c r="V195" s="22" t="n">
        <f aca="false">100*(V61-V60)</f>
        <v>0.157493912768203</v>
      </c>
      <c r="W195" s="22" t="n">
        <f aca="false">100*(W61-W60)</f>
        <v>0.0823499235282021</v>
      </c>
      <c r="X195" s="22" t="n">
        <f aca="false">100*(X61-X60)</f>
        <v>0.0115643411374933</v>
      </c>
      <c r="Y195" s="22" t="n">
        <f aca="false">100*(Y61-Y60)</f>
        <v>-0.054502082887975</v>
      </c>
      <c r="Z195" s="22" t="n">
        <f aca="false">100*(Z61-Z60)</f>
        <v>-0.115607125194916</v>
      </c>
      <c r="AA195" s="22" t="n">
        <f aca="false">100*(AA61-AA60)</f>
        <v>-0.171607973486942</v>
      </c>
      <c r="AB195" s="22" t="n">
        <f aca="false">100*(AB61-AB60)</f>
        <v>-0.222448976837075</v>
      </c>
      <c r="AC195" s="22" t="n">
        <f aca="false">100*(AC61-AC60)</f>
        <v>-0.268152595780613</v>
      </c>
      <c r="AD195" s="22" t="n">
        <f aca="false">100*(AD61-AD60)</f>
        <v>-0.308813128095675</v>
      </c>
      <c r="AE195" s="22" t="n">
        <f aca="false">100*(AE61-AE60)</f>
        <v>-0.344588490643982</v>
      </c>
      <c r="AF195" s="22" t="n">
        <f aca="false">100*(AF61-AF60)</f>
        <v>-0.375687856084284</v>
      </c>
      <c r="AG195" s="22" t="n">
        <f aca="false">100*(AG61-AG60)</f>
        <v>-0.402342677429601</v>
      </c>
      <c r="AH195" s="22" t="n">
        <f aca="false">100*(AH61-AH60)</f>
        <v>-0.424793107194521</v>
      </c>
      <c r="AI195" s="22" t="n">
        <f aca="false">100*(AI61-AI60)</f>
        <v>-0.443286759835981</v>
      </c>
      <c r="AJ195" s="22" t="n">
        <f aca="false">100*(AJ61-AJ60)</f>
        <v>-0.458077950330171</v>
      </c>
      <c r="AK195" s="22" t="n">
        <f aca="false">100*(AK61-AK60)</f>
        <v>-0.469427024120606</v>
      </c>
      <c r="AL195" s="22" t="n">
        <f aca="false">AVERAGE(C195:AK195)</f>
        <v>0.231155220019457</v>
      </c>
    </row>
    <row r="196" customFormat="false" ht="15" hidden="false" customHeight="false" outlineLevel="0" collapsed="false">
      <c r="A196" s="20" t="n">
        <f aca="false">A62</f>
        <v>-63</v>
      </c>
      <c r="B196" s="21" t="n">
        <f aca="false">B62</f>
        <v>40382</v>
      </c>
      <c r="C196" s="22" t="n">
        <f aca="false">100*(C62-C61)</f>
        <v>7.72003613622935</v>
      </c>
      <c r="D196" s="22" t="n">
        <f aca="false">100*(D62-D61)</f>
        <v>8.23674940502619</v>
      </c>
      <c r="E196" s="22" t="n">
        <f aca="false">100*(E62-E61)</f>
        <v>8.49267276725971</v>
      </c>
      <c r="F196" s="22" t="n">
        <f aca="false">100*(F62-F61)</f>
        <v>8.5969774473525</v>
      </c>
      <c r="G196" s="22" t="n">
        <f aca="false">100*(G62-G61)</f>
        <v>8.6095254144819</v>
      </c>
      <c r="H196" s="22" t="n">
        <f aca="false">100*(H62-H61)</f>
        <v>8.56525128179628</v>
      </c>
      <c r="I196" s="22" t="n">
        <f aca="false">100*(I62-I61)</f>
        <v>8.48561842415609</v>
      </c>
      <c r="J196" s="22" t="n">
        <f aca="false">100*(J62-J61)</f>
        <v>8.38397366443711</v>
      </c>
      <c r="K196" s="22" t="n">
        <f aca="false">100*(K62-K61)</f>
        <v>8.2692390029206</v>
      </c>
      <c r="L196" s="22" t="n">
        <f aca="false">100*(L62-L61)</f>
        <v>8.146633050265</v>
      </c>
      <c r="M196" s="22" t="n">
        <f aca="false">100*(M62-M61)</f>
        <v>6.28819013191162</v>
      </c>
      <c r="N196" s="22" t="n">
        <f aca="false">100*(N62-N61)</f>
        <v>6.15039394587882</v>
      </c>
      <c r="O196" s="22" t="n">
        <f aca="false">100*(O62-O61)</f>
        <v>6.01908676876048</v>
      </c>
      <c r="P196" s="22" t="n">
        <f aca="false">100*(P62-P61)</f>
        <v>5.89525928460724</v>
      </c>
      <c r="Q196" s="22" t="n">
        <f aca="false">100*(Q62-Q61)</f>
        <v>5.77979116608889</v>
      </c>
      <c r="R196" s="22" t="n">
        <f aca="false">100*(R62-R61)</f>
        <v>5.67331899876393</v>
      </c>
      <c r="S196" s="22" t="n">
        <f aca="false">100*(S62-S61)</f>
        <v>5.57613945172841</v>
      </c>
      <c r="T196" s="22" t="n">
        <f aca="false">100*(T62-T61)</f>
        <v>5.48825026232365</v>
      </c>
      <c r="U196" s="22" t="n">
        <f aca="false">100*(U62-U61)</f>
        <v>5.4093941967059</v>
      </c>
      <c r="V196" s="22" t="n">
        <f aca="false">100*(V62-V61)</f>
        <v>5.33909531576136</v>
      </c>
      <c r="W196" s="22" t="n">
        <f aca="false">100*(W62-W61)</f>
        <v>5.27667142448314</v>
      </c>
      <c r="X196" s="22" t="n">
        <f aca="false">100*(X62-X61)</f>
        <v>5.22120843960563</v>
      </c>
      <c r="Y196" s="22" t="n">
        <f aca="false">100*(Y62-Y61)</f>
        <v>5.17159090025015</v>
      </c>
      <c r="Z196" s="22" t="n">
        <f aca="false">100*(Z62-Z61)</f>
        <v>5.12659172517838</v>
      </c>
      <c r="AA196" s="22" t="n">
        <f aca="false">100*(AA62-AA61)</f>
        <v>5.08491626677738</v>
      </c>
      <c r="AB196" s="22" t="n">
        <f aca="false">100*(AB62-AB61)</f>
        <v>5.04521145971886</v>
      </c>
      <c r="AC196" s="22" t="n">
        <f aca="false">100*(AC62-AC61)</f>
        <v>5.00608928006479</v>
      </c>
      <c r="AD196" s="22" t="n">
        <f aca="false">100*(AD62-AD61)</f>
        <v>4.96621198398968</v>
      </c>
      <c r="AE196" s="22" t="n">
        <f aca="false">100*(AE62-AE61)</f>
        <v>4.92432842928627</v>
      </c>
      <c r="AF196" s="22" t="n">
        <f aca="false">100*(AF62-AF61)</f>
        <v>4.8792958559841</v>
      </c>
      <c r="AG196" s="22" t="n">
        <f aca="false">100*(AG62-AG61)</f>
        <v>4.83019463043819</v>
      </c>
      <c r="AH196" s="22" t="n">
        <f aca="false">100*(AH62-AH61)</f>
        <v>4.77636185303965</v>
      </c>
      <c r="AI196" s="22" t="n">
        <f aca="false">100*(AI62-AI61)</f>
        <v>4.71736614693885</v>
      </c>
      <c r="AJ196" s="22" t="n">
        <f aca="false">100*(AJ62-AJ61)</f>
        <v>4.65299379166577</v>
      </c>
      <c r="AK196" s="22" t="n">
        <f aca="false">100*(AK62-AK61)</f>
        <v>4.58330095148041</v>
      </c>
      <c r="AL196" s="22" t="n">
        <f aca="false">AVERAGE(C196:AK196)</f>
        <v>6.15394083586732</v>
      </c>
    </row>
    <row r="197" customFormat="false" ht="15" hidden="false" customHeight="false" outlineLevel="0" collapsed="false">
      <c r="A197" s="20" t="n">
        <f aca="false">A63</f>
        <v>-62</v>
      </c>
      <c r="B197" s="21" t="n">
        <f aca="false">B63</f>
        <v>40385</v>
      </c>
      <c r="C197" s="22" t="n">
        <f aca="false">100*(C63-C62)</f>
        <v>3.42486615079711</v>
      </c>
      <c r="D197" s="22" t="n">
        <f aca="false">100*(D63-D62)</f>
        <v>3.52386532685729</v>
      </c>
      <c r="E197" s="22" t="n">
        <f aca="false">100*(E63-E62)</f>
        <v>3.48946152156799</v>
      </c>
      <c r="F197" s="22" t="n">
        <f aca="false">100*(F63-F62)</f>
        <v>3.38673322382901</v>
      </c>
      <c r="G197" s="22" t="n">
        <f aca="false">100*(G63-G62)</f>
        <v>3.24916173775369</v>
      </c>
      <c r="H197" s="22" t="n">
        <f aca="false">100*(H63-H62)</f>
        <v>3.09476286763433</v>
      </c>
      <c r="I197" s="22" t="n">
        <f aca="false">100*(I63-I62)</f>
        <v>2.93407618867629</v>
      </c>
      <c r="J197" s="22" t="n">
        <f aca="false">100*(J63-J62)</f>
        <v>2.77378042889787</v>
      </c>
      <c r="K197" s="22" t="n">
        <f aca="false">100*(K63-K62)</f>
        <v>2.61899606505289</v>
      </c>
      <c r="L197" s="22" t="n">
        <f aca="false">100*(L63-L62)</f>
        <v>2.47394207318798</v>
      </c>
      <c r="M197" s="22" t="n">
        <f aca="false">100*(M63-M62)</f>
        <v>2.10098330849178</v>
      </c>
      <c r="N197" s="22" t="n">
        <f aca="false">100*(N63-N62)</f>
        <v>2.17881304534489</v>
      </c>
      <c r="O197" s="22" t="n">
        <f aca="false">100*(O63-O62)</f>
        <v>2.26685781665008</v>
      </c>
      <c r="P197" s="22" t="n">
        <f aca="false">100*(P63-P62)</f>
        <v>2.36385139370041</v>
      </c>
      <c r="Q197" s="22" t="n">
        <f aca="false">100*(Q63-Q62)</f>
        <v>2.4685096484041</v>
      </c>
      <c r="R197" s="22" t="n">
        <f aca="false">100*(R63-R62)</f>
        <v>2.57957288413175</v>
      </c>
      <c r="S197" s="22" t="n">
        <f aca="false">100*(S63-S62)</f>
        <v>2.69584698630041</v>
      </c>
      <c r="T197" s="22" t="n">
        <f aca="false">100*(T63-T62)</f>
        <v>2.81619827214312</v>
      </c>
      <c r="U197" s="22" t="n">
        <f aca="false">100*(U63-U62)</f>
        <v>2.93954460367614</v>
      </c>
      <c r="V197" s="22" t="n">
        <f aca="false">100*(V63-V62)</f>
        <v>3.06484801401821</v>
      </c>
      <c r="W197" s="22" t="n">
        <f aca="false">100*(W63-W62)</f>
        <v>3.19111355401507</v>
      </c>
      <c r="X197" s="22" t="n">
        <f aca="false">100*(X63-X62)</f>
        <v>3.31741353847672</v>
      </c>
      <c r="Y197" s="22" t="n">
        <f aca="false">100*(Y63-Y62)</f>
        <v>3.44290074498979</v>
      </c>
      <c r="Z197" s="22" t="n">
        <f aca="false">100*(Z63-Z62)</f>
        <v>3.5668180251859</v>
      </c>
      <c r="AA197" s="22" t="n">
        <f aca="false">100*(AA63-AA62)</f>
        <v>3.68849568092831</v>
      </c>
      <c r="AB197" s="22" t="n">
        <f aca="false">100*(AB63-AB62)</f>
        <v>3.80734103463496</v>
      </c>
      <c r="AC197" s="22" t="n">
        <f aca="false">100*(AC63-AC62)</f>
        <v>3.92283296658311</v>
      </c>
      <c r="AD197" s="22" t="n">
        <f aca="false">100*(AD63-AD62)</f>
        <v>4.03453158518534</v>
      </c>
      <c r="AE197" s="22" t="n">
        <f aca="false">100*(AE63-AE62)</f>
        <v>4.14207815347263</v>
      </c>
      <c r="AF197" s="22" t="n">
        <f aca="false">100*(AF63-AF62)</f>
        <v>4.24518522908315</v>
      </c>
      <c r="AG197" s="22" t="n">
        <f aca="false">100*(AG63-AG62)</f>
        <v>4.34362293692789</v>
      </c>
      <c r="AH197" s="22" t="n">
        <f aca="false">100*(AH63-AH62)</f>
        <v>4.43720966833689</v>
      </c>
      <c r="AI197" s="22" t="n">
        <f aca="false">100*(AI63-AI62)</f>
        <v>4.52580694584688</v>
      </c>
      <c r="AJ197" s="22" t="n">
        <f aca="false">100*(AJ63-AJ62)</f>
        <v>4.60931477648234</v>
      </c>
      <c r="AK197" s="22" t="n">
        <f aca="false">100*(AK63-AK62)</f>
        <v>4.68766488110717</v>
      </c>
      <c r="AL197" s="22" t="n">
        <f aca="false">AVERAGE(C197:AK197)</f>
        <v>3.32591432223919</v>
      </c>
    </row>
    <row r="198" customFormat="false" ht="15" hidden="false" customHeight="false" outlineLevel="0" collapsed="false">
      <c r="A198" s="20" t="n">
        <f aca="false">A64</f>
        <v>-61</v>
      </c>
      <c r="B198" s="21" t="n">
        <f aca="false">B64</f>
        <v>40386</v>
      </c>
      <c r="C198" s="22" t="n">
        <f aca="false">100*(C64-C63)</f>
        <v>4.1328663376186</v>
      </c>
      <c r="D198" s="22" t="n">
        <f aca="false">100*(D64-D63)</f>
        <v>4.80761387690301</v>
      </c>
      <c r="E198" s="22" t="n">
        <f aca="false">100*(E64-E63)</f>
        <v>5.22096106722569</v>
      </c>
      <c r="F198" s="22" t="n">
        <f aca="false">100*(F64-F63)</f>
        <v>5.47320310119599</v>
      </c>
      <c r="G198" s="22" t="n">
        <f aca="false">100*(G64-G63)</f>
        <v>5.62137767309729</v>
      </c>
      <c r="H198" s="22" t="n">
        <f aca="false">100*(H64-H63)</f>
        <v>5.69892006822901</v>
      </c>
      <c r="I198" s="22" t="n">
        <f aca="false">100*(I64-I63)</f>
        <v>5.72719056579212</v>
      </c>
      <c r="J198" s="22" t="n">
        <f aca="false">100*(J64-J63)</f>
        <v>5.72041413132274</v>
      </c>
      <c r="K198" s="22" t="n">
        <f aca="false">100*(K64-K63)</f>
        <v>5.68856885630851</v>
      </c>
      <c r="L198" s="22" t="n">
        <f aca="false">100*(L64-L63)</f>
        <v>5.63882750718112</v>
      </c>
      <c r="M198" s="22" t="n">
        <f aca="false">100*(M64-M63)</f>
        <v>4.86599673951966</v>
      </c>
      <c r="N198" s="22" t="n">
        <f aca="false">100*(N64-N63)</f>
        <v>4.8524473199544</v>
      </c>
      <c r="O198" s="22" t="n">
        <f aca="false">100*(O64-O63)</f>
        <v>4.84782263160266</v>
      </c>
      <c r="P198" s="22" t="n">
        <f aca="false">100*(P64-P63)</f>
        <v>4.8515674907418</v>
      </c>
      <c r="Q198" s="22" t="n">
        <f aca="false">100*(Q64-Q63)</f>
        <v>4.86295630313807</v>
      </c>
      <c r="R198" s="22" t="n">
        <f aca="false">100*(R64-R63)</f>
        <v>4.88114032160185</v>
      </c>
      <c r="S198" s="22" t="n">
        <f aca="false">100*(S64-S63)</f>
        <v>4.90519181370921</v>
      </c>
      <c r="T198" s="22" t="n">
        <f aca="false">100*(T64-T63)</f>
        <v>4.93411891317379</v>
      </c>
      <c r="U198" s="22" t="n">
        <f aca="false">100*(U64-U63)</f>
        <v>4.96687505129865</v>
      </c>
      <c r="V198" s="22" t="n">
        <f aca="false">100*(V64-V63)</f>
        <v>5.00236684281354</v>
      </c>
      <c r="W198" s="22" t="n">
        <f aca="false">100*(W64-W63)</f>
        <v>5.03948246020558</v>
      </c>
      <c r="X198" s="22" t="n">
        <f aca="false">100*(X64-X63)</f>
        <v>5.07719460164786</v>
      </c>
      <c r="Y198" s="22" t="n">
        <f aca="false">100*(Y64-Y63)</f>
        <v>5.11460213460913</v>
      </c>
      <c r="Z198" s="22" t="n">
        <f aca="false">100*(Z64-Z63)</f>
        <v>5.15093091287335</v>
      </c>
      <c r="AA198" s="22" t="n">
        <f aca="false">100*(AA64-AA63)</f>
        <v>5.18552462805175</v>
      </c>
      <c r="AB198" s="22" t="n">
        <f aca="false">100*(AB64-AB63)</f>
        <v>5.2178306344862</v>
      </c>
      <c r="AC198" s="22" t="n">
        <f aca="false">100*(AC64-AC63)</f>
        <v>5.24739569587238</v>
      </c>
      <c r="AD198" s="22" t="n">
        <f aca="false">100*(AD64-AD63)</f>
        <v>5.27389047949951</v>
      </c>
      <c r="AE198" s="22" t="n">
        <f aca="false">100*(AE64-AE63)</f>
        <v>5.29711262044312</v>
      </c>
      <c r="AF198" s="22" t="n">
        <f aca="false">100*(AF64-AF63)</f>
        <v>5.31697125019557</v>
      </c>
      <c r="AG198" s="22" t="n">
        <f aca="false">100*(AG64-AG63)</f>
        <v>5.33346610280443</v>
      </c>
      <c r="AH198" s="22" t="n">
        <f aca="false">100*(AH64-AH63)</f>
        <v>5.34667354368192</v>
      </c>
      <c r="AI198" s="22" t="n">
        <f aca="false">100*(AI64-AI63)</f>
        <v>5.35673845477094</v>
      </c>
      <c r="AJ198" s="22" t="n">
        <f aca="false">100*(AJ64-AJ63)</f>
        <v>5.36386586985644</v>
      </c>
      <c r="AK198" s="22" t="n">
        <f aca="false">100*(AK64-AK63)</f>
        <v>5.36830380856719</v>
      </c>
      <c r="AL198" s="22" t="n">
        <f aca="false">AVERAGE(C198:AK198)</f>
        <v>5.18258313742837</v>
      </c>
    </row>
    <row r="199" customFormat="false" ht="15" hidden="false" customHeight="false" outlineLevel="0" collapsed="false">
      <c r="A199" s="20" t="n">
        <f aca="false">A65</f>
        <v>-60</v>
      </c>
      <c r="B199" s="21" t="n">
        <f aca="false">B65</f>
        <v>40387</v>
      </c>
      <c r="C199" s="22" t="n">
        <f aca="false">100*(C65-C64)</f>
        <v>-3.38276605132111</v>
      </c>
      <c r="D199" s="22" t="n">
        <f aca="false">100*(D65-D64)</f>
        <v>-3.44024924575939</v>
      </c>
      <c r="E199" s="22" t="n">
        <f aca="false">100*(E65-E64)</f>
        <v>-3.4872416566319</v>
      </c>
      <c r="F199" s="22" t="n">
        <f aca="false">100*(F65-F64)</f>
        <v>-3.51255698931861</v>
      </c>
      <c r="G199" s="22" t="n">
        <f aca="false">100*(G65-G64)</f>
        <v>-3.5133878230744</v>
      </c>
      <c r="H199" s="22" t="n">
        <f aca="false">100*(H65-H64)</f>
        <v>-3.49081308895283</v>
      </c>
      <c r="I199" s="22" t="n">
        <f aca="false">100*(I65-I64)</f>
        <v>-3.44736361275961</v>
      </c>
      <c r="J199" s="22" t="n">
        <f aca="false">100*(J65-J64)</f>
        <v>-3.38618908655883</v>
      </c>
      <c r="K199" s="22" t="n">
        <f aca="false">100*(K65-K64)</f>
        <v>-3.31055623603582</v>
      </c>
      <c r="L199" s="22" t="n">
        <f aca="false">100*(L65-L64)</f>
        <v>-3.22358897468091</v>
      </c>
      <c r="M199" s="22" t="n">
        <f aca="false">100*(M65-M64)</f>
        <v>-1.44204997731245</v>
      </c>
      <c r="N199" s="22" t="n">
        <f aca="false">100*(N65-N64)</f>
        <v>-1.25158118727242</v>
      </c>
      <c r="O199" s="22" t="n">
        <f aca="false">100*(O65-O64)</f>
        <v>-1.05417765372264</v>
      </c>
      <c r="P199" s="22" t="n">
        <f aca="false">100*(P65-P64)</f>
        <v>-0.850660599127551</v>
      </c>
      <c r="Q199" s="22" t="n">
        <f aca="false">100*(Q65-Q64)</f>
        <v>-0.641978815320599</v>
      </c>
      <c r="R199" s="22" t="n">
        <f aca="false">100*(R65-R64)</f>
        <v>-0.429169963025355</v>
      </c>
      <c r="S199" s="22" t="n">
        <f aca="false">100*(S65-S64)</f>
        <v>-0.21332385754782</v>
      </c>
      <c r="T199" s="22" t="n">
        <f aca="false">100*(T65-T64)</f>
        <v>0.00442805779528044</v>
      </c>
      <c r="U199" s="22" t="n">
        <f aca="false">100*(U65-U64)</f>
        <v>0.222918833441987</v>
      </c>
      <c r="V199" s="22" t="n">
        <f aca="false">100*(V65-V64)</f>
        <v>0.440951162367931</v>
      </c>
      <c r="W199" s="22" t="n">
        <f aca="false">100*(W65-W64)</f>
        <v>0.657322711056896</v>
      </c>
      <c r="X199" s="22" t="n">
        <f aca="false">100*(X65-X64)</f>
        <v>0.8709215637694</v>
      </c>
      <c r="Y199" s="22" t="n">
        <f aca="false">100*(Y65-Y64)</f>
        <v>1.08076631741962</v>
      </c>
      <c r="Z199" s="22" t="n">
        <f aca="false">100*(Z65-Z64)</f>
        <v>1.2860179328734</v>
      </c>
      <c r="AA199" s="22" t="n">
        <f aca="false">100*(AA65-AA64)</f>
        <v>1.48597375587416</v>
      </c>
      <c r="AB199" s="22" t="n">
        <f aca="false">100*(AB65-AB64)</f>
        <v>1.68005120693158</v>
      </c>
      <c r="AC199" s="22" t="n">
        <f aca="false">100*(AC65-AC64)</f>
        <v>1.86778124741052</v>
      </c>
      <c r="AD199" s="22" t="n">
        <f aca="false">100*(AD65-AD64)</f>
        <v>2.04882892935867</v>
      </c>
      <c r="AE199" s="22" t="n">
        <f aca="false">100*(AE65-AE64)</f>
        <v>2.22299384371016</v>
      </c>
      <c r="AF199" s="22" t="n">
        <f aca="false">100*(AF65-AF64)</f>
        <v>2.39019016775162</v>
      </c>
      <c r="AG199" s="22" t="n">
        <f aca="false">100*(AG65-AG64)</f>
        <v>2.55041128284894</v>
      </c>
      <c r="AH199" s="22" t="n">
        <f aca="false">100*(AH65-AH64)</f>
        <v>2.70371098572983</v>
      </c>
      <c r="AI199" s="22" t="n">
        <f aca="false">100*(AI65-AI64)</f>
        <v>2.8501969208639</v>
      </c>
      <c r="AJ199" s="22" t="n">
        <f aca="false">100*(AJ65-AJ64)</f>
        <v>2.99002347213762</v>
      </c>
      <c r="AK199" s="22" t="n">
        <f aca="false">100*(AK65-AK64)</f>
        <v>3.12337450746973</v>
      </c>
      <c r="AL199" s="22" t="n">
        <f aca="false">AVERAGE(C199:AK199)</f>
        <v>-0.274308340560315</v>
      </c>
    </row>
    <row r="200" customFormat="false" ht="15" hidden="false" customHeight="false" outlineLevel="0" collapsed="false">
      <c r="A200" s="20" t="n">
        <f aca="false">A66</f>
        <v>-59</v>
      </c>
      <c r="B200" s="21" t="n">
        <f aca="false">B66</f>
        <v>40388</v>
      </c>
      <c r="C200" s="22" t="n">
        <f aca="false">100*(C66-C65)</f>
        <v>-6.3534882983409</v>
      </c>
      <c r="D200" s="22" t="n">
        <f aca="false">100*(D66-D65)</f>
        <v>-6.7138758938166</v>
      </c>
      <c r="E200" s="22" t="n">
        <f aca="false">100*(E66-E65)</f>
        <v>-6.8583564976743</v>
      </c>
      <c r="F200" s="22" t="n">
        <f aca="false">100*(F66-F65)</f>
        <v>-6.8970416743575</v>
      </c>
      <c r="G200" s="22" t="n">
        <f aca="false">100*(G66-G65)</f>
        <v>-6.8819254364509</v>
      </c>
      <c r="H200" s="22" t="n">
        <f aca="false">100*(H66-H65)</f>
        <v>-6.83864010579152</v>
      </c>
      <c r="I200" s="22" t="n">
        <f aca="false">100*(I66-I65)</f>
        <v>-6.78059144372178</v>
      </c>
      <c r="J200" s="22" t="n">
        <f aca="false">100*(J66-J65)</f>
        <v>-6.71518343380289</v>
      </c>
      <c r="K200" s="22" t="n">
        <f aca="false">100*(K66-K65)</f>
        <v>-6.64635589151557</v>
      </c>
      <c r="L200" s="22" t="n">
        <f aca="false">100*(L66-L65)</f>
        <v>-6.5760173378679</v>
      </c>
      <c r="M200" s="22" t="n">
        <f aca="false">100*(M66-M65)</f>
        <v>-5.21974929320237</v>
      </c>
      <c r="N200" s="22" t="n">
        <f aca="false">100*(N66-N65)</f>
        <v>-5.06399242581228</v>
      </c>
      <c r="O200" s="22" t="n">
        <f aca="false">100*(O66-O65)</f>
        <v>-4.90317893747516</v>
      </c>
      <c r="P200" s="22" t="n">
        <f aca="false">100*(P66-P65)</f>
        <v>-4.73846962018545</v>
      </c>
      <c r="Q200" s="22" t="n">
        <f aca="false">100*(Q66-Q65)</f>
        <v>-4.57110257359199</v>
      </c>
      <c r="R200" s="22" t="n">
        <f aca="false">100*(R66-R65)</f>
        <v>-4.40231491852794</v>
      </c>
      <c r="S200" s="22" t="n">
        <f aca="false">100*(S66-S65)</f>
        <v>-4.23327547556474</v>
      </c>
      <c r="T200" s="22" t="n">
        <f aca="false">100*(T66-T65)</f>
        <v>-4.06508874683782</v>
      </c>
      <c r="U200" s="22" t="n">
        <f aca="false">100*(U66-U65)</f>
        <v>-3.89880437464054</v>
      </c>
      <c r="V200" s="22" t="n">
        <f aca="false">100*(V66-V65)</f>
        <v>-3.73542488397831</v>
      </c>
      <c r="W200" s="22" t="n">
        <f aca="false">100*(W66-W65)</f>
        <v>-3.57588938194224</v>
      </c>
      <c r="X200" s="22" t="n">
        <f aca="false">100*(X66-X65)</f>
        <v>-3.42098274617317</v>
      </c>
      <c r="Y200" s="22" t="n">
        <f aca="false">100*(Y66-Y65)</f>
        <v>-3.27131106116623</v>
      </c>
      <c r="Z200" s="22" t="n">
        <f aca="false">100*(Z66-Z65)</f>
        <v>-3.1273301080927</v>
      </c>
      <c r="AA200" s="22" t="n">
        <f aca="false">100*(AA66-AA65)</f>
        <v>-2.9893677119051</v>
      </c>
      <c r="AB200" s="22" t="n">
        <f aca="false">100*(AB66-AB65)</f>
        <v>-2.85763945471773</v>
      </c>
      <c r="AC200" s="22" t="n">
        <f aca="false">100*(AC66-AC65)</f>
        <v>-2.73225971135247</v>
      </c>
      <c r="AD200" s="22" t="n">
        <f aca="false">100*(AD66-AD65)</f>
        <v>-2.61324290983804</v>
      </c>
      <c r="AE200" s="22" t="n">
        <f aca="false">100*(AE66-AE65)</f>
        <v>-2.50050987812376</v>
      </c>
      <c r="AF200" s="22" t="n">
        <f aca="false">100*(AF66-AF65)</f>
        <v>-2.3939033440894</v>
      </c>
      <c r="AG200" s="22" t="n">
        <f aca="false">100*(AG66-AG65)</f>
        <v>-2.29321798196898</v>
      </c>
      <c r="AH200" s="22" t="n">
        <f aca="false">100*(AH66-AH65)</f>
        <v>-2.19821505487188</v>
      </c>
      <c r="AI200" s="22" t="n">
        <f aca="false">100*(AI66-AI65)</f>
        <v>-2.10862613735383</v>
      </c>
      <c r="AJ200" s="22" t="n">
        <f aca="false">100*(AJ66-AJ65)</f>
        <v>-2.02415792585571</v>
      </c>
      <c r="AK200" s="22" t="n">
        <f aca="false">100*(AK66-AK65)</f>
        <v>-1.94450814778184</v>
      </c>
      <c r="AL200" s="22" t="n">
        <f aca="false">AVERAGE(C200:AK200)</f>
        <v>-4.34697253766827</v>
      </c>
    </row>
    <row r="201" customFormat="false" ht="15" hidden="false" customHeight="false" outlineLevel="0" collapsed="false">
      <c r="A201" s="20" t="n">
        <f aca="false">A67</f>
        <v>-58</v>
      </c>
      <c r="B201" s="21" t="n">
        <f aca="false">B67</f>
        <v>40389</v>
      </c>
      <c r="C201" s="22" t="n">
        <f aca="false">100*(C67-C66)</f>
        <v>-6.21547868334902</v>
      </c>
      <c r="D201" s="22" t="n">
        <f aca="false">100*(D67-D66)</f>
        <v>-7.15935726433781</v>
      </c>
      <c r="E201" s="22" t="n">
        <f aca="false">100*(E67-E66)</f>
        <v>-7.7437716569474</v>
      </c>
      <c r="F201" s="22" t="n">
        <f aca="false">100*(F67-F66)</f>
        <v>-8.10890726514679</v>
      </c>
      <c r="G201" s="22" t="n">
        <f aca="false">100*(G67-G66)</f>
        <v>-8.33818417768479</v>
      </c>
      <c r="H201" s="22" t="n">
        <f aca="false">100*(H67-H66)</f>
        <v>-8.48287819890388</v>
      </c>
      <c r="I201" s="22" t="n">
        <f aca="false">100*(I67-I66)</f>
        <v>-8.57615465896271</v>
      </c>
      <c r="J201" s="22" t="n">
        <f aca="false">100*(J67-J66)</f>
        <v>-8.6394235244494</v>
      </c>
      <c r="K201" s="22" t="n">
        <f aca="false">100*(K67-K66)</f>
        <v>-8.68713668131873</v>
      </c>
      <c r="L201" s="22" t="n">
        <f aca="false">100*(L67-L66)</f>
        <v>-8.7286168607243</v>
      </c>
      <c r="M201" s="22" t="n">
        <f aca="false">100*(M67-M66)</f>
        <v>-9.30924085501461</v>
      </c>
      <c r="N201" s="22" t="n">
        <f aca="false">100*(N67-N66)</f>
        <v>-9.33592877403013</v>
      </c>
      <c r="O201" s="22" t="n">
        <f aca="false">100*(O67-O66)</f>
        <v>-9.35682013952599</v>
      </c>
      <c r="P201" s="22" t="n">
        <f aca="false">100*(P67-P66)</f>
        <v>-9.37183314564454</v>
      </c>
      <c r="Q201" s="22" t="n">
        <f aca="false">100*(Q67-Q66)</f>
        <v>-9.3810110900308</v>
      </c>
      <c r="R201" s="22" t="n">
        <f aca="false">100*(R67-R66)</f>
        <v>-9.3845335741638</v>
      </c>
      <c r="S201" s="22" t="n">
        <f aca="false">100*(S67-S66)</f>
        <v>-9.38271077187567</v>
      </c>
      <c r="T201" s="22" t="n">
        <f aca="false">100*(T67-T66)</f>
        <v>-9.37596341471059</v>
      </c>
      <c r="U201" s="22" t="n">
        <f aca="false">100*(U67-U66)</f>
        <v>-9.36480653343841</v>
      </c>
      <c r="V201" s="22" t="n">
        <f aca="false">100*(V67-V66)</f>
        <v>-9.34983597353449</v>
      </c>
      <c r="W201" s="22" t="n">
        <f aca="false">100*(W67-W66)</f>
        <v>-9.3317048267445</v>
      </c>
      <c r="X201" s="22" t="n">
        <f aca="false">100*(X67-X66)</f>
        <v>-9.31105404172774</v>
      </c>
      <c r="Y201" s="22" t="n">
        <f aca="false">100*(Y67-Y66)</f>
        <v>-9.28847980292362</v>
      </c>
      <c r="Z201" s="22" t="n">
        <f aca="false">100*(Z67-Z66)</f>
        <v>-9.26453108604264</v>
      </c>
      <c r="AA201" s="22" t="n">
        <f aca="false">100*(AA67-AA66)</f>
        <v>-9.23971393261125</v>
      </c>
      <c r="AB201" s="22" t="n">
        <f aca="false">100*(AB67-AB66)</f>
        <v>-9.21449669291494</v>
      </c>
      <c r="AC201" s="22" t="n">
        <f aca="false">100*(AC67-AC66)</f>
        <v>-9.18930854710265</v>
      </c>
      <c r="AD201" s="22" t="n">
        <f aca="false">100*(AD67-AD66)</f>
        <v>-9.16451813060544</v>
      </c>
      <c r="AE201" s="22" t="n">
        <f aca="false">100*(AE67-AE66)</f>
        <v>-9.14042836992035</v>
      </c>
      <c r="AF201" s="22" t="n">
        <f aca="false">100*(AF67-AF66)</f>
        <v>-9.11728232359401</v>
      </c>
      <c r="AG201" s="22" t="n">
        <f aca="false">100*(AG67-AG66)</f>
        <v>-9.09526683555137</v>
      </c>
      <c r="AH201" s="22" t="n">
        <f aca="false">100*(AH67-AH66)</f>
        <v>-9.07451790967047</v>
      </c>
      <c r="AI201" s="22" t="n">
        <f aca="false">100*(AI67-AI66)</f>
        <v>-9.05512601836742</v>
      </c>
      <c r="AJ201" s="22" t="n">
        <f aca="false">100*(AJ67-AJ66)</f>
        <v>-9.03714049688231</v>
      </c>
      <c r="AK201" s="22" t="n">
        <f aca="false">100*(AK67-AK66)</f>
        <v>-9.02057338890288</v>
      </c>
      <c r="AL201" s="22" t="n">
        <f aca="false">AVERAGE(C201:AK201)</f>
        <v>-8.90962101849587</v>
      </c>
    </row>
    <row r="202" customFormat="false" ht="15" hidden="false" customHeight="false" outlineLevel="0" collapsed="false">
      <c r="A202" s="20" t="n">
        <f aca="false">A68</f>
        <v>-57</v>
      </c>
      <c r="B202" s="21" t="n">
        <f aca="false">B68</f>
        <v>40392</v>
      </c>
      <c r="C202" s="22" t="n">
        <f aca="false">100*(C68-C67)</f>
        <v>2.50269234824803</v>
      </c>
      <c r="D202" s="22" t="n">
        <f aca="false">100*(D68-D67)</f>
        <v>2.7975071895411</v>
      </c>
      <c r="E202" s="22" t="n">
        <f aca="false">100*(E68-E67)</f>
        <v>2.98838466448219</v>
      </c>
      <c r="F202" s="22" t="n">
        <f aca="false">100*(F68-F67)</f>
        <v>3.1054267314766</v>
      </c>
      <c r="G202" s="22" t="n">
        <f aca="false">100*(G68-G67)</f>
        <v>3.1683319859636</v>
      </c>
      <c r="H202" s="22" t="n">
        <f aca="false">100*(H68-H67)</f>
        <v>3.18962869921018</v>
      </c>
      <c r="I202" s="22" t="n">
        <f aca="false">100*(I68-I67)</f>
        <v>3.17761897318141</v>
      </c>
      <c r="J202" s="22" t="n">
        <f aca="false">100*(J68-J67)</f>
        <v>3.13869896255738</v>
      </c>
      <c r="K202" s="22" t="n">
        <f aca="false">100*(K68-K67)</f>
        <v>3.07781780020742</v>
      </c>
      <c r="L202" s="22" t="n">
        <f aca="false">100*(L68-L67)</f>
        <v>2.99908248501852</v>
      </c>
      <c r="M202" s="22" t="n">
        <f aca="false">100*(M68-M67)</f>
        <v>1.42842148878808</v>
      </c>
      <c r="N202" s="22" t="n">
        <f aca="false">100*(N68-N67)</f>
        <v>1.29729199305846</v>
      </c>
      <c r="O202" s="22" t="n">
        <f aca="false">100*(O68-O67)</f>
        <v>1.16592034611758</v>
      </c>
      <c r="P202" s="22" t="n">
        <f aca="false">100*(P68-P67)</f>
        <v>1.03449952735595</v>
      </c>
      <c r="Q202" s="22" t="n">
        <f aca="false">100*(Q68-Q67)</f>
        <v>0.903236360636495</v>
      </c>
      <c r="R202" s="22" t="n">
        <f aca="false">100*(R68-R67)</f>
        <v>0.772346505523114</v>
      </c>
      <c r="S202" s="22" t="n">
        <f aca="false">100*(S68-S67)</f>
        <v>0.642055167965072</v>
      </c>
      <c r="T202" s="22" t="n">
        <f aca="false">100*(T68-T67)</f>
        <v>0.512596328613402</v>
      </c>
      <c r="U202" s="22" t="n">
        <f aca="false">100*(U68-U67)</f>
        <v>0.38421145242431</v>
      </c>
      <c r="V202" s="22" t="n">
        <f aca="false">100*(V68-V67)</f>
        <v>0.257148392031148</v>
      </c>
      <c r="W202" s="22" t="n">
        <f aca="false">100*(W68-W67)</f>
        <v>0.131658968748649</v>
      </c>
      <c r="X202" s="22" t="n">
        <f aca="false">100*(X68-X67)</f>
        <v>0.00799603401517857</v>
      </c>
      <c r="Y202" s="22" t="n">
        <f aca="false">100*(Y68-Y67)</f>
        <v>-0.113588224918271</v>
      </c>
      <c r="Z202" s="22" t="n">
        <f aca="false">100*(Z68-Z67)</f>
        <v>-0.232851009088542</v>
      </c>
      <c r="AA202" s="22" t="n">
        <f aca="false">100*(AA68-AA67)</f>
        <v>-0.349561978578805</v>
      </c>
      <c r="AB202" s="22" t="n">
        <f aca="false">100*(AB68-AB67)</f>
        <v>-0.463501869427674</v>
      </c>
      <c r="AC202" s="22" t="n">
        <f aca="false">100*(AC68-AC67)</f>
        <v>-0.574463120099455</v>
      </c>
      <c r="AD202" s="22" t="n">
        <f aca="false">100*(AD68-AD67)</f>
        <v>-0.682255656919839</v>
      </c>
      <c r="AE202" s="22" t="n">
        <f aca="false">100*(AE68-AE67)</f>
        <v>-0.786707737800985</v>
      </c>
      <c r="AF202" s="22" t="n">
        <f aca="false">100*(AF68-AF67)</f>
        <v>-0.887663170894637</v>
      </c>
      <c r="AG202" s="22" t="n">
        <f aca="false">100*(AG68-AG67)</f>
        <v>-0.984977130137299</v>
      </c>
      <c r="AH202" s="22" t="n">
        <f aca="false">100*(AH68-AH67)</f>
        <v>-1.07851413083022</v>
      </c>
      <c r="AI202" s="22" t="n">
        <f aca="false">100*(AI68-AI67)</f>
        <v>-1.16814704798482</v>
      </c>
      <c r="AJ202" s="22" t="n">
        <f aca="false">100*(AJ68-AJ67)</f>
        <v>-1.25375681318669</v>
      </c>
      <c r="AK202" s="22" t="n">
        <f aca="false">100*(AK68-AK67)</f>
        <v>-1.33523581011961</v>
      </c>
      <c r="AL202" s="22" t="n">
        <f aca="false">AVERAGE(C202:AK202)</f>
        <v>0.822038534433629</v>
      </c>
    </row>
    <row r="203" customFormat="false" ht="15" hidden="false" customHeight="false" outlineLevel="0" collapsed="false">
      <c r="A203" s="20" t="n">
        <f aca="false">A69</f>
        <v>-56</v>
      </c>
      <c r="B203" s="21" t="n">
        <f aca="false">B69</f>
        <v>40393</v>
      </c>
      <c r="C203" s="22" t="n">
        <f aca="false">100*(C69-C68)</f>
        <v>-2.51641053667632</v>
      </c>
      <c r="D203" s="22" t="n">
        <f aca="false">100*(D69-D68)</f>
        <v>-3.0947055748318</v>
      </c>
      <c r="E203" s="22" t="n">
        <f aca="false">100*(E69-E68)</f>
        <v>-3.59956021445029</v>
      </c>
      <c r="F203" s="22" t="n">
        <f aca="false">100*(F69-F68)</f>
        <v>-4.0517777818422</v>
      </c>
      <c r="G203" s="22" t="n">
        <f aca="false">100*(G69-G68)</f>
        <v>-4.46215647706432</v>
      </c>
      <c r="H203" s="22" t="n">
        <f aca="false">100*(H69-H68)</f>
        <v>-4.83664010952647</v>
      </c>
      <c r="I203" s="22" t="n">
        <f aca="false">100*(I69-I68)</f>
        <v>-5.1787561966774</v>
      </c>
      <c r="J203" s="22" t="n">
        <f aca="false">100*(J69-J68)</f>
        <v>-5.49060911568069</v>
      </c>
      <c r="K203" s="22" t="n">
        <f aca="false">100*(K69-K68)</f>
        <v>-5.77332514903222</v>
      </c>
      <c r="L203" s="22" t="n">
        <f aca="false">100*(L69-L68)</f>
        <v>-6.02709018300933</v>
      </c>
      <c r="M203" s="22" t="n">
        <f aca="false">100*(M69-M68)</f>
        <v>-6.89294908424709</v>
      </c>
      <c r="N203" s="22" t="n">
        <f aca="false">100*(N69-N68)</f>
        <v>-6.8360313744571</v>
      </c>
      <c r="O203" s="22" t="n">
        <f aca="false">100*(O69-O68)</f>
        <v>-6.77369041130884</v>
      </c>
      <c r="P203" s="22" t="n">
        <f aca="false">100*(P69-P68)</f>
        <v>-6.70792430482177</v>
      </c>
      <c r="Q203" s="22" t="n">
        <f aca="false">100*(Q69-Q68)</f>
        <v>-6.64057816470773</v>
      </c>
      <c r="R203" s="22" t="n">
        <f aca="false">100*(R69-R68)</f>
        <v>-6.57325915303302</v>
      </c>
      <c r="S203" s="22" t="n">
        <f aca="false">100*(S69-S68)</f>
        <v>-6.5072713521392</v>
      </c>
      <c r="T203" s="22" t="n">
        <f aca="false">100*(T69-T68)</f>
        <v>-6.44365312396715</v>
      </c>
      <c r="U203" s="22" t="n">
        <f aca="false">100*(U69-U68)</f>
        <v>-6.38321618658697</v>
      </c>
      <c r="V203" s="22" t="n">
        <f aca="false">100*(V69-V68)</f>
        <v>-6.32657797857705</v>
      </c>
      <c r="W203" s="22" t="n">
        <f aca="false">100*(W69-W68)</f>
        <v>-6.27418368128936</v>
      </c>
      <c r="X203" s="22" t="n">
        <f aca="false">100*(X69-X68)</f>
        <v>-6.2263069054711</v>
      </c>
      <c r="Y203" s="22" t="n">
        <f aca="false">100*(Y69-Y68)</f>
        <v>-6.18306611219692</v>
      </c>
      <c r="Z203" s="22" t="n">
        <f aca="false">100*(Z69-Z68)</f>
        <v>-6.14446317007413</v>
      </c>
      <c r="AA203" s="22" t="n">
        <f aca="false">100*(AA69-AA68)</f>
        <v>-6.11040627292887</v>
      </c>
      <c r="AB203" s="22" t="n">
        <f aca="false">100*(AB69-AB68)</f>
        <v>-6.08072161594295</v>
      </c>
      <c r="AC203" s="22" t="n">
        <f aca="false">100*(AC69-AC68)</f>
        <v>-6.05516934228829</v>
      </c>
      <c r="AD203" s="22" t="n">
        <f aca="false">100*(AD69-AD68)</f>
        <v>-6.03347450718852</v>
      </c>
      <c r="AE203" s="22" t="n">
        <f aca="false">100*(AE69-AE68)</f>
        <v>-6.01534058217732</v>
      </c>
      <c r="AF203" s="22" t="n">
        <f aca="false">100*(AF69-AF68)</f>
        <v>-6.00045560482156</v>
      </c>
      <c r="AG203" s="22" t="n">
        <f aca="false">100*(AG69-AG68)</f>
        <v>-5.98850755739422</v>
      </c>
      <c r="AH203" s="22" t="n">
        <f aca="false">100*(AH69-AH68)</f>
        <v>-5.97919009584462</v>
      </c>
      <c r="AI203" s="22" t="n">
        <f aca="false">100*(AI69-AI68)</f>
        <v>-5.972202089053</v>
      </c>
      <c r="AJ203" s="22" t="n">
        <f aca="false">100*(AJ69-AJ68)</f>
        <v>-5.96724842798073</v>
      </c>
      <c r="AK203" s="22" t="n">
        <f aca="false">100*(AK69-AK68)</f>
        <v>-5.96404876772336</v>
      </c>
      <c r="AL203" s="22" t="n">
        <f aca="false">AVERAGE(C203:AK203)</f>
        <v>-5.77459906300034</v>
      </c>
    </row>
    <row r="204" customFormat="false" ht="15" hidden="false" customHeight="false" outlineLevel="0" collapsed="false">
      <c r="A204" s="20" t="n">
        <f aca="false">A70</f>
        <v>-55</v>
      </c>
      <c r="B204" s="21" t="n">
        <f aca="false">B70</f>
        <v>40394</v>
      </c>
      <c r="C204" s="22" t="n">
        <f aca="false">100*(C70-C69)</f>
        <v>1.76197328691822</v>
      </c>
      <c r="D204" s="22" t="n">
        <f aca="false">100*(D70-D69)</f>
        <v>1.8305058053139</v>
      </c>
      <c r="E204" s="22" t="n">
        <f aca="false">100*(E70-E69)</f>
        <v>1.82056895658611</v>
      </c>
      <c r="F204" s="22" t="n">
        <f aca="false">100*(F70-F69)</f>
        <v>1.7829253228556</v>
      </c>
      <c r="G204" s="22" t="n">
        <f aca="false">100*(G70-G69)</f>
        <v>1.73897780092591</v>
      </c>
      <c r="H204" s="22" t="n">
        <f aca="false">100*(H70-H69)</f>
        <v>1.69768192975059</v>
      </c>
      <c r="I204" s="22" t="n">
        <f aca="false">100*(I70-I69)</f>
        <v>1.66240286517718</v>
      </c>
      <c r="J204" s="22" t="n">
        <f aca="false">100*(J70-J69)</f>
        <v>1.63363521717108</v>
      </c>
      <c r="K204" s="22" t="n">
        <f aca="false">100*(K70-K69)</f>
        <v>1.61012778340393</v>
      </c>
      <c r="L204" s="22" t="n">
        <f aca="false">100*(L70-L69)</f>
        <v>1.58983617389841</v>
      </c>
      <c r="M204" s="22" t="n">
        <f aca="false">100*(M70-M69)</f>
        <v>0.896479092512603</v>
      </c>
      <c r="N204" s="22" t="n">
        <f aca="false">100*(N70-N69)</f>
        <v>0.794457583254093</v>
      </c>
      <c r="O204" s="22" t="n">
        <f aca="false">100*(O70-O69)</f>
        <v>0.687539672944304</v>
      </c>
      <c r="P204" s="22" t="n">
        <f aca="false">100*(P70-P69)</f>
        <v>0.576612375147345</v>
      </c>
      <c r="Q204" s="22" t="n">
        <f aca="false">100*(Q70-Q69)</f>
        <v>0.462613553775082</v>
      </c>
      <c r="R204" s="22" t="n">
        <f aca="false">100*(R70-R69)</f>
        <v>0.346478083105595</v>
      </c>
      <c r="S204" s="22" t="n">
        <f aca="false">100*(S70-S69)</f>
        <v>0.229101468655557</v>
      </c>
      <c r="T204" s="22" t="n">
        <f aca="false">100*(T70-T69)</f>
        <v>0.111343317151835</v>
      </c>
      <c r="U204" s="22" t="n">
        <f aca="false">100*(U70-U69)</f>
        <v>-0.00596738423421783</v>
      </c>
      <c r="V204" s="22" t="n">
        <f aca="false">100*(V70-V69)</f>
        <v>-0.122028024658771</v>
      </c>
      <c r="W204" s="22" t="n">
        <f aca="false">100*(W70-W69)</f>
        <v>-0.236075451551265</v>
      </c>
      <c r="X204" s="22" t="n">
        <f aca="false">100*(X70-X69)</f>
        <v>-0.347440751416084</v>
      </c>
      <c r="Y204" s="22" t="n">
        <f aca="false">100*(Y70-Y69)</f>
        <v>-0.455559007928841</v>
      </c>
      <c r="Z204" s="22" t="n">
        <f aca="false">100*(Z70-Z69)</f>
        <v>-0.559952640676276</v>
      </c>
      <c r="AA204" s="22" t="n">
        <f aca="false">100*(AA70-AA69)</f>
        <v>-0.660219284571006</v>
      </c>
      <c r="AB204" s="22" t="n">
        <f aca="false">100*(AB70-AB69)</f>
        <v>-0.756022635492393</v>
      </c>
      <c r="AC204" s="22" t="n">
        <f aca="false">100*(AC70-AC69)</f>
        <v>-0.847088188157574</v>
      </c>
      <c r="AD204" s="22" t="n">
        <f aca="false">100*(AD70-AD69)</f>
        <v>-0.933208901834703</v>
      </c>
      <c r="AE204" s="22" t="n">
        <f aca="false">100*(AE70-AE69)</f>
        <v>-1.01424249668716</v>
      </c>
      <c r="AF204" s="22" t="n">
        <f aca="false">100*(AF70-AF69)</f>
        <v>-1.0901044050657</v>
      </c>
      <c r="AG204" s="22" t="n">
        <f aca="false">100*(AG70-AG69)</f>
        <v>-1.16076206094604</v>
      </c>
      <c r="AH204" s="22" t="n">
        <f aca="false">100*(AH70-AH69)</f>
        <v>-1.22622973237752</v>
      </c>
      <c r="AI204" s="22" t="n">
        <f aca="false">100*(AI70-AI69)</f>
        <v>-1.28656365607345</v>
      </c>
      <c r="AJ204" s="22" t="n">
        <f aca="false">100*(AJ70-AJ69)</f>
        <v>-1.34185721894848</v>
      </c>
      <c r="AK204" s="22" t="n">
        <f aca="false">100*(AK70-AK69)</f>
        <v>-1.39223402860065</v>
      </c>
      <c r="AL204" s="22" t="n">
        <f aca="false">AVERAGE(C204:AK204)</f>
        <v>0.222791554837921</v>
      </c>
    </row>
    <row r="205" customFormat="false" ht="15" hidden="false" customHeight="false" outlineLevel="0" collapsed="false">
      <c r="A205" s="20" t="n">
        <f aca="false">A71</f>
        <v>-54</v>
      </c>
      <c r="B205" s="21" t="n">
        <f aca="false">B71</f>
        <v>40395</v>
      </c>
      <c r="C205" s="22" t="n">
        <f aca="false">100*(C71-C70)</f>
        <v>-1.57513737763839</v>
      </c>
      <c r="D205" s="22" t="n">
        <f aca="false">100*(D71-D70)</f>
        <v>-2.33215931194861</v>
      </c>
      <c r="E205" s="22" t="n">
        <f aca="false">100*(E71-E70)</f>
        <v>-2.97166044783062</v>
      </c>
      <c r="F205" s="22" t="n">
        <f aca="false">100*(F71-F70)</f>
        <v>-3.5006783392558</v>
      </c>
      <c r="G205" s="22" t="n">
        <f aca="false">100*(G71-G70)</f>
        <v>-3.93602951611651</v>
      </c>
      <c r="H205" s="22" t="n">
        <f aca="false">100*(H71-H70)</f>
        <v>-4.29441112332081</v>
      </c>
      <c r="I205" s="22" t="n">
        <f aca="false">100*(I71-I70)</f>
        <v>-4.58991503290731</v>
      </c>
      <c r="J205" s="22" t="n">
        <f aca="false">100*(J71-J70)</f>
        <v>-4.83379668130848</v>
      </c>
      <c r="K205" s="22" t="n">
        <f aca="false">100*(K71-K70)</f>
        <v>-5.03495412707742</v>
      </c>
      <c r="L205" s="22" t="n">
        <f aca="false">100*(L71-L70)</f>
        <v>-5.20022846176871</v>
      </c>
      <c r="M205" s="22" t="n">
        <f aca="false">100*(M71-M70)</f>
        <v>-5.80209991573462</v>
      </c>
      <c r="N205" s="22" t="n">
        <f aca="false">100*(N71-N70)</f>
        <v>-5.80538953090564</v>
      </c>
      <c r="O205" s="22" t="n">
        <f aca="false">100*(O71-O70)</f>
        <v>-5.80796615617096</v>
      </c>
      <c r="P205" s="22" t="n">
        <f aca="false">100*(P71-P70)</f>
        <v>-5.81010074046766</v>
      </c>
      <c r="Q205" s="22" t="n">
        <f aca="false">100*(Q71-Q70)</f>
        <v>-5.81194405819856</v>
      </c>
      <c r="R205" s="22" t="n">
        <f aca="false">100*(R71-R70)</f>
        <v>-5.81356144256215</v>
      </c>
      <c r="S205" s="22" t="n">
        <f aca="false">100*(S71-S70)</f>
        <v>-5.81495570224773</v>
      </c>
      <c r="T205" s="22" t="n">
        <f aca="false">100*(T71-T70)</f>
        <v>-5.81607692073893</v>
      </c>
      <c r="U205" s="22" t="n">
        <f aca="false">100*(U71-U70)</f>
        <v>-5.81683021002091</v>
      </c>
      <c r="V205" s="22" t="n">
        <f aca="false">100*(V71-V70)</f>
        <v>-5.81708229117535</v>
      </c>
      <c r="W205" s="22" t="n">
        <f aca="false">100*(W71-W70)</f>
        <v>-5.81668573749301</v>
      </c>
      <c r="X205" s="22" t="n">
        <f aca="false">100*(X71-X70)</f>
        <v>-5.81554743928345</v>
      </c>
      <c r="Y205" s="22" t="n">
        <f aca="false">100*(Y71-Y70)</f>
        <v>-5.81363903565659</v>
      </c>
      <c r="Z205" s="22" t="n">
        <f aca="false">100*(Z71-Z70)</f>
        <v>-5.81096064283972</v>
      </c>
      <c r="AA205" s="22" t="n">
        <f aca="false">100*(AA71-AA70)</f>
        <v>-5.80752611858602</v>
      </c>
      <c r="AB205" s="22" t="n">
        <f aca="false">100*(AB71-AB70)</f>
        <v>-5.80336115814228</v>
      </c>
      <c r="AC205" s="22" t="n">
        <f aca="false">100*(AC71-AC70)</f>
        <v>-5.79850048022417</v>
      </c>
      <c r="AD205" s="22" t="n">
        <f aca="false">100*(AD71-AD70)</f>
        <v>-5.79298050095414</v>
      </c>
      <c r="AE205" s="22" t="n">
        <f aca="false">100*(AE71-AE70)</f>
        <v>-5.78683619864764</v>
      </c>
      <c r="AF205" s="22" t="n">
        <f aca="false">100*(AF71-AF70)</f>
        <v>-5.78010128380271</v>
      </c>
      <c r="AG205" s="22" t="n">
        <f aca="false">100*(AG71-AG70)</f>
        <v>-5.77280902961741</v>
      </c>
      <c r="AH205" s="22" t="n">
        <f aca="false">100*(AH71-AH70)</f>
        <v>-5.76499272710969</v>
      </c>
      <c r="AI205" s="22" t="n">
        <f aca="false">100*(AI71-AI70)</f>
        <v>-5.75668569692143</v>
      </c>
      <c r="AJ205" s="22" t="n">
        <f aca="false">100*(AJ71-AJ70)</f>
        <v>-5.74792104849378</v>
      </c>
      <c r="AK205" s="22" t="n">
        <f aca="false">100*(AK71-AK70)</f>
        <v>-5.73873050721732</v>
      </c>
      <c r="AL205" s="22" t="n">
        <f aca="false">AVERAGE(C205:AK205)</f>
        <v>-5.23406442835384</v>
      </c>
    </row>
    <row r="206" customFormat="false" ht="15" hidden="false" customHeight="false" outlineLevel="0" collapsed="false">
      <c r="A206" s="20" t="n">
        <f aca="false">A72</f>
        <v>-53</v>
      </c>
      <c r="B206" s="21" t="n">
        <f aca="false">B72</f>
        <v>40396</v>
      </c>
      <c r="C206" s="22" t="n">
        <f aca="false">100*(C72-C71)</f>
        <v>-1.4671841050807</v>
      </c>
      <c r="D206" s="22" t="n">
        <f aca="false">100*(D72-D71)</f>
        <v>-1.77324585919039</v>
      </c>
      <c r="E206" s="22" t="n">
        <f aca="false">100*(E72-E71)</f>
        <v>-1.94107187040848</v>
      </c>
      <c r="F206" s="22" t="n">
        <f aca="false">100*(F72-F71)</f>
        <v>-2.01429691364421</v>
      </c>
      <c r="G206" s="22" t="n">
        <f aca="false">100*(G72-G71)</f>
        <v>-2.02212890237019</v>
      </c>
      <c r="H206" s="22" t="n">
        <f aca="false">100*(H72-H71)</f>
        <v>-1.98463505986599</v>
      </c>
      <c r="I206" s="22" t="n">
        <f aca="false">100*(I72-I71)</f>
        <v>-1.91629458667029</v>
      </c>
      <c r="J206" s="22" t="n">
        <f aca="false">100*(J72-J71)</f>
        <v>-1.82831588730772</v>
      </c>
      <c r="K206" s="22" t="n">
        <f aca="false">100*(K72-K71)</f>
        <v>-1.7296164678589</v>
      </c>
      <c r="L206" s="22" t="n">
        <f aca="false">100*(L72-L71)</f>
        <v>-1.62668794637488</v>
      </c>
      <c r="M206" s="22" t="n">
        <f aca="false">100*(M72-M71)</f>
        <v>-0.534716275244707</v>
      </c>
      <c r="N206" s="22" t="n">
        <f aca="false">100*(N72-N71)</f>
        <v>-0.448499018631177</v>
      </c>
      <c r="O206" s="22" t="n">
        <f aca="false">100*(O72-O71)</f>
        <v>-0.359988752529716</v>
      </c>
      <c r="P206" s="22" t="n">
        <f aca="false">100*(P72-P71)</f>
        <v>-0.269416088258101</v>
      </c>
      <c r="Q206" s="22" t="n">
        <f aca="false">100*(Q72-Q71)</f>
        <v>-0.177101493890675</v>
      </c>
      <c r="R206" s="22" t="n">
        <f aca="false">100*(R72-R71)</f>
        <v>-0.0834318244080201</v>
      </c>
      <c r="S206" s="22" t="n">
        <f aca="false">100*(S72-S71)</f>
        <v>0.0111691910717582</v>
      </c>
      <c r="T206" s="22" t="n">
        <f aca="false">100*(T72-T71)</f>
        <v>0.106249143595161</v>
      </c>
      <c r="U206" s="22" t="n">
        <f aca="false">100*(U72-U71)</f>
        <v>0.20133116199661</v>
      </c>
      <c r="V206" s="22" t="n">
        <f aca="false">100*(V72-V71)</f>
        <v>0.295917313879279</v>
      </c>
      <c r="W206" s="22" t="n">
        <f aca="false">100*(W72-W71)</f>
        <v>0.389491002424158</v>
      </c>
      <c r="X206" s="22" t="n">
        <f aca="false">100*(X72-X71)</f>
        <v>0.481532211789393</v>
      </c>
      <c r="Y206" s="22" t="n">
        <f aca="false">100*(Y72-Y71)</f>
        <v>0.571537891002549</v>
      </c>
      <c r="Z206" s="22" t="n">
        <f aca="false">100*(Z72-Z71)</f>
        <v>0.659050341973178</v>
      </c>
      <c r="AA206" s="22" t="n">
        <f aca="false">100*(AA72-AA71)</f>
        <v>0.74366182910186</v>
      </c>
      <c r="AB206" s="22" t="n">
        <f aca="false">100*(AB72-AB71)</f>
        <v>0.825008648133618</v>
      </c>
      <c r="AC206" s="22" t="n">
        <f aca="false">100*(AC72-AC71)</f>
        <v>0.902770855428248</v>
      </c>
      <c r="AD206" s="22" t="n">
        <f aca="false">100*(AD72-AD71)</f>
        <v>0.976687837026447</v>
      </c>
      <c r="AE206" s="22" t="n">
        <f aca="false">100*(AE72-AE71)</f>
        <v>1.046560719662</v>
      </c>
      <c r="AF206" s="22" t="n">
        <f aca="false">100*(AF72-AF71)</f>
        <v>1.11224615322945</v>
      </c>
      <c r="AG206" s="22" t="n">
        <f aca="false">100*(AG72-AG71)</f>
        <v>1.1736506677682</v>
      </c>
      <c r="AH206" s="22" t="n">
        <f aca="false">100*(AH72-AH71)</f>
        <v>1.23072512405598</v>
      </c>
      <c r="AI206" s="22" t="n">
        <f aca="false">100*(AI72-AI71)</f>
        <v>1.28346007584881</v>
      </c>
      <c r="AJ206" s="22" t="n">
        <f aca="false">100*(AJ72-AJ71)</f>
        <v>1.33188184147572</v>
      </c>
      <c r="AK206" s="22" t="n">
        <f aca="false">100*(AK72-AK71)</f>
        <v>1.37604862632088</v>
      </c>
      <c r="AL206" s="22" t="n">
        <f aca="false">AVERAGE(C206:AK206)</f>
        <v>-0.155932869027167</v>
      </c>
    </row>
    <row r="207" customFormat="false" ht="15" hidden="false" customHeight="false" outlineLevel="0" collapsed="false">
      <c r="A207" s="20" t="n">
        <f aca="false">A73</f>
        <v>-52</v>
      </c>
      <c r="B207" s="21" t="n">
        <f aca="false">B73</f>
        <v>40399</v>
      </c>
      <c r="C207" s="22" t="n">
        <f aca="false">100*(C73-C72)</f>
        <v>1.1851449705757</v>
      </c>
      <c r="D207" s="22" t="n">
        <f aca="false">100*(D73-D72)</f>
        <v>1.33352392578809</v>
      </c>
      <c r="E207" s="22" t="n">
        <f aca="false">100*(E73-E72)</f>
        <v>1.4308130514328</v>
      </c>
      <c r="F207" s="22" t="n">
        <f aca="false">100*(F73-F72)</f>
        <v>1.50081913912992</v>
      </c>
      <c r="G207" s="22" t="n">
        <f aca="false">100*(G73-G72)</f>
        <v>1.5544561116511</v>
      </c>
      <c r="H207" s="22" t="n">
        <f aca="false">100*(H73-H72)</f>
        <v>1.59787154288609</v>
      </c>
      <c r="I207" s="22" t="n">
        <f aca="false">100*(I73-I72)</f>
        <v>1.6348032528489</v>
      </c>
      <c r="J207" s="22" t="n">
        <f aca="false">100*(J73-J72)</f>
        <v>1.66726812831492</v>
      </c>
      <c r="K207" s="22" t="n">
        <f aca="false">100*(K73-K72)</f>
        <v>1.696258180508</v>
      </c>
      <c r="L207" s="22" t="n">
        <f aca="false">100*(L73-L72)</f>
        <v>1.72223354746159</v>
      </c>
      <c r="M207" s="22" t="n">
        <f aca="false">100*(M73-M72)</f>
        <v>1.97018476445101</v>
      </c>
      <c r="N207" s="22" t="n">
        <f aca="false">100*(N73-N72)</f>
        <v>1.9984859296688</v>
      </c>
      <c r="O207" s="22" t="n">
        <f aca="false">100*(O73-O72)</f>
        <v>2.02894842699113</v>
      </c>
      <c r="P207" s="22" t="n">
        <f aca="false">100*(P73-P72)</f>
        <v>2.06149270508877</v>
      </c>
      <c r="Q207" s="22" t="n">
        <f aca="false">100*(Q73-Q72)</f>
        <v>2.09601168574771</v>
      </c>
      <c r="R207" s="22" t="n">
        <f aca="false">100*(R73-R72)</f>
        <v>2.13236983057046</v>
      </c>
      <c r="S207" s="22" t="n">
        <f aca="false">100*(S73-S72)</f>
        <v>2.17040681192175</v>
      </c>
      <c r="T207" s="22" t="n">
        <f aca="false">100*(T73-T72)</f>
        <v>2.20994158641954</v>
      </c>
      <c r="U207" s="22" t="n">
        <f aca="false">100*(U73-U72)</f>
        <v>2.25077544136791</v>
      </c>
      <c r="V207" s="22" t="n">
        <f aca="false">100*(V73-V72)</f>
        <v>2.2926944227363</v>
      </c>
      <c r="W207" s="22" t="n">
        <f aca="false">100*(W73-W72)</f>
        <v>2.33546357495014</v>
      </c>
      <c r="X207" s="22" t="n">
        <f aca="false">100*(X73-X72)</f>
        <v>2.37880665060306</v>
      </c>
      <c r="Y207" s="22" t="n">
        <f aca="false">100*(Y73-Y72)</f>
        <v>2.42241367283658</v>
      </c>
      <c r="Z207" s="22" t="n">
        <f aca="false">100*(Z73-Z72)</f>
        <v>2.46597664281296</v>
      </c>
      <c r="AA207" s="22" t="n">
        <f aca="false">100*(AA73-AA72)</f>
        <v>2.50920080677313</v>
      </c>
      <c r="AB207" s="22" t="n">
        <f aca="false">100*(AB73-AB72)</f>
        <v>2.55180327107771</v>
      </c>
      <c r="AC207" s="22" t="n">
        <f aca="false">100*(AC73-AC72)</f>
        <v>2.59351616624928</v>
      </c>
      <c r="AD207" s="22" t="n">
        <f aca="false">100*(AD73-AD72)</f>
        <v>2.63410184126425</v>
      </c>
      <c r="AE207" s="22" t="n">
        <f aca="false">100*(AE73-AE72)</f>
        <v>2.67335623792704</v>
      </c>
      <c r="AF207" s="22" t="n">
        <f aca="false">100*(AF73-AF72)</f>
        <v>2.7111059303297</v>
      </c>
      <c r="AG207" s="22" t="n">
        <f aca="false">100*(AG73-AG72)</f>
        <v>2.74720659750551</v>
      </c>
      <c r="AH207" s="22" t="n">
        <f aca="false">100*(AH73-AH72)</f>
        <v>2.78154047091252</v>
      </c>
      <c r="AI207" s="22" t="n">
        <f aca="false">100*(AI73-AI72)</f>
        <v>2.81401357379121</v>
      </c>
      <c r="AJ207" s="22" t="n">
        <f aca="false">100*(AJ73-AJ72)</f>
        <v>2.84455363500067</v>
      </c>
      <c r="AK207" s="22" t="n">
        <f aca="false">100*(AK73-AK72)</f>
        <v>2.87310965054823</v>
      </c>
      <c r="AL207" s="22" t="n">
        <f aca="false">AVERAGE(C207:AK207)</f>
        <v>2.16773349080407</v>
      </c>
    </row>
    <row r="208" customFormat="false" ht="15" hidden="false" customHeight="false" outlineLevel="0" collapsed="false">
      <c r="A208" s="20" t="n">
        <f aca="false">A74</f>
        <v>-51</v>
      </c>
      <c r="B208" s="21" t="n">
        <f aca="false">B74</f>
        <v>40400</v>
      </c>
      <c r="C208" s="22" t="n">
        <f aca="false">100*(C74-C73)</f>
        <v>-1.23330286252736</v>
      </c>
      <c r="D208" s="22" t="n">
        <f aca="false">100*(D74-D73)</f>
        <v>-1.30453539521109</v>
      </c>
      <c r="E208" s="22" t="n">
        <f aca="false">100*(E74-E73)</f>
        <v>-1.28824721554861</v>
      </c>
      <c r="F208" s="22" t="n">
        <f aca="false">100*(F74-F73)</f>
        <v>-1.2032779755444</v>
      </c>
      <c r="G208" s="22" t="n">
        <f aca="false">100*(G74-G73)</f>
        <v>-1.06120244855561</v>
      </c>
      <c r="H208" s="22" t="n">
        <f aca="false">100*(H74-H73)</f>
        <v>-0.871073903116493</v>
      </c>
      <c r="I208" s="22" t="n">
        <f aca="false">100*(I74-I73)</f>
        <v>-0.641999040311214</v>
      </c>
      <c r="J208" s="22" t="n">
        <f aca="false">100*(J74-J73)</f>
        <v>-0.384137786999705</v>
      </c>
      <c r="K208" s="22" t="n">
        <f aca="false">100*(K74-K73)</f>
        <v>-0.108196708576314</v>
      </c>
      <c r="L208" s="22" t="n">
        <f aca="false">100*(L74-L73)</f>
        <v>0.175230157664208</v>
      </c>
      <c r="M208" s="22" t="n">
        <f aca="false">100*(M74-M73)</f>
        <v>2.41665046270771</v>
      </c>
      <c r="N208" s="22" t="n">
        <f aca="false">100*(N74-N73)</f>
        <v>2.47330403294206</v>
      </c>
      <c r="O208" s="22" t="n">
        <f aca="false">100*(O74-O73)</f>
        <v>2.52120427734965</v>
      </c>
      <c r="P208" s="22" t="n">
        <f aca="false">100*(P74-P73)</f>
        <v>2.56201521027339</v>
      </c>
      <c r="Q208" s="22" t="n">
        <f aca="false">100*(Q74-Q73)</f>
        <v>2.59734221021306</v>
      </c>
      <c r="R208" s="22" t="n">
        <f aca="false">100*(R74-R73)</f>
        <v>2.62864291641636</v>
      </c>
      <c r="S208" s="22" t="n">
        <f aca="false">100*(S74-S73)</f>
        <v>2.65717312972393</v>
      </c>
      <c r="T208" s="22" t="n">
        <f aca="false">100*(T74-T73)</f>
        <v>2.68401234093281</v>
      </c>
      <c r="U208" s="22" t="n">
        <f aca="false">100*(U74-U73)</f>
        <v>2.71008965874584</v>
      </c>
      <c r="V208" s="22" t="n">
        <f aca="false">100*(V74-V73)</f>
        <v>2.73620516241833</v>
      </c>
      <c r="W208" s="22" t="n">
        <f aca="false">100*(W74-W73)</f>
        <v>2.76303659956332</v>
      </c>
      <c r="X208" s="22" t="n">
        <f aca="false">100*(X74-X73)</f>
        <v>2.79112168660856</v>
      </c>
      <c r="Y208" s="22" t="n">
        <f aca="false">100*(Y74-Y73)</f>
        <v>2.82086919843874</v>
      </c>
      <c r="Z208" s="22" t="n">
        <f aca="false">100*(Z74-Z73)</f>
        <v>2.85258686965975</v>
      </c>
      <c r="AA208" s="22" t="n">
        <f aca="false">100*(AA74-AA73)</f>
        <v>2.88649763924402</v>
      </c>
      <c r="AB208" s="22" t="n">
        <f aca="false">100*(AB74-AB73)</f>
        <v>2.92275001680711</v>
      </c>
      <c r="AC208" s="22" t="n">
        <f aca="false">100*(AC74-AC73)</f>
        <v>2.96142598378504</v>
      </c>
      <c r="AD208" s="22" t="n">
        <f aca="false">100*(AD74-AD73)</f>
        <v>3.00254578663663</v>
      </c>
      <c r="AE208" s="22" t="n">
        <f aca="false">100*(AE74-AE73)</f>
        <v>3.04607399582713</v>
      </c>
      <c r="AF208" s="22" t="n">
        <f aca="false">100*(AF74-AF73)</f>
        <v>3.09192649248722</v>
      </c>
      <c r="AG208" s="22" t="n">
        <f aca="false">100*(AG74-AG73)</f>
        <v>3.1399781313679</v>
      </c>
      <c r="AH208" s="22" t="n">
        <f aca="false">100*(AH74-AH73)</f>
        <v>3.19006784365463</v>
      </c>
      <c r="AI208" s="22" t="n">
        <f aca="false">100*(AI74-AI73)</f>
        <v>3.24200238764423</v>
      </c>
      <c r="AJ208" s="22" t="n">
        <f aca="false">100*(AJ74-AJ73)</f>
        <v>3.29556039518417</v>
      </c>
      <c r="AK208" s="22" t="n">
        <f aca="false">100*(AK74-AK73)</f>
        <v>3.35049939968943</v>
      </c>
      <c r="AL208" s="22" t="n">
        <f aca="false">AVERAGE(C208:AK208)</f>
        <v>1.81208110427413</v>
      </c>
    </row>
    <row r="209" customFormat="false" ht="15" hidden="false" customHeight="false" outlineLevel="0" collapsed="false">
      <c r="A209" s="20" t="n">
        <f aca="false">A75</f>
        <v>-50</v>
      </c>
      <c r="B209" s="21" t="n">
        <f aca="false">B75</f>
        <v>40401</v>
      </c>
      <c r="C209" s="22" t="n">
        <f aca="false">100*(C75-C74)</f>
        <v>-6.83318449757796</v>
      </c>
      <c r="D209" s="22" t="n">
        <f aca="false">100*(D75-D74)</f>
        <v>-8.5596846135874</v>
      </c>
      <c r="E209" s="22" t="n">
        <f aca="false">100*(E75-E74)</f>
        <v>-9.9405309475441</v>
      </c>
      <c r="F209" s="22" t="n">
        <f aca="false">100*(F75-F74)</f>
        <v>-11.0086681789759</v>
      </c>
      <c r="G209" s="22" t="n">
        <f aca="false">100*(G75-G74)</f>
        <v>-11.8044564505167</v>
      </c>
      <c r="H209" s="22" t="n">
        <f aca="false">100*(H75-H74)</f>
        <v>-12.3671174850107</v>
      </c>
      <c r="I209" s="22" t="n">
        <f aca="false">100*(I75-I74)</f>
        <v>-12.7331036572347</v>
      </c>
      <c r="J209" s="22" t="n">
        <f aca="false">100*(J75-J74)</f>
        <v>-12.9352213041134</v>
      </c>
      <c r="K209" s="22" t="n">
        <f aca="false">100*(K75-K74)</f>
        <v>-13.0023281239813</v>
      </c>
      <c r="L209" s="22" t="n">
        <f aca="false">100*(L75-L74)</f>
        <v>-12.9592853874743</v>
      </c>
      <c r="M209" s="22" t="n">
        <f aca="false">100*(M75-M74)</f>
        <v>-7.8918971639582</v>
      </c>
      <c r="N209" s="22" t="n">
        <f aca="false">100*(N75-N74)</f>
        <v>-7.36429953900215</v>
      </c>
      <c r="O209" s="22" t="n">
        <f aca="false">100*(O75-O74)</f>
        <v>-6.83580403551223</v>
      </c>
      <c r="P209" s="22" t="n">
        <f aca="false">100*(P75-P74)</f>
        <v>-6.3088054055938</v>
      </c>
      <c r="Q209" s="22" t="n">
        <f aca="false">100*(Q75-Q74)</f>
        <v>-5.78545093701699</v>
      </c>
      <c r="R209" s="22" t="n">
        <f aca="false">100*(R75-R74)</f>
        <v>-5.26763400803718</v>
      </c>
      <c r="S209" s="22" t="n">
        <f aca="false">100*(S75-S74)</f>
        <v>-4.75699156304748</v>
      </c>
      <c r="T209" s="22" t="n">
        <f aca="false">100*(T75-T74)</f>
        <v>-4.25493959615793</v>
      </c>
      <c r="U209" s="22" t="n">
        <f aca="false">100*(U75-U74)</f>
        <v>-3.7627056438855</v>
      </c>
      <c r="V209" s="22" t="n">
        <f aca="false">100*(V75-V74)</f>
        <v>-3.28135599548913</v>
      </c>
      <c r="W209" s="22" t="n">
        <f aca="false">100*(W75-W74)</f>
        <v>-2.8118461415648</v>
      </c>
      <c r="X209" s="22" t="n">
        <f aca="false">100*(X75-X74)</f>
        <v>-2.35512696039963</v>
      </c>
      <c r="Y209" s="22" t="n">
        <f aca="false">100*(Y75-Y74)</f>
        <v>-1.91214736998466</v>
      </c>
      <c r="Z209" s="22" t="n">
        <f aca="false">100*(Z75-Z74)</f>
        <v>-1.48375213987926</v>
      </c>
      <c r="AA209" s="22" t="n">
        <f aca="false">100*(AA75-AA74)</f>
        <v>-1.07065693908792</v>
      </c>
      <c r="AB209" s="22" t="n">
        <f aca="false">100*(AB75-AB74)</f>
        <v>-0.673463306663358</v>
      </c>
      <c r="AC209" s="22" t="n">
        <f aca="false">100*(AC75-AC74)</f>
        <v>-0.292659688322594</v>
      </c>
      <c r="AD209" s="22" t="n">
        <f aca="false">100*(AD75-AD74)</f>
        <v>0.0714094162876044</v>
      </c>
      <c r="AE209" s="22" t="n">
        <f aca="false">100*(AE75-AE74)</f>
        <v>0.418543836421481</v>
      </c>
      <c r="AF209" s="22" t="n">
        <f aca="false">100*(AF75-AF74)</f>
        <v>0.748666810638277</v>
      </c>
      <c r="AG209" s="22" t="n">
        <f aca="false">100*(AG75-AG74)</f>
        <v>1.06179378503315</v>
      </c>
      <c r="AH209" s="22" t="n">
        <f aca="false">100*(AH75-AH74)</f>
        <v>1.35801597698411</v>
      </c>
      <c r="AI209" s="22" t="n">
        <f aca="false">100*(AI75-AI74)</f>
        <v>1.63749236286241</v>
      </c>
      <c r="AJ209" s="22" t="n">
        <f aca="false">100*(AJ75-AJ74)</f>
        <v>1.90044137756118</v>
      </c>
      <c r="AK209" s="22" t="n">
        <f aca="false">100*(AK75-AK74)</f>
        <v>2.14712632035585</v>
      </c>
      <c r="AL209" s="22" t="n">
        <f aca="false">AVERAGE(C209:AK209)</f>
        <v>-4.825989348385</v>
      </c>
    </row>
    <row r="210" customFormat="false" ht="15" hidden="false" customHeight="false" outlineLevel="0" collapsed="false">
      <c r="A210" s="20" t="n">
        <f aca="false">A76</f>
        <v>-49</v>
      </c>
      <c r="B210" s="21" t="n">
        <f aca="false">B76</f>
        <v>40402</v>
      </c>
      <c r="C210" s="22" t="n">
        <f aca="false">100*(C76-C75)</f>
        <v>-1.68476024736488</v>
      </c>
      <c r="D210" s="22" t="n">
        <f aca="false">100*(D76-D75)</f>
        <v>-2.35137760896389</v>
      </c>
      <c r="E210" s="22" t="n">
        <f aca="false">100*(E76-E75)</f>
        <v>-2.9042219960508</v>
      </c>
      <c r="F210" s="22" t="n">
        <f aca="false">100*(F76-F75)</f>
        <v>-3.307208075946</v>
      </c>
      <c r="G210" s="22" t="n">
        <f aca="false">100*(G76-G75)</f>
        <v>-3.56321895468141</v>
      </c>
      <c r="H210" s="22" t="n">
        <f aca="false">100*(H76-H75)</f>
        <v>-3.69151720906922</v>
      </c>
      <c r="I210" s="22" t="n">
        <f aca="false">100*(I76-I75)</f>
        <v>-3.71735899307479</v>
      </c>
      <c r="J210" s="22" t="n">
        <f aca="false">100*(J76-J75)</f>
        <v>-3.6662947614952</v>
      </c>
      <c r="K210" s="22" t="n">
        <f aca="false">100*(K76-K75)</f>
        <v>-3.56191554768079</v>
      </c>
      <c r="L210" s="22" t="n">
        <f aca="false">100*(L76-L75)</f>
        <v>-3.42518307773911</v>
      </c>
      <c r="M210" s="22" t="n">
        <f aca="false">100*(M76-M75)</f>
        <v>-3.39318329379581</v>
      </c>
      <c r="N210" s="22" t="n">
        <f aca="false">100*(N76-N75)</f>
        <v>-3.60863143365253</v>
      </c>
      <c r="O210" s="22" t="n">
        <f aca="false">100*(O76-O75)</f>
        <v>-3.84411025072486</v>
      </c>
      <c r="P210" s="22" t="n">
        <f aca="false">100*(P76-P75)</f>
        <v>-4.09585407583801</v>
      </c>
      <c r="Q210" s="22" t="n">
        <f aca="false">100*(Q76-Q75)</f>
        <v>-4.36006691980904</v>
      </c>
      <c r="R210" s="22" t="n">
        <f aca="false">100*(R76-R75)</f>
        <v>-4.63316844730963</v>
      </c>
      <c r="S210" s="22" t="n">
        <f aca="false">100*(S76-S75)</f>
        <v>-4.91194937050867</v>
      </c>
      <c r="T210" s="22" t="n">
        <f aca="false">100*(T76-T75)</f>
        <v>-5.19352767653087</v>
      </c>
      <c r="U210" s="22" t="n">
        <f aca="false">100*(U76-U75)</f>
        <v>-5.47530049878713</v>
      </c>
      <c r="V210" s="22" t="n">
        <f aca="false">100*(V76-V75)</f>
        <v>-5.75490447002114</v>
      </c>
      <c r="W210" s="22" t="n">
        <f aca="false">100*(W76-W75)</f>
        <v>-6.03020223452448</v>
      </c>
      <c r="X210" s="22" t="n">
        <f aca="false">100*(X76-X75)</f>
        <v>-6.29931287101471</v>
      </c>
      <c r="Y210" s="22" t="n">
        <f aca="false">100*(Y76-Y75)</f>
        <v>-6.56061365488236</v>
      </c>
      <c r="Z210" s="22" t="n">
        <f aca="false">100*(Z76-Z75)</f>
        <v>-6.81276296936959</v>
      </c>
      <c r="AA210" s="22" t="n">
        <f aca="false">100*(AA76-AA75)</f>
        <v>-7.05468720159281</v>
      </c>
      <c r="AB210" s="22" t="n">
        <f aca="false">100*(AB76-AB75)</f>
        <v>-7.2855485972025</v>
      </c>
      <c r="AC210" s="22" t="n">
        <f aca="false">100*(AC76-AC75)</f>
        <v>-7.50472730271037</v>
      </c>
      <c r="AD210" s="22" t="n">
        <f aca="false">100*(AD76-AD75)</f>
        <v>-7.71183078597604</v>
      </c>
      <c r="AE210" s="22" t="n">
        <f aca="false">100*(AE76-AE75)</f>
        <v>-7.90668088875464</v>
      </c>
      <c r="AF210" s="22" t="n">
        <f aca="false">100*(AF76-AF75)</f>
        <v>-8.08927895241443</v>
      </c>
      <c r="AG210" s="22" t="n">
        <f aca="false">100*(AG76-AG75)</f>
        <v>-8.25974923653066</v>
      </c>
      <c r="AH210" s="22" t="n">
        <f aca="false">100*(AH76-AH75)</f>
        <v>-8.41831256631327</v>
      </c>
      <c r="AI210" s="22" t="n">
        <f aca="false">100*(AI76-AI75)</f>
        <v>-8.56527605143516</v>
      </c>
      <c r="AJ210" s="22" t="n">
        <f aca="false">100*(AJ76-AJ75)</f>
        <v>-8.70102028566722</v>
      </c>
      <c r="AK210" s="22" t="n">
        <f aca="false">100*(AK76-AK75)</f>
        <v>-8.82596896018217</v>
      </c>
      <c r="AL210" s="22" t="n">
        <f aca="false">AVERAGE(C210:AK210)</f>
        <v>-5.46199215621755</v>
      </c>
    </row>
    <row r="211" customFormat="false" ht="15" hidden="false" customHeight="false" outlineLevel="0" collapsed="false">
      <c r="A211" s="20" t="n">
        <f aca="false">A77</f>
        <v>-48</v>
      </c>
      <c r="B211" s="21" t="n">
        <f aca="false">B77</f>
        <v>40403</v>
      </c>
      <c r="C211" s="22" t="n">
        <f aca="false">100*(C77-C76)</f>
        <v>1.72465724362995</v>
      </c>
      <c r="D211" s="22" t="n">
        <f aca="false">100*(D77-D76)</f>
        <v>1.91221974333788</v>
      </c>
      <c r="E211" s="22" t="n">
        <f aca="false">100*(E77-E76)</f>
        <v>2.00922715637921</v>
      </c>
      <c r="F211" s="22" t="n">
        <f aca="false">100*(F77-F76)</f>
        <v>2.03806483667059</v>
      </c>
      <c r="G211" s="22" t="n">
        <f aca="false">100*(G77-G76)</f>
        <v>2.0128082767874</v>
      </c>
      <c r="H211" s="22" t="n">
        <f aca="false">100*(H77-H76)</f>
        <v>1.94447450130291</v>
      </c>
      <c r="I211" s="22" t="n">
        <f aca="false">100*(I77-I76)</f>
        <v>1.8428823950706</v>
      </c>
      <c r="J211" s="22" t="n">
        <f aca="false">100*(J77-J76)</f>
        <v>1.71702150370541</v>
      </c>
      <c r="K211" s="22" t="n">
        <f aca="false">100*(K77-K76)</f>
        <v>1.5757794386023</v>
      </c>
      <c r="L211" s="22" t="n">
        <f aca="false">100*(L77-L76)</f>
        <v>1.42690450392871</v>
      </c>
      <c r="M211" s="22" t="n">
        <f aca="false">100*(M77-M76)</f>
        <v>0.275862669619498</v>
      </c>
      <c r="N211" s="22" t="n">
        <f aca="false">100*(N77-N76)</f>
        <v>0.256013653344622</v>
      </c>
      <c r="O211" s="22" t="n">
        <f aca="false">100*(O77-O76)</f>
        <v>0.239834764407387</v>
      </c>
      <c r="P211" s="22" t="n">
        <f aca="false">100*(P77-P76)</f>
        <v>0.225869991832894</v>
      </c>
      <c r="Q211" s="22" t="n">
        <f aca="false">100*(Q77-Q76)</f>
        <v>0.212729019141378</v>
      </c>
      <c r="R211" s="22" t="n">
        <f aca="false">100*(R77-R76)</f>
        <v>0.199250075685953</v>
      </c>
      <c r="S211" s="22" t="n">
        <f aca="false">100*(S77-S76)</f>
        <v>0.184617148281685</v>
      </c>
      <c r="T211" s="22" t="n">
        <f aca="false">100*(T77-T76)</f>
        <v>0.168319277319373</v>
      </c>
      <c r="U211" s="22" t="n">
        <f aca="false">100*(U77-U76)</f>
        <v>0.150105695946401</v>
      </c>
      <c r="V211" s="22" t="n">
        <f aca="false">100*(V77-V76)</f>
        <v>0.12994848327974</v>
      </c>
      <c r="W211" s="22" t="n">
        <f aca="false">100*(W77-W76)</f>
        <v>0.108011421574528</v>
      </c>
      <c r="X211" s="22" t="n">
        <f aca="false">100*(X77-X76)</f>
        <v>0.0846450849199876</v>
      </c>
      <c r="Y211" s="22" t="n">
        <f aca="false">100*(Y77-Y76)</f>
        <v>0.0603539073311232</v>
      </c>
      <c r="Z211" s="22" t="n">
        <f aca="false">100*(Z77-Z76)</f>
        <v>0.0356905171888577</v>
      </c>
      <c r="AA211" s="22" t="n">
        <f aca="false">100*(AA77-AA76)</f>
        <v>0.0112156792242857</v>
      </c>
      <c r="AB211" s="22" t="n">
        <f aca="false">100*(AB77-AB76)</f>
        <v>-0.0125036331983353</v>
      </c>
      <c r="AC211" s="22" t="n">
        <f aca="false">100*(AC77-AC76)</f>
        <v>-0.0349193525083891</v>
      </c>
      <c r="AD211" s="22" t="n">
        <f aca="false">100*(AD77-AD76)</f>
        <v>-0.0555793989236442</v>
      </c>
      <c r="AE211" s="22" t="n">
        <f aca="false">100*(AE77-AE76)</f>
        <v>-0.0741448680924961</v>
      </c>
      <c r="AF211" s="22" t="n">
        <f aca="false">100*(AF77-AF76)</f>
        <v>-0.0903773285577003</v>
      </c>
      <c r="AG211" s="22" t="n">
        <f aca="false">100*(AG77-AG76)</f>
        <v>-0.104127997245662</v>
      </c>
      <c r="AH211" s="22" t="n">
        <f aca="false">100*(AH77-AH76)</f>
        <v>-0.115328914315249</v>
      </c>
      <c r="AI211" s="22" t="n">
        <f aca="false">100*(AI77-AI76)</f>
        <v>-0.123984555739565</v>
      </c>
      <c r="AJ211" s="22" t="n">
        <f aca="false">100*(AJ77-AJ76)</f>
        <v>-0.130163104121284</v>
      </c>
      <c r="AK211" s="22" t="n">
        <f aca="false">100*(AK77-AK76)</f>
        <v>-0.133984449448032</v>
      </c>
      <c r="AL211" s="22" t="n">
        <f aca="false">AVERAGE(C211:AK211)</f>
        <v>0.562039811038923</v>
      </c>
    </row>
    <row r="212" customFormat="false" ht="15" hidden="false" customHeight="false" outlineLevel="0" collapsed="false">
      <c r="A212" s="20" t="n">
        <f aca="false">A78</f>
        <v>-47</v>
      </c>
      <c r="B212" s="21" t="n">
        <f aca="false">B78</f>
        <v>40406</v>
      </c>
      <c r="C212" s="22" t="n">
        <f aca="false">100*(C78-C77)</f>
        <v>-5.25712917419476</v>
      </c>
      <c r="D212" s="22" t="n">
        <f aca="false">100*(D78-D77)</f>
        <v>-5.80335053300329</v>
      </c>
      <c r="E212" s="22" t="n">
        <f aca="false">100*(E78-E77)</f>
        <v>-6.0751351210933</v>
      </c>
      <c r="F212" s="22" t="n">
        <f aca="false">100*(F78-F77)</f>
        <v>-6.17454757811029</v>
      </c>
      <c r="G212" s="22" t="n">
        <f aca="false">100*(G78-G77)</f>
        <v>-6.170635662446</v>
      </c>
      <c r="H212" s="22" t="n">
        <f aca="false">100*(H78-H77)</f>
        <v>-6.11192563680041</v>
      </c>
      <c r="I212" s="22" t="n">
        <f aca="false">100*(I78-I77)</f>
        <v>-6.03447949246452</v>
      </c>
      <c r="J212" s="22" t="n">
        <f aca="false">100*(J78-J77)</f>
        <v>-5.96593967350203</v>
      </c>
      <c r="K212" s="22" t="n">
        <f aca="false">100*(K78-K77)</f>
        <v>-5.92751761021111</v>
      </c>
      <c r="L212" s="22" t="n">
        <f aca="false">100*(L78-L77)</f>
        <v>-5.93455745565668</v>
      </c>
      <c r="M212" s="22" t="n">
        <f aca="false">100*(M78-M77)</f>
        <v>-9.03971440536231</v>
      </c>
      <c r="N212" s="22" t="n">
        <f aca="false">100*(N78-N77)</f>
        <v>-9.31472269956339</v>
      </c>
      <c r="O212" s="22" t="n">
        <f aca="false">100*(O78-O77)</f>
        <v>-9.57997909723223</v>
      </c>
      <c r="P212" s="22" t="n">
        <f aca="false">100*(P78-P77)</f>
        <v>-9.83461391574991</v>
      </c>
      <c r="Q212" s="22" t="n">
        <f aca="false">100*(Q78-Q77)</f>
        <v>-10.0779934951876</v>
      </c>
      <c r="R212" s="22" t="n">
        <f aca="false">100*(R78-R77)</f>
        <v>-10.3096447547372</v>
      </c>
      <c r="S212" s="22" t="n">
        <f aca="false">100*(S78-S77)</f>
        <v>-10.5291970042371</v>
      </c>
      <c r="T212" s="22" t="n">
        <f aca="false">100*(T78-T77)</f>
        <v>-10.7363639084872</v>
      </c>
      <c r="U212" s="22" t="n">
        <f aca="false">100*(U78-U77)</f>
        <v>-10.9309310821084</v>
      </c>
      <c r="V212" s="22" t="n">
        <f aca="false">100*(V78-V77)</f>
        <v>-11.1127460412545</v>
      </c>
      <c r="W212" s="22" t="n">
        <f aca="false">100*(W78-W77)</f>
        <v>-11.2817256110109</v>
      </c>
      <c r="X212" s="22" t="n">
        <f aca="false">100*(X78-X77)</f>
        <v>-11.4378913989798</v>
      </c>
      <c r="Y212" s="22" t="n">
        <f aca="false">100*(Y78-Y77)</f>
        <v>-11.5813753729012</v>
      </c>
      <c r="Z212" s="22" t="n">
        <f aca="false">100*(Z78-Z77)</f>
        <v>-11.7124269850462</v>
      </c>
      <c r="AA212" s="22" t="n">
        <f aca="false">100*(AA78-AA77)</f>
        <v>-11.8314065763175</v>
      </c>
      <c r="AB212" s="22" t="n">
        <f aca="false">100*(AB78-AB77)</f>
        <v>-11.9387720095064</v>
      </c>
      <c r="AC212" s="22" t="n">
        <f aca="false">100*(AC78-AC77)</f>
        <v>-12.0350663671357</v>
      </c>
      <c r="AD212" s="22" t="n">
        <f aca="false">100*(AD78-AD77)</f>
        <v>-12.120904434805</v>
      </c>
      <c r="AE212" s="22" t="n">
        <f aca="false">100*(AE78-AE77)</f>
        <v>-12.1969626848018</v>
      </c>
      <c r="AF212" s="22" t="n">
        <f aca="false">100*(AF78-AF77)</f>
        <v>-12.2639630626732</v>
      </c>
      <c r="AG212" s="22" t="n">
        <f aca="false">100*(AG78-AG77)</f>
        <v>-12.3226394972029</v>
      </c>
      <c r="AH212" s="22" t="n">
        <f aca="false">100*(AH78-AH77)</f>
        <v>-12.3737270752712</v>
      </c>
      <c r="AI212" s="22" t="n">
        <f aca="false">100*(AI78-AI77)</f>
        <v>-12.4179617806933</v>
      </c>
      <c r="AJ212" s="22" t="n">
        <f aca="false">100*(AJ78-AJ77)</f>
        <v>-12.4560762602017</v>
      </c>
      <c r="AK212" s="22" t="n">
        <f aca="false">100*(AK78-AK77)</f>
        <v>-12.4887779813555</v>
      </c>
      <c r="AL212" s="22" t="n">
        <f aca="false">AVERAGE(C212:AK212)</f>
        <v>-9.75373718398013</v>
      </c>
    </row>
    <row r="213" customFormat="false" ht="15" hidden="false" customHeight="false" outlineLevel="0" collapsed="false">
      <c r="A213" s="20" t="n">
        <f aca="false">A79</f>
        <v>-46</v>
      </c>
      <c r="B213" s="21" t="n">
        <f aca="false">B79</f>
        <v>40407</v>
      </c>
      <c r="C213" s="22" t="n">
        <f aca="false">100*(C79-C78)</f>
        <v>1.66095019841672</v>
      </c>
      <c r="D213" s="22" t="n">
        <f aca="false">100*(D79-D78)</f>
        <v>1.6587796525479</v>
      </c>
      <c r="E213" s="22" t="n">
        <f aca="false">100*(E79-E78)</f>
        <v>1.63875470842318</v>
      </c>
      <c r="F213" s="22" t="n">
        <f aca="false">100*(F79-F78)</f>
        <v>1.61968747049419</v>
      </c>
      <c r="G213" s="22" t="n">
        <f aca="false">100*(G79-G78)</f>
        <v>1.60722407848619</v>
      </c>
      <c r="H213" s="22" t="n">
        <f aca="false">100*(H79-H78)</f>
        <v>1.60313202499471</v>
      </c>
      <c r="I213" s="22" t="n">
        <f aca="false">100*(I79-I78)</f>
        <v>1.60776745762421</v>
      </c>
      <c r="J213" s="22" t="n">
        <f aca="false">100*(J79-J78)</f>
        <v>1.62040068877984</v>
      </c>
      <c r="K213" s="22" t="n">
        <f aca="false">100*(K79-K78)</f>
        <v>1.6388763767706</v>
      </c>
      <c r="L213" s="22" t="n">
        <f aca="false">100*(L79-L78)</f>
        <v>1.65999639531518</v>
      </c>
      <c r="M213" s="22" t="n">
        <f aca="false">100*(M79-M78)</f>
        <v>1.30055528201898</v>
      </c>
      <c r="N213" s="22" t="n">
        <f aca="false">100*(N79-N78)</f>
        <v>1.22535794984109</v>
      </c>
      <c r="O213" s="22" t="n">
        <f aca="false">100*(O79-O78)</f>
        <v>1.14928501680853</v>
      </c>
      <c r="P213" s="22" t="n">
        <f aca="false">100*(P79-P78)</f>
        <v>1.07357121643141</v>
      </c>
      <c r="Q213" s="22" t="n">
        <f aca="false">100*(Q79-Q78)</f>
        <v>0.999380907931879</v>
      </c>
      <c r="R213" s="22" t="n">
        <f aca="false">100*(R79-R78)</f>
        <v>0.927737251455163</v>
      </c>
      <c r="S213" s="22" t="n">
        <f aca="false">100*(S79-S78)</f>
        <v>0.859486351049554</v>
      </c>
      <c r="T213" s="22" t="n">
        <f aca="false">100*(T79-T78)</f>
        <v>0.795320846568437</v>
      </c>
      <c r="U213" s="22" t="n">
        <f aca="false">100*(U79-U78)</f>
        <v>0.735802481933767</v>
      </c>
      <c r="V213" s="22" t="n">
        <f aca="false">100*(V79-V78)</f>
        <v>0.681380571457702</v>
      </c>
      <c r="W213" s="22" t="n">
        <f aca="false">100*(W79-W78)</f>
        <v>0.632392538151194</v>
      </c>
      <c r="X213" s="22" t="n">
        <f aca="false">100*(X79-X78)</f>
        <v>0.58903847941929</v>
      </c>
      <c r="Y213" s="22" t="n">
        <f aca="false">100*(Y79-Y78)</f>
        <v>0.551391171025717</v>
      </c>
      <c r="Z213" s="22" t="n">
        <f aca="false">100*(Z79-Z78)</f>
        <v>0.519422013819337</v>
      </c>
      <c r="AA213" s="22" t="n">
        <f aca="false">100*(AA79-AA78)</f>
        <v>0.49301659747405</v>
      </c>
      <c r="AB213" s="22" t="n">
        <f aca="false">100*(AB79-AB78)</f>
        <v>0.471985220696247</v>
      </c>
      <c r="AC213" s="22" t="n">
        <f aca="false">100*(AC79-AC78)</f>
        <v>0.456075529594191</v>
      </c>
      <c r="AD213" s="22" t="n">
        <f aca="false">100*(AD79-AD78)</f>
        <v>0.444992910467423</v>
      </c>
      <c r="AE213" s="22" t="n">
        <f aca="false">100*(AE79-AE78)</f>
        <v>0.43841041830559</v>
      </c>
      <c r="AF213" s="22" t="n">
        <f aca="false">100*(AF79-AF78)</f>
        <v>0.435978304281459</v>
      </c>
      <c r="AG213" s="22" t="n">
        <f aca="false">100*(AG79-AG78)</f>
        <v>0.437343560090397</v>
      </c>
      <c r="AH213" s="22" t="n">
        <f aca="false">100*(AH79-AH78)</f>
        <v>0.442155692489088</v>
      </c>
      <c r="AI213" s="22" t="n">
        <f aca="false">100*(AI79-AI78)</f>
        <v>0.450066532722104</v>
      </c>
      <c r="AJ213" s="22" t="n">
        <f aca="false">100*(AJ79-AJ78)</f>
        <v>0.460732348632309</v>
      </c>
      <c r="AK213" s="22" t="n">
        <f aca="false">100*(AK79-AK78)</f>
        <v>0.47382518610819</v>
      </c>
      <c r="AL213" s="22" t="n">
        <f aca="false">AVERAGE(C213:AK213)</f>
        <v>0.953150669446453</v>
      </c>
    </row>
    <row r="214" customFormat="false" ht="15" hidden="false" customHeight="false" outlineLevel="0" collapsed="false">
      <c r="A214" s="20" t="n">
        <f aca="false">A80</f>
        <v>-45</v>
      </c>
      <c r="B214" s="21" t="n">
        <f aca="false">B80</f>
        <v>40408</v>
      </c>
      <c r="C214" s="22" t="n">
        <f aca="false">100*(C80-C79)</f>
        <v>-1.93778287341374</v>
      </c>
      <c r="D214" s="22" t="n">
        <f aca="false">100*(D80-D79)</f>
        <v>-2.07615298830441</v>
      </c>
      <c r="E214" s="22" t="n">
        <f aca="false">100*(E80-E79)</f>
        <v>-2.2269166383375</v>
      </c>
      <c r="F214" s="22" t="n">
        <f aca="false">100*(F80-F79)</f>
        <v>-2.38517010553549</v>
      </c>
      <c r="G214" s="22" t="n">
        <f aca="false">100*(G80-G79)</f>
        <v>-2.54760494203858</v>
      </c>
      <c r="H214" s="22" t="n">
        <f aca="false">100*(H80-H79)</f>
        <v>-2.7101013619194</v>
      </c>
      <c r="I214" s="22" t="n">
        <f aca="false">100*(I80-I79)</f>
        <v>-2.86825946680591</v>
      </c>
      <c r="J214" s="22" t="n">
        <f aca="false">100*(J80-J79)</f>
        <v>-3.01755779280311</v>
      </c>
      <c r="K214" s="22" t="n">
        <f aca="false">100*(K80-K79)</f>
        <v>-3.15371674526102</v>
      </c>
      <c r="L214" s="22" t="n">
        <f aca="false">100*(L80-L79)</f>
        <v>-3.27286622681471</v>
      </c>
      <c r="M214" s="22" t="n">
        <f aca="false">100*(M80-M79)</f>
        <v>-2.71619920144848</v>
      </c>
      <c r="N214" s="22" t="n">
        <f aca="false">100*(N80-N79)</f>
        <v>-2.5413260702134</v>
      </c>
      <c r="O214" s="22" t="n">
        <f aca="false">100*(O80-O79)</f>
        <v>-2.35733492451899</v>
      </c>
      <c r="P214" s="22" t="n">
        <f aca="false">100*(P80-P79)</f>
        <v>-2.16638590155691</v>
      </c>
      <c r="Q214" s="22" t="n">
        <f aca="false">100*(Q80-Q79)</f>
        <v>-1.97059911747548</v>
      </c>
      <c r="R214" s="22" t="n">
        <f aca="false">100*(R80-R79)</f>
        <v>-1.77192720090544</v>
      </c>
      <c r="S214" s="22" t="n">
        <f aca="false">100*(S80-S79)</f>
        <v>-1.57207668399106</v>
      </c>
      <c r="T214" s="22" t="n">
        <f aca="false">100*(T80-T79)</f>
        <v>-1.37253842577216</v>
      </c>
      <c r="U214" s="22" t="n">
        <f aca="false">100*(U80-U79)</f>
        <v>-1.17461932881673</v>
      </c>
      <c r="V214" s="22" t="n">
        <f aca="false">100*(V80-V79)</f>
        <v>-0.979468490129509</v>
      </c>
      <c r="W214" s="22" t="n">
        <f aca="false">100*(W80-W79)</f>
        <v>-0.788081175951483</v>
      </c>
      <c r="X214" s="22" t="n">
        <f aca="false">100*(X80-X79)</f>
        <v>-0.601254843421817</v>
      </c>
      <c r="Y214" s="22" t="n">
        <f aca="false">100*(Y80-Y79)</f>
        <v>-0.419592565280791</v>
      </c>
      <c r="Z214" s="22" t="n">
        <f aca="false">100*(Z80-Z79)</f>
        <v>-0.243536986326998</v>
      </c>
      <c r="AA214" s="22" t="n">
        <f aca="false">100*(AA80-AA79)</f>
        <v>-0.0733942010607613</v>
      </c>
      <c r="AB214" s="22" t="n">
        <f aca="false">100*(AB80-AB79)</f>
        <v>0.0906494733341035</v>
      </c>
      <c r="AC214" s="22" t="n">
        <f aca="false">100*(AC80-AC79)</f>
        <v>0.248510316939665</v>
      </c>
      <c r="AD214" s="22" t="n">
        <f aca="false">100*(AD80-AD79)</f>
        <v>0.400187155540888</v>
      </c>
      <c r="AE214" s="22" t="n">
        <f aca="false">100*(AE80-AE79)</f>
        <v>0.54574947600754</v>
      </c>
      <c r="AF214" s="22" t="n">
        <f aca="false">100*(AF80-AF79)</f>
        <v>0.685321803054162</v>
      </c>
      <c r="AG214" s="22" t="n">
        <f aca="false">100*(AG80-AG79)</f>
        <v>0.819052813261045</v>
      </c>
      <c r="AH214" s="22" t="n">
        <f aca="false">100*(AH80-AH79)</f>
        <v>0.947104044535863</v>
      </c>
      <c r="AI214" s="22" t="n">
        <f aca="false">100*(AI80-AI79)</f>
        <v>1.06964841932182</v>
      </c>
      <c r="AJ214" s="22" t="n">
        <f aca="false">100*(AJ80-AJ79)</f>
        <v>1.18686692119629</v>
      </c>
      <c r="AK214" s="22" t="n">
        <f aca="false">100*(AK80-AK79)</f>
        <v>1.29893500521705</v>
      </c>
      <c r="AL214" s="22" t="n">
        <f aca="false">AVERAGE(C214:AK214)</f>
        <v>-1.13292682370558</v>
      </c>
    </row>
    <row r="215" customFormat="false" ht="15" hidden="false" customHeight="false" outlineLevel="0" collapsed="false">
      <c r="A215" s="20" t="n">
        <f aca="false">A81</f>
        <v>-44</v>
      </c>
      <c r="B215" s="21" t="n">
        <f aca="false">B81</f>
        <v>40409</v>
      </c>
      <c r="C215" s="22" t="n">
        <f aca="false">100*(C81-C80)</f>
        <v>-2.57290315543579</v>
      </c>
      <c r="D215" s="22" t="n">
        <f aca="false">100*(D81-D80)</f>
        <v>-2.86150964959899</v>
      </c>
      <c r="E215" s="22" t="n">
        <f aca="false">100*(E81-E80)</f>
        <v>-2.9690404053123</v>
      </c>
      <c r="F215" s="22" t="n">
        <f aca="false">100*(F81-F80)</f>
        <v>-2.9647747678486</v>
      </c>
      <c r="G215" s="22" t="n">
        <f aca="false">100*(G81-G80)</f>
        <v>-2.890472693559</v>
      </c>
      <c r="H215" s="22" t="n">
        <f aca="false">100*(H81-H80)</f>
        <v>-2.77098588991209</v>
      </c>
      <c r="I215" s="22" t="n">
        <f aca="false">100*(I81-I80)</f>
        <v>-2.6226992480221</v>
      </c>
      <c r="J215" s="22" t="n">
        <f aca="false">100*(J81-J80)</f>
        <v>-2.45843376050181</v>
      </c>
      <c r="K215" s="22" t="n">
        <f aca="false">100*(K81-K80)</f>
        <v>-2.28979684661379</v>
      </c>
      <c r="L215" s="22" t="n">
        <f aca="false">100*(L81-L80)</f>
        <v>-2.12712872728269</v>
      </c>
      <c r="M215" s="22" t="n">
        <f aca="false">100*(M81-M80)</f>
        <v>-1.96436553153059</v>
      </c>
      <c r="N215" s="22" t="n">
        <f aca="false">100*(N81-N80)</f>
        <v>-2.055221381484</v>
      </c>
      <c r="O215" s="22" t="n">
        <f aca="false">100*(O81-O80)</f>
        <v>-2.14716786471141</v>
      </c>
      <c r="P215" s="22" t="n">
        <f aca="false">100*(P81-P80)</f>
        <v>-2.23801424680059</v>
      </c>
      <c r="Q215" s="22" t="n">
        <f aca="false">100*(Q81-Q80)</f>
        <v>-2.32578734235291</v>
      </c>
      <c r="R215" s="22" t="n">
        <f aca="false">100*(R81-R80)</f>
        <v>-2.40886067866102</v>
      </c>
      <c r="S215" s="22" t="n">
        <f aca="false">100*(S81-S80)</f>
        <v>-2.48601787464251</v>
      </c>
      <c r="T215" s="22" t="n">
        <f aca="false">100*(T81-T80)</f>
        <v>-2.55639727142158</v>
      </c>
      <c r="U215" s="22" t="n">
        <f aca="false">100*(U81-U80)</f>
        <v>-2.61943976729766</v>
      </c>
      <c r="V215" s="22" t="n">
        <f aca="false">100*(V81-V80)</f>
        <v>-2.67484556947739</v>
      </c>
      <c r="W215" s="22" t="n">
        <f aca="false">100*(W81-W80)</f>
        <v>-2.72253005022245</v>
      </c>
      <c r="X215" s="22" t="n">
        <f aca="false">100*(X81-X80)</f>
        <v>-2.76256198715252</v>
      </c>
      <c r="Y215" s="22" t="n">
        <f aca="false">100*(Y81-Y80)</f>
        <v>-2.79512609369874</v>
      </c>
      <c r="Z215" s="22" t="n">
        <f aca="false">100*(Z81-Z80)</f>
        <v>-2.82049774568813</v>
      </c>
      <c r="AA215" s="22" t="n">
        <f aca="false">100*(AA81-AA80)</f>
        <v>-2.83902868876211</v>
      </c>
      <c r="AB215" s="22" t="n">
        <f aca="false">100*(AB81-AB80)</f>
        <v>-2.85113761214886</v>
      </c>
      <c r="AC215" s="22" t="n">
        <f aca="false">100*(AC81-AC80)</f>
        <v>-2.85729376355208</v>
      </c>
      <c r="AD215" s="22" t="n">
        <f aca="false">100*(AD81-AD80)</f>
        <v>-2.85798349168331</v>
      </c>
      <c r="AE215" s="22" t="n">
        <f aca="false">100*(AE81-AE80)</f>
        <v>-2.8536983643014</v>
      </c>
      <c r="AF215" s="22" t="n">
        <f aca="false">100*(AF81-AF80)</f>
        <v>-2.84492801099727</v>
      </c>
      <c r="AG215" s="22" t="n">
        <f aca="false">100*(AG81-AG80)</f>
        <v>-2.83214187659286</v>
      </c>
      <c r="AH215" s="22" t="n">
        <f aca="false">100*(AH81-AH80)</f>
        <v>-2.81578558543663</v>
      </c>
      <c r="AI215" s="22" t="n">
        <f aca="false">100*(AI81-AI80)</f>
        <v>-2.79628334606397</v>
      </c>
      <c r="AJ215" s="22" t="n">
        <f aca="false">100*(AJ81-AJ80)</f>
        <v>-2.774036476616</v>
      </c>
      <c r="AK215" s="22" t="n">
        <f aca="false">100*(AK81-AK80)</f>
        <v>-2.74940729851476</v>
      </c>
      <c r="AL215" s="22" t="n">
        <f aca="false">AVERAGE(C215:AK215)</f>
        <v>-2.63360865896851</v>
      </c>
    </row>
    <row r="216" customFormat="false" ht="15" hidden="false" customHeight="false" outlineLevel="0" collapsed="false">
      <c r="A216" s="20" t="n">
        <f aca="false">A82</f>
        <v>-43</v>
      </c>
      <c r="B216" s="21" t="n">
        <f aca="false">B82</f>
        <v>40410</v>
      </c>
      <c r="C216" s="22" t="n">
        <f aca="false">100*(C82-C81)</f>
        <v>-2.76213630551605</v>
      </c>
      <c r="D216" s="22" t="n">
        <f aca="false">100*(D82-D81)</f>
        <v>-3.41862558865286</v>
      </c>
      <c r="E216" s="22" t="n">
        <f aca="false">100*(E82-E81)</f>
        <v>-3.843899997343</v>
      </c>
      <c r="F216" s="22" t="n">
        <f aca="false">100*(F82-F81)</f>
        <v>-4.09244081678362</v>
      </c>
      <c r="G216" s="22" t="n">
        <f aca="false">100*(G82-G81)</f>
        <v>-4.21511742959981</v>
      </c>
      <c r="H216" s="22" t="n">
        <f aca="false">100*(H82-H81)</f>
        <v>-4.25062577882251</v>
      </c>
      <c r="I216" s="22" t="n">
        <f aca="false">100*(I82-I81)</f>
        <v>-4.22686021905059</v>
      </c>
      <c r="J216" s="22" t="n">
        <f aca="false">100*(J82-J81)</f>
        <v>-4.1628014679393</v>
      </c>
      <c r="K216" s="22" t="n">
        <f aca="false">100*(K82-K81)</f>
        <v>-4.0727506202932</v>
      </c>
      <c r="L216" s="22" t="n">
        <f aca="false">100*(L82-L81)</f>
        <v>-3.96702616264202</v>
      </c>
      <c r="M216" s="22" t="n">
        <f aca="false">100*(M82-M81)</f>
        <v>-2.73129304497641</v>
      </c>
      <c r="N216" s="22" t="n">
        <f aca="false">100*(N82-N81)</f>
        <v>-2.66214637771038</v>
      </c>
      <c r="O216" s="22" t="n">
        <f aca="false">100*(O82-O81)</f>
        <v>-2.59370532723979</v>
      </c>
      <c r="P216" s="22" t="n">
        <f aca="false">100*(P82-P81)</f>
        <v>-2.52536761461872</v>
      </c>
      <c r="Q216" s="22" t="n">
        <f aca="false">100*(Q82-Q81)</f>
        <v>-2.45659440387929</v>
      </c>
      <c r="R216" s="22" t="n">
        <f aca="false">100*(R82-R81)</f>
        <v>-2.38697780867638</v>
      </c>
      <c r="S216" s="22" t="n">
        <f aca="false">100*(S82-S81)</f>
        <v>-2.31626100440017</v>
      </c>
      <c r="T216" s="22" t="n">
        <f aca="false">100*(T82-T81)</f>
        <v>-2.24431635860185</v>
      </c>
      <c r="U216" s="22" t="n">
        <f aca="false">100*(U82-U81)</f>
        <v>-2.17112643214774</v>
      </c>
      <c r="V216" s="22" t="n">
        <f aca="false">100*(V82-V81)</f>
        <v>-2.09676853387553</v>
      </c>
      <c r="W216" s="22" t="n">
        <f aca="false">100*(W82-W81)</f>
        <v>-2.02140849938255</v>
      </c>
      <c r="X216" s="22" t="n">
        <f aca="false">100*(X82-X81)</f>
        <v>-1.94528912279823</v>
      </c>
      <c r="Y216" s="22" t="n">
        <f aca="false">100*(Y82-Y81)</f>
        <v>-1.86870492106266</v>
      </c>
      <c r="Z216" s="22" t="n">
        <f aca="false">100*(Z82-Z81)</f>
        <v>-1.79197441978589</v>
      </c>
      <c r="AA216" s="22" t="n">
        <f aca="false">100*(AA82-AA81)</f>
        <v>-1.71543190858268</v>
      </c>
      <c r="AB216" s="22" t="n">
        <f aca="false">100*(AB82-AB81)</f>
        <v>-1.63942543976461</v>
      </c>
      <c r="AC216" s="22" t="n">
        <f aca="false">100*(AC82-AC81)</f>
        <v>-1.56430830352914</v>
      </c>
      <c r="AD216" s="22" t="n">
        <f aca="false">100*(AD82-AD81)</f>
        <v>-1.49041504980127</v>
      </c>
      <c r="AE216" s="22" t="n">
        <f aca="false">100*(AE82-AE81)</f>
        <v>-1.41805492880298</v>
      </c>
      <c r="AF216" s="22" t="n">
        <f aca="false">100*(AF82-AF81)</f>
        <v>-1.34750934062442</v>
      </c>
      <c r="AG216" s="22" t="n">
        <f aca="false">100*(AG82-AG81)</f>
        <v>-1.279023074036</v>
      </c>
      <c r="AH216" s="22" t="n">
        <f aca="false">100*(AH82-AH81)</f>
        <v>-1.21280556900061</v>
      </c>
      <c r="AI216" s="22" t="n">
        <f aca="false">100*(AI82-AI81)</f>
        <v>-1.14903458956297</v>
      </c>
      <c r="AJ216" s="22" t="n">
        <f aca="false">100*(AJ82-AJ81)</f>
        <v>-1.08785692609628</v>
      </c>
      <c r="AK216" s="22" t="n">
        <f aca="false">100*(AK82-AK81)</f>
        <v>-1.02938230399374</v>
      </c>
      <c r="AL216" s="22" t="n">
        <f aca="false">AVERAGE(C216:AK216)</f>
        <v>-2.45021330541695</v>
      </c>
    </row>
    <row r="217" customFormat="false" ht="15" hidden="false" customHeight="false" outlineLevel="0" collapsed="false">
      <c r="A217" s="20" t="n">
        <f aca="false">A83</f>
        <v>-42</v>
      </c>
      <c r="B217" s="21" t="n">
        <f aca="false">B83</f>
        <v>40413</v>
      </c>
      <c r="C217" s="22" t="n">
        <f aca="false">100*(C83-C82)</f>
        <v>-0.35747230726918</v>
      </c>
      <c r="D217" s="22" t="n">
        <f aca="false">100*(D83-D82)</f>
        <v>-0.386060243845976</v>
      </c>
      <c r="E217" s="22" t="n">
        <f aca="false">100*(E83-E82)</f>
        <v>-0.365435076521692</v>
      </c>
      <c r="F217" s="22" t="n">
        <f aca="false">100*(F83-F82)</f>
        <v>-0.334702818475985</v>
      </c>
      <c r="G217" s="22" t="n">
        <f aca="false">100*(G83-G82)</f>
        <v>-0.308832184225905</v>
      </c>
      <c r="H217" s="22" t="n">
        <f aca="false">100*(H83-H82)</f>
        <v>-0.292453111979185</v>
      </c>
      <c r="I217" s="22" t="n">
        <f aca="false">100*(I83-I82)</f>
        <v>-0.285691854580317</v>
      </c>
      <c r="J217" s="22" t="n">
        <f aca="false">100*(J83-J82)</f>
        <v>-0.287216832100823</v>
      </c>
      <c r="K217" s="22" t="n">
        <f aca="false">100*(K83-K82)</f>
        <v>-0.295330995642207</v>
      </c>
      <c r="L217" s="22" t="n">
        <f aca="false">100*(L83-L82)</f>
        <v>-0.308266976567762</v>
      </c>
      <c r="M217" s="22" t="n">
        <f aca="false">100*(M83-M82)</f>
        <v>-0.596284949639703</v>
      </c>
      <c r="N217" s="22" t="n">
        <f aca="false">100*(N83-N82)</f>
        <v>-0.621626524156937</v>
      </c>
      <c r="O217" s="22" t="n">
        <f aca="false">100*(O83-O82)</f>
        <v>-0.646584011016316</v>
      </c>
      <c r="P217" s="22" t="n">
        <f aca="false">100*(P83-P82)</f>
        <v>-0.6708569002007</v>
      </c>
      <c r="Q217" s="22" t="n">
        <f aca="false">100*(Q83-Q82)</f>
        <v>-0.694135908824878</v>
      </c>
      <c r="R217" s="22" t="n">
        <f aca="false">100*(R83-R82)</f>
        <v>-0.716146313626487</v>
      </c>
      <c r="S217" s="22" t="n">
        <f aca="false">100*(S83-S82)</f>
        <v>-0.736666576991585</v>
      </c>
      <c r="T217" s="22" t="n">
        <f aca="false">100*(T83-T82)</f>
        <v>-0.755521174640972</v>
      </c>
      <c r="U217" s="22" t="n">
        <f aca="false">100*(U83-U82)</f>
        <v>-0.772573828962742</v>
      </c>
      <c r="V217" s="22" t="n">
        <f aca="false">100*(V83-V82)</f>
        <v>-0.787722061956675</v>
      </c>
      <c r="W217" s="22" t="n">
        <f aca="false">100*(W83-W82)</f>
        <v>-0.800898888542534</v>
      </c>
      <c r="X217" s="22" t="n">
        <f aca="false">100*(X83-X82)</f>
        <v>-0.812080070596544</v>
      </c>
      <c r="Y217" s="22" t="n">
        <f aca="false">100*(Y83-Y82)</f>
        <v>-0.821277723378611</v>
      </c>
      <c r="Z217" s="22" t="n">
        <f aca="false">100*(Z83-Z82)</f>
        <v>-0.828530141725992</v>
      </c>
      <c r="AA217" s="22" t="n">
        <f aca="false">100*(AA83-AA82)</f>
        <v>-0.833897355029745</v>
      </c>
      <c r="AB217" s="22" t="n">
        <f aca="false">100*(AB83-AB82)</f>
        <v>-0.837458470199515</v>
      </c>
      <c r="AC217" s="22" t="n">
        <f aca="false">100*(AC83-AC82)</f>
        <v>-0.839308124945504</v>
      </c>
      <c r="AD217" s="22" t="n">
        <f aca="false">100*(AD83-AD82)</f>
        <v>-0.839550299594727</v>
      </c>
      <c r="AE217" s="22" t="n">
        <f aca="false">100*(AE83-AE82)</f>
        <v>-0.838295588177118</v>
      </c>
      <c r="AF217" s="22" t="n">
        <f aca="false">100*(AF83-AF82)</f>
        <v>-0.835658017486107</v>
      </c>
      <c r="AG217" s="22" t="n">
        <f aca="false">100*(AG83-AG82)</f>
        <v>-0.831749014716277</v>
      </c>
      <c r="AH217" s="22" t="n">
        <f aca="false">100*(AH83-AH82)</f>
        <v>-0.826676319590547</v>
      </c>
      <c r="AI217" s="22" t="n">
        <f aca="false">100*(AI83-AI82)</f>
        <v>-0.820544359575059</v>
      </c>
      <c r="AJ217" s="22" t="n">
        <f aca="false">100*(AJ83-AJ82)</f>
        <v>-0.813453643838447</v>
      </c>
      <c r="AK217" s="22" t="n">
        <f aca="false">100*(AK83-AK82)</f>
        <v>-0.805497782246079</v>
      </c>
      <c r="AL217" s="22" t="n">
        <f aca="false">AVERAGE(C217:AK217)</f>
        <v>-0.645841612881967</v>
      </c>
    </row>
    <row r="218" customFormat="false" ht="15" hidden="false" customHeight="false" outlineLevel="0" collapsed="false">
      <c r="A218" s="20" t="n">
        <f aca="false">A84</f>
        <v>-41</v>
      </c>
      <c r="B218" s="21" t="n">
        <f aca="false">B84</f>
        <v>40414</v>
      </c>
      <c r="C218" s="22" t="n">
        <f aca="false">100*(C84-C83)</f>
        <v>-6.00819415895078</v>
      </c>
      <c r="D218" s="22" t="n">
        <f aca="false">100*(D84-D83)</f>
        <v>-7.06929386468598</v>
      </c>
      <c r="E218" s="22" t="n">
        <f aca="false">100*(E84-E83)</f>
        <v>-7.81322184111781</v>
      </c>
      <c r="F218" s="22" t="n">
        <f aca="false">100*(F84-F83)</f>
        <v>-8.3285277702442</v>
      </c>
      <c r="G218" s="22" t="n">
        <f aca="false">100*(G84-G83)</f>
        <v>-8.68299609929069</v>
      </c>
      <c r="H218" s="22" t="n">
        <f aca="false">100*(H84-H83)</f>
        <v>-8.92409462162271</v>
      </c>
      <c r="I218" s="22" t="n">
        <f aca="false">100*(I84-I83)</f>
        <v>-9.08462751153618</v>
      </c>
      <c r="J218" s="22" t="n">
        <f aca="false">100*(J84-J83)</f>
        <v>-9.18793701275238</v>
      </c>
      <c r="K218" s="22" t="n">
        <f aca="false">100*(K84-K83)</f>
        <v>-9.25142468982432</v>
      </c>
      <c r="L218" s="22" t="n">
        <f aca="false">100*(L84-L83)</f>
        <v>-9.2887092154883</v>
      </c>
      <c r="M218" s="22" t="n">
        <f aca="false">100*(M84-M83)</f>
        <v>-10.3400370340204</v>
      </c>
      <c r="N218" s="22" t="n">
        <f aca="false">100*(N84-N83)</f>
        <v>-10.5163213275475</v>
      </c>
      <c r="O218" s="22" t="n">
        <f aca="false">100*(O84-O83)</f>
        <v>-10.6982684715151</v>
      </c>
      <c r="P218" s="22" t="n">
        <f aca="false">100*(P84-P83)</f>
        <v>-10.8832370167256</v>
      </c>
      <c r="Q218" s="22" t="n">
        <f aca="false">100*(Q84-Q83)</f>
        <v>-11.0685859124131</v>
      </c>
      <c r="R218" s="22" t="n">
        <f aca="false">100*(R84-R83)</f>
        <v>-11.2519207437641</v>
      </c>
      <c r="S218" s="22" t="n">
        <f aca="false">100*(S84-S83)</f>
        <v>-11.4312206540427</v>
      </c>
      <c r="T218" s="22" t="n">
        <f aca="false">100*(T84-T83)</f>
        <v>-11.6047903975366</v>
      </c>
      <c r="U218" s="22" t="n">
        <f aca="false">100*(U84-U83)</f>
        <v>-11.7712124555823</v>
      </c>
      <c r="V218" s="22" t="n">
        <f aca="false">100*(V84-V83)</f>
        <v>-11.9293080293541</v>
      </c>
      <c r="W218" s="22" t="n">
        <f aca="false">100*(W84-W83)</f>
        <v>-12.0781467724524</v>
      </c>
      <c r="X218" s="22" t="n">
        <f aca="false">100*(X84-X83)</f>
        <v>-12.2171315204084</v>
      </c>
      <c r="Y218" s="22" t="n">
        <f aca="false">100*(Y84-Y83)</f>
        <v>-12.3459756490701</v>
      </c>
      <c r="Z218" s="22" t="n">
        <f aca="false">100*(Z84-Z83)</f>
        <v>-12.4646232249524</v>
      </c>
      <c r="AA218" s="22" t="n">
        <f aca="false">100*(AA84-AA83)</f>
        <v>-12.5732078447657</v>
      </c>
      <c r="AB218" s="22" t="n">
        <f aca="false">100*(AB84-AB83)</f>
        <v>-12.6720292817825</v>
      </c>
      <c r="AC218" s="22" t="n">
        <f aca="false">100*(AC84-AC83)</f>
        <v>-12.7615256767793</v>
      </c>
      <c r="AD218" s="22" t="n">
        <f aca="false">100*(AD84-AD83)</f>
        <v>-12.8422333419498</v>
      </c>
      <c r="AE218" s="22" t="n">
        <f aca="false">100*(AE84-AE83)</f>
        <v>-12.9147674766767</v>
      </c>
      <c r="AF218" s="22" t="n">
        <f aca="false">100*(AF84-AF83)</f>
        <v>-12.9797997028584</v>
      </c>
      <c r="AG218" s="22" t="n">
        <f aca="false">100*(AG84-AG83)</f>
        <v>-13.0380147733044</v>
      </c>
      <c r="AH218" s="22" t="n">
        <f aca="false">100*(AH84-AH83)</f>
        <v>-13.0900981064797</v>
      </c>
      <c r="AI218" s="22" t="n">
        <f aca="false">100*(AI84-AI83)</f>
        <v>-13.1367355858667</v>
      </c>
      <c r="AJ218" s="22" t="n">
        <f aca="false">100*(AJ84-AJ83)</f>
        <v>-13.1786083392966</v>
      </c>
      <c r="AK218" s="22" t="n">
        <f aca="false">100*(AK84-AK83)</f>
        <v>-13.2163690381422</v>
      </c>
      <c r="AL218" s="22" t="n">
        <f aca="false">AVERAGE(C218:AK218)</f>
        <v>-11.0469484332229</v>
      </c>
    </row>
    <row r="219" customFormat="false" ht="15" hidden="false" customHeight="false" outlineLevel="0" collapsed="false">
      <c r="A219" s="20" t="n">
        <f aca="false">A85</f>
        <v>-40</v>
      </c>
      <c r="B219" s="21" t="n">
        <f aca="false">B85</f>
        <v>40415</v>
      </c>
      <c r="C219" s="22" t="n">
        <f aca="false">100*(C85-C84)</f>
        <v>1.8427803372431</v>
      </c>
      <c r="D219" s="22" t="n">
        <f aca="false">100*(D85-D84)</f>
        <v>0.829050086091177</v>
      </c>
      <c r="E219" s="22" t="n">
        <f aca="false">100*(E85-E84)</f>
        <v>-0.0209878353754966</v>
      </c>
      <c r="F219" s="22" t="n">
        <f aca="false">100*(F85-F84)</f>
        <v>-0.700860438448103</v>
      </c>
      <c r="G219" s="22" t="n">
        <f aca="false">100*(G85-G84)</f>
        <v>-1.2425394298309</v>
      </c>
      <c r="H219" s="22" t="n">
        <f aca="false">100*(H85-H84)</f>
        <v>-1.67851387900169</v>
      </c>
      <c r="I219" s="22" t="n">
        <f aca="false">100*(I85-I84)</f>
        <v>-2.03425106488651</v>
      </c>
      <c r="J219" s="22" t="n">
        <f aca="false">100*(J85-J84)</f>
        <v>-2.32830526767229</v>
      </c>
      <c r="K219" s="22" t="n">
        <f aca="false">100*(K85-K84)</f>
        <v>-2.57381444055569</v>
      </c>
      <c r="L219" s="22" t="n">
        <f aca="false">100*(L85-L84)</f>
        <v>-2.78037167271323</v>
      </c>
      <c r="M219" s="22" t="n">
        <f aca="false">100*(M85-M84)</f>
        <v>-4.50008354779592</v>
      </c>
      <c r="N219" s="22" t="n">
        <f aca="false">100*(N85-N84)</f>
        <v>-4.64285779849152</v>
      </c>
      <c r="O219" s="22" t="n">
        <f aca="false">100*(O85-O84)</f>
        <v>-4.78527245250691</v>
      </c>
      <c r="P219" s="22" t="n">
        <f aca="false">100*(P85-P84)</f>
        <v>-4.92564216548836</v>
      </c>
      <c r="Q219" s="22" t="n">
        <f aca="false">100*(Q85-Q84)</f>
        <v>-5.06221765580932</v>
      </c>
      <c r="R219" s="22" t="n">
        <f aca="false">100*(R85-R84)</f>
        <v>-5.19340561897419</v>
      </c>
      <c r="S219" s="22" t="n">
        <f aca="false">100*(S85-S84)</f>
        <v>-5.31788063456982</v>
      </c>
      <c r="T219" s="22" t="n">
        <f aca="false">100*(T85-T84)</f>
        <v>-5.43455133020951</v>
      </c>
      <c r="U219" s="22" t="n">
        <f aca="false">100*(U85-U84)</f>
        <v>-5.54252596270781</v>
      </c>
      <c r="V219" s="22" t="n">
        <f aca="false">100*(V85-V84)</f>
        <v>-5.64108451234286</v>
      </c>
      <c r="W219" s="22" t="n">
        <f aca="false">100*(W85-W84)</f>
        <v>-5.72969112173181</v>
      </c>
      <c r="X219" s="22" t="n">
        <f aca="false">100*(X85-X84)</f>
        <v>-5.8080654695333</v>
      </c>
      <c r="Y219" s="22" t="n">
        <f aca="false">100*(Y85-Y84)</f>
        <v>-5.87616846929517</v>
      </c>
      <c r="Z219" s="22" t="n">
        <f aca="false">100*(Z85-Z84)</f>
        <v>-5.93414968097461</v>
      </c>
      <c r="AA219" s="22" t="n">
        <f aca="false">100*(AA85-AA84)</f>
        <v>-5.98231757308554</v>
      </c>
      <c r="AB219" s="22" t="n">
        <f aca="false">100*(AB85-AB84)</f>
        <v>-6.02112002531445</v>
      </c>
      <c r="AC219" s="22" t="n">
        <f aca="false">100*(AC85-AC84)</f>
        <v>-6.05112281070381</v>
      </c>
      <c r="AD219" s="22" t="n">
        <f aca="false">100*(AD85-AD84)</f>
        <v>-6.07298138526131</v>
      </c>
      <c r="AE219" s="22" t="n">
        <f aca="false">100*(AE85-AE84)</f>
        <v>-6.08742579691803</v>
      </c>
      <c r="AF219" s="22" t="n">
        <f aca="false">100*(AF85-AF84)</f>
        <v>-6.09523881207048</v>
      </c>
      <c r="AG219" s="22" t="n">
        <f aca="false">100*(AG85-AG84)</f>
        <v>-6.09721415920754</v>
      </c>
      <c r="AH219" s="22" t="n">
        <f aca="false">100*(AH85-AH84)</f>
        <v>-6.09414492688174</v>
      </c>
      <c r="AI219" s="22" t="n">
        <f aca="false">100*(AI85-AI84)</f>
        <v>-6.08682350791217</v>
      </c>
      <c r="AJ219" s="22" t="n">
        <f aca="false">100*(AJ85-AJ84)</f>
        <v>-6.07603487164923</v>
      </c>
      <c r="AK219" s="22" t="n">
        <f aca="false">100*(AK85-AK84)</f>
        <v>-6.06252587508926</v>
      </c>
      <c r="AL219" s="22" t="n">
        <f aca="false">AVERAGE(C219:AK219)</f>
        <v>-4.33738170770498</v>
      </c>
    </row>
    <row r="220" customFormat="false" ht="15" hidden="false" customHeight="false" outlineLevel="0" collapsed="false">
      <c r="A220" s="20" t="n">
        <f aca="false">A86</f>
        <v>-39</v>
      </c>
      <c r="B220" s="21" t="n">
        <f aca="false">B86</f>
        <v>40416</v>
      </c>
      <c r="C220" s="22" t="n">
        <f aca="false">100*(C86-C85)</f>
        <v>1.73700847373733</v>
      </c>
      <c r="D220" s="22" t="n">
        <f aca="false">100*(D86-D85)</f>
        <v>1.99280836984097</v>
      </c>
      <c r="E220" s="22" t="n">
        <f aca="false">100*(E86-E85)</f>
        <v>2.0656038110441</v>
      </c>
      <c r="F220" s="22" t="n">
        <f aca="false">100*(F86-F85)</f>
        <v>2.0070210464614</v>
      </c>
      <c r="G220" s="22" t="n">
        <f aca="false">100*(G86-G85)</f>
        <v>1.8471597362397</v>
      </c>
      <c r="H220" s="22" t="n">
        <f aca="false">100*(H86-H85)</f>
        <v>1.60583348534999</v>
      </c>
      <c r="I220" s="22" t="n">
        <f aca="false">100*(I86-I85)</f>
        <v>1.3002612293413</v>
      </c>
      <c r="J220" s="22" t="n">
        <f aca="false">100*(J86-J85)</f>
        <v>0.947598359563795</v>
      </c>
      <c r="K220" s="22" t="n">
        <f aca="false">100*(K86-K85)</f>
        <v>0.566433758289309</v>
      </c>
      <c r="L220" s="22" t="n">
        <f aca="false">100*(L86-L85)</f>
        <v>0.175030246061425</v>
      </c>
      <c r="M220" s="22" t="n">
        <f aca="false">100*(M86-M85)</f>
        <v>-1.86123007244197</v>
      </c>
      <c r="N220" s="22" t="n">
        <f aca="false">100*(N86-N85)</f>
        <v>-1.78824197428291</v>
      </c>
      <c r="O220" s="22" t="n">
        <f aca="false">100*(O86-O85)</f>
        <v>-1.70212081897039</v>
      </c>
      <c r="P220" s="22" t="n">
        <f aca="false">100*(P86-P85)</f>
        <v>-1.60860912159704</v>
      </c>
      <c r="Q220" s="22" t="n">
        <f aca="false">100*(Q86-Q85)</f>
        <v>-1.51370842438969</v>
      </c>
      <c r="R220" s="22" t="n">
        <f aca="false">100*(R86-R85)</f>
        <v>-1.42282190228631</v>
      </c>
      <c r="S220" s="22" t="n">
        <f aca="false">100*(S86-S85)</f>
        <v>-1.34070095534691</v>
      </c>
      <c r="T220" s="22" t="n">
        <f aca="false">100*(T86-T85)</f>
        <v>-1.2716331304905</v>
      </c>
      <c r="U220" s="22" t="n">
        <f aca="false">100*(U86-U85)</f>
        <v>-1.2195107635383</v>
      </c>
      <c r="V220" s="22" t="n">
        <f aca="false">100*(V86-V85)</f>
        <v>-1.18788208601543</v>
      </c>
      <c r="W220" s="22" t="n">
        <f aca="false">100*(W86-W85)</f>
        <v>-1.17962473366311</v>
      </c>
      <c r="X220" s="22" t="n">
        <f aca="false">100*(X86-X85)</f>
        <v>-1.19596040989829</v>
      </c>
      <c r="Y220" s="22" t="n">
        <f aca="false">100*(Y86-Y85)</f>
        <v>-1.23644009101831</v>
      </c>
      <c r="Z220" s="22" t="n">
        <f aca="false">100*(Z86-Z85)</f>
        <v>-1.29946028809367</v>
      </c>
      <c r="AA220" s="22" t="n">
        <f aca="false">100*(AA86-AA85)</f>
        <v>-1.38250376782012</v>
      </c>
      <c r="AB220" s="22" t="n">
        <f aca="false">100*(AB86-AB85)</f>
        <v>-1.48225259281443</v>
      </c>
      <c r="AC220" s="22" t="n">
        <f aca="false">100*(AC86-AC85)</f>
        <v>-1.5947135392274</v>
      </c>
      <c r="AD220" s="22" t="n">
        <f aca="false">100*(AD86-AD85)</f>
        <v>-1.71538276902474</v>
      </c>
      <c r="AE220" s="22" t="n">
        <f aca="false">100*(AE86-AE85)</f>
        <v>-1.83933376789236</v>
      </c>
      <c r="AF220" s="22" t="n">
        <f aca="false">100*(AF86-AF85)</f>
        <v>-1.96145399402994</v>
      </c>
      <c r="AG220" s="22" t="n">
        <f aca="false">100*(AG86-AG85)</f>
        <v>-2.07699045342666</v>
      </c>
      <c r="AH220" s="22" t="n">
        <f aca="false">100*(AH86-AH85)</f>
        <v>-2.18167057491216</v>
      </c>
      <c r="AI220" s="22" t="n">
        <f aca="false">100*(AI86-AI85)</f>
        <v>-2.27165399273144</v>
      </c>
      <c r="AJ220" s="22" t="n">
        <f aca="false">100*(AJ86-AJ85)</f>
        <v>-2.34352216877998</v>
      </c>
      <c r="AK220" s="22" t="n">
        <f aca="false">100*(AK86-AK85)</f>
        <v>-2.39448246456693</v>
      </c>
      <c r="AL220" s="22" t="n">
        <f aca="false">AVERAGE(C220:AK220)</f>
        <v>-0.766489895466561</v>
      </c>
    </row>
    <row r="221" customFormat="false" ht="15" hidden="false" customHeight="false" outlineLevel="0" collapsed="false">
      <c r="A221" s="20" t="n">
        <f aca="false">A87</f>
        <v>-38</v>
      </c>
      <c r="B221" s="21" t="n">
        <f aca="false">B87</f>
        <v>40417</v>
      </c>
      <c r="C221" s="22" t="n">
        <f aca="false">100*(C87-C86)</f>
        <v>1.51414457227964</v>
      </c>
      <c r="D221" s="22" t="n">
        <f aca="false">100*(D87-D86)</f>
        <v>1.96265147242191</v>
      </c>
      <c r="E221" s="22" t="n">
        <f aca="false">100*(E87-E86)</f>
        <v>2.24469732486781</v>
      </c>
      <c r="F221" s="22" t="n">
        <f aca="false">100*(F87-F86)</f>
        <v>2.3863955126133</v>
      </c>
      <c r="G221" s="22" t="n">
        <f aca="false">100*(G87-G86)</f>
        <v>2.41782192577149</v>
      </c>
      <c r="H221" s="22" t="n">
        <f aca="false">100*(H87-H86)</f>
        <v>2.36596546553189</v>
      </c>
      <c r="I221" s="22" t="n">
        <f aca="false">100*(I87-I86)</f>
        <v>2.254560469459</v>
      </c>
      <c r="J221" s="22" t="n">
        <f aca="false">100*(J87-J86)</f>
        <v>2.1039222788265</v>
      </c>
      <c r="K221" s="22" t="n">
        <f aca="false">100*(K87-K86)</f>
        <v>1.9304681268459</v>
      </c>
      <c r="L221" s="22" t="n">
        <f aca="false">100*(L87-L86)</f>
        <v>1.74724963487418</v>
      </c>
      <c r="M221" s="22" t="n">
        <f aca="false">100*(M87-M86)</f>
        <v>0.621384394158486</v>
      </c>
      <c r="N221" s="22" t="n">
        <f aca="false">100*(N87-N86)</f>
        <v>0.652935372813612</v>
      </c>
      <c r="O221" s="22" t="n">
        <f aca="false">100*(O87-O86)</f>
        <v>0.696916966817129</v>
      </c>
      <c r="P221" s="22" t="n">
        <f aca="false">100*(P87-P86)</f>
        <v>0.75207011599101</v>
      </c>
      <c r="Q221" s="22" t="n">
        <f aca="false">100*(Q87-Q86)</f>
        <v>0.817116339386681</v>
      </c>
      <c r="R221" s="22" t="n">
        <f aca="false">100*(R87-R86)</f>
        <v>0.890761211888291</v>
      </c>
      <c r="S221" s="22" t="n">
        <f aca="false">100*(S87-S86)</f>
        <v>0.97172809529269</v>
      </c>
      <c r="T221" s="22" t="n">
        <f aca="false">100*(T87-T86)</f>
        <v>1.05876862195013</v>
      </c>
      <c r="U221" s="22" t="n">
        <f aca="false">100*(U87-U86)</f>
        <v>1.15065865828732</v>
      </c>
      <c r="V221" s="22" t="n">
        <f aca="false">100*(V87-V86)</f>
        <v>1.24619538588133</v>
      </c>
      <c r="W221" s="22" t="n">
        <f aca="false">100*(W87-W86)</f>
        <v>1.34421539086151</v>
      </c>
      <c r="X221" s="22" t="n">
        <f aca="false">100*(X87-X86)</f>
        <v>1.44363140885178</v>
      </c>
      <c r="Y221" s="22" t="n">
        <f aca="false">100*(Y87-Y86)</f>
        <v>1.54343824872849</v>
      </c>
      <c r="Z221" s="22" t="n">
        <f aca="false">100*(Z87-Z86)</f>
        <v>1.64272930281459</v>
      </c>
      <c r="AA221" s="22" t="n">
        <f aca="false">100*(AA87-AA86)</f>
        <v>1.74069370603531</v>
      </c>
      <c r="AB221" s="22" t="n">
        <f aca="false">100*(AB87-AB86)</f>
        <v>1.83660484819272</v>
      </c>
      <c r="AC221" s="22" t="n">
        <f aca="false">100*(AC87-AC86)</f>
        <v>1.92981669589338</v>
      </c>
      <c r="AD221" s="22" t="n">
        <f aca="false">100*(AD87-AD86)</f>
        <v>2.01977612568696</v>
      </c>
      <c r="AE221" s="22" t="n">
        <f aca="false">100*(AE87-AE86)</f>
        <v>2.10601988900798</v>
      </c>
      <c r="AF221" s="22" t="n">
        <f aca="false">100*(AF87-AF86)</f>
        <v>2.18815974007409</v>
      </c>
      <c r="AG221" s="22" t="n">
        <f aca="false">100*(AG87-AG86)</f>
        <v>2.26587791671014</v>
      </c>
      <c r="AH221" s="22" t="n">
        <f aca="false">100*(AH87-AH86)</f>
        <v>2.33892588029718</v>
      </c>
      <c r="AI221" s="22" t="n">
        <f aca="false">100*(AI87-AI86)</f>
        <v>2.40711730751571</v>
      </c>
      <c r="AJ221" s="22" t="n">
        <f aca="false">100*(AJ87-AJ86)</f>
        <v>2.47032156144176</v>
      </c>
      <c r="AK221" s="22" t="n">
        <f aca="false">100*(AK87-AK86)</f>
        <v>2.52845670020534</v>
      </c>
      <c r="AL221" s="22" t="n">
        <f aca="false">AVERAGE(C221:AK221)</f>
        <v>1.70263419052215</v>
      </c>
    </row>
    <row r="222" customFormat="false" ht="15" hidden="false" customHeight="false" outlineLevel="0" collapsed="false">
      <c r="A222" s="20" t="n">
        <f aca="false">A88</f>
        <v>-37</v>
      </c>
      <c r="B222" s="21" t="n">
        <f aca="false">B88</f>
        <v>40421</v>
      </c>
      <c r="C222" s="22" t="n">
        <f aca="false">100*(C88-C87)</f>
        <v>-1.86385012500352</v>
      </c>
      <c r="D222" s="22" t="n">
        <f aca="false">100*(D88-D87)</f>
        <v>-2.37688972756956</v>
      </c>
      <c r="E222" s="22" t="n">
        <f aca="false">100*(E88-E87)</f>
        <v>-2.87154715840241</v>
      </c>
      <c r="F222" s="22" t="n">
        <f aca="false">100*(F88-F87)</f>
        <v>-3.34580892990461</v>
      </c>
      <c r="G222" s="22" t="n">
        <f aca="false">100*(G88-G87)</f>
        <v>-3.79564573079518</v>
      </c>
      <c r="H222" s="22" t="n">
        <f aca="false">100*(H88-H87)</f>
        <v>-4.2176494285894</v>
      </c>
      <c r="I222" s="22" t="n">
        <f aca="false">100*(I88-I87)</f>
        <v>-4.6091990448301</v>
      </c>
      <c r="J222" s="22" t="n">
        <f aca="false">100*(J88-J87)</f>
        <v>-4.9680312650991</v>
      </c>
      <c r="K222" s="22" t="n">
        <f aca="false">100*(K88-K87)</f>
        <v>-5.29196921663511</v>
      </c>
      <c r="L222" s="22" t="n">
        <f aca="false">100*(L88-L87)</f>
        <v>-5.57939518337078</v>
      </c>
      <c r="M222" s="22" t="n">
        <f aca="false">100*(M88-M87)</f>
        <v>-6.5710064810641</v>
      </c>
      <c r="N222" s="22" t="n">
        <f aca="false">100*(N88-N87)</f>
        <v>-6.51735379617118</v>
      </c>
      <c r="O222" s="22" t="n">
        <f aca="false">100*(O88-O87)</f>
        <v>-6.45537453787384</v>
      </c>
      <c r="P222" s="22" t="n">
        <f aca="false">100*(P88-P87)</f>
        <v>-6.38657342654168</v>
      </c>
      <c r="Q222" s="22" t="n">
        <f aca="false">100*(Q88-Q87)</f>
        <v>-6.31236450131238</v>
      </c>
      <c r="R222" s="22" t="n">
        <f aca="false">100*(R88-R87)</f>
        <v>-6.23406695431208</v>
      </c>
      <c r="S222" s="22" t="n">
        <f aca="false">100*(S88-S87)</f>
        <v>-6.15287843352559</v>
      </c>
      <c r="T222" s="22" t="n">
        <f aca="false">100*(T88-T87)</f>
        <v>-6.06988385239902</v>
      </c>
      <c r="U222" s="22" t="n">
        <f aca="false">100*(U88-U87)</f>
        <v>-5.98607192717933</v>
      </c>
      <c r="V222" s="22" t="n">
        <f aca="false">100*(V88-V87)</f>
        <v>-5.90234864407111</v>
      </c>
      <c r="W222" s="22" t="n">
        <f aca="false">100*(W88-W87)</f>
        <v>-5.81953610277162</v>
      </c>
      <c r="X222" s="22" t="n">
        <f aca="false">100*(X88-X87)</f>
        <v>-5.73835426628548</v>
      </c>
      <c r="Y222" s="22" t="n">
        <f aca="false">100*(Y88-Y87)</f>
        <v>-5.6594230352033</v>
      </c>
      <c r="Z222" s="22" t="n">
        <f aca="false">100*(Z88-Z87)</f>
        <v>-5.58326334293189</v>
      </c>
      <c r="AA222" s="22" t="n">
        <f aca="false">100*(AA88-AA87)</f>
        <v>-5.5103058523589</v>
      </c>
      <c r="AB222" s="22" t="n">
        <f aca="false">100*(AB88-AB87)</f>
        <v>-5.44090183295731</v>
      </c>
      <c r="AC222" s="22" t="n">
        <f aca="false">100*(AC88-AC87)</f>
        <v>-5.37532669840051</v>
      </c>
      <c r="AD222" s="22" t="n">
        <f aca="false">100*(AD88-AD87)</f>
        <v>-5.31377207220745</v>
      </c>
      <c r="AE222" s="22" t="n">
        <f aca="false">100*(AE88-AE87)</f>
        <v>-5.25635031045169</v>
      </c>
      <c r="AF222" s="22" t="n">
        <f aca="false">100*(AF88-AF87)</f>
        <v>-5.20310937660211</v>
      </c>
      <c r="AG222" s="22" t="n">
        <f aca="false">100*(AG88-AG87)</f>
        <v>-5.15405152362973</v>
      </c>
      <c r="AH222" s="22" t="n">
        <f aca="false">100*(AH88-AH87)</f>
        <v>-5.10914020965378</v>
      </c>
      <c r="AI222" s="22" t="n">
        <f aca="false">100*(AI88-AI87)</f>
        <v>-5.06830412561925</v>
      </c>
      <c r="AJ222" s="22" t="n">
        <f aca="false">100*(AJ88-AJ87)</f>
        <v>-5.0314408567381</v>
      </c>
      <c r="AK222" s="22" t="n">
        <f aca="false">100*(AK88-AK87)</f>
        <v>-4.99842439245244</v>
      </c>
      <c r="AL222" s="22" t="n">
        <f aca="false">AVERAGE(C222:AK222)</f>
        <v>-5.19341749608325</v>
      </c>
    </row>
    <row r="223" customFormat="false" ht="15" hidden="false" customHeight="false" outlineLevel="0" collapsed="false">
      <c r="A223" s="20" t="n">
        <f aca="false">A89</f>
        <v>-36</v>
      </c>
      <c r="B223" s="21" t="n">
        <f aca="false">B89</f>
        <v>40422</v>
      </c>
      <c r="C223" s="22" t="n">
        <f aca="false">100*(C89-C88)</f>
        <v>5.62892493307444</v>
      </c>
      <c r="D223" s="22" t="n">
        <f aca="false">100*(D89-D88)</f>
        <v>6.63554172829833</v>
      </c>
      <c r="E223" s="22" t="n">
        <f aca="false">100*(E89-E88)</f>
        <v>7.4021301017007</v>
      </c>
      <c r="F223" s="22" t="n">
        <f aca="false">100*(F89-F88)</f>
        <v>8.0039873292362</v>
      </c>
      <c r="G223" s="22" t="n">
        <f aca="false">100*(G89-G88)</f>
        <v>8.48517739356498</v>
      </c>
      <c r="H223" s="22" t="n">
        <f aca="false">100*(H89-H88)</f>
        <v>8.8733939815705</v>
      </c>
      <c r="I223" s="22" t="n">
        <f aca="false">100*(I89-I88)</f>
        <v>9.1872373818201</v>
      </c>
      <c r="J223" s="22" t="n">
        <f aca="false">100*(J89-J88)</f>
        <v>9.43983347167021</v>
      </c>
      <c r="K223" s="22" t="n">
        <f aca="false">100*(K89-K88)</f>
        <v>9.64121982553392</v>
      </c>
      <c r="L223" s="22" t="n">
        <f aca="false">100*(L89-L88)</f>
        <v>9.79943454572849</v>
      </c>
      <c r="M223" s="22" t="n">
        <f aca="false">100*(M89-M88)</f>
        <v>10.2461020972792</v>
      </c>
      <c r="N223" s="22" t="n">
        <f aca="false">100*(N89-N88)</f>
        <v>10.2585598474995</v>
      </c>
      <c r="O223" s="22" t="n">
        <f aca="false">100*(O89-O88)</f>
        <v>10.2739446716924</v>
      </c>
      <c r="P223" s="22" t="n">
        <f aca="false">100*(P89-P88)</f>
        <v>10.2924230145185</v>
      </c>
      <c r="Q223" s="22" t="n">
        <f aca="false">100*(Q89-Q88)</f>
        <v>10.3140305908326</v>
      </c>
      <c r="R223" s="22" t="n">
        <f aca="false">100*(R89-R88)</f>
        <v>10.3386897583006</v>
      </c>
      <c r="S223" s="22" t="n">
        <f aca="false">100*(S89-S88)</f>
        <v>10.3662274607913</v>
      </c>
      <c r="T223" s="22" t="n">
        <f aca="false">100*(T89-T88)</f>
        <v>10.3963912415341</v>
      </c>
      <c r="U223" s="22" t="n">
        <f aca="false">100*(U89-U88)</f>
        <v>10.4288609390536</v>
      </c>
      <c r="V223" s="22" t="n">
        <f aca="false">100*(V89-V88)</f>
        <v>10.4632585397854</v>
      </c>
      <c r="W223" s="22" t="n">
        <f aca="false">100*(W89-W88)</f>
        <v>10.4991626455052</v>
      </c>
      <c r="X223" s="22" t="n">
        <f aca="false">100*(X89-X88)</f>
        <v>10.5361267639593</v>
      </c>
      <c r="Y223" s="22" t="n">
        <f aca="false">100*(Y89-Y88)</f>
        <v>10.5736924189989</v>
      </c>
      <c r="Z223" s="22" t="n">
        <f aca="false">100*(Z89-Z88)</f>
        <v>10.6114116833787</v>
      </c>
      <c r="AA223" s="22" t="n">
        <f aca="false">100*(AA89-AA88)</f>
        <v>10.6488521377361</v>
      </c>
      <c r="AB223" s="22" t="n">
        <f aca="false">100*(AB89-AB88)</f>
        <v>10.6855951536665</v>
      </c>
      <c r="AC223" s="22" t="n">
        <f aca="false">100*(AC89-AC88)</f>
        <v>10.7212410133165</v>
      </c>
      <c r="AD223" s="22" t="n">
        <f aca="false">100*(AD89-AD88)</f>
        <v>10.7554253096638</v>
      </c>
      <c r="AE223" s="22" t="n">
        <f aca="false">100*(AE89-AE88)</f>
        <v>10.7878205348651</v>
      </c>
      <c r="AF223" s="22" t="n">
        <f aca="false">100*(AF89-AF88)</f>
        <v>10.8181367322411</v>
      </c>
      <c r="AG223" s="22" t="n">
        <f aca="false">100*(AG89-AG88)</f>
        <v>10.8461337965776</v>
      </c>
      <c r="AH223" s="22" t="n">
        <f aca="false">100*(AH89-AH88)</f>
        <v>10.8716220239833</v>
      </c>
      <c r="AI223" s="22" t="n">
        <f aca="false">100*(AI89-AI88)</f>
        <v>10.8944569450868</v>
      </c>
      <c r="AJ223" s="22" t="n">
        <f aca="false">100*(AJ89-AJ88)</f>
        <v>10.9145347427118</v>
      </c>
      <c r="AK223" s="22" t="n">
        <f aca="false">100*(AK89-AK88)</f>
        <v>10.9317928361206</v>
      </c>
      <c r="AL223" s="22" t="n">
        <f aca="false">AVERAGE(C223:AK223)</f>
        <v>9.93061067403704</v>
      </c>
    </row>
    <row r="224" customFormat="false" ht="15" hidden="false" customHeight="false" outlineLevel="0" collapsed="false">
      <c r="A224" s="20" t="n">
        <f aca="false">A90</f>
        <v>-35</v>
      </c>
      <c r="B224" s="21" t="n">
        <f aca="false">B90</f>
        <v>40423</v>
      </c>
      <c r="C224" s="22" t="n">
        <f aca="false">100*(C90-C89)</f>
        <v>2.65407376741657</v>
      </c>
      <c r="D224" s="22" t="n">
        <f aca="false">100*(D90-D89)</f>
        <v>2.9734869426866</v>
      </c>
      <c r="E224" s="22" t="n">
        <f aca="false">100*(E90-E89)</f>
        <v>3.14866428331031</v>
      </c>
      <c r="F224" s="22" t="n">
        <f aca="false">100*(F90-F89)</f>
        <v>3.23165549046471</v>
      </c>
      <c r="G224" s="22" t="n">
        <f aca="false">100*(G90-G89)</f>
        <v>3.25460851648711</v>
      </c>
      <c r="H224" s="22" t="n">
        <f aca="false">100*(H90-H89)</f>
        <v>3.23894127955431</v>
      </c>
      <c r="I224" s="22" t="n">
        <f aca="false">100*(I90-I89)</f>
        <v>3.2003994137547</v>
      </c>
      <c r="J224" s="22" t="n">
        <f aca="false">100*(J90-J89)</f>
        <v>3.1508186383332</v>
      </c>
      <c r="K224" s="22" t="n">
        <f aca="false">100*(K90-K89)</f>
        <v>3.09893867854458</v>
      </c>
      <c r="L224" s="22" t="n">
        <f aca="false">100*(L90-L89)</f>
        <v>3.05095269887032</v>
      </c>
      <c r="M224" s="22" t="n">
        <f aca="false">100*(M90-M89)</f>
        <v>3.70140481762582</v>
      </c>
      <c r="N224" s="22" t="n">
        <f aca="false">100*(N90-N89)</f>
        <v>3.8402775867235</v>
      </c>
      <c r="O224" s="22" t="n">
        <f aca="false">100*(O90-O89)</f>
        <v>3.98428389638621</v>
      </c>
      <c r="P224" s="22" t="n">
        <f aca="false">100*(P90-P89)</f>
        <v>4.13164904939669</v>
      </c>
      <c r="Q224" s="22" t="n">
        <f aca="false">100*(Q90-Q89)</f>
        <v>4.28063294788772</v>
      </c>
      <c r="R224" s="22" t="n">
        <f aca="false">100*(R90-R89)</f>
        <v>4.4295937796428</v>
      </c>
      <c r="S224" s="22" t="n">
        <f aca="false">100*(S90-S89)</f>
        <v>4.5771022774904</v>
      </c>
      <c r="T224" s="22" t="n">
        <f aca="false">100*(T90-T89)</f>
        <v>4.72193519037423</v>
      </c>
      <c r="U224" s="22" t="n">
        <f aca="false">100*(U90-U89)</f>
        <v>4.86304505715349</v>
      </c>
      <c r="V224" s="22" t="n">
        <f aca="false">100*(V90-V89)</f>
        <v>4.99953535439843</v>
      </c>
      <c r="W224" s="22" t="n">
        <f aca="false">100*(W90-W89)</f>
        <v>5.1306500276906</v>
      </c>
      <c r="X224" s="22" t="n">
        <f aca="false">100*(X90-X89)</f>
        <v>5.25577717422077</v>
      </c>
      <c r="Y224" s="22" t="n">
        <f aca="false">100*(Y90-Y89)</f>
        <v>5.37444097847395</v>
      </c>
      <c r="Z224" s="22" t="n">
        <f aca="false">100*(Z90-Z89)</f>
        <v>5.48630018340681</v>
      </c>
      <c r="AA224" s="22" t="n">
        <f aca="false">100*(AA90-AA89)</f>
        <v>5.5911359340624</v>
      </c>
      <c r="AB224" s="22" t="n">
        <f aca="false">100*(AB90-AB89)</f>
        <v>5.68883694134348</v>
      </c>
      <c r="AC224" s="22" t="n">
        <f aca="false">100*(AC90-AC89)</f>
        <v>5.77938948179826</v>
      </c>
      <c r="AD224" s="22" t="n">
        <f aca="false">100*(AD90-AD89)</f>
        <v>5.86287381866342</v>
      </c>
      <c r="AE224" s="22" t="n">
        <f aca="false">100*(AE90-AE89)</f>
        <v>5.93945564135465</v>
      </c>
      <c r="AF224" s="22" t="n">
        <f aca="false">100*(AF90-AF89)</f>
        <v>6.00936853539276</v>
      </c>
      <c r="AG224" s="22" t="n">
        <f aca="false">100*(AG90-AG89)</f>
        <v>6.07289033596778</v>
      </c>
      <c r="AH224" s="22" t="n">
        <f aca="false">100*(AH90-AH89)</f>
        <v>6.13033514517891</v>
      </c>
      <c r="AI224" s="22" t="n">
        <f aca="false">100*(AI90-AI89)</f>
        <v>6.18204955612249</v>
      </c>
      <c r="AJ224" s="22" t="n">
        <f aca="false">100*(AJ90-AJ89)</f>
        <v>6.22840920624901</v>
      </c>
      <c r="AK224" s="22" t="n">
        <f aca="false">100*(AK90-AK89)</f>
        <v>6.26981078645317</v>
      </c>
      <c r="AL224" s="22" t="n">
        <f aca="false">AVERAGE(C224:AK224)</f>
        <v>4.615249240368</v>
      </c>
    </row>
    <row r="225" customFormat="false" ht="15" hidden="false" customHeight="false" outlineLevel="0" collapsed="false">
      <c r="A225" s="20" t="n">
        <f aca="false">A91</f>
        <v>-34</v>
      </c>
      <c r="B225" s="21" t="n">
        <f aca="false">B91</f>
        <v>40424</v>
      </c>
      <c r="C225" s="22" t="n">
        <f aca="false">100*(C91-C90)</f>
        <v>0.8165824935364</v>
      </c>
      <c r="D225" s="22" t="n">
        <f aca="false">100*(D91-D90)</f>
        <v>1.21087476846848</v>
      </c>
      <c r="E225" s="22" t="n">
        <f aca="false">100*(E91-E90)</f>
        <v>1.58300717543369</v>
      </c>
      <c r="F225" s="22" t="n">
        <f aca="false">100*(F91-F90)</f>
        <v>1.9328865778913</v>
      </c>
      <c r="G225" s="22" t="n">
        <f aca="false">100*(G91-G90)</f>
        <v>2.2646889801887</v>
      </c>
      <c r="H225" s="22" t="n">
        <f aca="false">100*(H91-H90)</f>
        <v>2.58152606481639</v>
      </c>
      <c r="I225" s="22" t="n">
        <f aca="false">100*(I91-I90)</f>
        <v>2.8836402306186</v>
      </c>
      <c r="J225" s="22" t="n">
        <f aca="false">100*(J91-J90)</f>
        <v>3.17017488961757</v>
      </c>
      <c r="K225" s="22" t="n">
        <f aca="false">100*(K91-K90)</f>
        <v>3.43944949209032</v>
      </c>
      <c r="L225" s="22" t="n">
        <f aca="false">100*(L91-L90)</f>
        <v>3.68972272831938</v>
      </c>
      <c r="M225" s="22" t="n">
        <f aca="false">100*(M91-M90)</f>
        <v>5.49228184353239</v>
      </c>
      <c r="N225" s="22" t="n">
        <f aca="false">100*(N91-N90)</f>
        <v>5.56139532635371</v>
      </c>
      <c r="O225" s="22" t="n">
        <f aca="false">100*(O91-O90)</f>
        <v>5.62488367561111</v>
      </c>
      <c r="P225" s="22" t="n">
        <f aca="false">100*(P91-P90)</f>
        <v>5.68315127561032</v>
      </c>
      <c r="Q225" s="22" t="n">
        <f aca="false">100*(Q91-Q90)</f>
        <v>5.73653578931928</v>
      </c>
      <c r="R225" s="22" t="n">
        <f aca="false">100*(R91-R90)</f>
        <v>5.78531795146211</v>
      </c>
      <c r="S225" s="22" t="n">
        <f aca="false">100*(S91-S90)</f>
        <v>5.82974453993308</v>
      </c>
      <c r="T225" s="22" t="n">
        <f aca="false">100*(T91-T90)</f>
        <v>5.87003942292559</v>
      </c>
      <c r="U225" s="22" t="n">
        <f aca="false">100*(U91-U90)</f>
        <v>5.90640697002152</v>
      </c>
      <c r="V225" s="22" t="n">
        <f aca="false">100*(V91-V90)</f>
        <v>5.93903524185029</v>
      </c>
      <c r="W225" s="22" t="n">
        <f aca="false">100*(W91-W90)</f>
        <v>5.9681065977391</v>
      </c>
      <c r="X225" s="22" t="n">
        <f aca="false">100*(X91-X90)</f>
        <v>5.99380432023926</v>
      </c>
      <c r="Y225" s="22" t="n">
        <f aca="false">100*(Y91-Y90)</f>
        <v>6.01631224553341</v>
      </c>
      <c r="Z225" s="22" t="n">
        <f aca="false">100*(Z91-Z90)</f>
        <v>6.03582188934215</v>
      </c>
      <c r="AA225" s="22" t="n">
        <f aca="false">100*(AA91-AA90)</f>
        <v>6.05253368967871</v>
      </c>
      <c r="AB225" s="22" t="n">
        <f aca="false">100*(AB91-AB90)</f>
        <v>6.06665595171654</v>
      </c>
      <c r="AC225" s="22" t="n">
        <f aca="false">100*(AC91-AC90)</f>
        <v>6.07840515921501</v>
      </c>
      <c r="AD225" s="22" t="n">
        <f aca="false">100*(AD91-AD90)</f>
        <v>6.08800909296452</v>
      </c>
      <c r="AE225" s="22" t="n">
        <f aca="false">100*(AE91-AE90)</f>
        <v>6.09570654008316</v>
      </c>
      <c r="AF225" s="22" t="n">
        <f aca="false">100*(AF91-AF90)</f>
        <v>6.1017376118369</v>
      </c>
      <c r="AG225" s="22" t="n">
        <f aca="false">100*(AG91-AG90)</f>
        <v>6.10633576493926</v>
      </c>
      <c r="AH225" s="22" t="n">
        <f aca="false">100*(AH91-AH90)</f>
        <v>6.10973014834197</v>
      </c>
      <c r="AI225" s="22" t="n">
        <f aca="false">100*(AI91-AI90)</f>
        <v>6.11214615208446</v>
      </c>
      <c r="AJ225" s="22" t="n">
        <f aca="false">100*(AJ91-AJ90)</f>
        <v>6.11380550905265</v>
      </c>
      <c r="AK225" s="22" t="n">
        <f aca="false">100*(AK91-AK90)</f>
        <v>6.11491921717988</v>
      </c>
      <c r="AL225" s="22" t="n">
        <f aca="false">AVERAGE(C225:AK225)</f>
        <v>4.91586786650135</v>
      </c>
    </row>
    <row r="226" customFormat="false" ht="15" hidden="false" customHeight="false" outlineLevel="0" collapsed="false">
      <c r="A226" s="20" t="n">
        <f aca="false">A92</f>
        <v>-33</v>
      </c>
      <c r="B226" s="21" t="n">
        <f aca="false">B92</f>
        <v>40427</v>
      </c>
      <c r="C226" s="22" t="n">
        <f aca="false">100*(C92-C91)</f>
        <v>-2.2415142210378</v>
      </c>
      <c r="D226" s="22" t="n">
        <f aca="false">100*(D92-D91)</f>
        <v>-2.2895525082985</v>
      </c>
      <c r="E226" s="22" t="n">
        <f aca="false">100*(E92-E91)</f>
        <v>-2.28533552881589</v>
      </c>
      <c r="F226" s="22" t="n">
        <f aca="false">100*(F92-F91)</f>
        <v>-2.2687628603006</v>
      </c>
      <c r="G226" s="22" t="n">
        <f aca="false">100*(G92-G91)</f>
        <v>-2.25641856225089</v>
      </c>
      <c r="H226" s="22" t="n">
        <f aca="false">100*(H92-H91)</f>
        <v>-2.25461219226408</v>
      </c>
      <c r="I226" s="22" t="n">
        <f aca="false">100*(I92-I91)</f>
        <v>-2.26506633773871</v>
      </c>
      <c r="J226" s="22" t="n">
        <f aca="false">100*(J92-J91)</f>
        <v>-2.28723390376766</v>
      </c>
      <c r="K226" s="22" t="n">
        <f aca="false">100*(K92-K91)</f>
        <v>-2.31933630724241</v>
      </c>
      <c r="L226" s="22" t="n">
        <f aca="false">100*(L92-L91)</f>
        <v>-2.35902553774681</v>
      </c>
      <c r="M226" s="22" t="n">
        <f aca="false">100*(M92-M91)</f>
        <v>-2.89987491104537</v>
      </c>
      <c r="N226" s="22" t="n">
        <f aca="false">100*(N92-N91)</f>
        <v>-2.9296653368549</v>
      </c>
      <c r="O226" s="22" t="n">
        <f aca="false">100*(O92-O91)</f>
        <v>-2.95827903772761</v>
      </c>
      <c r="P226" s="22" t="n">
        <f aca="false">100*(P92-P91)</f>
        <v>-2.98592763944523</v>
      </c>
      <c r="Q226" s="22" t="n">
        <f aca="false">100*(Q92-Q91)</f>
        <v>-3.012821875646</v>
      </c>
      <c r="R226" s="22" t="n">
        <f aca="false">100*(R92-R91)</f>
        <v>-3.0391626934609</v>
      </c>
      <c r="S226" s="22" t="n">
        <f aca="false">100*(S92-S91)</f>
        <v>-3.06512239682419</v>
      </c>
      <c r="T226" s="22" t="n">
        <f aca="false">100*(T92-T91)</f>
        <v>-3.09084432448108</v>
      </c>
      <c r="U226" s="22" t="n">
        <f aca="false">100*(U92-U91)</f>
        <v>-3.1164470929077</v>
      </c>
      <c r="V226" s="22" t="n">
        <f aca="false">100*(V92-V91)</f>
        <v>-3.14202798032071</v>
      </c>
      <c r="W226" s="22" t="n">
        <f aca="false">100*(W92-W91)</f>
        <v>-3.16766288114376</v>
      </c>
      <c r="X226" s="22" t="n">
        <f aca="false">100*(X92-X91)</f>
        <v>-3.19340685778426</v>
      </c>
      <c r="Y226" s="22" t="n">
        <f aca="false">100*(Y92-Y91)</f>
        <v>-3.21929569969965</v>
      </c>
      <c r="Z226" s="22" t="n">
        <f aca="false">100*(Z92-Z91)</f>
        <v>-3.24534321404721</v>
      </c>
      <c r="AA226" s="22" t="n">
        <f aca="false">100*(AA92-AA91)</f>
        <v>-3.27154252251267</v>
      </c>
      <c r="AB226" s="22" t="n">
        <f aca="false">100*(AB92-AB91)</f>
        <v>-3.29786857094829</v>
      </c>
      <c r="AC226" s="22" t="n">
        <f aca="false">100*(AC92-AC91)</f>
        <v>-3.3242800568984</v>
      </c>
      <c r="AD226" s="22" t="n">
        <f aca="false">100*(AD92-AD91)</f>
        <v>-3.350720471252</v>
      </c>
      <c r="AE226" s="22" t="n">
        <f aca="false">100*(AE92-AE91)</f>
        <v>-3.37711968247874</v>
      </c>
      <c r="AF226" s="22" t="n">
        <f aca="false">100*(AF92-AF91)</f>
        <v>-3.40339917167132</v>
      </c>
      <c r="AG226" s="22" t="n">
        <f aca="false">100*(AG92-AG91)</f>
        <v>-3.42947750159111</v>
      </c>
      <c r="AH226" s="22" t="n">
        <f aca="false">100*(AH92-AH91)</f>
        <v>-3.4552705806842</v>
      </c>
      <c r="AI226" s="22" t="n">
        <f aca="false">100*(AI92-AI91)</f>
        <v>-3.48069191175791</v>
      </c>
      <c r="AJ226" s="22" t="n">
        <f aca="false">100*(AJ92-AJ91)</f>
        <v>-3.50565294002658</v>
      </c>
      <c r="AK226" s="22" t="n">
        <f aca="false">100*(AK92-AK91)</f>
        <v>-3.53006583867037</v>
      </c>
      <c r="AL226" s="22" t="n">
        <f aca="false">AVERAGE(C226:AK226)</f>
        <v>-2.9519665471241</v>
      </c>
    </row>
    <row r="227" customFormat="false" ht="15" hidden="false" customHeight="false" outlineLevel="0" collapsed="false">
      <c r="A227" s="20" t="n">
        <f aca="false">A93</f>
        <v>-32</v>
      </c>
      <c r="B227" s="21" t="n">
        <f aca="false">B93</f>
        <v>40428</v>
      </c>
      <c r="C227" s="22" t="n">
        <f aca="false">100*(C93-C92)</f>
        <v>-4.64353252456329</v>
      </c>
      <c r="D227" s="22" t="n">
        <f aca="false">100*(D93-D92)</f>
        <v>-5.37538911161553</v>
      </c>
      <c r="E227" s="22" t="n">
        <f aca="false">100*(E93-E92)</f>
        <v>-5.89892170271751</v>
      </c>
      <c r="F227" s="22" t="n">
        <f aca="false">100*(F93-F92)</f>
        <v>-6.274489449446</v>
      </c>
      <c r="G227" s="22" t="n">
        <f aca="false">100*(G93-G92)</f>
        <v>-6.5448201815002</v>
      </c>
      <c r="H227" s="22" t="n">
        <f aca="false">100*(H93-H92)</f>
        <v>-6.7387626379094</v>
      </c>
      <c r="I227" s="22" t="n">
        <f aca="false">100*(I93-I92)</f>
        <v>-6.8756605370742</v>
      </c>
      <c r="J227" s="22" t="n">
        <f aca="false">100*(J93-J92)</f>
        <v>-6.96876558446542</v>
      </c>
      <c r="K227" s="22" t="n">
        <f aca="false">100*(K93-K92)</f>
        <v>-7.0272831114147</v>
      </c>
      <c r="L227" s="22" t="n">
        <f aca="false">100*(L93-L92)</f>
        <v>-7.05771638813308</v>
      </c>
      <c r="M227" s="22" t="n">
        <f aca="false">100*(M93-M92)</f>
        <v>-6.216594748334</v>
      </c>
      <c r="N227" s="22" t="n">
        <f aca="false">100*(N93-N92)</f>
        <v>-6.1205532546714</v>
      </c>
      <c r="O227" s="22" t="n">
        <f aca="false">100*(O93-O92)</f>
        <v>-6.0270081637634</v>
      </c>
      <c r="P227" s="22" t="n">
        <f aca="false">100*(P93-P92)</f>
        <v>-5.93685917582549</v>
      </c>
      <c r="Q227" s="22" t="n">
        <f aca="false">100*(Q93-Q92)</f>
        <v>-5.85090088279547</v>
      </c>
      <c r="R227" s="22" t="n">
        <f aca="false">100*(R93-R92)</f>
        <v>-5.76980310379729</v>
      </c>
      <c r="S227" s="22" t="n">
        <f aca="false">100*(S93-S92)</f>
        <v>-5.6940644414119</v>
      </c>
      <c r="T227" s="22" t="n">
        <f aca="false">100*(T93-T92)</f>
        <v>-5.62402575568641</v>
      </c>
      <c r="U227" s="22" t="n">
        <f aca="false">100*(U93-U92)</f>
        <v>-5.55989333433931</v>
      </c>
      <c r="V227" s="22" t="n">
        <f aca="false">100*(V93-V92)</f>
        <v>-5.50175803879411</v>
      </c>
      <c r="W227" s="22" t="n">
        <f aca="false">100*(W93-W92)</f>
        <v>-5.4496119316966</v>
      </c>
      <c r="X227" s="22" t="n">
        <f aca="false">100*(X93-X92)</f>
        <v>-5.40336833075967</v>
      </c>
      <c r="Y227" s="22" t="n">
        <f aca="false">100*(Y93-Y92)</f>
        <v>-5.36287702371645</v>
      </c>
      <c r="Z227" s="22" t="n">
        <f aca="false">100*(Z93-Z92)</f>
        <v>-5.32793633127557</v>
      </c>
      <c r="AA227" s="22" t="n">
        <f aca="false">100*(AA93-AA92)</f>
        <v>-5.29830055551264</v>
      </c>
      <c r="AB227" s="22" t="n">
        <f aca="false">100*(AB93-AB92)</f>
        <v>-5.27368545734133</v>
      </c>
      <c r="AC227" s="22" t="n">
        <f aca="false">100*(AC93-AC92)</f>
        <v>-5.25377763012109</v>
      </c>
      <c r="AD227" s="22" t="n">
        <f aca="false">100*(AD93-AD92)</f>
        <v>-5.23824944370395</v>
      </c>
      <c r="AE227" s="22" t="n">
        <f aca="false">100*(AE93-AE92)</f>
        <v>-5.22676389941346</v>
      </c>
      <c r="AF227" s="22" t="n">
        <f aca="false">100*(AF93-AF92)</f>
        <v>-5.2189814972909</v>
      </c>
      <c r="AG227" s="22" t="n">
        <f aca="false">100*(AG93-AG92)</f>
        <v>-5.21456985194524</v>
      </c>
      <c r="AH227" s="22" t="n">
        <f aca="false">100*(AH93-AH92)</f>
        <v>-5.21320410753203</v>
      </c>
      <c r="AI227" s="22" t="n">
        <f aca="false">100*(AI93-AI92)</f>
        <v>-5.21456613476463</v>
      </c>
      <c r="AJ227" s="22" t="n">
        <f aca="false">100*(AJ93-AJ92)</f>
        <v>-5.21834397347591</v>
      </c>
      <c r="AK227" s="22" t="n">
        <f aca="false">100*(AK93-AK92)</f>
        <v>-5.22423494289308</v>
      </c>
      <c r="AL227" s="22" t="n">
        <f aca="false">AVERAGE(C227:AK227)</f>
        <v>-5.73843637827716</v>
      </c>
    </row>
    <row r="228" customFormat="false" ht="15" hidden="false" customHeight="false" outlineLevel="0" collapsed="false">
      <c r="A228" s="20" t="n">
        <f aca="false">A94</f>
        <v>-31</v>
      </c>
      <c r="B228" s="21" t="n">
        <f aca="false">B94</f>
        <v>40429</v>
      </c>
      <c r="C228" s="22" t="n">
        <f aca="false">100*(C94-C93)</f>
        <v>2.11005318510866</v>
      </c>
      <c r="D228" s="22" t="n">
        <f aca="false">100*(D94-D93)</f>
        <v>2.94355642172321</v>
      </c>
      <c r="E228" s="22" t="n">
        <f aca="false">100*(E94-E93)</f>
        <v>3.6765157311268</v>
      </c>
      <c r="F228" s="22" t="n">
        <f aca="false">100*(F94-F93)</f>
        <v>4.3087472205293</v>
      </c>
      <c r="G228" s="22" t="n">
        <f aca="false">100*(G94-G93)</f>
        <v>4.85441388557839</v>
      </c>
      <c r="H228" s="22" t="n">
        <f aca="false">100*(H94-H93)</f>
        <v>5.32846734316119</v>
      </c>
      <c r="I228" s="22" t="n">
        <f aca="false">100*(I94-I93)</f>
        <v>5.74321253333621</v>
      </c>
      <c r="J228" s="22" t="n">
        <f aca="false">100*(J94-J93)</f>
        <v>6.10745764899598</v>
      </c>
      <c r="K228" s="22" t="n">
        <f aca="false">100*(K94-K93)</f>
        <v>6.42736281969358</v>
      </c>
      <c r="L228" s="22" t="n">
        <f aca="false">100*(L94-L93)</f>
        <v>6.70714513573709</v>
      </c>
      <c r="M228" s="22" t="n">
        <f aca="false">100*(M94-M93)</f>
        <v>7.50075111272657</v>
      </c>
      <c r="N228" s="22" t="n">
        <f aca="false">100*(N94-N93)</f>
        <v>7.393237396548</v>
      </c>
      <c r="O228" s="22" t="n">
        <f aca="false">100*(O94-O93)</f>
        <v>7.2705299668165</v>
      </c>
      <c r="P228" s="22" t="n">
        <f aca="false">100*(P94-P93)</f>
        <v>7.1345508257938</v>
      </c>
      <c r="Q228" s="22" t="n">
        <f aca="false">100*(Q94-Q93)</f>
        <v>6.98720785954836</v>
      </c>
      <c r="R228" s="22" t="n">
        <f aca="false">100*(R94-R93)</f>
        <v>6.83034897694359</v>
      </c>
      <c r="S228" s="22" t="n">
        <f aca="false">100*(S94-S93)</f>
        <v>6.66569626671367</v>
      </c>
      <c r="T228" s="22" t="n">
        <f aca="false">100*(T94-T93)</f>
        <v>6.49485300078618</v>
      </c>
      <c r="U228" s="22" t="n">
        <f aca="false">100*(U94-U93)</f>
        <v>6.31932109644557</v>
      </c>
      <c r="V228" s="22" t="n">
        <f aca="false">100*(V94-V93)</f>
        <v>6.1405155758131</v>
      </c>
      <c r="W228" s="22" t="n">
        <f aca="false">100*(W94-W93)</f>
        <v>5.95977132053194</v>
      </c>
      <c r="X228" s="22" t="n">
        <f aca="false">100*(X94-X93)</f>
        <v>5.77833547280147</v>
      </c>
      <c r="Y228" s="22" t="n">
        <f aca="false">100*(Y94-Y93)</f>
        <v>5.59735283361835</v>
      </c>
      <c r="Z228" s="22" t="n">
        <f aca="false">100*(Z94-Z93)</f>
        <v>5.4178305236178</v>
      </c>
      <c r="AA228" s="22" t="n">
        <f aca="false">100*(AA94-AA93)</f>
        <v>5.24064244974305</v>
      </c>
      <c r="AB228" s="22" t="n">
        <f aca="false">100*(AB94-AB93)</f>
        <v>5.0665451870648</v>
      </c>
      <c r="AC228" s="22" t="n">
        <f aca="false">100*(AC94-AC93)</f>
        <v>4.89617943536622</v>
      </c>
      <c r="AD228" s="22" t="n">
        <f aca="false">100*(AD94-AD93)</f>
        <v>4.73005341050019</v>
      </c>
      <c r="AE228" s="22" t="n">
        <f aca="false">100*(AE94-AE93)</f>
        <v>4.56855015742868</v>
      </c>
      <c r="AF228" s="22" t="n">
        <f aca="false">100*(AF94-AF93)</f>
        <v>4.41195017656133</v>
      </c>
      <c r="AG228" s="22" t="n">
        <f aca="false">100*(AG94-AG93)</f>
        <v>4.26046777477422</v>
      </c>
      <c r="AH228" s="22" t="n">
        <f aca="false">100*(AH94-AH93)</f>
        <v>4.11426578877725</v>
      </c>
      <c r="AI228" s="22" t="n">
        <f aca="false">100*(AI94-AI93)</f>
        <v>3.97346102454259</v>
      </c>
      <c r="AJ228" s="22" t="n">
        <f aca="false">100*(AJ94-AJ93)</f>
        <v>3.8381289066713</v>
      </c>
      <c r="AK228" s="22" t="n">
        <f aca="false">100*(AK94-AK93)</f>
        <v>3.70830811573057</v>
      </c>
      <c r="AL228" s="22" t="n">
        <f aca="false">AVERAGE(C228:AK228)</f>
        <v>5.38587961659587</v>
      </c>
    </row>
    <row r="229" customFormat="false" ht="15" hidden="false" customHeight="false" outlineLevel="0" collapsed="false">
      <c r="A229" s="20" t="n">
        <f aca="false">A95</f>
        <v>-30</v>
      </c>
      <c r="B229" s="21" t="n">
        <f aca="false">B95</f>
        <v>40430</v>
      </c>
      <c r="C229" s="22" t="n">
        <f aca="false">100*(C95-C94)</f>
        <v>3.07343660416816</v>
      </c>
      <c r="D229" s="22" t="n">
        <f aca="false">100*(D95-D94)</f>
        <v>3.35056069167652</v>
      </c>
      <c r="E229" s="22" t="n">
        <f aca="false">100*(E95-E94)</f>
        <v>3.6007558323444</v>
      </c>
      <c r="F229" s="22" t="n">
        <f aca="false">100*(F95-F94)</f>
        <v>3.8568882525456</v>
      </c>
      <c r="G229" s="22" t="n">
        <f aca="false">100*(G95-G94)</f>
        <v>4.1264493240244</v>
      </c>
      <c r="H229" s="22" t="n">
        <f aca="false">100*(H95-H94)</f>
        <v>4.40788736945079</v>
      </c>
      <c r="I229" s="22" t="n">
        <f aca="false">100*(I95-I94)</f>
        <v>4.6956319751726</v>
      </c>
      <c r="J229" s="22" t="n">
        <f aca="false">100*(J95-J94)</f>
        <v>4.98230646878244</v>
      </c>
      <c r="K229" s="22" t="n">
        <f aca="false">100*(K95-K94)</f>
        <v>5.26038543600573</v>
      </c>
      <c r="L229" s="22" t="n">
        <f aca="false">100*(L95-L94)</f>
        <v>5.52337415909099</v>
      </c>
      <c r="M229" s="22" t="n">
        <f aca="false">100*(M95-M94)</f>
        <v>6.80457011589613</v>
      </c>
      <c r="N229" s="22" t="n">
        <f aca="false">100*(N95-N94)</f>
        <v>6.76651687917098</v>
      </c>
      <c r="O229" s="22" t="n">
        <f aca="false">100*(O95-O94)</f>
        <v>6.7167977024241</v>
      </c>
      <c r="P229" s="22" t="n">
        <f aca="false">100*(P95-P94)</f>
        <v>6.65696783121392</v>
      </c>
      <c r="Q229" s="22" t="n">
        <f aca="false">100*(Q95-Q94)</f>
        <v>6.58853706561944</v>
      </c>
      <c r="R229" s="22" t="n">
        <f aca="false">100*(R95-R94)</f>
        <v>6.5129309244782</v>
      </c>
      <c r="S229" s="22" t="n">
        <f aca="false">100*(S95-S94)</f>
        <v>6.43143366955714</v>
      </c>
      <c r="T229" s="22" t="n">
        <f aca="false">100*(T95-T94)</f>
        <v>6.34519885964604</v>
      </c>
      <c r="U229" s="22" t="n">
        <f aca="false">100*(U95-U94)</f>
        <v>6.25526856448913</v>
      </c>
      <c r="V229" s="22" t="n">
        <f aca="false">100*(V95-V94)</f>
        <v>6.16258939687402</v>
      </c>
      <c r="W229" s="22" t="n">
        <f aca="false">100*(W95-W94)</f>
        <v>6.06802645057059</v>
      </c>
      <c r="X229" s="22" t="n">
        <f aca="false">100*(X95-X94)</f>
        <v>5.97237092129355</v>
      </c>
      <c r="Y229" s="22" t="n">
        <f aca="false">100*(Y95-Y94)</f>
        <v>5.8763418751747</v>
      </c>
      <c r="Z229" s="22" t="n">
        <f aca="false">100*(Z95-Z94)</f>
        <v>5.78058236703551</v>
      </c>
      <c r="AA229" s="22" t="n">
        <f aca="false">100*(AA95-AA94)</f>
        <v>5.68566572800648</v>
      </c>
      <c r="AB229" s="22" t="n">
        <f aca="false">100*(AB95-AB94)</f>
        <v>5.59210399695287</v>
      </c>
      <c r="AC229" s="22" t="n">
        <f aca="false">100*(AC95-AC94)</f>
        <v>5.50035341621564</v>
      </c>
      <c r="AD229" s="22" t="n">
        <f aca="false">100*(AD95-AD94)</f>
        <v>5.4108173443093</v>
      </c>
      <c r="AE229" s="22" t="n">
        <f aca="false">100*(AE95-AE94)</f>
        <v>5.32385141644118</v>
      </c>
      <c r="AF229" s="22" t="n">
        <f aca="false">100*(AF95-AF94)</f>
        <v>5.23976703280233</v>
      </c>
      <c r="AG229" s="22" t="n">
        <f aca="false">100*(AG95-AG94)</f>
        <v>5.15883621901754</v>
      </c>
      <c r="AH229" s="22" t="n">
        <f aca="false">100*(AH95-AH94)</f>
        <v>5.0812969891723</v>
      </c>
      <c r="AI229" s="22" t="n">
        <f aca="false">100*(AI95-AI94)</f>
        <v>5.00735692005057</v>
      </c>
      <c r="AJ229" s="22" t="n">
        <f aca="false">100*(AJ95-AJ94)</f>
        <v>4.93719611159387</v>
      </c>
      <c r="AK229" s="22" t="n">
        <f aca="false">100*(AK95-AK94)</f>
        <v>4.87096578351212</v>
      </c>
      <c r="AL229" s="22" t="n">
        <f aca="false">AVERAGE(C229:AK229)</f>
        <v>5.41782913413655</v>
      </c>
    </row>
    <row r="230" customFormat="false" ht="15" hidden="false" customHeight="false" outlineLevel="0" collapsed="false">
      <c r="A230" s="20" t="n">
        <f aca="false">A96</f>
        <v>-29</v>
      </c>
      <c r="B230" s="21" t="n">
        <f aca="false">B96</f>
        <v>40431</v>
      </c>
      <c r="C230" s="22" t="n">
        <f aca="false">100*(C96-C95)</f>
        <v>6.24486552139704</v>
      </c>
      <c r="D230" s="22" t="n">
        <f aca="false">100*(D96-D95)</f>
        <v>6.92849705781089</v>
      </c>
      <c r="E230" s="22" t="n">
        <f aca="false">100*(E96-E95)</f>
        <v>7.3186101405653</v>
      </c>
      <c r="F230" s="22" t="n">
        <f aca="false">100*(F96-F95)</f>
        <v>7.5404668101086</v>
      </c>
      <c r="G230" s="22" t="n">
        <f aca="false">100*(G96-G95)</f>
        <v>7.65881051443151</v>
      </c>
      <c r="H230" s="22" t="n">
        <f aca="false">100*(H96-H95)</f>
        <v>7.71067399746361</v>
      </c>
      <c r="I230" s="22" t="n">
        <f aca="false">100*(I96-I95)</f>
        <v>7.71925520149352</v>
      </c>
      <c r="J230" s="22" t="n">
        <f aca="false">100*(J96-J95)</f>
        <v>7.69974987665036</v>
      </c>
      <c r="K230" s="22" t="n">
        <f aca="false">100*(K96-K95)</f>
        <v>7.66293717920648</v>
      </c>
      <c r="L230" s="22" t="n">
        <f aca="false">100*(L96-L95)</f>
        <v>7.6168329814132</v>
      </c>
      <c r="M230" s="22" t="n">
        <f aca="false">100*(M96-M95)</f>
        <v>7.42654588614591</v>
      </c>
      <c r="N230" s="22" t="n">
        <f aca="false">100*(N96-N95)</f>
        <v>7.45681121089103</v>
      </c>
      <c r="O230" s="22" t="n">
        <f aca="false">100*(O96-O95)</f>
        <v>7.4907691447673</v>
      </c>
      <c r="P230" s="22" t="n">
        <f aca="false">100*(P96-P95)</f>
        <v>7.52780918573097</v>
      </c>
      <c r="Q230" s="22" t="n">
        <f aca="false">100*(Q96-Q95)</f>
        <v>7.5673604247255</v>
      </c>
      <c r="R230" s="22" t="n">
        <f aca="false">100*(R96-R95)</f>
        <v>7.6089073452513</v>
      </c>
      <c r="S230" s="22" t="n">
        <f aca="false">100*(S96-S95)</f>
        <v>7.65203326209432</v>
      </c>
      <c r="T230" s="22" t="n">
        <f aca="false">100*(T96-T95)</f>
        <v>7.69641721998058</v>
      </c>
      <c r="U230" s="22" t="n">
        <f aca="false">100*(U96-U95)</f>
        <v>7.74181995096281</v>
      </c>
      <c r="V230" s="22" t="n">
        <f aca="false">100*(V96-V95)</f>
        <v>7.78807259803331</v>
      </c>
      <c r="W230" s="22" t="n">
        <f aca="false">100*(W96-W95)</f>
        <v>7.83507176427385</v>
      </c>
      <c r="X230" s="22" t="n">
        <f aca="false">100*(X96-X95)</f>
        <v>7.88276722256356</v>
      </c>
      <c r="Y230" s="22" t="n">
        <f aca="false">100*(Y96-Y95)</f>
        <v>7.9311408774128</v>
      </c>
      <c r="Z230" s="22" t="n">
        <f aca="false">100*(Z96-Z95)</f>
        <v>7.98018361769488</v>
      </c>
      <c r="AA230" s="22" t="n">
        <f aca="false">100*(AA96-AA95)</f>
        <v>8.02989016081135</v>
      </c>
      <c r="AB230" s="22" t="n">
        <f aca="false">100*(AB96-AB95)</f>
        <v>8.08025830401462</v>
      </c>
      <c r="AC230" s="22" t="n">
        <f aca="false">100*(AC96-AC95)</f>
        <v>8.13127884951985</v>
      </c>
      <c r="AD230" s="22" t="n">
        <f aca="false">100*(AD96-AD95)</f>
        <v>8.18291627823697</v>
      </c>
      <c r="AE230" s="22" t="n">
        <f aca="false">100*(AE96-AE95)</f>
        <v>8.23510696361849</v>
      </c>
      <c r="AF230" s="22" t="n">
        <f aca="false">100*(AF96-AF95)</f>
        <v>8.28775780702697</v>
      </c>
      <c r="AG230" s="22" t="n">
        <f aca="false">100*(AG96-AG95)</f>
        <v>8.34075203259639</v>
      </c>
      <c r="AH230" s="22" t="n">
        <f aca="false">100*(AH96-AH95)</f>
        <v>8.393955739996</v>
      </c>
      <c r="AI230" s="22" t="n">
        <f aca="false">100*(AI96-AI95)</f>
        <v>8.44721977818024</v>
      </c>
      <c r="AJ230" s="22" t="n">
        <f aca="false">100*(AJ96-AJ95)</f>
        <v>8.5003810937029</v>
      </c>
      <c r="AK230" s="22" t="n">
        <f aca="false">100*(AK96-AK95)</f>
        <v>8.55326324509651</v>
      </c>
      <c r="AL230" s="22" t="n">
        <f aca="false">AVERAGE(C230:AK230)</f>
        <v>7.79626254982483</v>
      </c>
    </row>
    <row r="231" customFormat="false" ht="15" hidden="false" customHeight="false" outlineLevel="0" collapsed="false">
      <c r="A231" s="20" t="n">
        <f aca="false">A97</f>
        <v>-28</v>
      </c>
      <c r="B231" s="21" t="n">
        <f aca="false">B97</f>
        <v>40434</v>
      </c>
      <c r="C231" s="22" t="n">
        <f aca="false">100*(C97-C96)</f>
        <v>-1.13710272215924</v>
      </c>
      <c r="D231" s="22" t="n">
        <f aca="false">100*(D97-D96)</f>
        <v>-0.8280254599069</v>
      </c>
      <c r="E231" s="22" t="n">
        <f aca="false">100*(E97-E96)</f>
        <v>-0.549107716411701</v>
      </c>
      <c r="F231" s="22" t="n">
        <f aca="false">100*(F97-F96)</f>
        <v>-0.342922786086208</v>
      </c>
      <c r="G231" s="22" t="n">
        <f aca="false">100*(G97-G96)</f>
        <v>-0.213351732174605</v>
      </c>
      <c r="H231" s="22" t="n">
        <f aca="false">100*(H97-H96)</f>
        <v>-0.150917899699499</v>
      </c>
      <c r="I231" s="22" t="n">
        <f aca="false">100*(I97-I96)</f>
        <v>-0.142171723000617</v>
      </c>
      <c r="J231" s="22" t="n">
        <f aca="false">100*(J97-J96)</f>
        <v>-0.173611681703489</v>
      </c>
      <c r="K231" s="22" t="n">
        <f aca="false">100*(K97-K96)</f>
        <v>-0.232756533347311</v>
      </c>
      <c r="L231" s="22" t="n">
        <f aca="false">100*(L97-L96)</f>
        <v>-0.308710047109573</v>
      </c>
      <c r="M231" s="22" t="n">
        <f aca="false">100*(M97-M96)</f>
        <v>-0.628331307494623</v>
      </c>
      <c r="N231" s="22" t="n">
        <f aca="false">100*(N97-N96)</f>
        <v>-0.571694746506912</v>
      </c>
      <c r="O231" s="22" t="n">
        <f aca="false">100*(O97-O96)</f>
        <v>-0.508767382248587</v>
      </c>
      <c r="P231" s="22" t="n">
        <f aca="false">100*(P97-P96)</f>
        <v>-0.441072515513197</v>
      </c>
      <c r="Q231" s="22" t="n">
        <f aca="false">100*(Q97-Q96)</f>
        <v>-0.370122739399603</v>
      </c>
      <c r="R231" s="22" t="n">
        <f aca="false">100*(R97-R96)</f>
        <v>-0.2973490877066</v>
      </c>
      <c r="S231" s="22" t="n">
        <f aca="false">100*(S97-S96)</f>
        <v>-0.223996047363251</v>
      </c>
      <c r="T231" s="22" t="n">
        <f aca="false">100*(T97-T96)</f>
        <v>-0.151130039510416</v>
      </c>
      <c r="U231" s="22" t="n">
        <f aca="false">100*(U97-U96)</f>
        <v>-0.0796655807192792</v>
      </c>
      <c r="V231" s="22" t="n">
        <f aca="false">100*(V97-V96)</f>
        <v>-0.0103863677049176</v>
      </c>
      <c r="W231" s="22" t="n">
        <f aca="false">100*(W97-W96)</f>
        <v>0.0560582151285516</v>
      </c>
      <c r="X231" s="22" t="n">
        <f aca="false">100*(X97-X96)</f>
        <v>0.119179446388706</v>
      </c>
      <c r="Y231" s="22" t="n">
        <f aca="false">100*(Y97-Y96)</f>
        <v>0.178633361776193</v>
      </c>
      <c r="Z231" s="22" t="n">
        <f aca="false">100*(Z97-Z96)</f>
        <v>0.234193030226226</v>
      </c>
      <c r="AA231" s="22" t="n">
        <f aca="false">100*(AA97-AA96)</f>
        <v>0.285731942215239</v>
      </c>
      <c r="AB231" s="22" t="n">
        <f aca="false">100*(AB97-AB96)</f>
        <v>0.333211629072672</v>
      </c>
      <c r="AC231" s="22" t="n">
        <f aca="false">100*(AC97-AC96)</f>
        <v>0.376666705042528</v>
      </c>
      <c r="AD231" s="22" t="n">
        <f aca="false">100*(AD97-AD96)</f>
        <v>0.416187159690296</v>
      </c>
      <c r="AE231" s="22" t="n">
        <f aca="false">100*(AE97-AE96)</f>
        <v>0.451909747823898</v>
      </c>
      <c r="AF231" s="22" t="n">
        <f aca="false">100*(AF97-AF96)</f>
        <v>0.484004100752244</v>
      </c>
      <c r="AG231" s="22" t="n">
        <f aca="false">100*(AG97-AG96)</f>
        <v>0.51265416085684</v>
      </c>
      <c r="AH231" s="22" t="n">
        <f aca="false">100*(AH97-AH96)</f>
        <v>0.538054185788184</v>
      </c>
      <c r="AI231" s="22" t="n">
        <f aca="false">100*(AI97-AI96)</f>
        <v>0.560407680815267</v>
      </c>
      <c r="AJ231" s="22" t="n">
        <f aca="false">100*(AJ97-AJ96)</f>
        <v>0.579926277622889</v>
      </c>
      <c r="AK231" s="22" t="n">
        <f aca="false">100*(AK97-AK96)</f>
        <v>0.596824076985936</v>
      </c>
      <c r="AL231" s="22" t="n">
        <f aca="false">AVERAGE(C231:AK231)</f>
        <v>-0.0467872113023105</v>
      </c>
    </row>
    <row r="232" customFormat="false" ht="15" hidden="false" customHeight="false" outlineLevel="0" collapsed="false">
      <c r="A232" s="20" t="n">
        <f aca="false">A98</f>
        <v>-27</v>
      </c>
      <c r="B232" s="21" t="n">
        <f aca="false">B98</f>
        <v>40435</v>
      </c>
      <c r="C232" s="22" t="n">
        <f aca="false">100*(C98-C97)</f>
        <v>-5.97275905636946</v>
      </c>
      <c r="D232" s="22" t="n">
        <f aca="false">100*(D98-D97)</f>
        <v>-6.65648542457369</v>
      </c>
      <c r="E232" s="22" t="n">
        <f aca="false">100*(E98-E97)</f>
        <v>-7.05384680501799</v>
      </c>
      <c r="F232" s="22" t="n">
        <f aca="false">100*(F98-F97)</f>
        <v>-7.26781544592381</v>
      </c>
      <c r="G232" s="22" t="n">
        <f aca="false">100*(G98-G97)</f>
        <v>-7.35991052188469</v>
      </c>
      <c r="H232" s="22" t="n">
        <f aca="false">100*(H98-H97)</f>
        <v>-7.36940815589631</v>
      </c>
      <c r="I232" s="22" t="n">
        <f aca="false">100*(I98-I97)</f>
        <v>-7.3225002777952</v>
      </c>
      <c r="J232" s="22" t="n">
        <f aca="false">100*(J98-J97)</f>
        <v>-7.23728850541781</v>
      </c>
      <c r="K232" s="22" t="n">
        <f aca="false">100*(K98-K97)</f>
        <v>-7.12656805272847</v>
      </c>
      <c r="L232" s="22" t="n">
        <f aca="false">100*(L98-L97)</f>
        <v>-6.99935791501201</v>
      </c>
      <c r="M232" s="22" t="n">
        <f aca="false">100*(M98-M97)</f>
        <v>-5.01213110982408</v>
      </c>
      <c r="N232" s="22" t="n">
        <f aca="false">100*(N98-N97)</f>
        <v>-4.8454478481518</v>
      </c>
      <c r="O232" s="22" t="n">
        <f aca="false">100*(O98-O97)</f>
        <v>-4.6778689317331</v>
      </c>
      <c r="P232" s="22" t="n">
        <f aca="false">100*(P98-P97)</f>
        <v>-4.5100460039722</v>
      </c>
      <c r="Q232" s="22" t="n">
        <f aca="false">100*(Q98-Q97)</f>
        <v>-4.34270384409103</v>
      </c>
      <c r="R232" s="22" t="n">
        <f aca="false">100*(R98-R97)</f>
        <v>-4.17659650255282</v>
      </c>
      <c r="S232" s="22" t="n">
        <f aca="false">100*(S98-S97)</f>
        <v>-4.01244982361568</v>
      </c>
      <c r="T232" s="22" t="n">
        <f aca="false">100*(T98-T97)</f>
        <v>-3.85095668045965</v>
      </c>
      <c r="U232" s="22" t="n">
        <f aca="false">100*(U98-U97)</f>
        <v>-3.6927818119036</v>
      </c>
      <c r="V232" s="22" t="n">
        <f aca="false">100*(V98-V97)</f>
        <v>-3.53856487194388</v>
      </c>
      <c r="W232" s="22" t="n">
        <f aca="false">100*(W98-W97)</f>
        <v>-3.38888889415241</v>
      </c>
      <c r="X232" s="22" t="n">
        <f aca="false">100*(X98-X97)</f>
        <v>-3.24421442145111</v>
      </c>
      <c r="Y232" s="22" t="n">
        <f aca="false">100*(Y98-Y97)</f>
        <v>-3.10488087775411</v>
      </c>
      <c r="Z232" s="22" t="n">
        <f aca="false">100*(Z98-Z97)</f>
        <v>-2.97112482983346</v>
      </c>
      <c r="AA232" s="22" t="n">
        <f aca="false">100*(AA98-AA97)</f>
        <v>-2.84309320977636</v>
      </c>
      <c r="AB232" s="22" t="n">
        <f aca="false">100*(AB98-AB97)</f>
        <v>-2.72085420272443</v>
      </c>
      <c r="AC232" s="22" t="n">
        <f aca="false">100*(AC98-AC97)</f>
        <v>-2.60440400249218</v>
      </c>
      <c r="AD232" s="22" t="n">
        <f aca="false">100*(AD98-AD97)</f>
        <v>-2.49366810440277</v>
      </c>
      <c r="AE232" s="22" t="n">
        <f aca="false">100*(AE98-AE97)</f>
        <v>-2.38850762544214</v>
      </c>
      <c r="AF232" s="22" t="n">
        <f aca="false">100*(AF98-AF97)</f>
        <v>-2.28873502285989</v>
      </c>
      <c r="AG232" s="22" t="n">
        <f aca="false">100*(AG98-AG97)</f>
        <v>-2.1941337408542</v>
      </c>
      <c r="AH232" s="22" t="n">
        <f aca="false">100*(AH98-AH97)</f>
        <v>-2.10446353868523</v>
      </c>
      <c r="AI232" s="22" t="n">
        <f aca="false">100*(AI98-AI97)</f>
        <v>-2.01946294916304</v>
      </c>
      <c r="AJ232" s="22" t="n">
        <f aca="false">100*(AJ98-AJ97)</f>
        <v>-1.93885166238212</v>
      </c>
      <c r="AK232" s="22" t="n">
        <f aca="false">100*(AK98-AK97)</f>
        <v>-1.86233866223935</v>
      </c>
      <c r="AL232" s="22" t="n">
        <f aca="false">AVERAGE(C232:AK232)</f>
        <v>-4.31980312380229</v>
      </c>
    </row>
    <row r="233" customFormat="false" ht="15" hidden="false" customHeight="false" outlineLevel="0" collapsed="false">
      <c r="A233" s="20" t="n">
        <f aca="false">A99</f>
        <v>-26</v>
      </c>
      <c r="B233" s="21" t="n">
        <f aca="false">B99</f>
        <v>40436</v>
      </c>
      <c r="C233" s="22" t="n">
        <f aca="false">100*(C99-C98)</f>
        <v>1.16224471628669</v>
      </c>
      <c r="D233" s="22" t="n">
        <f aca="false">100*(D99-D98)</f>
        <v>1.1256020948516</v>
      </c>
      <c r="E233" s="22" t="n">
        <f aca="false">100*(E99-E98)</f>
        <v>1.1059433212987</v>
      </c>
      <c r="F233" s="22" t="n">
        <f aca="false">100*(F99-F98)</f>
        <v>1.12892421054351</v>
      </c>
      <c r="G233" s="22" t="n">
        <f aca="false">100*(G99-G98)</f>
        <v>1.1979031267686</v>
      </c>
      <c r="H233" s="22" t="n">
        <f aca="false">100*(H99-H98)</f>
        <v>1.3064979872315</v>
      </c>
      <c r="I233" s="22" t="n">
        <f aca="false">100*(I99-I98)</f>
        <v>1.44478636879899</v>
      </c>
      <c r="J233" s="22" t="n">
        <f aca="false">100*(J99-J98)</f>
        <v>1.60187458873149</v>
      </c>
      <c r="K233" s="22" t="n">
        <f aca="false">100*(K99-K98)</f>
        <v>1.76680466845509</v>
      </c>
      <c r="L233" s="22" t="n">
        <f aca="false">100*(L99-L98)</f>
        <v>1.92962007777657</v>
      </c>
      <c r="M233" s="22" t="n">
        <f aca="false">100*(M99-M98)</f>
        <v>1.88203800137208</v>
      </c>
      <c r="N233" s="22" t="n">
        <f aca="false">100*(N99-N98)</f>
        <v>1.70923852795708</v>
      </c>
      <c r="O233" s="22" t="n">
        <f aca="false">100*(O99-O98)</f>
        <v>1.523596157387</v>
      </c>
      <c r="P233" s="22" t="n">
        <f aca="false">100*(P99-P98)</f>
        <v>1.32808344545121</v>
      </c>
      <c r="Q233" s="22" t="n">
        <f aca="false">100*(Q99-Q98)</f>
        <v>1.12567976323721</v>
      </c>
      <c r="R233" s="22" t="n">
        <f aca="false">100*(R99-R98)</f>
        <v>0.919242211744198</v>
      </c>
      <c r="S233" s="22" t="n">
        <f aca="false">100*(S99-S98)</f>
        <v>0.711334166326605</v>
      </c>
      <c r="T233" s="22" t="n">
        <f aca="false">100*(T99-T98)</f>
        <v>0.504240834721959</v>
      </c>
      <c r="U233" s="22" t="n">
        <f aca="false">100*(U99-U98)</f>
        <v>0.300010143729601</v>
      </c>
      <c r="V233" s="22" t="n">
        <f aca="false">100*(V99-V98)</f>
        <v>0.10048571154746</v>
      </c>
      <c r="W233" s="22" t="n">
        <f aca="false">100*(W99-W98)</f>
        <v>-0.0927071580768768</v>
      </c>
      <c r="X233" s="22" t="n">
        <f aca="false">100*(X99-X98)</f>
        <v>-0.278232603147899</v>
      </c>
      <c r="Y233" s="22" t="n">
        <f aca="false">100*(Y99-Y98)</f>
        <v>-0.45503387936181</v>
      </c>
      <c r="Z233" s="22" t="n">
        <f aca="false">100*(Z99-Z98)</f>
        <v>-0.622300854251368</v>
      </c>
      <c r="AA233" s="22" t="n">
        <f aca="false">100*(AA99-AA98)</f>
        <v>-0.779439603425125</v>
      </c>
      <c r="AB233" s="22" t="n">
        <f aca="false">100*(AB99-AB98)</f>
        <v>-0.926046167501138</v>
      </c>
      <c r="AC233" s="22" t="n">
        <f aca="false">100*(AC99-AC98)</f>
        <v>-1.06188811626344</v>
      </c>
      <c r="AD233" s="22" t="n">
        <f aca="false">100*(AD99-AD98)</f>
        <v>-1.18689287580969</v>
      </c>
      <c r="AE233" s="22" t="n">
        <f aca="false">100*(AE99-AE98)</f>
        <v>-1.30113109064132</v>
      </c>
      <c r="AF233" s="22" t="n">
        <f aca="false">100*(AF99-AF98)</f>
        <v>-1.40478967618227</v>
      </c>
      <c r="AG233" s="22" t="n">
        <f aca="false">100*(AG99-AG98)</f>
        <v>-1.49813080671635</v>
      </c>
      <c r="AH233" s="22" t="n">
        <f aca="false">100*(AH99-AH98)</f>
        <v>-1.58147614802848</v>
      </c>
      <c r="AI233" s="22" t="n">
        <f aca="false">100*(AI99-AI98)</f>
        <v>-1.65520060162692</v>
      </c>
      <c r="AJ233" s="22" t="n">
        <f aca="false">100*(AJ99-AJ98)</f>
        <v>-1.71972676150292</v>
      </c>
      <c r="AK233" s="22" t="n">
        <f aca="false">100*(AK99-AK98)</f>
        <v>-1.77551256732356</v>
      </c>
      <c r="AL233" s="22" t="n">
        <f aca="false">AVERAGE(C233:AK233)</f>
        <v>0.215304034695942</v>
      </c>
    </row>
    <row r="234" customFormat="false" ht="15" hidden="false" customHeight="false" outlineLevel="0" collapsed="false">
      <c r="A234" s="20" t="n">
        <f aca="false">A100</f>
        <v>-25</v>
      </c>
      <c r="B234" s="21" t="n">
        <f aca="false">B100</f>
        <v>40437</v>
      </c>
      <c r="C234" s="22" t="n">
        <f aca="false">100*(C100-C99)</f>
        <v>3.7239008751722</v>
      </c>
      <c r="D234" s="22" t="n">
        <f aca="false">100*(D100-D99)</f>
        <v>4.0297645395261</v>
      </c>
      <c r="E234" s="22" t="n">
        <f aca="false">100*(E100-E99)</f>
        <v>4.2634810052028</v>
      </c>
      <c r="F234" s="22" t="n">
        <f aca="false">100*(F100-F99)</f>
        <v>4.491384054031</v>
      </c>
      <c r="G234" s="22" t="n">
        <f aca="false">100*(G100-G99)</f>
        <v>4.7264966689281</v>
      </c>
      <c r="H234" s="22" t="n">
        <f aca="false">100*(H100-H99)</f>
        <v>4.96442096731069</v>
      </c>
      <c r="I234" s="22" t="n">
        <f aca="false">100*(I100-I99)</f>
        <v>5.1979338756595</v>
      </c>
      <c r="J234" s="22" t="n">
        <f aca="false">100*(J100-J99)</f>
        <v>5.42062706486073</v>
      </c>
      <c r="K234" s="22" t="n">
        <f aca="false">100*(K100-K99)</f>
        <v>5.62752236658199</v>
      </c>
      <c r="L234" s="22" t="n">
        <f aca="false">100*(L100-L99)</f>
        <v>5.81535878029391</v>
      </c>
      <c r="M234" s="22" t="n">
        <f aca="false">100*(M100-M99)</f>
        <v>6.5946635669571</v>
      </c>
      <c r="N234" s="22" t="n">
        <f aca="false">100*(N100-N99)</f>
        <v>6.58425397443661</v>
      </c>
      <c r="O234" s="22" t="n">
        <f aca="false">100*(O100-O99)</f>
        <v>6.57301095898708</v>
      </c>
      <c r="P234" s="22" t="n">
        <f aca="false">100*(P100-P99)</f>
        <v>6.5622553998077</v>
      </c>
      <c r="Q234" s="22" t="n">
        <f aca="false">100*(Q100-Q99)</f>
        <v>6.55317646848084</v>
      </c>
      <c r="R234" s="22" t="n">
        <f aca="false">100*(R100-R99)</f>
        <v>6.54678573613974</v>
      </c>
      <c r="S234" s="22" t="n">
        <f aca="false">100*(S100-S99)</f>
        <v>6.54384996703881</v>
      </c>
      <c r="T234" s="22" t="n">
        <f aca="false">100*(T100-T99)</f>
        <v>6.54491471409022</v>
      </c>
      <c r="U234" s="22" t="n">
        <f aca="false">100*(U100-U99)</f>
        <v>6.55033684494075</v>
      </c>
      <c r="V234" s="22" t="n">
        <f aca="false">100*(V100-V99)</f>
        <v>6.56031148023271</v>
      </c>
      <c r="W234" s="22" t="n">
        <f aca="false">100*(W100-W99)</f>
        <v>6.57488941483742</v>
      </c>
      <c r="X234" s="22" t="n">
        <f aca="false">100*(X100-X99)</f>
        <v>6.59398083915486</v>
      </c>
      <c r="Y234" s="22" t="n">
        <f aca="false">100*(Y100-Y99)</f>
        <v>6.61738119029751</v>
      </c>
      <c r="Z234" s="22" t="n">
        <f aca="false">100*(Z100-Z99)</f>
        <v>6.64481452425312</v>
      </c>
      <c r="AA234" s="22" t="n">
        <f aca="false">100*(AA100-AA99)</f>
        <v>6.675949592133</v>
      </c>
      <c r="AB234" s="22" t="n">
        <f aca="false">100*(AB100-AB99)</f>
        <v>6.71040695191874</v>
      </c>
      <c r="AC234" s="22" t="n">
        <f aca="false">100*(AC100-AC99)</f>
        <v>6.74777835129401</v>
      </c>
      <c r="AD234" s="22" t="n">
        <f aca="false">100*(AD100-AD99)</f>
        <v>6.78766136470426</v>
      </c>
      <c r="AE234" s="22" t="n">
        <f aca="false">100*(AE100-AE99)</f>
        <v>6.82966649212462</v>
      </c>
      <c r="AF234" s="22" t="n">
        <f aca="false">100*(AF100-AF99)</f>
        <v>6.87341964257175</v>
      </c>
      <c r="AG234" s="22" t="n">
        <f aca="false">100*(AG100-AG99)</f>
        <v>6.91857292111253</v>
      </c>
      <c r="AH234" s="22" t="n">
        <f aca="false">100*(AH100-AH99)</f>
        <v>6.96480576844776</v>
      </c>
      <c r="AI234" s="22" t="n">
        <f aca="false">100*(AI100-AI99)</f>
        <v>7.01182215003575</v>
      </c>
      <c r="AJ234" s="22" t="n">
        <f aca="false">100*(AJ100-AJ99)</f>
        <v>7.05934801781636</v>
      </c>
      <c r="AK234" s="22" t="n">
        <f aca="false">100*(AK100-AK99)</f>
        <v>7.10713049448009</v>
      </c>
      <c r="AL234" s="22" t="n">
        <f aca="false">AVERAGE(C234:AK234)</f>
        <v>6.17120220068172</v>
      </c>
    </row>
    <row r="235" customFormat="false" ht="15" hidden="false" customHeight="false" outlineLevel="0" collapsed="false">
      <c r="A235" s="20" t="n">
        <f aca="false">A101</f>
        <v>-24</v>
      </c>
      <c r="B235" s="21" t="n">
        <f aca="false">B101</f>
        <v>40438</v>
      </c>
      <c r="C235" s="22" t="n">
        <f aca="false">100*(C101-C100)</f>
        <v>-0.898537690559131</v>
      </c>
      <c r="D235" s="22" t="n">
        <f aca="false">100*(D101-D100)</f>
        <v>-0.934011046852401</v>
      </c>
      <c r="E235" s="22" t="n">
        <f aca="false">100*(E101-E100)</f>
        <v>-0.937774413094794</v>
      </c>
      <c r="F235" s="22" t="n">
        <f aca="false">100*(F101-F100)</f>
        <v>-0.942038233679599</v>
      </c>
      <c r="G235" s="22" t="n">
        <f aca="false">100*(G101-G100)</f>
        <v>-0.959229660937511</v>
      </c>
      <c r="H235" s="22" t="n">
        <f aca="false">100*(H101-H100)</f>
        <v>-0.99190313961699</v>
      </c>
      <c r="I235" s="22" t="n">
        <f aca="false">100*(I101-I100)</f>
        <v>-1.03716416283279</v>
      </c>
      <c r="J235" s="22" t="n">
        <f aca="false">100*(J101-J100)</f>
        <v>-1.09009087125211</v>
      </c>
      <c r="K235" s="22" t="n">
        <f aca="false">100*(K101-K100)</f>
        <v>-1.1456073022619</v>
      </c>
      <c r="L235" s="22" t="n">
        <f aca="false">100*(L101-L100)</f>
        <v>-1.19945844905591</v>
      </c>
      <c r="M235" s="22" t="n">
        <f aca="false">100*(M101-M100)</f>
        <v>-1.33949160033171</v>
      </c>
      <c r="N235" s="22" t="n">
        <f aca="false">100*(N101-N100)</f>
        <v>-1.32069271512107</v>
      </c>
      <c r="O235" s="22" t="n">
        <f aca="false">100*(O101-O100)</f>
        <v>-1.29963615226618</v>
      </c>
      <c r="P235" s="22" t="n">
        <f aca="false">100*(P101-P100)</f>
        <v>-1.27647900959422</v>
      </c>
      <c r="Q235" s="22" t="n">
        <f aca="false">100*(Q101-Q100)</f>
        <v>-1.25134526226782</v>
      </c>
      <c r="R235" s="22" t="n">
        <f aca="false">100*(R101-R100)</f>
        <v>-1.22435321549803</v>
      </c>
      <c r="S235" s="22" t="n">
        <f aca="false">100*(S101-S100)</f>
        <v>-1.19562880938764</v>
      </c>
      <c r="T235" s="22" t="n">
        <f aca="false">100*(T101-T100)</f>
        <v>-1.16530269860213</v>
      </c>
      <c r="U235" s="22" t="n">
        <f aca="false">100*(U101-U100)</f>
        <v>-1.13350954240792</v>
      </c>
      <c r="V235" s="22" t="n">
        <f aca="false">100*(V101-V100)</f>
        <v>-1.10038710885423</v>
      </c>
      <c r="W235" s="22" t="n">
        <f aca="false">100*(W101-W100)</f>
        <v>-1.06607637306766</v>
      </c>
      <c r="X235" s="22" t="n">
        <f aca="false">100*(X101-X100)</f>
        <v>-1.0307363201731</v>
      </c>
      <c r="Y235" s="22" t="n">
        <f aca="false">100*(Y101-Y100)</f>
        <v>-0.994544786725804</v>
      </c>
      <c r="Z235" s="22" t="n">
        <f aca="false">100*(Z101-Z100)</f>
        <v>-0.957685076167003</v>
      </c>
      <c r="AA235" s="22" t="n">
        <f aca="false">100*(AA101-AA100)</f>
        <v>-0.920342045913891</v>
      </c>
      <c r="AB235" s="22" t="n">
        <f aca="false">100*(AB101-AB100)</f>
        <v>-0.882701857652624</v>
      </c>
      <c r="AC235" s="22" t="n">
        <f aca="false">100*(AC101-AC100)</f>
        <v>-0.844948624950614</v>
      </c>
      <c r="AD235" s="22" t="n">
        <f aca="false">100*(AD101-AD100)</f>
        <v>-0.807255526458217</v>
      </c>
      <c r="AE235" s="22" t="n">
        <f aca="false">100*(AE101-AE100)</f>
        <v>-0.769783832996396</v>
      </c>
      <c r="AF235" s="22" t="n">
        <f aca="false">100*(AF101-AF100)</f>
        <v>-0.732689901567429</v>
      </c>
      <c r="AG235" s="22" t="n">
        <f aca="false">100*(AG101-AG100)</f>
        <v>-0.696125407641901</v>
      </c>
      <c r="AH235" s="22" t="n">
        <f aca="false">100*(AH101-AH100)</f>
        <v>-0.660234748887589</v>
      </c>
      <c r="AI235" s="22" t="n">
        <f aca="false">100*(AI101-AI100)</f>
        <v>-0.625155742050598</v>
      </c>
      <c r="AJ235" s="22" t="n">
        <f aca="false">100*(AJ101-AJ100)</f>
        <v>-0.591020595851433</v>
      </c>
      <c r="AK235" s="22" t="n">
        <f aca="false">100*(AK101-AK100)</f>
        <v>-0.557959696940014</v>
      </c>
      <c r="AL235" s="22" t="n">
        <f aca="false">AVERAGE(C235:AK235)</f>
        <v>-0.987997189186239</v>
      </c>
    </row>
    <row r="236" customFormat="false" ht="15" hidden="false" customHeight="false" outlineLevel="0" collapsed="false">
      <c r="A236" s="20" t="n">
        <f aca="false">A102</f>
        <v>-23</v>
      </c>
      <c r="B236" s="21" t="n">
        <f aca="false">B102</f>
        <v>40441</v>
      </c>
      <c r="C236" s="22" t="n">
        <f aca="false">100*(C102-C101)</f>
        <v>2.27107110366991</v>
      </c>
      <c r="D236" s="22" t="n">
        <f aca="false">100*(D102-D101)</f>
        <v>2.44936896011541</v>
      </c>
      <c r="E236" s="22" t="n">
        <f aca="false">100*(E102-E101)</f>
        <v>2.5397574773848</v>
      </c>
      <c r="F236" s="22" t="n">
        <f aca="false">100*(F102-F101)</f>
        <v>2.5883344177966</v>
      </c>
      <c r="G236" s="22" t="n">
        <f aca="false">100*(G102-G101)</f>
        <v>2.6185863556403</v>
      </c>
      <c r="H236" s="22" t="n">
        <f aca="false">100*(H102-H101)</f>
        <v>2.64172747132529</v>
      </c>
      <c r="I236" s="22" t="n">
        <f aca="false">100*(I102-I101)</f>
        <v>2.66243671682871</v>
      </c>
      <c r="J236" s="22" t="n">
        <f aca="false">100*(J102-J101)</f>
        <v>2.68248455263649</v>
      </c>
      <c r="K236" s="22" t="n">
        <f aca="false">100*(K102-K101)</f>
        <v>2.70232997803981</v>
      </c>
      <c r="L236" s="22" t="n">
        <f aca="false">100*(L102-L101)</f>
        <v>2.72170556553872</v>
      </c>
      <c r="M236" s="22" t="n">
        <f aca="false">100*(M102-M101)</f>
        <v>2.76468294279773</v>
      </c>
      <c r="N236" s="22" t="n">
        <f aca="false">100*(N102-N101)</f>
        <v>2.74911943006368</v>
      </c>
      <c r="O236" s="22" t="n">
        <f aca="false">100*(O102-O101)</f>
        <v>2.73192787340499</v>
      </c>
      <c r="P236" s="22" t="n">
        <f aca="false">100*(P102-P101)</f>
        <v>2.71346352779962</v>
      </c>
      <c r="Q236" s="22" t="n">
        <f aca="false">100*(Q102-Q101)</f>
        <v>2.69408613562581</v>
      </c>
      <c r="R236" s="22" t="n">
        <f aca="false">100*(R102-R101)</f>
        <v>2.67413186105427</v>
      </c>
      <c r="S236" s="22" t="n">
        <f aca="false">100*(S102-S101)</f>
        <v>2.65388473123309</v>
      </c>
      <c r="T236" s="22" t="n">
        <f aca="false">100*(T102-T101)</f>
        <v>2.63358108132588</v>
      </c>
      <c r="U236" s="22" t="n">
        <f aca="false">100*(U102-U101)</f>
        <v>2.61341657079859</v>
      </c>
      <c r="V236" s="22" t="n">
        <f aca="false">100*(V102-V101)</f>
        <v>2.59355222902</v>
      </c>
      <c r="W236" s="22" t="n">
        <f aca="false">100*(W102-W101)</f>
        <v>2.5741234879094</v>
      </c>
      <c r="X236" s="22" t="n">
        <f aca="false">100*(X102-X101)</f>
        <v>2.55524788784776</v>
      </c>
      <c r="Y236" s="22" t="n">
        <f aca="false">100*(Y102-Y101)</f>
        <v>2.53702739644579</v>
      </c>
      <c r="Z236" s="22" t="n">
        <f aca="false">100*(Z102-Z101)</f>
        <v>2.51955148650982</v>
      </c>
      <c r="AA236" s="22" t="n">
        <f aca="false">100*(AA102-AA101)</f>
        <v>2.50289914155868</v>
      </c>
      <c r="AB236" s="22" t="n">
        <f aca="false">100*(AB102-AB101)</f>
        <v>2.48714019148606</v>
      </c>
      <c r="AC236" s="22" t="n">
        <f aca="false">100*(AC102-AC101)</f>
        <v>2.47233882801785</v>
      </c>
      <c r="AD236" s="22" t="n">
        <f aca="false">100*(AD102-AD101)</f>
        <v>2.45856003100835</v>
      </c>
      <c r="AE236" s="22" t="n">
        <f aca="false">100*(AE102-AE101)</f>
        <v>2.44587065964748</v>
      </c>
      <c r="AF236" s="22" t="n">
        <f aca="false">100*(AF102-AF101)</f>
        <v>2.43433320687272</v>
      </c>
      <c r="AG236" s="22" t="n">
        <f aca="false">100*(AG102-AG101)</f>
        <v>2.42399803772795</v>
      </c>
      <c r="AH236" s="22" t="n">
        <f aca="false">100*(AH102-AH101)</f>
        <v>2.41490387690089</v>
      </c>
      <c r="AI236" s="22" t="n">
        <f aca="false">100*(AI102-AI101)</f>
        <v>2.40707903276203</v>
      </c>
      <c r="AJ236" s="22" t="n">
        <f aca="false">100*(AJ102-AJ101)</f>
        <v>2.40054225302062</v>
      </c>
      <c r="AK236" s="22" t="n">
        <f aca="false">100*(AK102-AK101)</f>
        <v>2.39529890306374</v>
      </c>
      <c r="AL236" s="22" t="n">
        <f aca="false">AVERAGE(C236:AK236)</f>
        <v>2.56367324008225</v>
      </c>
    </row>
    <row r="237" customFormat="false" ht="15" hidden="false" customHeight="false" outlineLevel="0" collapsed="false">
      <c r="A237" s="20" t="n">
        <f aca="false">A103</f>
        <v>-22</v>
      </c>
      <c r="B237" s="21" t="n">
        <f aca="false">B103</f>
        <v>40442</v>
      </c>
      <c r="C237" s="22" t="n">
        <f aca="false">100*(C103-C102)</f>
        <v>-2.67889427718017</v>
      </c>
      <c r="D237" s="22" t="n">
        <f aca="false">100*(D103-D102)</f>
        <v>-2.92702074009801</v>
      </c>
      <c r="E237" s="22" t="n">
        <f aca="false">100*(E103-E102)</f>
        <v>-3.10011180543319</v>
      </c>
      <c r="F237" s="22" t="n">
        <f aca="false">100*(F103-F102)</f>
        <v>-3.22975821839151</v>
      </c>
      <c r="G237" s="22" t="n">
        <f aca="false">100*(G103-G102)</f>
        <v>-3.33221080118449</v>
      </c>
      <c r="H237" s="22" t="n">
        <f aca="false">100*(H103-H102)</f>
        <v>-3.4158788531899</v>
      </c>
      <c r="I237" s="22" t="n">
        <f aca="false">100*(I103-I102)</f>
        <v>-3.48508202341862</v>
      </c>
      <c r="J237" s="22" t="n">
        <f aca="false">100*(J103-J102)</f>
        <v>-3.5418844344949</v>
      </c>
      <c r="K237" s="22" t="n">
        <f aca="false">100*(K103-K102)</f>
        <v>-3.58745502525593</v>
      </c>
      <c r="L237" s="22" t="n">
        <f aca="false">100*(L103-L102)</f>
        <v>-3.62301248145931</v>
      </c>
      <c r="M237" s="22" t="n">
        <f aca="false">100*(M103-M102)</f>
        <v>-3.679874561649</v>
      </c>
      <c r="N237" s="22" t="n">
        <f aca="false">100*(N103-N102)</f>
        <v>-3.66859280189971</v>
      </c>
      <c r="O237" s="22" t="n">
        <f aca="false">100*(O103-O102)</f>
        <v>-3.65468916028182</v>
      </c>
      <c r="P237" s="22" t="n">
        <f aca="false">100*(P103-P102)</f>
        <v>-3.6379970691613</v>
      </c>
      <c r="Q237" s="22" t="n">
        <f aca="false">100*(Q103-Q102)</f>
        <v>-3.618366026179</v>
      </c>
      <c r="R237" s="22" t="n">
        <f aca="false">100*(R103-R102)</f>
        <v>-3.59568250262283</v>
      </c>
      <c r="S237" s="22" t="n">
        <f aca="false">100*(S103-S102)</f>
        <v>-3.56989014801226</v>
      </c>
      <c r="T237" s="22" t="n">
        <f aca="false">100*(T103-T102)</f>
        <v>-3.5409835707469</v>
      </c>
      <c r="U237" s="22" t="n">
        <f aca="false">100*(U103-U102)</f>
        <v>-3.50900084089885</v>
      </c>
      <c r="V237" s="22" t="n">
        <f aca="false">100*(V103-V102)</f>
        <v>-3.4740170366919</v>
      </c>
      <c r="W237" s="22" t="n">
        <f aca="false">100*(W103-W102)</f>
        <v>-3.43613478740359</v>
      </c>
      <c r="X237" s="22" t="n">
        <f aca="false">100*(X103-X102)</f>
        <v>-3.39547634449344</v>
      </c>
      <c r="Y237" s="22" t="n">
        <f aca="false">100*(Y103-Y102)</f>
        <v>-3.35218388072311</v>
      </c>
      <c r="Z237" s="22" t="n">
        <f aca="false">100*(Z103-Z102)</f>
        <v>-3.30642175942604</v>
      </c>
      <c r="AA237" s="22" t="n">
        <f aca="false">100*(AA103-AA102)</f>
        <v>-3.25837463845824</v>
      </c>
      <c r="AB237" s="22" t="n">
        <f aca="false">100*(AB103-AB102)</f>
        <v>-3.20824499840899</v>
      </c>
      <c r="AC237" s="22" t="n">
        <f aca="false">100*(AC103-AC102)</f>
        <v>-3.156250565715</v>
      </c>
      <c r="AD237" s="22" t="n">
        <f aca="false">100*(AD103-AD102)</f>
        <v>-3.10262099399905</v>
      </c>
      <c r="AE237" s="22" t="n">
        <f aca="false">100*(AE103-AE102)</f>
        <v>-3.04759613308665</v>
      </c>
      <c r="AF237" s="22" t="n">
        <f aca="false">100*(AF103-AF102)</f>
        <v>-2.99142499328227</v>
      </c>
      <c r="AG237" s="22" t="n">
        <f aca="false">100*(AG103-AG102)</f>
        <v>-2.93436081983653</v>
      </c>
      <c r="AH237" s="22" t="n">
        <f aca="false">100*(AH103-AH102)</f>
        <v>-2.87665880084944</v>
      </c>
      <c r="AI237" s="22" t="n">
        <f aca="false">100*(AI103-AI102)</f>
        <v>-2.81857584372069</v>
      </c>
      <c r="AJ237" s="22" t="n">
        <f aca="false">100*(AJ103-AJ102)</f>
        <v>-2.76037048289419</v>
      </c>
      <c r="AK237" s="22" t="n">
        <f aca="false">100*(AK103-AK102)</f>
        <v>-2.70230283092889</v>
      </c>
      <c r="AL237" s="22" t="n">
        <f aca="false">AVERAGE(C237:AK237)</f>
        <v>-3.29192572147074</v>
      </c>
    </row>
    <row r="238" customFormat="false" ht="15" hidden="false" customHeight="false" outlineLevel="0" collapsed="false">
      <c r="A238" s="20" t="n">
        <f aca="false">A104</f>
        <v>-21</v>
      </c>
      <c r="B238" s="21" t="n">
        <f aca="false">B104</f>
        <v>40443</v>
      </c>
      <c r="C238" s="22" t="n">
        <f aca="false">100*(C104-C103)</f>
        <v>-7.53297039586454</v>
      </c>
      <c r="D238" s="22" t="n">
        <f aca="false">100*(D104-D103)</f>
        <v>-9.02636670067838</v>
      </c>
      <c r="E238" s="22" t="n">
        <f aca="false">100*(E104-E103)</f>
        <v>-10.2139501483509</v>
      </c>
      <c r="F238" s="22" t="n">
        <f aca="false">100*(F104-F103)</f>
        <v>-11.170433346431</v>
      </c>
      <c r="G238" s="22" t="n">
        <f aca="false">100*(G104-G103)</f>
        <v>-11.9478939511817</v>
      </c>
      <c r="H238" s="22" t="n">
        <f aca="false">100*(H104-H103)</f>
        <v>-12.5837116976893</v>
      </c>
      <c r="I238" s="22" t="n">
        <f aca="false">100*(I104-I103)</f>
        <v>-13.1059044464723</v>
      </c>
      <c r="J238" s="22" t="n">
        <f aca="false">100*(J104-J103)</f>
        <v>-13.5353637174777</v>
      </c>
      <c r="K238" s="22" t="n">
        <f aca="false">100*(K104-K103)</f>
        <v>-13.8879357669217</v>
      </c>
      <c r="L238" s="22" t="n">
        <f aca="false">100*(L104-L103)</f>
        <v>-14.1761833911386</v>
      </c>
      <c r="M238" s="22" t="n">
        <f aca="false">100*(M104-M103)</f>
        <v>-15.4477829171026</v>
      </c>
      <c r="N238" s="22" t="n">
        <f aca="false">100*(N104-N103)</f>
        <v>-15.4790619449453</v>
      </c>
      <c r="O238" s="22" t="n">
        <f aca="false">100*(O104-O103)</f>
        <v>-15.5045897380754</v>
      </c>
      <c r="P238" s="22" t="n">
        <f aca="false">100*(P104-P103)</f>
        <v>-15.5241234014099</v>
      </c>
      <c r="Q238" s="22" t="n">
        <f aca="false">100*(Q104-Q103)</f>
        <v>-15.5373856227815</v>
      </c>
      <c r="R238" s="22" t="n">
        <f aca="false">100*(R104-R103)</f>
        <v>-15.5441488929903</v>
      </c>
      <c r="S238" s="22" t="n">
        <f aca="false">100*(S104-S103)</f>
        <v>-15.5443297267011</v>
      </c>
      <c r="T238" s="22" t="n">
        <f aca="false">100*(T104-T103)</f>
        <v>-15.5379798272896</v>
      </c>
      <c r="U238" s="22" t="n">
        <f aca="false">100*(U104-U103)</f>
        <v>-15.5252662071632</v>
      </c>
      <c r="V238" s="22" t="n">
        <f aca="false">100*(V104-V103)</f>
        <v>-15.506454649615</v>
      </c>
      <c r="W238" s="22" t="n">
        <f aca="false">100*(W104-W103)</f>
        <v>-15.4818980001087</v>
      </c>
      <c r="X238" s="22" t="n">
        <f aca="false">100*(X104-X103)</f>
        <v>-15.4520328275724</v>
      </c>
      <c r="Y238" s="22" t="n">
        <f aca="false">100*(Y104-Y103)</f>
        <v>-15.4173586557432</v>
      </c>
      <c r="Z238" s="22" t="n">
        <f aca="false">100*(Z104-Z103)</f>
        <v>-15.3784028522525</v>
      </c>
      <c r="AA238" s="22" t="n">
        <f aca="false">100*(AA104-AA103)</f>
        <v>-15.3357110089067</v>
      </c>
      <c r="AB238" s="22" t="n">
        <f aca="false">100*(AB104-AB103)</f>
        <v>-15.2898443425229</v>
      </c>
      <c r="AC238" s="22" t="n">
        <f aca="false">100*(AC104-AC103)</f>
        <v>-15.241365455896</v>
      </c>
      <c r="AD238" s="22" t="n">
        <f aca="false">100*(AD104-AD103)</f>
        <v>-15.1908121970694</v>
      </c>
      <c r="AE238" s="22" t="n">
        <f aca="false">100*(AE104-AE103)</f>
        <v>-15.1386946357772</v>
      </c>
      <c r="AF238" s="22" t="n">
        <f aca="false">100*(AF104-AF103)</f>
        <v>-15.085494964991</v>
      </c>
      <c r="AG238" s="22" t="n">
        <f aca="false">100*(AG104-AG103)</f>
        <v>-15.0316601894233</v>
      </c>
      <c r="AH238" s="22" t="n">
        <f aca="false">100*(AH104-AH103)</f>
        <v>-14.9776027056115</v>
      </c>
      <c r="AI238" s="22" t="n">
        <f aca="false">100*(AI104-AI103)</f>
        <v>-14.9237038822332</v>
      </c>
      <c r="AJ238" s="22" t="n">
        <f aca="false">100*(AJ104-AJ103)</f>
        <v>-14.8703171831608</v>
      </c>
      <c r="AK238" s="22" t="n">
        <f aca="false">100*(AK104-AK103)</f>
        <v>-14.8177666477133</v>
      </c>
      <c r="AL238" s="22" t="n">
        <f aca="false">AVERAGE(C238:AK238)</f>
        <v>-14.2847000582646</v>
      </c>
    </row>
    <row r="239" customFormat="false" ht="15" hidden="false" customHeight="false" outlineLevel="0" collapsed="false">
      <c r="A239" s="20" t="n">
        <f aca="false">A105</f>
        <v>-20</v>
      </c>
      <c r="B239" s="21" t="n">
        <f aca="false">B105</f>
        <v>40444</v>
      </c>
      <c r="C239" s="22" t="n">
        <f aca="false">100*(C105-C104)</f>
        <v>-1.80048263680005</v>
      </c>
      <c r="D239" s="22" t="n">
        <f aca="false">100*(D105-D104)</f>
        <v>-2.17473851394663</v>
      </c>
      <c r="E239" s="22" t="n">
        <f aca="false">100*(E105-E104)</f>
        <v>-2.46972790677822</v>
      </c>
      <c r="F239" s="22" t="n">
        <f aca="false">100*(F105-F104)</f>
        <v>-2.68200420538041</v>
      </c>
      <c r="G239" s="22" t="n">
        <f aca="false">100*(G105-G104)</f>
        <v>-2.81438805124821</v>
      </c>
      <c r="H239" s="22" t="n">
        <f aca="false">100*(H105-H104)</f>
        <v>-2.87452691251968</v>
      </c>
      <c r="I239" s="22" t="n">
        <f aca="false">100*(I105-I104)</f>
        <v>-2.8738034462612</v>
      </c>
      <c r="J239" s="22" t="n">
        <f aca="false">100*(J105-J104)</f>
        <v>-2.825188330697</v>
      </c>
      <c r="K239" s="22" t="n">
        <f aca="false">100*(K105-K104)</f>
        <v>-2.74195803806876</v>
      </c>
      <c r="L239" s="22" t="n">
        <f aca="false">100*(L105-L104)</f>
        <v>-2.63690319230272</v>
      </c>
      <c r="M239" s="22" t="n">
        <f aca="false">100*(M105-M104)</f>
        <v>-2.25579042217401</v>
      </c>
      <c r="N239" s="22" t="n">
        <f aca="false">100*(N105-N104)</f>
        <v>-2.34019587186873</v>
      </c>
      <c r="O239" s="22" t="n">
        <f aca="false">100*(O105-O104)</f>
        <v>-2.43202125318422</v>
      </c>
      <c r="P239" s="22" t="n">
        <f aca="false">100*(P105-P104)</f>
        <v>-2.52896197383641</v>
      </c>
      <c r="Q239" s="22" t="n">
        <f aca="false">100*(Q105-Q104)</f>
        <v>-2.62876181518696</v>
      </c>
      <c r="R239" s="22" t="n">
        <f aca="false">100*(R105-R104)</f>
        <v>-2.72933391366461</v>
      </c>
      <c r="S239" s="22" t="n">
        <f aca="false">100*(S105-S104)</f>
        <v>-2.82890262982911</v>
      </c>
      <c r="T239" s="22" t="n">
        <f aca="false">100*(T105-T104)</f>
        <v>-2.92597811957327</v>
      </c>
      <c r="U239" s="22" t="n">
        <f aca="false">100*(U105-U104)</f>
        <v>-3.019314308668</v>
      </c>
      <c r="V239" s="22" t="n">
        <f aca="false">100*(V105-V104)</f>
        <v>-3.10787478737886</v>
      </c>
      <c r="W239" s="22" t="n">
        <f aca="false">100*(W105-W104)</f>
        <v>-3.19083164203073</v>
      </c>
      <c r="X239" s="22" t="n">
        <f aca="false">100*(X105-X104)</f>
        <v>-3.2675980285541</v>
      </c>
      <c r="Y239" s="22" t="n">
        <f aca="false">100*(Y105-Y104)</f>
        <v>-3.33780184976185</v>
      </c>
      <c r="Z239" s="22" t="n">
        <f aca="false">100*(Z105-Z104)</f>
        <v>-3.40123981535134</v>
      </c>
      <c r="AA239" s="22" t="n">
        <f aca="false">100*(AA105-AA104)</f>
        <v>-3.45785222168917</v>
      </c>
      <c r="AB239" s="22" t="n">
        <f aca="false">100*(AB105-AB104)</f>
        <v>-3.50770526156046</v>
      </c>
      <c r="AC239" s="22" t="n">
        <f aca="false">100*(AC105-AC104)</f>
        <v>-3.55097041198116</v>
      </c>
      <c r="AD239" s="22" t="n">
        <f aca="false">100*(AD105-AD104)</f>
        <v>-3.58790052397584</v>
      </c>
      <c r="AE239" s="22" t="n">
        <f aca="false">100*(AE105-AE104)</f>
        <v>-3.61881780714475</v>
      </c>
      <c r="AF239" s="22" t="n">
        <f aca="false">100*(AF105-AF104)</f>
        <v>-3.6440971118644</v>
      </c>
      <c r="AG239" s="22" t="n">
        <f aca="false">100*(AG105-AG104)</f>
        <v>-3.66413863410457</v>
      </c>
      <c r="AH239" s="22" t="n">
        <f aca="false">100*(AH105-AH104)</f>
        <v>-3.67935978310037</v>
      </c>
      <c r="AI239" s="22" t="n">
        <f aca="false">100*(AI105-AI104)</f>
        <v>-3.69019335758702</v>
      </c>
      <c r="AJ239" s="22" t="n">
        <f aca="false">100*(AJ105-AJ104)</f>
        <v>-3.69708585007675</v>
      </c>
      <c r="AK239" s="22" t="n">
        <f aca="false">100*(AK105-AK104)</f>
        <v>-3.70048913364558</v>
      </c>
      <c r="AL239" s="22" t="n">
        <f aca="false">AVERAGE(C239:AK239)</f>
        <v>-3.01962679319415</v>
      </c>
    </row>
    <row r="240" customFormat="false" ht="15" hidden="false" customHeight="false" outlineLevel="0" collapsed="false">
      <c r="A240" s="20" t="n">
        <f aca="false">A106</f>
        <v>-19</v>
      </c>
      <c r="B240" s="21" t="n">
        <f aca="false">B106</f>
        <v>40445</v>
      </c>
      <c r="C240" s="22" t="n">
        <f aca="false">100*(C106-C105)</f>
        <v>6.2041030347193</v>
      </c>
      <c r="D240" s="22" t="n">
        <f aca="false">100*(D106-D105)</f>
        <v>6.69931611535056</v>
      </c>
      <c r="E240" s="22" t="n">
        <f aca="false">100*(E106-E105)</f>
        <v>7.05555723383531</v>
      </c>
      <c r="F240" s="22" t="n">
        <f aca="false">100*(F106-F105)</f>
        <v>7.3470518817772</v>
      </c>
      <c r="G240" s="22" t="n">
        <f aca="false">100*(G106-G105)</f>
        <v>7.6037352073167</v>
      </c>
      <c r="H240" s="22" t="n">
        <f aca="false">100*(H106-H105)</f>
        <v>7.83819576603</v>
      </c>
      <c r="I240" s="22" t="n">
        <f aca="false">100*(I106-I105)</f>
        <v>8.0548494495281</v>
      </c>
      <c r="J240" s="22" t="n">
        <f aca="false">100*(J106-J105)</f>
        <v>8.2546829239859</v>
      </c>
      <c r="K240" s="22" t="n">
        <f aca="false">100*(K106-K105)</f>
        <v>8.43655920661108</v>
      </c>
      <c r="L240" s="22" t="n">
        <f aca="false">100*(L106-L105)</f>
        <v>8.59854333915293</v>
      </c>
      <c r="M240" s="22" t="n">
        <f aca="false">100*(M106-M105)</f>
        <v>8.57310423509481</v>
      </c>
      <c r="N240" s="22" t="n">
        <f aca="false">100*(N106-N105)</f>
        <v>8.43933397657324</v>
      </c>
      <c r="O240" s="22" t="n">
        <f aca="false">100*(O106-O105)</f>
        <v>8.29664662790699</v>
      </c>
      <c r="P240" s="22" t="n">
        <f aca="false">100*(P106-P105)</f>
        <v>8.14722482949049</v>
      </c>
      <c r="Q240" s="22" t="n">
        <f aca="false">100*(Q106-Q105)</f>
        <v>7.99322084044958</v>
      </c>
      <c r="R240" s="22" t="n">
        <f aca="false">100*(R106-R105)</f>
        <v>7.83664648753981</v>
      </c>
      <c r="S240" s="22" t="n">
        <f aca="false">100*(S106-S105)</f>
        <v>7.6792743185734</v>
      </c>
      <c r="T240" s="22" t="n">
        <f aca="false">100*(T106-T105)</f>
        <v>7.52266327365776</v>
      </c>
      <c r="U240" s="22" t="n">
        <f aca="false">100*(U106-U105)</f>
        <v>7.36819010921153</v>
      </c>
      <c r="V240" s="22" t="n">
        <f aca="false">100*(V106-V105)</f>
        <v>7.21707470052468</v>
      </c>
      <c r="W240" s="22" t="n">
        <f aca="false">100*(W106-W105)</f>
        <v>7.07036926201843</v>
      </c>
      <c r="X240" s="22" t="n">
        <f aca="false">100*(X106-X105)</f>
        <v>6.92890625805287</v>
      </c>
      <c r="Y240" s="22" t="n">
        <f aca="false">100*(Y106-Y105)</f>
        <v>6.79330958655324</v>
      </c>
      <c r="Z240" s="22" t="n">
        <f aca="false">100*(Z106-Z105)</f>
        <v>6.6640230121374</v>
      </c>
      <c r="AA240" s="22" t="n">
        <f aca="false">100*(AA106-AA105)</f>
        <v>6.54133324987729</v>
      </c>
      <c r="AB240" s="22" t="n">
        <f aca="false">100*(AB106-AB105)</f>
        <v>6.42538910400017</v>
      </c>
      <c r="AC240" s="22" t="n">
        <f aca="false">100*(AC106-AC105)</f>
        <v>6.31621765023622</v>
      </c>
      <c r="AD240" s="22" t="n">
        <f aca="false">100*(AD106-AD105)</f>
        <v>6.21373830337877</v>
      </c>
      <c r="AE240" s="22" t="n">
        <f aca="false">100*(AE106-AE105)</f>
        <v>6.11777514517264</v>
      </c>
      <c r="AF240" s="22" t="n">
        <f aca="false">100*(AF106-AF105)</f>
        <v>6.02807803689505</v>
      </c>
      <c r="AG240" s="22" t="n">
        <f aca="false">100*(AG106-AG105)</f>
        <v>5.94436147745219</v>
      </c>
      <c r="AH240" s="22" t="n">
        <f aca="false">100*(AH106-AH105)</f>
        <v>5.86631709717302</v>
      </c>
      <c r="AI240" s="22" t="n">
        <f aca="false">100*(AI106-AI105)</f>
        <v>5.79361609718907</v>
      </c>
      <c r="AJ240" s="22" t="n">
        <f aca="false">100*(AJ106-AJ105)</f>
        <v>5.72591131768947</v>
      </c>
      <c r="AK240" s="22" t="n">
        <f aca="false">100*(AK106-AK105)</f>
        <v>5.66284586903834</v>
      </c>
      <c r="AL240" s="22" t="n">
        <f aca="false">AVERAGE(C240:AK240)</f>
        <v>7.1216618578341</v>
      </c>
    </row>
    <row r="241" customFormat="false" ht="15" hidden="false" customHeight="false" outlineLevel="0" collapsed="false">
      <c r="A241" s="20" t="n">
        <f aca="false">A107</f>
        <v>-18</v>
      </c>
      <c r="B241" s="21" t="n">
        <f aca="false">B107</f>
        <v>40448</v>
      </c>
      <c r="C241" s="22" t="n">
        <f aca="false">100*(C107-C106)</f>
        <v>-4.15544183385915</v>
      </c>
      <c r="D241" s="22" t="n">
        <f aca="false">100*(D107-D106)</f>
        <v>-4.56149908449786</v>
      </c>
      <c r="E241" s="22" t="n">
        <f aca="false">100*(E107-E106)</f>
        <v>-4.85311946592399</v>
      </c>
      <c r="F241" s="22" t="n">
        <f aca="false">100*(F107-F106)</f>
        <v>-5.0971770284685</v>
      </c>
      <c r="G241" s="22" t="n">
        <f aca="false">100*(G107-G106)</f>
        <v>-5.3194296698744</v>
      </c>
      <c r="H241" s="22" t="n">
        <f aca="false">100*(H107-H106)</f>
        <v>-5.52795968742961</v>
      </c>
      <c r="I241" s="22" t="n">
        <f aca="false">100*(I107-I106)</f>
        <v>-5.72386271499261</v>
      </c>
      <c r="J241" s="22" t="n">
        <f aca="false">100*(J107-J106)</f>
        <v>-5.90637195104948</v>
      </c>
      <c r="K241" s="22" t="n">
        <f aca="false">100*(K107-K106)</f>
        <v>-6.07447569381359</v>
      </c>
      <c r="L241" s="22" t="n">
        <f aca="false">100*(L107-L106)</f>
        <v>-6.22744619446953</v>
      </c>
      <c r="M241" s="22" t="n">
        <f aca="false">100*(M107-M106)</f>
        <v>-6.9265915468832</v>
      </c>
      <c r="N241" s="22" t="n">
        <f aca="false">100*(N107-N106)</f>
        <v>-6.90460426616641</v>
      </c>
      <c r="O241" s="22" t="n">
        <f aca="false">100*(O107-O106)</f>
        <v>-6.87615065676557</v>
      </c>
      <c r="P241" s="22" t="n">
        <f aca="false">100*(P107-P106)</f>
        <v>-6.84204295969799</v>
      </c>
      <c r="Q241" s="22" t="n">
        <f aca="false">100*(Q107-Q106)</f>
        <v>-6.80306045964731</v>
      </c>
      <c r="R241" s="22" t="n">
        <f aca="false">100*(R107-R106)</f>
        <v>-6.75994011820928</v>
      </c>
      <c r="S241" s="22" t="n">
        <f aca="false">100*(S107-S106)</f>
        <v>-6.71335187373638</v>
      </c>
      <c r="T241" s="22" t="n">
        <f aca="false">100*(T107-T106)</f>
        <v>-6.66390275577427</v>
      </c>
      <c r="U241" s="22" t="n">
        <f aca="false">100*(U107-U106)</f>
        <v>-6.61214613094825</v>
      </c>
      <c r="V241" s="22" t="n">
        <f aca="false">100*(V107-V106)</f>
        <v>-6.55858908670259</v>
      </c>
      <c r="W241" s="22" t="n">
        <f aca="false">100*(W107-W106)</f>
        <v>-6.50369299921669</v>
      </c>
      <c r="X241" s="22" t="n">
        <f aca="false">100*(X107-X106)</f>
        <v>-6.44787120317245</v>
      </c>
      <c r="Y241" s="22" t="n">
        <f aca="false">100*(Y107-Y106)</f>
        <v>-6.3914894608482</v>
      </c>
      <c r="Z241" s="22" t="n">
        <f aca="false">100*(Z107-Z106)</f>
        <v>-6.33486252783673</v>
      </c>
      <c r="AA241" s="22" t="n">
        <f aca="false">100*(AA107-AA106)</f>
        <v>-6.27825851547801</v>
      </c>
      <c r="AB241" s="22" t="n">
        <f aca="false">100*(AB107-AB106)</f>
        <v>-6.22190446355342</v>
      </c>
      <c r="AC241" s="22" t="n">
        <f aca="false">100*(AC107-AC106)</f>
        <v>-6.16598781059343</v>
      </c>
      <c r="AD241" s="22" t="n">
        <f aca="false">100*(AD107-AD106)</f>
        <v>-6.11065426924364</v>
      </c>
      <c r="AE241" s="22" t="n">
        <f aca="false">100*(AE107-AE106)</f>
        <v>-6.05601141497791</v>
      </c>
      <c r="AF241" s="22" t="n">
        <f aca="false">100*(AF107-AF106)</f>
        <v>-6.00213723130478</v>
      </c>
      <c r="AG241" s="22" t="n">
        <f aca="false">100*(AG107-AG106)</f>
        <v>-5.94908805699719</v>
      </c>
      <c r="AH241" s="22" t="n">
        <f aca="false">100*(AH107-AH106)</f>
        <v>-5.89690106978402</v>
      </c>
      <c r="AI241" s="22" t="n">
        <f aca="false">100*(AI107-AI106)</f>
        <v>-5.84559627404895</v>
      </c>
      <c r="AJ241" s="22" t="n">
        <f aca="false">100*(AJ107-AJ106)</f>
        <v>-5.79517843783917</v>
      </c>
      <c r="AK241" s="22" t="n">
        <f aca="false">100*(AK107-AK106)</f>
        <v>-5.74564203264494</v>
      </c>
      <c r="AL241" s="22" t="n">
        <f aca="false">AVERAGE(C241:AK241)</f>
        <v>-6.08149825561284</v>
      </c>
    </row>
    <row r="242" customFormat="false" ht="15" hidden="false" customHeight="false" outlineLevel="0" collapsed="false">
      <c r="A242" s="20" t="n">
        <f aca="false">A108</f>
        <v>-17</v>
      </c>
      <c r="B242" s="21" t="n">
        <f aca="false">B108</f>
        <v>40449</v>
      </c>
      <c r="C242" s="22" t="n">
        <f aca="false">100*(C108-C107)</f>
        <v>-0.755929227807994</v>
      </c>
      <c r="D242" s="22" t="n">
        <f aca="false">100*(D108-D107)</f>
        <v>-1.32828542587923</v>
      </c>
      <c r="E242" s="22" t="n">
        <f aca="false">100*(E108-E107)</f>
        <v>-1.83644957531059</v>
      </c>
      <c r="F242" s="22" t="n">
        <f aca="false">100*(F108-F107)</f>
        <v>-2.27052682124709</v>
      </c>
      <c r="G242" s="22" t="n">
        <f aca="false">100*(G108-G107)</f>
        <v>-2.6298448519569</v>
      </c>
      <c r="H242" s="22" t="n">
        <f aca="false">100*(H108-H107)</f>
        <v>-2.9198739952798</v>
      </c>
      <c r="I242" s="22" t="n">
        <f aca="false">100*(I108-I107)</f>
        <v>-3.15032725498989</v>
      </c>
      <c r="J242" s="22" t="n">
        <f aca="false">100*(J108-J107)</f>
        <v>-3.33259583763332</v>
      </c>
      <c r="K242" s="22" t="n">
        <f aca="false">100*(K108-K107)</f>
        <v>-3.47779413890743</v>
      </c>
      <c r="L242" s="22" t="n">
        <f aca="false">100*(L108-L107)</f>
        <v>-3.59614736411986</v>
      </c>
      <c r="M242" s="22" t="n">
        <f aca="false">100*(M108-M107)</f>
        <v>-5.40489406160623</v>
      </c>
      <c r="N242" s="22" t="n">
        <f aca="false">100*(N108-N107)</f>
        <v>-5.61279307258649</v>
      </c>
      <c r="O242" s="22" t="n">
        <f aca="false">100*(O108-O107)</f>
        <v>-5.82125900165691</v>
      </c>
      <c r="P242" s="22" t="n">
        <f aca="false">100*(P108-P107)</f>
        <v>-6.0275091653943</v>
      </c>
      <c r="Q242" s="22" t="n">
        <f aca="false">100*(Q108-Q107)</f>
        <v>-6.22878937625657</v>
      </c>
      <c r="R242" s="22" t="n">
        <f aca="false">100*(R108-R107)</f>
        <v>-6.422573956731</v>
      </c>
      <c r="S242" s="22" t="n">
        <f aca="false">100*(S108-S107)</f>
        <v>-6.60678302394713</v>
      </c>
      <c r="T242" s="22" t="n">
        <f aca="false">100*(T108-T107)</f>
        <v>-6.77974542494053</v>
      </c>
      <c r="U242" s="22" t="n">
        <f aca="false">100*(U108-U107)</f>
        <v>-6.94013863128928</v>
      </c>
      <c r="V242" s="22" t="n">
        <f aca="false">100*(V108-V107)</f>
        <v>-7.08694007718189</v>
      </c>
      <c r="W242" s="22" t="n">
        <f aca="false">100*(W108-W107)</f>
        <v>-7.21942215102072</v>
      </c>
      <c r="X242" s="22" t="n">
        <f aca="false">100*(X108-X107)</f>
        <v>-7.33718455150227</v>
      </c>
      <c r="Y242" s="22" t="n">
        <f aca="false">100*(Y108-Y107)</f>
        <v>-7.44011287841446</v>
      </c>
      <c r="Z242" s="22" t="n">
        <f aca="false">100*(Z108-Z107)</f>
        <v>-7.52831580469033</v>
      </c>
      <c r="AA242" s="22" t="n">
        <f aca="false">100*(AA108-AA107)</f>
        <v>-7.60209185836001</v>
      </c>
      <c r="AB242" s="22" t="n">
        <f aca="false">100*(AB108-AB107)</f>
        <v>-7.6619057877716</v>
      </c>
      <c r="AC242" s="22" t="n">
        <f aca="false">100*(AC108-AC107)</f>
        <v>-7.70835487427801</v>
      </c>
      <c r="AD242" s="22" t="n">
        <f aca="false">100*(AD108-AD107)</f>
        <v>-7.74212695796734</v>
      </c>
      <c r="AE242" s="22" t="n">
        <f aca="false">100*(AE108-AE107)</f>
        <v>-7.76398448729685</v>
      </c>
      <c r="AF242" s="22" t="n">
        <f aca="false">100*(AF108-AF107)</f>
        <v>-7.77474560984333</v>
      </c>
      <c r="AG242" s="22" t="n">
        <f aca="false">100*(AG108-AG107)</f>
        <v>-7.77525521080982</v>
      </c>
      <c r="AH242" s="22" t="n">
        <f aca="false">100*(AH108-AH107)</f>
        <v>-7.7663768497553</v>
      </c>
      <c r="AI242" s="22" t="n">
        <f aca="false">100*(AI108-AI107)</f>
        <v>-7.74899079373208</v>
      </c>
      <c r="AJ242" s="22" t="n">
        <f aca="false">100*(AJ108-AJ107)</f>
        <v>-7.72399205148462</v>
      </c>
      <c r="AK242" s="22" t="n">
        <f aca="false">100*(AK108-AK107)</f>
        <v>-7.69227863642978</v>
      </c>
      <c r="AL242" s="22" t="n">
        <f aca="false">AVERAGE(C242:AK242)</f>
        <v>-5.79183825108797</v>
      </c>
    </row>
    <row r="243" customFormat="false" ht="15" hidden="false" customHeight="false" outlineLevel="0" collapsed="false">
      <c r="A243" s="20" t="n">
        <f aca="false">A109</f>
        <v>-16</v>
      </c>
      <c r="B243" s="21" t="n">
        <f aca="false">B109</f>
        <v>40450</v>
      </c>
      <c r="C243" s="22" t="n">
        <f aca="false">100*(C109-C108)</f>
        <v>-2.25271013204446</v>
      </c>
      <c r="D243" s="22" t="n">
        <f aca="false">100*(D109-D108)</f>
        <v>-2.46742766069308</v>
      </c>
      <c r="E243" s="22" t="n">
        <f aca="false">100*(E109-E108)</f>
        <v>-2.59785986439971</v>
      </c>
      <c r="F243" s="22" t="n">
        <f aca="false">100*(F109-F108)</f>
        <v>-2.66431689580711</v>
      </c>
      <c r="G243" s="22" t="n">
        <f aca="false">100*(G109-G108)</f>
        <v>-2.6801537460861</v>
      </c>
      <c r="H243" s="22" t="n">
        <f aca="false">100*(H109-H108)</f>
        <v>-2.65622564267991</v>
      </c>
      <c r="I243" s="22" t="n">
        <f aca="false">100*(I109-I108)</f>
        <v>-2.6033413192071</v>
      </c>
      <c r="J243" s="22" t="n">
        <f aca="false">100*(J109-J108)</f>
        <v>-2.53291362350219</v>
      </c>
      <c r="K243" s="22" t="n">
        <f aca="false">100*(K109-K108)</f>
        <v>-2.45629356107737</v>
      </c>
      <c r="L243" s="22" t="n">
        <f aca="false">100*(L109-L108)</f>
        <v>-2.3837850480565</v>
      </c>
      <c r="M243" s="22" t="n">
        <f aca="false">100*(M109-M108)</f>
        <v>-3.56043813434517</v>
      </c>
      <c r="N243" s="22" t="n">
        <f aca="false">100*(N109-N108)</f>
        <v>-3.78058686145413</v>
      </c>
      <c r="O243" s="22" t="n">
        <f aca="false">100*(O109-O108)</f>
        <v>-4.00279447634593</v>
      </c>
      <c r="P243" s="22" t="n">
        <f aca="false">100*(P109-P108)</f>
        <v>-4.22367140627808</v>
      </c>
      <c r="Q243" s="22" t="n">
        <f aca="false">100*(Q109-Q108)</f>
        <v>-4.43997109861263</v>
      </c>
      <c r="R243" s="22" t="n">
        <f aca="false">100*(R109-R108)</f>
        <v>-4.64876553956271</v>
      </c>
      <c r="S243" s="22" t="n">
        <f aca="false">100*(S109-S108)</f>
        <v>-4.84763457063879</v>
      </c>
      <c r="T243" s="22" t="n">
        <f aca="false">100*(T109-T108)</f>
        <v>-5.03461672583909</v>
      </c>
      <c r="U243" s="22" t="n">
        <f aca="false">100*(U109-U108)</f>
        <v>-5.2081417772099</v>
      </c>
      <c r="V243" s="22" t="n">
        <f aca="false">100*(V109-V108)</f>
        <v>-5.3669760881407</v>
      </c>
      <c r="W243" s="22" t="n">
        <f aca="false">100*(W109-W108)</f>
        <v>-5.51021397682412</v>
      </c>
      <c r="X243" s="22" t="n">
        <f aca="false">100*(X109-X108)</f>
        <v>-5.63730667935931</v>
      </c>
      <c r="Y243" s="22" t="n">
        <f aca="false">100*(Y109-Y108)</f>
        <v>-5.7480185422897</v>
      </c>
      <c r="Z243" s="22" t="n">
        <f aca="false">100*(Z109-Z108)</f>
        <v>-5.84236452399769</v>
      </c>
      <c r="AA243" s="22" t="n">
        <f aca="false">100*(AA109-AA108)</f>
        <v>-5.92057444132479</v>
      </c>
      <c r="AB243" s="22" t="n">
        <f aca="false">100*(AB109-AB108)</f>
        <v>-5.98306650758551</v>
      </c>
      <c r="AC243" s="22" t="n">
        <f aca="false">100*(AC109-AC108)</f>
        <v>-6.03041793945089</v>
      </c>
      <c r="AD243" s="22" t="n">
        <f aca="false">100*(AD109-AD108)</f>
        <v>-6.06333361292135</v>
      </c>
      <c r="AE243" s="22" t="n">
        <f aca="false">100*(AE109-AE108)</f>
        <v>-6.08262863401192</v>
      </c>
      <c r="AF243" s="22" t="n">
        <f aca="false">100*(AF109-AF108)</f>
        <v>-6.08920178727068</v>
      </c>
      <c r="AG243" s="22" t="n">
        <f aca="false">100*(AG109-AG108)</f>
        <v>-6.08399731774503</v>
      </c>
      <c r="AH243" s="22" t="n">
        <f aca="false">100*(AH109-AH108)</f>
        <v>-6.06799381265564</v>
      </c>
      <c r="AI243" s="22" t="n">
        <f aca="false">100*(AI109-AI108)</f>
        <v>-6.04220060179008</v>
      </c>
      <c r="AJ243" s="22" t="n">
        <f aca="false">100*(AJ109-AJ108)</f>
        <v>-6.00765417514086</v>
      </c>
      <c r="AK243" s="22" t="n">
        <f aca="false">100*(AK109-AK108)</f>
        <v>-5.96540015048497</v>
      </c>
      <c r="AL243" s="22" t="n">
        <f aca="false">AVERAGE(C243:AK243)</f>
        <v>-4.55665705356666</v>
      </c>
    </row>
    <row r="244" customFormat="false" ht="15" hidden="false" customHeight="false" outlineLevel="0" collapsed="false">
      <c r="A244" s="20" t="n">
        <f aca="false">A110</f>
        <v>-15</v>
      </c>
      <c r="B244" s="21" t="n">
        <f aca="false">B110</f>
        <v>40451</v>
      </c>
      <c r="C244" s="22" t="n">
        <f aca="false">100*(C110-C109)</f>
        <v>1.78264554625027</v>
      </c>
      <c r="D244" s="22" t="n">
        <f aca="false">100*(D110-D109)</f>
        <v>2.04879984796874</v>
      </c>
      <c r="E244" s="22" t="n">
        <f aca="false">100*(E110-E109)</f>
        <v>2.3186454164086</v>
      </c>
      <c r="F244" s="22" t="n">
        <f aca="false">100*(F110-F109)</f>
        <v>2.59438097325411</v>
      </c>
      <c r="G244" s="22" t="n">
        <f aca="false">100*(G110-G109)</f>
        <v>2.86466018784339</v>
      </c>
      <c r="H244" s="22" t="n">
        <f aca="false">100*(H110-H109)</f>
        <v>3.1181080820528</v>
      </c>
      <c r="I244" s="22" t="n">
        <f aca="false">100*(I110-I109)</f>
        <v>3.34686564892019</v>
      </c>
      <c r="J244" s="22" t="n">
        <f aca="false">100*(J110-J109)</f>
        <v>3.54664014027479</v>
      </c>
      <c r="K244" s="22" t="n">
        <f aca="false">100*(K110-K109)</f>
        <v>3.71594108911388</v>
      </c>
      <c r="L244" s="22" t="n">
        <f aca="false">100*(L110-L109)</f>
        <v>3.85531293254378</v>
      </c>
      <c r="M244" s="22" t="n">
        <f aca="false">100*(M110-M109)</f>
        <v>4.20728165061037</v>
      </c>
      <c r="N244" s="22" t="n">
        <f aca="false">100*(N110-N109)</f>
        <v>4.2000534563464</v>
      </c>
      <c r="O244" s="22" t="n">
        <f aca="false">100*(O110-O109)</f>
        <v>4.19336624873981</v>
      </c>
      <c r="P244" s="22" t="n">
        <f aca="false">100*(P110-P109)</f>
        <v>4.18766188674851</v>
      </c>
      <c r="Q244" s="22" t="n">
        <f aca="false">100*(Q110-Q109)</f>
        <v>4.18331770454383</v>
      </c>
      <c r="R244" s="22" t="n">
        <f aca="false">100*(R110-R109)</f>
        <v>4.1806522438065</v>
      </c>
      <c r="S244" s="22" t="n">
        <f aca="false">100*(S110-S109)</f>
        <v>4.17994614119062</v>
      </c>
      <c r="T244" s="22" t="n">
        <f aca="false">100*(T110-T109)</f>
        <v>4.18145209516463</v>
      </c>
      <c r="U244" s="22" t="n">
        <f aca="false">100*(U110-U109)</f>
        <v>4.18539897938861</v>
      </c>
      <c r="V244" s="22" t="n">
        <f aca="false">100*(V110-V109)</f>
        <v>4.19199506051369</v>
      </c>
      <c r="W244" s="22" t="n">
        <f aca="false">100*(W110-W109)</f>
        <v>4.20142440797813</v>
      </c>
      <c r="X244" s="22" t="n">
        <f aca="false">100*(X110-X109)</f>
        <v>4.2138369987005</v>
      </c>
      <c r="Y244" s="22" t="n">
        <f aca="false">100*(Y110-Y109)</f>
        <v>4.22935152526081</v>
      </c>
      <c r="Z244" s="22" t="n">
        <f aca="false">100*(Z110-Z109)</f>
        <v>4.24806118189891</v>
      </c>
      <c r="AA244" s="22" t="n">
        <f aca="false">100*(AA110-AA109)</f>
        <v>4.27003710157701</v>
      </c>
      <c r="AB244" s="22" t="n">
        <f aca="false">100*(AB110-AB109)</f>
        <v>4.2953309979755</v>
      </c>
      <c r="AC244" s="22" t="n">
        <f aca="false">100*(AC110-AC109)</f>
        <v>4.32397571100149</v>
      </c>
      <c r="AD244" s="22" t="n">
        <f aca="false">100*(AD110-AD109)</f>
        <v>4.35598368485657</v>
      </c>
      <c r="AE244" s="22" t="n">
        <f aca="false">100*(AE110-AE109)</f>
        <v>4.39134799362231</v>
      </c>
      <c r="AF244" s="22" t="n">
        <f aca="false">100*(AF110-AF109)</f>
        <v>4.43003468742633</v>
      </c>
      <c r="AG244" s="22" t="n">
        <f aca="false">100*(AG110-AG109)</f>
        <v>4.47197083468405</v>
      </c>
      <c r="AH244" s="22" t="n">
        <f aca="false">100*(AH110-AH109)</f>
        <v>4.51704645046611</v>
      </c>
      <c r="AI244" s="22" t="n">
        <f aca="false">100*(AI110-AI109)</f>
        <v>4.56511835747584</v>
      </c>
      <c r="AJ244" s="22" t="n">
        <f aca="false">100*(AJ110-AJ109)</f>
        <v>4.61601313262552</v>
      </c>
      <c r="AK244" s="22" t="n">
        <f aca="false">100*(AK110-AK109)</f>
        <v>4.66951912943445</v>
      </c>
      <c r="AL244" s="22" t="n">
        <f aca="false">AVERAGE(C244:AK244)</f>
        <v>3.91091935790477</v>
      </c>
    </row>
    <row r="245" customFormat="false" ht="15" hidden="false" customHeight="false" outlineLevel="0" collapsed="false">
      <c r="A245" s="20" t="n">
        <f aca="false">A111</f>
        <v>-14</v>
      </c>
      <c r="B245" s="21" t="n">
        <f aca="false">B111</f>
        <v>40452</v>
      </c>
      <c r="C245" s="22" t="n">
        <f aca="false">100*(C111-C110)</f>
        <v>0.391602034268612</v>
      </c>
      <c r="D245" s="22" t="n">
        <f aca="false">100*(D111-D110)</f>
        <v>0.544122586284901</v>
      </c>
      <c r="E245" s="22" t="n">
        <f aca="false">100*(E111-E110)</f>
        <v>0.732480862328488</v>
      </c>
      <c r="F245" s="22" t="n">
        <f aca="false">100*(F111-F110)</f>
        <v>0.932634874888794</v>
      </c>
      <c r="G245" s="22" t="n">
        <f aca="false">100*(G111-G110)</f>
        <v>1.1295013402894</v>
      </c>
      <c r="H245" s="22" t="n">
        <f aca="false">100*(H111-H110)</f>
        <v>1.31580003260201</v>
      </c>
      <c r="I245" s="22" t="n">
        <f aca="false">100*(I111-I110)</f>
        <v>1.48826584262769</v>
      </c>
      <c r="J245" s="22" t="n">
        <f aca="false">100*(J111-J110)</f>
        <v>1.6449710651768</v>
      </c>
      <c r="K245" s="22" t="n">
        <f aca="false">100*(K111-K110)</f>
        <v>1.7848671920512</v>
      </c>
      <c r="L245" s="22" t="n">
        <f aca="false">100*(L111-L110)</f>
        <v>1.90782802277001</v>
      </c>
      <c r="M245" s="22" t="n">
        <f aca="false">100*(M111-M110)</f>
        <v>2.40446831444863</v>
      </c>
      <c r="N245" s="22" t="n">
        <f aca="false">100*(N111-N110)</f>
        <v>2.39220264331053</v>
      </c>
      <c r="O245" s="22" t="n">
        <f aca="false">100*(O111-O110)</f>
        <v>2.37545942538242</v>
      </c>
      <c r="P245" s="22" t="n">
        <f aca="false">100*(P111-P110)</f>
        <v>2.35449960165557</v>
      </c>
      <c r="Q245" s="22" t="n">
        <f aca="false">100*(Q111-Q110)</f>
        <v>2.32955695357431</v>
      </c>
      <c r="R245" s="22" t="n">
        <f aca="false">100*(R111-R110)</f>
        <v>2.300832308917</v>
      </c>
      <c r="S245" s="22" t="n">
        <f aca="false">100*(S111-S110)</f>
        <v>2.2685380597113</v>
      </c>
      <c r="T245" s="22" t="n">
        <f aca="false">100*(T111-T110)</f>
        <v>2.23290912516458</v>
      </c>
      <c r="U245" s="22" t="n">
        <f aca="false">100*(U111-U110)</f>
        <v>2.19419964978327</v>
      </c>
      <c r="V245" s="22" t="n">
        <f aca="false">100*(V111-V110)</f>
        <v>2.15268062391343</v>
      </c>
      <c r="W245" s="22" t="n">
        <f aca="false">100*(W111-W110)</f>
        <v>2.10864432417859</v>
      </c>
      <c r="X245" s="22" t="n">
        <f aca="false">100*(X111-X110)</f>
        <v>2.06240998667551</v>
      </c>
      <c r="Y245" s="22" t="n">
        <f aca="false">100*(Y111-Y110)</f>
        <v>2.0143107284825</v>
      </c>
      <c r="Z245" s="22" t="n">
        <f aca="false">100*(Z111-Z110)</f>
        <v>1.96467158972231</v>
      </c>
      <c r="AA245" s="22" t="n">
        <f aca="false">100*(AA111-AA110)</f>
        <v>1.91380642369774</v>
      </c>
      <c r="AB245" s="22" t="n">
        <f aca="false">100*(AB111-AB110)</f>
        <v>1.86201906793642</v>
      </c>
      <c r="AC245" s="22" t="n">
        <f aca="false">100*(AC111-AC110)</f>
        <v>1.80959865164123</v>
      </c>
      <c r="AD245" s="22" t="n">
        <f aca="false">100*(AD111-AD110)</f>
        <v>1.75680960311411</v>
      </c>
      <c r="AE245" s="22" t="n">
        <f aca="false">100*(AE111-AE110)</f>
        <v>1.70389150781052</v>
      </c>
      <c r="AF245" s="22" t="n">
        <f aca="false">100*(AF111-AF110)</f>
        <v>1.65105786312907</v>
      </c>
      <c r="AG245" s="22" t="n">
        <f aca="false">100*(AG111-AG110)</f>
        <v>1.59850061618263</v>
      </c>
      <c r="AH245" s="22" t="n">
        <f aca="false">100*(AH111-AH110)</f>
        <v>1.5463946505748</v>
      </c>
      <c r="AI245" s="22" t="n">
        <f aca="false">100*(AI111-AI110)</f>
        <v>1.49489958598741</v>
      </c>
      <c r="AJ245" s="22" t="n">
        <f aca="false">100*(AJ111-AJ110)</f>
        <v>1.44416095656883</v>
      </c>
      <c r="AK245" s="22" t="n">
        <f aca="false">100*(AK111-AK110)</f>
        <v>1.39430710837996</v>
      </c>
      <c r="AL245" s="22" t="n">
        <f aca="false">AVERAGE(C245:AK245)</f>
        <v>1.74865437780659</v>
      </c>
    </row>
    <row r="246" customFormat="false" ht="15" hidden="false" customHeight="false" outlineLevel="0" collapsed="false">
      <c r="A246" s="20" t="n">
        <f aca="false">A112</f>
        <v>-13</v>
      </c>
      <c r="B246" s="21" t="n">
        <f aca="false">B112</f>
        <v>40455</v>
      </c>
      <c r="C246" s="22" t="n">
        <f aca="false">100*(C112-C111)</f>
        <v>-2.45007612869101</v>
      </c>
      <c r="D246" s="22" t="n">
        <f aca="false">100*(D112-D111)</f>
        <v>-2.91638221123086</v>
      </c>
      <c r="E246" s="22" t="n">
        <f aca="false">100*(E112-E111)</f>
        <v>-3.2890828903043</v>
      </c>
      <c r="F246" s="22" t="n">
        <f aca="false">100*(F112-F111)</f>
        <v>-3.5932430145277</v>
      </c>
      <c r="G246" s="22" t="n">
        <f aca="false">100*(G112-G111)</f>
        <v>-3.8428153022009</v>
      </c>
      <c r="H246" s="22" t="n">
        <f aca="false">100*(H112-H111)</f>
        <v>-4.0461346523732</v>
      </c>
      <c r="I246" s="22" t="n">
        <f aca="false">100*(I112-I111)</f>
        <v>-4.20782178535668</v>
      </c>
      <c r="J246" s="22" t="n">
        <f aca="false">100*(J112-J111)</f>
        <v>-4.3307561822473</v>
      </c>
      <c r="K246" s="22" t="n">
        <f aca="false">100*(K112-K111)</f>
        <v>-4.4171567775261</v>
      </c>
      <c r="L246" s="22" t="n">
        <f aca="false">100*(L112-L111)</f>
        <v>-4.469029381251</v>
      </c>
      <c r="M246" s="22" t="n">
        <f aca="false">100*(M112-M111)</f>
        <v>-3.07720436527861</v>
      </c>
      <c r="N246" s="22" t="n">
        <f aca="false">100*(N112-N111)</f>
        <v>-2.8929158672089</v>
      </c>
      <c r="O246" s="22" t="n">
        <f aca="false">100*(O112-O111)</f>
        <v>-2.7085481544566</v>
      </c>
      <c r="P246" s="22" t="n">
        <f aca="false">100*(P112-P111)</f>
        <v>-2.52588516813539</v>
      </c>
      <c r="Q246" s="22" t="n">
        <f aca="false">100*(Q112-Q111)</f>
        <v>-2.34660723902884</v>
      </c>
      <c r="R246" s="22" t="n">
        <f aca="false">100*(R112-R111)</f>
        <v>-2.17221725908989</v>
      </c>
      <c r="S246" s="22" t="n">
        <f aca="false">100*(S112-S111)</f>
        <v>-2.00394245819862</v>
      </c>
      <c r="T246" s="22" t="n">
        <f aca="false">100*(T112-T111)</f>
        <v>-1.84275891094559</v>
      </c>
      <c r="U246" s="22" t="n">
        <f aca="false">100*(U112-U111)</f>
        <v>-1.68942846774107</v>
      </c>
      <c r="V246" s="22" t="n">
        <f aca="false">100*(V112-V111)</f>
        <v>-1.54452850889402</v>
      </c>
      <c r="W246" s="22" t="n">
        <f aca="false">100*(W112-W111)</f>
        <v>-1.40845652656449</v>
      </c>
      <c r="X246" s="22" t="n">
        <f aca="false">100*(X112-X111)</f>
        <v>-1.28141874255832</v>
      </c>
      <c r="Y246" s="22" t="n">
        <f aca="false">100*(Y112-Y111)</f>
        <v>-1.16345702774749</v>
      </c>
      <c r="Z246" s="22" t="n">
        <f aca="false">100*(Z112-Z111)</f>
        <v>-1.05448467743274</v>
      </c>
      <c r="AA246" s="22" t="n">
        <f aca="false">100*(AA112-AA111)</f>
        <v>-0.954305271763545</v>
      </c>
      <c r="AB246" s="22" t="n">
        <f aca="false">100*(AB112-AB111)</f>
        <v>-0.862626437262026</v>
      </c>
      <c r="AC246" s="22" t="n">
        <f aca="false">100*(AC112-AC111)</f>
        <v>-0.779081343913912</v>
      </c>
      <c r="AD246" s="22" t="n">
        <f aca="false">100*(AD112-AD111)</f>
        <v>-0.703255482540222</v>
      </c>
      <c r="AE246" s="22" t="n">
        <f aca="false">100*(AE112-AE111)</f>
        <v>-0.634696245929689</v>
      </c>
      <c r="AF246" s="22" t="n">
        <f aca="false">100*(AF112-AF111)</f>
        <v>-0.572932403586268</v>
      </c>
      <c r="AG246" s="22" t="n">
        <f aca="false">100*(AG112-AG111)</f>
        <v>-0.51749935382448</v>
      </c>
      <c r="AH246" s="22" t="n">
        <f aca="false">100*(AH112-AH111)</f>
        <v>-0.467941971150143</v>
      </c>
      <c r="AI246" s="22" t="n">
        <f aca="false">100*(AI112-AI111)</f>
        <v>-0.423813619987978</v>
      </c>
      <c r="AJ246" s="22" t="n">
        <f aca="false">100*(AJ112-AJ111)</f>
        <v>-0.384675716402327</v>
      </c>
      <c r="AK246" s="22" t="n">
        <f aca="false">100*(AK112-AK111)</f>
        <v>-0.350106282711504</v>
      </c>
      <c r="AL246" s="22" t="n">
        <f aca="false">AVERAGE(C246:AK246)</f>
        <v>-2.05500816651605</v>
      </c>
    </row>
    <row r="247" customFormat="false" ht="15" hidden="false" customHeight="false" outlineLevel="0" collapsed="false">
      <c r="A247" s="20" t="n">
        <f aca="false">A113</f>
        <v>-12</v>
      </c>
      <c r="B247" s="21" t="n">
        <f aca="false">B113</f>
        <v>40456</v>
      </c>
      <c r="C247" s="22" t="n">
        <f aca="false">100*(C113-C112)</f>
        <v>3.3966417690798</v>
      </c>
      <c r="D247" s="22" t="n">
        <f aca="false">100*(D113-D112)</f>
        <v>3.67483574116512</v>
      </c>
      <c r="E247" s="22" t="n">
        <f aca="false">100*(E113-E112)</f>
        <v>3.8291559352635</v>
      </c>
      <c r="F247" s="22" t="n">
        <f aca="false">100*(F113-F112)</f>
        <v>3.89594724087941</v>
      </c>
      <c r="G247" s="22" t="n">
        <f aca="false">100*(G113-G112)</f>
        <v>3.90067633179461</v>
      </c>
      <c r="H247" s="22" t="n">
        <f aca="false">100*(H113-H112)</f>
        <v>3.86274378958391</v>
      </c>
      <c r="I247" s="22" t="n">
        <f aca="false">100*(I113-I112)</f>
        <v>3.79782419132888</v>
      </c>
      <c r="J247" s="22" t="n">
        <f aca="false">100*(J113-J112)</f>
        <v>3.71837519040119</v>
      </c>
      <c r="K247" s="22" t="n">
        <f aca="false">100*(K113-K112)</f>
        <v>3.63445855516122</v>
      </c>
      <c r="L247" s="22" t="n">
        <f aca="false">100*(L113-L112)</f>
        <v>3.5542515209066</v>
      </c>
      <c r="M247" s="22" t="n">
        <f aca="false">100*(M113-M112)</f>
        <v>4.0083376557194</v>
      </c>
      <c r="N247" s="22" t="n">
        <f aca="false">100*(N113-N112)</f>
        <v>4.13446602857399</v>
      </c>
      <c r="O247" s="22" t="n">
        <f aca="false">100*(O113-O112)</f>
        <v>4.26330515342319</v>
      </c>
      <c r="P247" s="22" t="n">
        <f aca="false">100*(P113-P112)</f>
        <v>4.39279702151709</v>
      </c>
      <c r="Q247" s="22" t="n">
        <f aca="false">100*(Q113-Q112)</f>
        <v>4.52098276300141</v>
      </c>
      <c r="R247" s="22" t="n">
        <f aca="false">100*(R113-R112)</f>
        <v>4.6461125965807</v>
      </c>
      <c r="S247" s="22" t="n">
        <f aca="false">100*(S113-S112)</f>
        <v>4.76677838468351</v>
      </c>
      <c r="T247" s="22" t="n">
        <f aca="false">100*(T113-T112)</f>
        <v>4.88188317092546</v>
      </c>
      <c r="U247" s="22" t="n">
        <f aca="false">100*(U113-U112)</f>
        <v>4.9905954211424</v>
      </c>
      <c r="V247" s="22" t="n">
        <f aca="false">100*(V113-V112)</f>
        <v>5.09231200153502</v>
      </c>
      <c r="W247" s="22" t="n">
        <f aca="false">100*(W113-W112)</f>
        <v>5.1866478059047</v>
      </c>
      <c r="X247" s="22" t="n">
        <f aca="false">100*(X113-X112)</f>
        <v>5.27344148852573</v>
      </c>
      <c r="Y247" s="22" t="n">
        <f aca="false">100*(Y113-Y112)</f>
        <v>5.35272016764923</v>
      </c>
      <c r="Z247" s="22" t="n">
        <f aca="false">100*(Z113-Z112)</f>
        <v>5.42465415509712</v>
      </c>
      <c r="AA247" s="22" t="n">
        <f aca="false">100*(AA113-AA112)</f>
        <v>5.48953516960591</v>
      </c>
      <c r="AB247" s="22" t="n">
        <f aca="false">100*(AB113-AB112)</f>
        <v>5.5477609883587</v>
      </c>
      <c r="AC247" s="22" t="n">
        <f aca="false">100*(AC113-AC112)</f>
        <v>5.59980905082558</v>
      </c>
      <c r="AD247" s="22" t="n">
        <f aca="false">100*(AD113-AD112)</f>
        <v>5.64620302576424</v>
      </c>
      <c r="AE247" s="22" t="n">
        <f aca="false">100*(AE113-AE112)</f>
        <v>5.68750218659782</v>
      </c>
      <c r="AF247" s="22" t="n">
        <f aca="false">100*(AF113-AF112)</f>
        <v>5.72427828232964</v>
      </c>
      <c r="AG247" s="22" t="n">
        <f aca="false">100*(AG113-AG112)</f>
        <v>5.75708488307329</v>
      </c>
      <c r="AH247" s="22" t="n">
        <f aca="false">100*(AH113-AH112)</f>
        <v>5.78645479752726</v>
      </c>
      <c r="AI247" s="22" t="n">
        <f aca="false">100*(AI113-AI112)</f>
        <v>5.81290223383597</v>
      </c>
      <c r="AJ247" s="22" t="n">
        <f aca="false">100*(AJ113-AJ112)</f>
        <v>5.83692406204559</v>
      </c>
      <c r="AK247" s="22" t="n">
        <f aca="false">100*(AK113-AK112)</f>
        <v>5.85898718863867</v>
      </c>
      <c r="AL247" s="22" t="n">
        <f aca="false">AVERAGE(C247:AK247)</f>
        <v>4.76992531281274</v>
      </c>
    </row>
    <row r="248" customFormat="false" ht="15" hidden="false" customHeight="false" outlineLevel="0" collapsed="false">
      <c r="A248" s="20" t="n">
        <f aca="false">A114</f>
        <v>-11</v>
      </c>
      <c r="B248" s="21" t="n">
        <f aca="false">B114</f>
        <v>40457</v>
      </c>
      <c r="C248" s="22" t="n">
        <f aca="false">100*(C114-C113)</f>
        <v>-4.14266212819013</v>
      </c>
      <c r="D248" s="22" t="n">
        <f aca="false">100*(D114-D113)</f>
        <v>-4.41797112969454</v>
      </c>
      <c r="E248" s="22" t="n">
        <f aca="false">100*(E114-E113)</f>
        <v>-4.61612665587279</v>
      </c>
      <c r="F248" s="22" t="n">
        <f aca="false">100*(F114-F113)</f>
        <v>-4.79936801773151</v>
      </c>
      <c r="G248" s="22" t="n">
        <f aca="false">100*(G114-G113)</f>
        <v>-4.99411460994019</v>
      </c>
      <c r="H248" s="22" t="n">
        <f aca="false">100*(H114-H113)</f>
        <v>-5.20928374793002</v>
      </c>
      <c r="I248" s="22" t="n">
        <f aca="false">100*(I114-I113)</f>
        <v>-5.44340763029558</v>
      </c>
      <c r="J248" s="22" t="n">
        <f aca="false">100*(J114-J113)</f>
        <v>-5.68866813027209</v>
      </c>
      <c r="K248" s="22" t="n">
        <f aca="false">100*(K114-K113)</f>
        <v>-5.93354887282742</v>
      </c>
      <c r="L248" s="22" t="n">
        <f aca="false">100*(L114-L113)</f>
        <v>-6.16570249059012</v>
      </c>
      <c r="M248" s="22" t="n">
        <f aca="false">100*(M114-M113)</f>
        <v>-5.90527317286358</v>
      </c>
      <c r="N248" s="22" t="n">
        <f aca="false">100*(N114-N113)</f>
        <v>-5.66676880450401</v>
      </c>
      <c r="O248" s="22" t="n">
        <f aca="false">100*(O114-O113)</f>
        <v>-5.41414466927148</v>
      </c>
      <c r="P248" s="22" t="n">
        <f aca="false">100*(P114-P113)</f>
        <v>-5.15116448361539</v>
      </c>
      <c r="Q248" s="22" t="n">
        <f aca="false">100*(Q114-Q113)</f>
        <v>-4.8815186742186</v>
      </c>
      <c r="R248" s="22" t="n">
        <f aca="false">100*(R114-R113)</f>
        <v>-4.60866335788439</v>
      </c>
      <c r="S248" s="22" t="n">
        <f aca="false">100*(S114-S113)</f>
        <v>-4.3356404014224</v>
      </c>
      <c r="T248" s="22" t="n">
        <f aca="false">100*(T114-T113)</f>
        <v>-4.06511367582887</v>
      </c>
      <c r="U248" s="22" t="n">
        <f aca="false">100*(U114-U113)</f>
        <v>-3.79942464142262</v>
      </c>
      <c r="V248" s="22" t="n">
        <f aca="false">100*(V114-V113)</f>
        <v>-3.54063587689253</v>
      </c>
      <c r="W248" s="22" t="n">
        <f aca="false">100*(W114-W113)</f>
        <v>-3.29050838032279</v>
      </c>
      <c r="X248" s="22" t="n">
        <f aca="false">100*(X114-X113)</f>
        <v>-3.05043825501414</v>
      </c>
      <c r="Y248" s="22" t="n">
        <f aca="false">100*(Y114-Y113)</f>
        <v>-2.82148366704842</v>
      </c>
      <c r="Z248" s="22" t="n">
        <f aca="false">100*(Z114-Z113)</f>
        <v>-2.60440328313942</v>
      </c>
      <c r="AA248" s="22" t="n">
        <f aca="false">100*(AA114-AA113)</f>
        <v>-2.39969278590699</v>
      </c>
      <c r="AB248" s="22" t="n">
        <f aca="false">100*(AB114-AB113)</f>
        <v>-2.20761679042232</v>
      </c>
      <c r="AC248" s="22" t="n">
        <f aca="false">100*(AC114-AC113)</f>
        <v>-2.02823225550661</v>
      </c>
      <c r="AD248" s="22" t="n">
        <f aca="false">100*(AD114-AD113)</f>
        <v>-1.86140526802694</v>
      </c>
      <c r="AE248" s="22" t="n">
        <f aca="false">100*(AE114-AE113)</f>
        <v>-1.70683269662009</v>
      </c>
      <c r="AF248" s="22" t="n">
        <f aca="false">100*(AF114-AF113)</f>
        <v>-1.56408973031414</v>
      </c>
      <c r="AG248" s="22" t="n">
        <f aca="false">100*(AG114-AG113)</f>
        <v>-1.432687695063</v>
      </c>
      <c r="AH248" s="22" t="n">
        <f aca="false">100*(AH114-AH113)</f>
        <v>-1.31208789187776</v>
      </c>
      <c r="AI248" s="22" t="n">
        <f aca="false">100*(AI114-AI113)</f>
        <v>-1.20170681257754</v>
      </c>
      <c r="AJ248" s="22" t="n">
        <f aca="false">100*(AJ114-AJ113)</f>
        <v>-1.10092166558342</v>
      </c>
      <c r="AK248" s="22" t="n">
        <f aca="false">100*(AK114-AK113)</f>
        <v>-1.00909616490945</v>
      </c>
      <c r="AL248" s="22" t="n">
        <f aca="false">AVERAGE(C248:AK248)</f>
        <v>-3.66772584324575</v>
      </c>
    </row>
    <row r="249" customFormat="false" ht="15" hidden="false" customHeight="false" outlineLevel="0" collapsed="false">
      <c r="A249" s="20" t="n">
        <f aca="false">A115</f>
        <v>-10</v>
      </c>
      <c r="B249" s="21" t="n">
        <f aca="false">B115</f>
        <v>40458</v>
      </c>
      <c r="C249" s="22" t="n">
        <f aca="false">100*(C115-C114)</f>
        <v>2.58266260043009</v>
      </c>
      <c r="D249" s="22" t="n">
        <f aca="false">100*(D115-D114)</f>
        <v>2.69036289493765</v>
      </c>
      <c r="E249" s="22" t="n">
        <f aca="false">100*(E115-E114)</f>
        <v>2.74497916862659</v>
      </c>
      <c r="F249" s="22" t="n">
        <f aca="false">100*(F115-F114)</f>
        <v>2.77411182185801</v>
      </c>
      <c r="G249" s="22" t="n">
        <f aca="false">100*(G115-G114)</f>
        <v>2.7906604684411</v>
      </c>
      <c r="H249" s="22" t="n">
        <f aca="false">100*(H115-H114)</f>
        <v>2.80197463583811</v>
      </c>
      <c r="I249" s="22" t="n">
        <f aca="false">100*(I115-I114)</f>
        <v>2.8131163501238</v>
      </c>
      <c r="J249" s="22" t="n">
        <f aca="false">100*(J115-J114)</f>
        <v>2.82743440687019</v>
      </c>
      <c r="K249" s="22" t="n">
        <f aca="false">100*(K115-K114)</f>
        <v>2.84701071799871</v>
      </c>
      <c r="L249" s="22" t="n">
        <f aca="false">100*(L115-L114)</f>
        <v>2.87284610263709</v>
      </c>
      <c r="M249" s="22" t="n">
        <f aca="false">100*(M115-M114)</f>
        <v>3.22028028816876</v>
      </c>
      <c r="N249" s="22" t="n">
        <f aca="false">100*(N115-N114)</f>
        <v>3.21762351424941</v>
      </c>
      <c r="O249" s="22" t="n">
        <f aca="false">100*(O115-O114)</f>
        <v>3.21046402441509</v>
      </c>
      <c r="P249" s="22" t="n">
        <f aca="false">100*(P115-P114)</f>
        <v>3.19910042960632</v>
      </c>
      <c r="Q249" s="22" t="n">
        <f aca="false">100*(Q115-Q114)</f>
        <v>3.18385843252469</v>
      </c>
      <c r="R249" s="22" t="n">
        <f aca="false">100*(R115-R114)</f>
        <v>3.16506674338148</v>
      </c>
      <c r="S249" s="22" t="n">
        <f aca="false">100*(S115-S114)</f>
        <v>3.14304463397859</v>
      </c>
      <c r="T249" s="22" t="n">
        <f aca="false">100*(T115-T114)</f>
        <v>3.1181036045866</v>
      </c>
      <c r="U249" s="22" t="n">
        <f aca="false">100*(U115-U114)</f>
        <v>3.09054852774859</v>
      </c>
      <c r="V249" s="22" t="n">
        <f aca="false">100*(V115-V114)</f>
        <v>3.06067897172522</v>
      </c>
      <c r="W249" s="22" t="n">
        <f aca="false">100*(W115-W114)</f>
        <v>3.0287959827759</v>
      </c>
      <c r="X249" s="22" t="n">
        <f aca="false">100*(X115-X114)</f>
        <v>2.99520858344202</v>
      </c>
      <c r="Y249" s="22" t="n">
        <f aca="false">100*(Y115-Y114)</f>
        <v>2.96022558792259</v>
      </c>
      <c r="Z249" s="22" t="n">
        <f aca="false">100*(Z115-Z114)</f>
        <v>2.92414262709979</v>
      </c>
      <c r="AA249" s="22" t="n">
        <f aca="false">100*(AA115-AA114)</f>
        <v>2.88724150637156</v>
      </c>
      <c r="AB249" s="22" t="n">
        <f aca="false">100*(AB115-AB114)</f>
        <v>2.84979161414976</v>
      </c>
      <c r="AC249" s="22" t="n">
        <f aca="false">100*(AC115-AC114)</f>
        <v>2.812044815433</v>
      </c>
      <c r="AD249" s="22" t="n">
        <f aca="false">100*(AD115-AD114)</f>
        <v>2.7742263938709</v>
      </c>
      <c r="AE249" s="22" t="n">
        <f aca="false">100*(AE115-AE114)</f>
        <v>2.73653591284049</v>
      </c>
      <c r="AF249" s="22" t="n">
        <f aca="false">100*(AF115-AF114)</f>
        <v>2.69914913810636</v>
      </c>
      <c r="AG249" s="22" t="n">
        <f aca="false">100*(AG115-AG114)</f>
        <v>2.66222312631941</v>
      </c>
      <c r="AH249" s="22" t="n">
        <f aca="false">100*(AH115-AH114)</f>
        <v>2.62589947104024</v>
      </c>
      <c r="AI249" s="22" t="n">
        <f aca="false">100*(AI115-AI114)</f>
        <v>2.59030592144001</v>
      </c>
      <c r="AJ249" s="22" t="n">
        <f aca="false">100*(AJ115-AJ114)</f>
        <v>2.55555761452255</v>
      </c>
      <c r="AK249" s="22" t="n">
        <f aca="false">100*(AK115-AK114)</f>
        <v>2.52175674300412</v>
      </c>
      <c r="AL249" s="22" t="n">
        <f aca="false">AVERAGE(C249:AK249)</f>
        <v>2.88505809647099</v>
      </c>
    </row>
    <row r="250" customFormat="false" ht="15" hidden="false" customHeight="false" outlineLevel="0" collapsed="false">
      <c r="A250" s="20" t="n">
        <f aca="false">A116</f>
        <v>-9</v>
      </c>
      <c r="B250" s="21" t="n">
        <f aca="false">B116</f>
        <v>40459</v>
      </c>
      <c r="C250" s="22" t="n">
        <f aca="false">100*(C116-C115)</f>
        <v>-3.69935633461375</v>
      </c>
      <c r="D250" s="22" t="n">
        <f aca="false">100*(D116-D115)</f>
        <v>-4.04874542317013</v>
      </c>
      <c r="E250" s="22" t="n">
        <f aca="false">100*(E116-E115)</f>
        <v>-4.3254840147521</v>
      </c>
      <c r="F250" s="22" t="n">
        <f aca="false">100*(F116-F115)</f>
        <v>-4.57789299831499</v>
      </c>
      <c r="G250" s="22" t="n">
        <f aca="false">100*(G116-G115)</f>
        <v>-4.82378445436691</v>
      </c>
      <c r="H250" s="22" t="n">
        <f aca="false">100*(H116-H115)</f>
        <v>-5.06718941049931</v>
      </c>
      <c r="I250" s="22" t="n">
        <f aca="false">100*(I116-I115)</f>
        <v>-5.30579179415061</v>
      </c>
      <c r="J250" s="22" t="n">
        <f aca="false">100*(J116-J115)</f>
        <v>-5.5344255870313</v>
      </c>
      <c r="K250" s="22" t="n">
        <f aca="false">100*(K116-K115)</f>
        <v>-5.74721723905891</v>
      </c>
      <c r="L250" s="22" t="n">
        <f aca="false">100*(L116-L115)</f>
        <v>-5.93902833144409</v>
      </c>
      <c r="M250" s="22" t="n">
        <f aca="false">100*(M116-M115)</f>
        <v>-6.1528636488148</v>
      </c>
      <c r="N250" s="22" t="n">
        <f aca="false">100*(N116-N115)</f>
        <v>-6.04639942808931</v>
      </c>
      <c r="O250" s="22" t="n">
        <f aca="false">100*(O116-O115)</f>
        <v>-5.93397933526321</v>
      </c>
      <c r="P250" s="22" t="n">
        <f aca="false">100*(P116-P115)</f>
        <v>-5.81805443358512</v>
      </c>
      <c r="Q250" s="22" t="n">
        <f aca="false">100*(Q116-Q115)</f>
        <v>-5.7010431453429</v>
      </c>
      <c r="R250" s="22" t="n">
        <f aca="false">100*(R116-R115)</f>
        <v>-5.58520475901498</v>
      </c>
      <c r="S250" s="22" t="n">
        <f aca="false">100*(S116-S115)</f>
        <v>-5.4724840353789</v>
      </c>
      <c r="T250" s="22" t="n">
        <f aca="false">100*(T116-T115)</f>
        <v>-5.36453499692851</v>
      </c>
      <c r="U250" s="22" t="n">
        <f aca="false">100*(U116-U115)</f>
        <v>-5.26276368122418</v>
      </c>
      <c r="V250" s="22" t="n">
        <f aca="false">100*(V116-V115)</f>
        <v>-5.16835960387452</v>
      </c>
      <c r="W250" s="22" t="n">
        <f aca="false">100*(W116-W115)</f>
        <v>-5.08224378234949</v>
      </c>
      <c r="X250" s="22" t="n">
        <f aca="false">100*(X116-X115)</f>
        <v>-5.0049813699752</v>
      </c>
      <c r="Y250" s="22" t="n">
        <f aca="false">100*(Y116-Y115)</f>
        <v>-4.93683880165752</v>
      </c>
      <c r="Z250" s="22" t="n">
        <f aca="false">100*(Z116-Z115)</f>
        <v>-4.87786995996355</v>
      </c>
      <c r="AA250" s="22" t="n">
        <f aca="false">100*(AA116-AA115)</f>
        <v>-4.82795075507418</v>
      </c>
      <c r="AB250" s="22" t="n">
        <f aca="false">100*(AB116-AB115)</f>
        <v>-4.78680158474383</v>
      </c>
      <c r="AC250" s="22" t="n">
        <f aca="false">100*(AC116-AC115)</f>
        <v>-4.75402230819242</v>
      </c>
      <c r="AD250" s="22" t="n">
        <f aca="false">100*(AD116-AD115)</f>
        <v>-4.7291325289307</v>
      </c>
      <c r="AE250" s="22" t="n">
        <f aca="false">100*(AE116-AE115)</f>
        <v>-4.71158663355995</v>
      </c>
      <c r="AF250" s="22" t="n">
        <f aca="false">100*(AF116-AF115)</f>
        <v>-4.70080460390498</v>
      </c>
      <c r="AG250" s="22" t="n">
        <f aca="false">100*(AG116-AG115)</f>
        <v>-4.69620146098286</v>
      </c>
      <c r="AH250" s="22" t="n">
        <f aca="false">100*(AH116-AH115)</f>
        <v>-4.69718962199979</v>
      </c>
      <c r="AI250" s="22" t="n">
        <f aca="false">100*(AI116-AI115)</f>
        <v>-4.70317915701566</v>
      </c>
      <c r="AJ250" s="22" t="n">
        <f aca="false">100*(AJ116-AJ115)</f>
        <v>-4.71357911714438</v>
      </c>
      <c r="AK250" s="22" t="n">
        <f aca="false">100*(AK116-AK115)</f>
        <v>-4.72781470576376</v>
      </c>
      <c r="AL250" s="22" t="n">
        <f aca="false">AVERAGE(C250:AK250)</f>
        <v>-5.07213711560505</v>
      </c>
    </row>
    <row r="251" customFormat="false" ht="15" hidden="false" customHeight="false" outlineLevel="0" collapsed="false">
      <c r="A251" s="20" t="n">
        <f aca="false">A117</f>
        <v>-8</v>
      </c>
      <c r="B251" s="21" t="n">
        <f aca="false">B117</f>
        <v>40462</v>
      </c>
      <c r="C251" s="22" t="n">
        <f aca="false">100*(C117-C116)</f>
        <v>1.70329732089292</v>
      </c>
      <c r="D251" s="22" t="n">
        <f aca="false">100*(D117-D116)</f>
        <v>1.7012162770365</v>
      </c>
      <c r="E251" s="22" t="n">
        <f aca="false">100*(E117-E116)</f>
        <v>1.65673578801</v>
      </c>
      <c r="F251" s="22" t="n">
        <f aca="false">100*(F117-F116)</f>
        <v>1.6094220379532</v>
      </c>
      <c r="G251" s="22" t="n">
        <f aca="false">100*(G117-G116)</f>
        <v>1.57360592148701</v>
      </c>
      <c r="H251" s="22" t="n">
        <f aca="false">100*(H117-H116)</f>
        <v>1.55348365409591</v>
      </c>
      <c r="I251" s="22" t="n">
        <f aca="false">100*(I117-I116)</f>
        <v>1.54870314700339</v>
      </c>
      <c r="J251" s="22" t="n">
        <f aca="false">100*(J117-J116)</f>
        <v>1.557476990822</v>
      </c>
      <c r="K251" s="22" t="n">
        <f aca="false">100*(K117-K116)</f>
        <v>1.57788133897809</v>
      </c>
      <c r="L251" s="22" t="n">
        <f aca="false">100*(L117-L116)</f>
        <v>1.6083601085688</v>
      </c>
      <c r="M251" s="22" t="n">
        <f aca="false">100*(M117-M116)</f>
        <v>2.90386627685213</v>
      </c>
      <c r="N251" s="22" t="n">
        <f aca="false">100*(N117-N116)</f>
        <v>3.05661185741348</v>
      </c>
      <c r="O251" s="22" t="n">
        <f aca="false">100*(O117-O116)</f>
        <v>3.2100162951088</v>
      </c>
      <c r="P251" s="22" t="n">
        <f aca="false">100*(P117-P116)</f>
        <v>3.36242033981491</v>
      </c>
      <c r="Q251" s="22" t="n">
        <f aca="false">100*(Q117-Q116)</f>
        <v>3.51219784079704</v>
      </c>
      <c r="R251" s="22" t="n">
        <f aca="false">100*(R117-R116)</f>
        <v>3.65787842421139</v>
      </c>
      <c r="S251" s="22" t="n">
        <f aca="false">100*(S117-S116)</f>
        <v>3.79827364208762</v>
      </c>
      <c r="T251" s="22" t="n">
        <f aca="false">100*(T117-T116)</f>
        <v>3.93245126063921</v>
      </c>
      <c r="U251" s="22" t="n">
        <f aca="false">100*(U117-U116)</f>
        <v>4.05969758220439</v>
      </c>
      <c r="V251" s="22" t="n">
        <f aca="false">100*(V117-V116)</f>
        <v>4.17948797714911</v>
      </c>
      <c r="W251" s="22" t="n">
        <f aca="false">100*(W117-W116)</f>
        <v>4.29149551398189</v>
      </c>
      <c r="X251" s="22" t="n">
        <f aca="false">100*(X117-X116)</f>
        <v>4.39561513505438</v>
      </c>
      <c r="Y251" s="22" t="n">
        <f aca="false">100*(Y117-Y116)</f>
        <v>4.49192137728054</v>
      </c>
      <c r="Z251" s="22" t="n">
        <f aca="false">100*(Z117-Z116)</f>
        <v>4.58061228825715</v>
      </c>
      <c r="AA251" s="22" t="n">
        <f aca="false">100*(AA117-AA116)</f>
        <v>4.66198858269609</v>
      </c>
      <c r="AB251" s="22" t="n">
        <f aca="false">100*(AB117-AB116)</f>
        <v>4.736440256751</v>
      </c>
      <c r="AC251" s="22" t="n">
        <f aca="false">100*(AC117-AC116)</f>
        <v>4.80441699661736</v>
      </c>
      <c r="AD251" s="22" t="n">
        <f aca="false">100*(AD117-AD116)</f>
        <v>4.86639091952021</v>
      </c>
      <c r="AE251" s="22" t="n">
        <f aca="false">100*(AE117-AE116)</f>
        <v>4.92284797168479</v>
      </c>
      <c r="AF251" s="22" t="n">
        <f aca="false">100*(AF117-AF116)</f>
        <v>4.9742681381173</v>
      </c>
      <c r="AG251" s="22" t="n">
        <f aca="false">100*(AG117-AG116)</f>
        <v>5.02110163553242</v>
      </c>
      <c r="AH251" s="22" t="n">
        <f aca="false">100*(AH117-AH116)</f>
        <v>5.06376895165763</v>
      </c>
      <c r="AI251" s="22" t="n">
        <f aca="false">100*(AI117-AI116)</f>
        <v>5.10266394396171</v>
      </c>
      <c r="AJ251" s="22" t="n">
        <f aca="false">100*(AJ117-AJ116)</f>
        <v>5.13815592374298</v>
      </c>
      <c r="AK251" s="22" t="n">
        <f aca="false">100*(AK117-AK116)</f>
        <v>5.17058070518122</v>
      </c>
      <c r="AL251" s="22" t="n">
        <f aca="false">AVERAGE(C251:AK251)</f>
        <v>3.54243864060464</v>
      </c>
    </row>
    <row r="252" customFormat="false" ht="15" hidden="false" customHeight="false" outlineLevel="0" collapsed="false">
      <c r="A252" s="20" t="n">
        <f aca="false">A118</f>
        <v>-7</v>
      </c>
      <c r="B252" s="21" t="n">
        <f aca="false">B118</f>
        <v>40463</v>
      </c>
      <c r="C252" s="22" t="n">
        <f aca="false">100*(C118-C117)</f>
        <v>-1.29937691957654</v>
      </c>
      <c r="D252" s="22" t="n">
        <f aca="false">100*(D118-D117)</f>
        <v>-1.87084295838947</v>
      </c>
      <c r="E252" s="22" t="n">
        <f aca="false">100*(E118-E117)</f>
        <v>-2.3541848800499</v>
      </c>
      <c r="F252" s="22" t="n">
        <f aca="false">100*(F118-F117)</f>
        <v>-2.7447262295452</v>
      </c>
      <c r="G252" s="22" t="n">
        <f aca="false">100*(G118-G117)</f>
        <v>-3.0523395971273</v>
      </c>
      <c r="H252" s="22" t="n">
        <f aca="false">100*(H118-H117)</f>
        <v>-3.28986969077612</v>
      </c>
      <c r="I252" s="22" t="n">
        <f aca="false">100*(I118-I117)</f>
        <v>-3.46963990497979</v>
      </c>
      <c r="J252" s="22" t="n">
        <f aca="false">100*(J118-J117)</f>
        <v>-3.6017107258753</v>
      </c>
      <c r="K252" s="22" t="n">
        <f aca="false">100*(K118-K117)</f>
        <v>-3.69393817908339</v>
      </c>
      <c r="L252" s="22" t="n">
        <f aca="false">100*(L118-L117)</f>
        <v>-3.75233863775999</v>
      </c>
      <c r="M252" s="22" t="n">
        <f aca="false">100*(M118-M117)</f>
        <v>-2.7497121485129</v>
      </c>
      <c r="N252" s="22" t="n">
        <f aca="false">100*(N118-N117)</f>
        <v>-2.60891253166458</v>
      </c>
      <c r="O252" s="22" t="n">
        <f aca="false">100*(O118-O117)</f>
        <v>-2.466740698268</v>
      </c>
      <c r="P252" s="22" t="n">
        <f aca="false">100*(P118-P117)</f>
        <v>-2.32415907520989</v>
      </c>
      <c r="Q252" s="22" t="n">
        <f aca="false">100*(Q118-Q117)</f>
        <v>-2.18202880596534</v>
      </c>
      <c r="R252" s="22" t="n">
        <f aca="false">100*(R118-R117)</f>
        <v>-2.04111120735071</v>
      </c>
      <c r="S252" s="22" t="n">
        <f aca="false">100*(S118-S117)</f>
        <v>-1.90206001736772</v>
      </c>
      <c r="T252" s="22" t="n">
        <f aca="false">100*(T118-T117)</f>
        <v>-1.76543432406904</v>
      </c>
      <c r="U252" s="22" t="n">
        <f aca="false">100*(U118-U117)</f>
        <v>-1.63171248444498</v>
      </c>
      <c r="V252" s="22" t="n">
        <f aca="false">100*(V118-V117)</f>
        <v>-1.50130336634318</v>
      </c>
      <c r="W252" s="22" t="n">
        <f aca="false">100*(W118-W117)</f>
        <v>-1.37455500897472</v>
      </c>
      <c r="X252" s="22" t="n">
        <f aca="false">100*(X118-X117)</f>
        <v>-1.25176646265626</v>
      </c>
      <c r="Y252" s="22" t="n">
        <f aca="false">100*(Y118-Y117)</f>
        <v>-1.13318884967333</v>
      </c>
      <c r="Z252" s="22" t="n">
        <f aca="false">100*(Z118-Z117)</f>
        <v>-1.01901880917801</v>
      </c>
      <c r="AA252" s="22" t="n">
        <f aca="false">100*(AA118-AA117)</f>
        <v>-0.909402941801041</v>
      </c>
      <c r="AB252" s="22" t="n">
        <f aca="false">100*(AB118-AB117)</f>
        <v>-0.804443698981405</v>
      </c>
      <c r="AC252" s="22" t="n">
        <f aca="false">100*(AC118-AC117)</f>
        <v>-0.704199004150308</v>
      </c>
      <c r="AD252" s="22" t="n">
        <f aca="false">100*(AD118-AD117)</f>
        <v>-0.608677364531918</v>
      </c>
      <c r="AE252" s="22" t="n">
        <f aca="false">100*(AE118-AE117)</f>
        <v>-0.517842128593848</v>
      </c>
      <c r="AF252" s="22" t="n">
        <f aca="false">100*(AF118-AF117)</f>
        <v>-0.431622739197213</v>
      </c>
      <c r="AG252" s="22" t="n">
        <f aca="false">100*(AG118-AG117)</f>
        <v>-0.349923536359231</v>
      </c>
      <c r="AH252" s="22" t="n">
        <f aca="false">100*(AH118-AH117)</f>
        <v>-0.272626357689187</v>
      </c>
      <c r="AI252" s="22" t="n">
        <f aca="false">100*(AI118-AI117)</f>
        <v>-0.199592877184962</v>
      </c>
      <c r="AJ252" s="22" t="n">
        <f aca="false">100*(AJ118-AJ117)</f>
        <v>-0.130667063878054</v>
      </c>
      <c r="AK252" s="22" t="n">
        <f aca="false">100*(AK118-AK117)</f>
        <v>-0.0656826151612222</v>
      </c>
      <c r="AL252" s="22" t="n">
        <f aca="false">AVERAGE(C252:AK252)</f>
        <v>-1.71643862401057</v>
      </c>
    </row>
    <row r="253" customFormat="false" ht="15" hidden="false" customHeight="false" outlineLevel="0" collapsed="false">
      <c r="A253" s="20" t="n">
        <f aca="false">A119</f>
        <v>-6</v>
      </c>
      <c r="B253" s="21" t="n">
        <f aca="false">B119</f>
        <v>40464</v>
      </c>
      <c r="C253" s="22" t="n">
        <f aca="false">100*(C119-C118)</f>
        <v>1.49878249548997</v>
      </c>
      <c r="D253" s="22" t="n">
        <f aca="false">100*(D119-D118)</f>
        <v>1.68065564229101</v>
      </c>
      <c r="E253" s="22" t="n">
        <f aca="false">100*(E119-E118)</f>
        <v>1.8453017798185</v>
      </c>
      <c r="F253" s="22" t="n">
        <f aca="false">100*(F119-F118)</f>
        <v>2.00010228395671</v>
      </c>
      <c r="G253" s="22" t="n">
        <f aca="false">100*(G119-G118)</f>
        <v>2.1494305500031</v>
      </c>
      <c r="H253" s="22" t="n">
        <f aca="false">100*(H119-H118)</f>
        <v>2.29566982326481</v>
      </c>
      <c r="I253" s="22" t="n">
        <f aca="false">100*(I119-I118)</f>
        <v>2.43925176119491</v>
      </c>
      <c r="J253" s="22" t="n">
        <f aca="false">100*(J119-J118)</f>
        <v>2.57954846149009</v>
      </c>
      <c r="K253" s="22" t="n">
        <f aca="false">100*(K119-K118)</f>
        <v>2.71529132166699</v>
      </c>
      <c r="L253" s="22" t="n">
        <f aca="false">100*(L119-L118)</f>
        <v>2.8446283913353</v>
      </c>
      <c r="M253" s="22" t="n">
        <f aca="false">100*(M119-M118)</f>
        <v>3.246829167067</v>
      </c>
      <c r="N253" s="22" t="n">
        <f aca="false">100*(N119-N118)</f>
        <v>3.19661996018659</v>
      </c>
      <c r="O253" s="22" t="n">
        <f aca="false">100*(O119-O118)</f>
        <v>3.14578748565419</v>
      </c>
      <c r="P253" s="22" t="n">
        <f aca="false">100*(P119-P118)</f>
        <v>3.09675253506239</v>
      </c>
      <c r="Q253" s="22" t="n">
        <f aca="false">100*(Q119-Q118)</f>
        <v>3.05184365743254</v>
      </c>
      <c r="R253" s="22" t="n">
        <f aca="false">100*(R119-R118)</f>
        <v>3.0131057596865</v>
      </c>
      <c r="S253" s="22" t="n">
        <f aca="false">100*(S119-S118)</f>
        <v>2.98212850776212</v>
      </c>
      <c r="T253" s="22" t="n">
        <f aca="false">100*(T119-T118)</f>
        <v>2.9600942596788</v>
      </c>
      <c r="U253" s="22" t="n">
        <f aca="false">100*(U119-U118)</f>
        <v>2.94783796379701</v>
      </c>
      <c r="V253" s="22" t="n">
        <f aca="false">100*(V119-V118)</f>
        <v>2.94589425757357</v>
      </c>
      <c r="W253" s="22" t="n">
        <f aca="false">100*(W119-W118)</f>
        <v>2.95447848828072</v>
      </c>
      <c r="X253" s="22" t="n">
        <f aca="false">100*(X119-X118)</f>
        <v>2.97343008312776</v>
      </c>
      <c r="Y253" s="22" t="n">
        <f aca="false">100*(Y119-Y118)</f>
        <v>3.00228799194908</v>
      </c>
      <c r="Z253" s="22" t="n">
        <f aca="false">100*(Z119-Z118)</f>
        <v>3.04039975305788</v>
      </c>
      <c r="AA253" s="22" t="n">
        <f aca="false">100*(AA119-AA118)</f>
        <v>3.08695721459973</v>
      </c>
      <c r="AB253" s="22" t="n">
        <f aca="false">100*(AB119-AB118)</f>
        <v>3.14101733755718</v>
      </c>
      <c r="AC253" s="22" t="n">
        <f aca="false">100*(AC119-AC118)</f>
        <v>3.20155859239293</v>
      </c>
      <c r="AD253" s="22" t="n">
        <f aca="false">100*(AD119-AD118)</f>
        <v>3.2675552051141</v>
      </c>
      <c r="AE253" s="22" t="n">
        <f aca="false">100*(AE119-AE118)</f>
        <v>3.33798943775658</v>
      </c>
      <c r="AF253" s="22" t="n">
        <f aca="false">100*(AF119-AF118)</f>
        <v>3.41187453818748</v>
      </c>
      <c r="AG253" s="22" t="n">
        <f aca="false">100*(AG119-AG118)</f>
        <v>3.48829270984687</v>
      </c>
      <c r="AH253" s="22" t="n">
        <f aca="false">100*(AH119-AH118)</f>
        <v>3.56639518846817</v>
      </c>
      <c r="AI253" s="22" t="n">
        <f aca="false">100*(AI119-AI118)</f>
        <v>3.64539506244235</v>
      </c>
      <c r="AJ253" s="22" t="n">
        <f aca="false">100*(AJ119-AJ118)</f>
        <v>3.72456139405424</v>
      </c>
      <c r="AK253" s="22" t="n">
        <f aca="false">100*(AK119-AK118)</f>
        <v>3.80322672441462</v>
      </c>
      <c r="AL253" s="22" t="n">
        <f aca="false">AVERAGE(C253:AK253)</f>
        <v>2.92231359387605</v>
      </c>
    </row>
    <row r="254" customFormat="false" ht="15" hidden="false" customHeight="false" outlineLevel="0" collapsed="false">
      <c r="A254" s="20" t="n">
        <f aca="false">A120</f>
        <v>-5</v>
      </c>
      <c r="B254" s="21" t="n">
        <f aca="false">B120</f>
        <v>40465</v>
      </c>
      <c r="C254" s="22" t="n">
        <f aca="false">100*(C120-C119)</f>
        <v>-0.11517355963041</v>
      </c>
      <c r="D254" s="22" t="n">
        <f aca="false">100*(D120-D119)</f>
        <v>-0.102379572628974</v>
      </c>
      <c r="E254" s="22" t="n">
        <f aca="false">100*(E120-E119)</f>
        <v>-0.100067205511789</v>
      </c>
      <c r="F254" s="22" t="n">
        <f aca="false">100*(F120-F119)</f>
        <v>-0.101027294920408</v>
      </c>
      <c r="G254" s="22" t="n">
        <f aca="false">100*(G120-G119)</f>
        <v>-0.103073129619702</v>
      </c>
      <c r="H254" s="22" t="n">
        <f aca="false">100*(H120-H119)</f>
        <v>-0.105234114612607</v>
      </c>
      <c r="I254" s="22" t="n">
        <f aca="false">100*(I120-I119)</f>
        <v>-0.106910383639014</v>
      </c>
      <c r="J254" s="22" t="n">
        <f aca="false">100*(J120-J119)</f>
        <v>-0.107211515340588</v>
      </c>
      <c r="K254" s="22" t="n">
        <f aca="false">100*(K120-K119)</f>
        <v>-0.105315965664099</v>
      </c>
      <c r="L254" s="22" t="n">
        <f aca="false">100*(L120-L119)</f>
        <v>-0.100440000312219</v>
      </c>
      <c r="M254" s="22" t="n">
        <f aca="false">100*(M120-M119)</f>
        <v>0.191700181398558</v>
      </c>
      <c r="N254" s="22" t="n">
        <f aca="false">100*(N120-N119)</f>
        <v>0.207146119938528</v>
      </c>
      <c r="O254" s="22" t="n">
        <f aca="false">100*(O120-O119)</f>
        <v>0.219644586605705</v>
      </c>
      <c r="P254" s="22" t="n">
        <f aca="false">100*(P120-P119)</f>
        <v>0.22942413116569</v>
      </c>
      <c r="Q254" s="22" t="n">
        <f aca="false">100*(Q120-Q119)</f>
        <v>0.236802511761969</v>
      </c>
      <c r="R254" s="22" t="n">
        <f aca="false">100*(R120-R119)</f>
        <v>0.242121269794104</v>
      </c>
      <c r="S254" s="22" t="n">
        <f aca="false">100*(S120-S119)</f>
        <v>0.245696963773367</v>
      </c>
      <c r="T254" s="22" t="n">
        <f aca="false">100*(T120-T119)</f>
        <v>0.247821685068317</v>
      </c>
      <c r="U254" s="22" t="n">
        <f aca="false">100*(U120-U119)</f>
        <v>0.248766656145261</v>
      </c>
      <c r="V254" s="22" t="n">
        <f aca="false">100*(V120-V119)</f>
        <v>0.248784392578294</v>
      </c>
      <c r="W254" s="22" t="n">
        <f aca="false">100*(W120-W119)</f>
        <v>0.248089499804749</v>
      </c>
      <c r="X254" s="22" t="n">
        <f aca="false">100*(X120-X119)</f>
        <v>0.246825640781978</v>
      </c>
      <c r="Y254" s="22" t="n">
        <f aca="false">100*(Y120-Y119)</f>
        <v>0.245073251128769</v>
      </c>
      <c r="Z254" s="22" t="n">
        <f aca="false">100*(Z120-Z119)</f>
        <v>0.242866382031348</v>
      </c>
      <c r="AA254" s="22" t="n">
        <f aca="false">100*(AA120-AA119)</f>
        <v>0.240199965686827</v>
      </c>
      <c r="AB254" s="22" t="n">
        <f aca="false">100*(AB120-AB119)</f>
        <v>0.237034718804274</v>
      </c>
      <c r="AC254" s="22" t="n">
        <f aca="false">100*(AC120-AC119)</f>
        <v>0.233304119371081</v>
      </c>
      <c r="AD254" s="22" t="n">
        <f aca="false">100*(AD120-AD119)</f>
        <v>0.228922230211293</v>
      </c>
      <c r="AE254" s="22" t="n">
        <f aca="false">100*(AE120-AE119)</f>
        <v>0.22378682204538</v>
      </c>
      <c r="AF254" s="22" t="n">
        <f aca="false">100*(AF120-AF119)</f>
        <v>0.217788413611419</v>
      </c>
      <c r="AG254" s="22" t="n">
        <f aca="false">100*(AG120-AG119)</f>
        <v>0.21082622128592</v>
      </c>
      <c r="AH254" s="22" t="n">
        <f aca="false">100*(AH120-AH119)</f>
        <v>0.202810379069351</v>
      </c>
      <c r="AI254" s="22" t="n">
        <f aca="false">100*(AI120-AI119)</f>
        <v>0.193660807852325</v>
      </c>
      <c r="AJ254" s="22" t="n">
        <f aca="false">100*(AJ120-AJ119)</f>
        <v>0.183306377416415</v>
      </c>
      <c r="AK254" s="22" t="n">
        <f aca="false">100*(AK120-AK119)</f>
        <v>0.171690730982998</v>
      </c>
      <c r="AL254" s="22" t="n">
        <f aca="false">AVERAGE(C254:AK254)</f>
        <v>0.131350323326689</v>
      </c>
    </row>
    <row r="255" customFormat="false" ht="15" hidden="false" customHeight="false" outlineLevel="0" collapsed="false">
      <c r="A255" s="20" t="n">
        <f aca="false">A121</f>
        <v>-4</v>
      </c>
      <c r="B255" s="21" t="n">
        <f aca="false">B121</f>
        <v>40466</v>
      </c>
      <c r="C255" s="22" t="n">
        <f aca="false">100*(C121-C120)</f>
        <v>3.08234856268127</v>
      </c>
      <c r="D255" s="22" t="n">
        <f aca="false">100*(D121-D120)</f>
        <v>3.34383097018307</v>
      </c>
      <c r="E255" s="22" t="n">
        <f aca="false">100*(E121-E120)</f>
        <v>3.60597378861629</v>
      </c>
      <c r="F255" s="22" t="n">
        <f aca="false">100*(F121-F120)</f>
        <v>3.8807772129944</v>
      </c>
      <c r="G255" s="22" t="n">
        <f aca="false">100*(G121-G120)</f>
        <v>4.1635896972867</v>
      </c>
      <c r="H255" s="22" t="n">
        <f aca="false">100*(H121-H120)</f>
        <v>4.4485962696873</v>
      </c>
      <c r="I255" s="22" t="n">
        <f aca="false">100*(I121-I120)</f>
        <v>4.7300763948358</v>
      </c>
      <c r="J255" s="22" t="n">
        <f aca="false">100*(J121-J120)</f>
        <v>5.0022189037948</v>
      </c>
      <c r="K255" s="22" t="n">
        <f aca="false">100*(K121-K120)</f>
        <v>5.25975489918999</v>
      </c>
      <c r="L255" s="22" t="n">
        <f aca="false">100*(L121-L120)</f>
        <v>5.49862573416862</v>
      </c>
      <c r="M255" s="22" t="n">
        <f aca="false">100*(M121-M120)</f>
        <v>7.16816420871362</v>
      </c>
      <c r="N255" s="22" t="n">
        <f aca="false">100*(N121-N120)</f>
        <v>7.25756241987816</v>
      </c>
      <c r="O255" s="22" t="n">
        <f aca="false">100*(O121-O120)</f>
        <v>7.348502251853</v>
      </c>
      <c r="P255" s="22" t="n">
        <f aca="false">100*(P121-P120)</f>
        <v>7.4412539588208</v>
      </c>
      <c r="Q255" s="22" t="n">
        <f aca="false">100*(Q121-Q120)</f>
        <v>7.53589368820031</v>
      </c>
      <c r="R255" s="22" t="n">
        <f aca="false">100*(R121-R120)</f>
        <v>7.6323027126556</v>
      </c>
      <c r="S255" s="22" t="n">
        <f aca="false">100*(S121-S120)</f>
        <v>7.73019433121371</v>
      </c>
      <c r="T255" s="22" t="n">
        <f aca="false">100*(T121-T120)</f>
        <v>7.82914281398499</v>
      </c>
      <c r="U255" s="22" t="n">
        <f aca="false">100*(U121-U120)</f>
        <v>7.92860384781058</v>
      </c>
      <c r="V255" s="22" t="n">
        <f aca="false">100*(V121-V120)</f>
        <v>8.02793388264833</v>
      </c>
      <c r="W255" s="22" t="n">
        <f aca="false">100*(W121-W120)</f>
        <v>8.12644133605502</v>
      </c>
      <c r="X255" s="22" t="n">
        <f aca="false">100*(X121-X120)</f>
        <v>8.22343917055051</v>
      </c>
      <c r="Y255" s="22" t="n">
        <f aca="false">100*(Y121-Y120)</f>
        <v>8.31826189483476</v>
      </c>
      <c r="Z255" s="22" t="n">
        <f aca="false">100*(Z121-Z120)</f>
        <v>8.41028252330656</v>
      </c>
      <c r="AA255" s="22" t="n">
        <f aca="false">100*(AA121-AA120)</f>
        <v>8.49891091402233</v>
      </c>
      <c r="AB255" s="22" t="n">
        <f aca="false">100*(AB121-AB120)</f>
        <v>8.583590180353</v>
      </c>
      <c r="AC255" s="22" t="n">
        <f aca="false">100*(AC121-AC120)</f>
        <v>8.66381112119168</v>
      </c>
      <c r="AD255" s="22" t="n">
        <f aca="false">100*(AD121-AD120)</f>
        <v>8.73913469135212</v>
      </c>
      <c r="AE255" s="22" t="n">
        <f aca="false">100*(AE121-AE120)</f>
        <v>8.8091877234044</v>
      </c>
      <c r="AF255" s="22" t="n">
        <f aca="false">100*(AF121-AF120)</f>
        <v>8.87365470926884</v>
      </c>
      <c r="AG255" s="22" t="n">
        <f aca="false">100*(AG121-AG120)</f>
        <v>8.93228202031562</v>
      </c>
      <c r="AH255" s="22" t="n">
        <f aca="false">100*(AH121-AH120)</f>
        <v>8.98487509381187</v>
      </c>
      <c r="AI255" s="22" t="n">
        <f aca="false">100*(AI121-AI120)</f>
        <v>9.03129229260689</v>
      </c>
      <c r="AJ255" s="22" t="n">
        <f aca="false">100*(AJ121-AJ120)</f>
        <v>9.07143903930265</v>
      </c>
      <c r="AK255" s="22" t="n">
        <f aca="false">100*(AK121-AK120)</f>
        <v>9.10526254742932</v>
      </c>
      <c r="AL255" s="22" t="n">
        <f aca="false">AVERAGE(C255:AK255)</f>
        <v>7.12249176591494</v>
      </c>
    </row>
    <row r="256" customFormat="false" ht="15" hidden="false" customHeight="false" outlineLevel="0" collapsed="false">
      <c r="A256" s="20" t="n">
        <f aca="false">A122</f>
        <v>-3</v>
      </c>
      <c r="B256" s="21" t="n">
        <f aca="false">B122</f>
        <v>40469</v>
      </c>
      <c r="C256" s="22" t="n">
        <f aca="false">100*(C122-C121)</f>
        <v>-1.02654214448635</v>
      </c>
      <c r="D256" s="22" t="n">
        <f aca="false">100*(D122-D121)</f>
        <v>-0.974569975351936</v>
      </c>
      <c r="E256" s="22" t="n">
        <f aca="false">100*(E122-E121)</f>
        <v>-0.8357086237331</v>
      </c>
      <c r="F256" s="22" t="n">
        <f aca="false">100*(F122-F121)</f>
        <v>-0.635055232117199</v>
      </c>
      <c r="G256" s="22" t="n">
        <f aca="false">100*(G122-G121)</f>
        <v>-0.390740497594999</v>
      </c>
      <c r="H256" s="22" t="n">
        <f aca="false">100*(H122-H121)</f>
        <v>-0.116825042234003</v>
      </c>
      <c r="I256" s="22" t="n">
        <f aca="false">100*(I122-I121)</f>
        <v>0.174621994653701</v>
      </c>
      <c r="J256" s="22" t="n">
        <f aca="false">100*(J122-J121)</f>
        <v>0.472565891172794</v>
      </c>
      <c r="K256" s="22" t="n">
        <f aca="false">100*(K122-K121)</f>
        <v>0.766935317488793</v>
      </c>
      <c r="L256" s="22" t="n">
        <f aca="false">100*(L122-L121)</f>
        <v>1.04902389474248</v>
      </c>
      <c r="M256" s="22" t="n">
        <f aca="false">100*(M122-M121)</f>
        <v>2.5014253743977</v>
      </c>
      <c r="N256" s="22" t="n">
        <f aca="false">100*(N122-N121)</f>
        <v>2.4737993384305</v>
      </c>
      <c r="O256" s="22" t="n">
        <f aca="false">100*(O122-O121)</f>
        <v>2.43493442699481</v>
      </c>
      <c r="P256" s="22" t="n">
        <f aca="false">100*(P122-P121)</f>
        <v>2.3863276165935</v>
      </c>
      <c r="Q256" s="22" t="n">
        <f aca="false">100*(Q122-Q121)</f>
        <v>2.32939212202088</v>
      </c>
      <c r="R256" s="22" t="n">
        <f aca="false">100*(R122-R121)</f>
        <v>2.26542116599697</v>
      </c>
      <c r="S256" s="22" t="n">
        <f aca="false">100*(S122-S121)</f>
        <v>2.1955661420205</v>
      </c>
      <c r="T256" s="22" t="n">
        <f aca="false">100*(T122-T121)</f>
        <v>2.12085554027142</v>
      </c>
      <c r="U256" s="22" t="n">
        <f aca="false">100*(U122-U121)</f>
        <v>2.04221302165264</v>
      </c>
      <c r="V256" s="22" t="n">
        <f aca="false">100*(V122-V121)</f>
        <v>1.96047297645121</v>
      </c>
      <c r="W256" s="22" t="n">
        <f aca="false">100*(W122-W121)</f>
        <v>1.87640002997611</v>
      </c>
      <c r="X256" s="22" t="n">
        <f aca="false">100*(X122-X121)</f>
        <v>1.790704248819</v>
      </c>
      <c r="Y256" s="22" t="n">
        <f aca="false">100*(Y122-Y121)</f>
        <v>1.70403740834466</v>
      </c>
      <c r="Z256" s="22" t="n">
        <f aca="false">100*(Z122-Z121)</f>
        <v>1.61698380830142</v>
      </c>
      <c r="AA256" s="22" t="n">
        <f aca="false">100*(AA122-AA121)</f>
        <v>1.53006615090261</v>
      </c>
      <c r="AB256" s="22" t="n">
        <f aca="false">100*(AB122-AB121)</f>
        <v>1.4437527978389</v>
      </c>
      <c r="AC256" s="22" t="n">
        <f aca="false">100*(AC122-AC121)</f>
        <v>1.35845888964159</v>
      </c>
      <c r="AD256" s="22" t="n">
        <f aca="false">100*(AD122-AD121)</f>
        <v>1.27454420479616</v>
      </c>
      <c r="AE256" s="22" t="n">
        <f aca="false">100*(AE122-AE121)</f>
        <v>1.19231787245528</v>
      </c>
      <c r="AF256" s="22" t="n">
        <f aca="false">100*(AF122-AF121)</f>
        <v>1.11204340038853</v>
      </c>
      <c r="AG256" s="22" t="n">
        <f aca="false">100*(AG122-AG121)</f>
        <v>1.03394662341127</v>
      </c>
      <c r="AH256" s="22" t="n">
        <f aca="false">100*(AH122-AH121)</f>
        <v>0.958220846136904</v>
      </c>
      <c r="AI256" s="22" t="n">
        <f aca="false">100*(AI122-AI121)</f>
        <v>0.885030234901585</v>
      </c>
      <c r="AJ256" s="22" t="n">
        <f aca="false">100*(AJ122-AJ121)</f>
        <v>0.814512501283549</v>
      </c>
      <c r="AK256" s="22" t="n">
        <f aca="false">100*(AK122-AK121)</f>
        <v>0.746778737834575</v>
      </c>
      <c r="AL256" s="22" t="n">
        <f aca="false">AVERAGE(C256:AK256)</f>
        <v>1.15805460178293</v>
      </c>
    </row>
    <row r="257" customFormat="false" ht="15" hidden="false" customHeight="false" outlineLevel="0" collapsed="false">
      <c r="A257" s="20" t="n">
        <f aca="false">A123</f>
        <v>-2</v>
      </c>
      <c r="B257" s="21" t="n">
        <f aca="false">B123</f>
        <v>40470</v>
      </c>
      <c r="C257" s="22" t="n">
        <f aca="false">100*(C123-C122)</f>
        <v>-1.39130186228089</v>
      </c>
      <c r="D257" s="22" t="n">
        <f aca="false">100*(D123-D122)</f>
        <v>-1.25041949580507</v>
      </c>
      <c r="E257" s="22" t="n">
        <f aca="false">100*(E123-E122)</f>
        <v>-0.946915944359295</v>
      </c>
      <c r="F257" s="22" t="n">
        <f aca="false">100*(F123-F122)</f>
        <v>-0.555970757061108</v>
      </c>
      <c r="G257" s="22" t="n">
        <f aca="false">100*(G123-G122)</f>
        <v>-0.120306483989396</v>
      </c>
      <c r="H257" s="22" t="n">
        <f aca="false">100*(H123-H122)</f>
        <v>0.336075886238807</v>
      </c>
      <c r="I257" s="22" t="n">
        <f aca="false">100*(I123-I122)</f>
        <v>0.798469907767707</v>
      </c>
      <c r="J257" s="22" t="n">
        <f aca="false">100*(J123-J122)</f>
        <v>1.25632313437241</v>
      </c>
      <c r="K257" s="22" t="n">
        <f aca="false">100*(K123-K122)</f>
        <v>1.70123035543623</v>
      </c>
      <c r="L257" s="22" t="n">
        <f aca="false">100*(L123-L122)</f>
        <v>2.12623902417701</v>
      </c>
      <c r="M257" s="22" t="n">
        <f aca="false">100*(M123-M122)</f>
        <v>5.17153854396582</v>
      </c>
      <c r="N257" s="22" t="n">
        <f aca="false">100*(N123-N122)</f>
        <v>5.2587832372208</v>
      </c>
      <c r="O257" s="22" t="n">
        <f aca="false">100*(O123-O122)</f>
        <v>5.33321847753991</v>
      </c>
      <c r="P257" s="22" t="n">
        <f aca="false">100*(P123-P122)</f>
        <v>5.3959787242114</v>
      </c>
      <c r="Q257" s="22" t="n">
        <f aca="false">100*(Q123-Q122)</f>
        <v>5.4480881248097</v>
      </c>
      <c r="R257" s="22" t="n">
        <f aca="false">100*(R123-R122)</f>
        <v>5.49046312746313</v>
      </c>
      <c r="S257" s="22" t="n">
        <f aca="false">100*(S123-S122)</f>
        <v>5.52392452859953</v>
      </c>
      <c r="T257" s="22" t="n">
        <f aca="false">100*(T123-T122)</f>
        <v>5.5492128181613</v>
      </c>
      <c r="U257" s="22" t="n">
        <f aca="false">100*(U123-U122)</f>
        <v>5.56699998939294</v>
      </c>
      <c r="V257" s="22" t="n">
        <f aca="false">100*(V123-V122)</f>
        <v>5.57790119380535</v>
      </c>
      <c r="W257" s="22" t="n">
        <f aca="false">100*(W123-W122)</f>
        <v>5.58251446512514</v>
      </c>
      <c r="X257" s="22" t="n">
        <f aca="false">100*(X123-X122)</f>
        <v>5.58146458211661</v>
      </c>
      <c r="Y257" s="22" t="n">
        <f aca="false">100*(Y123-Y122)</f>
        <v>5.57538393130779</v>
      </c>
      <c r="Z257" s="22" t="n">
        <f aca="false">100*(Z123-Z122)</f>
        <v>5.5648802640091</v>
      </c>
      <c r="AA257" s="22" t="n">
        <f aca="false">100*(AA123-AA122)</f>
        <v>5.55053509236281</v>
      </c>
      <c r="AB257" s="22" t="n">
        <f aca="false">100*(AB123-AB122)</f>
        <v>5.5329064437033</v>
      </c>
      <c r="AC257" s="22" t="n">
        <f aca="false">100*(AC123-AC122)</f>
        <v>5.51252279531855</v>
      </c>
      <c r="AD257" s="22" t="n">
        <f aca="false">100*(AD123-AD122)</f>
        <v>5.48987316968548</v>
      </c>
      <c r="AE257" s="22" t="n">
        <f aca="false">100*(AE123-AE122)</f>
        <v>5.46540907690076</v>
      </c>
      <c r="AF257" s="22" t="n">
        <f aca="false">100*(AF123-AF122)</f>
        <v>5.43954364446435</v>
      </c>
      <c r="AG257" s="22" t="n">
        <f aca="false">100*(AG123-AG122)</f>
        <v>5.41265239408588</v>
      </c>
      <c r="AH257" s="22" t="n">
        <f aca="false">100*(AH123-AH122)</f>
        <v>5.38507743265049</v>
      </c>
      <c r="AI257" s="22" t="n">
        <f aca="false">100*(AI123-AI122)</f>
        <v>5.35713093553758</v>
      </c>
      <c r="AJ257" s="22" t="n">
        <f aca="false">100*(AJ123-AJ122)</f>
        <v>5.32909778253314</v>
      </c>
      <c r="AK257" s="22" t="n">
        <f aca="false">100*(AK123-AK122)</f>
        <v>5.3012330815708</v>
      </c>
      <c r="AL257" s="22" t="n">
        <f aca="false">AVERAGE(C257:AK257)</f>
        <v>3.95285021774395</v>
      </c>
    </row>
    <row r="258" customFormat="false" ht="15" hidden="false" customHeight="false" outlineLevel="0" collapsed="false">
      <c r="A258" s="20" t="n">
        <f aca="false">A124</f>
        <v>-1</v>
      </c>
      <c r="B258" s="21" t="n">
        <f aca="false">B124</f>
        <v>40471</v>
      </c>
      <c r="C258" s="22" t="n">
        <f aca="false">100*(C124-C123)</f>
        <v>-4.70851385415384</v>
      </c>
      <c r="D258" s="22" t="n">
        <f aca="false">100*(D124-D123)</f>
        <v>-5.47955340009799</v>
      </c>
      <c r="E258" s="22" t="n">
        <f aca="false">100*(E124-E123)</f>
        <v>-5.8772691140758</v>
      </c>
      <c r="F258" s="22" t="n">
        <f aca="false">100*(F124-F123)</f>
        <v>-6.0000684779365</v>
      </c>
      <c r="G258" s="22" t="n">
        <f aca="false">100*(G124-G123)</f>
        <v>-5.92025736044401</v>
      </c>
      <c r="H258" s="22" t="n">
        <f aca="false">100*(H124-H123)</f>
        <v>-5.69108071247881</v>
      </c>
      <c r="I258" s="22" t="n">
        <f aca="false">100*(I124-I123)</f>
        <v>-5.3537547988012</v>
      </c>
      <c r="J258" s="22" t="n">
        <f aca="false">100*(J124-J123)</f>
        <v>-4.9415728517392</v>
      </c>
      <c r="K258" s="22" t="n">
        <f aca="false">100*(K124-K123)</f>
        <v>-4.48210738300512</v>
      </c>
      <c r="L258" s="22" t="n">
        <f aca="false">100*(L124-L123)</f>
        <v>-3.9984294780294</v>
      </c>
      <c r="M258" s="22" t="n">
        <f aca="false">100*(M124-M123)</f>
        <v>-0.312912227203332</v>
      </c>
      <c r="N258" s="22" t="n">
        <f aca="false">100*(N124-N123)</f>
        <v>-0.299777991167582</v>
      </c>
      <c r="O258" s="22" t="n">
        <f aca="false">100*(O124-O123)</f>
        <v>-0.31181696751581</v>
      </c>
      <c r="P258" s="22" t="n">
        <f aca="false">100*(P124-P123)</f>
        <v>-0.345018893135007</v>
      </c>
      <c r="Q258" s="22" t="n">
        <f aca="false">100*(Q124-Q123)</f>
        <v>-0.395387410015591</v>
      </c>
      <c r="R258" s="22" t="n">
        <f aca="false">100*(R124-R123)</f>
        <v>-0.459183802837826</v>
      </c>
      <c r="S258" s="22" t="n">
        <f aca="false">100*(S124-S123)</f>
        <v>-0.533120326074688</v>
      </c>
      <c r="T258" s="22" t="n">
        <f aca="false">100*(T124-T123)</f>
        <v>-0.614311852002203</v>
      </c>
      <c r="U258" s="22" t="n">
        <f aca="false">100*(U124-U123)</f>
        <v>-0.700216662193842</v>
      </c>
      <c r="V258" s="22" t="n">
        <f aca="false">100*(V124-V123)</f>
        <v>-0.788589333764644</v>
      </c>
      <c r="W258" s="22" t="n">
        <f aca="false">100*(W124-W123)</f>
        <v>-0.877481858388141</v>
      </c>
      <c r="X258" s="22" t="n">
        <f aca="false">100*(X124-X123)</f>
        <v>-0.965270287006614</v>
      </c>
      <c r="Y258" s="22" t="n">
        <f aca="false">100*(Y124-Y123)</f>
        <v>-1.05062762704957</v>
      </c>
      <c r="Z258" s="22" t="n">
        <f aca="false">100*(Z124-Z123)</f>
        <v>-1.13249228148096</v>
      </c>
      <c r="AA258" s="22" t="n">
        <f aca="false">100*(AA124-AA123)</f>
        <v>-1.21003574798149</v>
      </c>
      <c r="AB258" s="22" t="n">
        <f aca="false">100*(AB124-AB123)</f>
        <v>-1.2826341802997</v>
      </c>
      <c r="AC258" s="22" t="n">
        <f aca="false">100*(AC124-AC123)</f>
        <v>-1.34984382964491</v>
      </c>
      <c r="AD258" s="22" t="n">
        <f aca="false">100*(AD124-AD123)</f>
        <v>-1.41137986239217</v>
      </c>
      <c r="AE258" s="22" t="n">
        <f aca="false">100*(AE124-AE123)</f>
        <v>-1.4670977894224</v>
      </c>
      <c r="AF258" s="22" t="n">
        <f aca="false">100*(AF124-AF123)</f>
        <v>-1.51696494839326</v>
      </c>
      <c r="AG258" s="22" t="n">
        <f aca="false">100*(AG124-AG123)</f>
        <v>-1.56102619247482</v>
      </c>
      <c r="AH258" s="22" t="n">
        <f aca="false">100*(AH124-AH123)</f>
        <v>-1.59939180406541</v>
      </c>
      <c r="AI258" s="22" t="n">
        <f aca="false">100*(AI124-AI123)</f>
        <v>-1.63223067525271</v>
      </c>
      <c r="AJ258" s="22" t="n">
        <f aca="false">100*(AJ124-AJ123)</f>
        <v>-1.65976407668547</v>
      </c>
      <c r="AK258" s="22" t="n">
        <f aca="false">100*(AK124-AK123)</f>
        <v>-1.6822524218826</v>
      </c>
      <c r="AL258" s="22" t="n">
        <f aca="false">AVERAGE(C258:AK258)</f>
        <v>-2.21746961368836</v>
      </c>
    </row>
    <row r="259" customFormat="false" ht="15" hidden="false" customHeight="false" outlineLevel="0" collapsed="false">
      <c r="A259" s="20" t="n">
        <f aca="false">A125</f>
        <v>0</v>
      </c>
      <c r="B259" s="21" t="n">
        <f aca="false">B125</f>
        <v>40472</v>
      </c>
      <c r="C259" s="22" t="n">
        <f aca="false">100*(C125-C124)</f>
        <v>-2.70681351167048</v>
      </c>
      <c r="D259" s="22" t="n">
        <f aca="false">100*(D125-D124)</f>
        <v>-3.57646306555338</v>
      </c>
      <c r="E259" s="22" t="n">
        <f aca="false">100*(E125-E124)</f>
        <v>-4.27009297536588</v>
      </c>
      <c r="F259" s="22" t="n">
        <f aca="false">100*(F125-F124)</f>
        <v>-4.7950397390083</v>
      </c>
      <c r="G259" s="22" t="n">
        <f aca="false">100*(G125-G124)</f>
        <v>-5.17063421531669</v>
      </c>
      <c r="H259" s="22" t="n">
        <f aca="false">100*(H125-H124)</f>
        <v>-5.4207828369979</v>
      </c>
      <c r="I259" s="22" t="n">
        <f aca="false">100*(I125-I124)</f>
        <v>-5.57010174314601</v>
      </c>
      <c r="J259" s="22" t="n">
        <f aca="false">100*(J125-J124)</f>
        <v>-5.64140138383691</v>
      </c>
      <c r="K259" s="22" t="n">
        <f aca="false">100*(K125-K124)</f>
        <v>-5.65485692047529</v>
      </c>
      <c r="L259" s="22" t="n">
        <f aca="false">100*(L125-L124)</f>
        <v>-5.62777156425849</v>
      </c>
      <c r="M259" s="22" t="n">
        <f aca="false">100*(M125-M124)</f>
        <v>-5.07684417398648</v>
      </c>
      <c r="N259" s="22" t="n">
        <f aca="false">100*(N125-N124)</f>
        <v>-5.08136259034551</v>
      </c>
      <c r="O259" s="22" t="n">
        <f aca="false">100*(O125-O124)</f>
        <v>-5.08935349808839</v>
      </c>
      <c r="P259" s="22" t="n">
        <f aca="false">100*(P125-P124)</f>
        <v>-5.09988524604048</v>
      </c>
      <c r="Q259" s="22" t="n">
        <f aca="false">100*(Q125-Q124)</f>
        <v>-5.11209368880499</v>
      </c>
      <c r="R259" s="22" t="n">
        <f aca="false">100*(R125-R124)</f>
        <v>-5.1252573754315</v>
      </c>
      <c r="S259" s="22" t="n">
        <f aca="false">100*(S125-S124)</f>
        <v>-5.13884632818633</v>
      </c>
      <c r="T259" s="22" t="n">
        <f aca="false">100*(T125-T124)</f>
        <v>-5.15249779226559</v>
      </c>
      <c r="U259" s="22" t="n">
        <f aca="false">100*(U125-U124)</f>
        <v>-5.1659916441861</v>
      </c>
      <c r="V259" s="22" t="n">
        <f aca="false">100*(V125-V124)</f>
        <v>-5.17922922884386</v>
      </c>
      <c r="W259" s="22" t="n">
        <f aca="false">100*(W125-W124)</f>
        <v>-5.19220604404636</v>
      </c>
      <c r="X259" s="22" t="n">
        <f aca="false">100*(X125-X124)</f>
        <v>-5.204987975271</v>
      </c>
      <c r="Y259" s="22" t="n">
        <f aca="false">100*(Y125-Y124)</f>
        <v>-5.21769948134585</v>
      </c>
      <c r="Z259" s="22" t="n">
        <f aca="false">100*(Z125-Z124)</f>
        <v>-5.23051308381533</v>
      </c>
      <c r="AA259" s="22" t="n">
        <f aca="false">100*(AA125-AA124)</f>
        <v>-5.24364281614336</v>
      </c>
      <c r="AB259" s="22" t="n">
        <f aca="false">100*(AB125-AB124)</f>
        <v>-5.25733822490819</v>
      </c>
      <c r="AC259" s="22" t="n">
        <f aca="false">100*(AC125-AC124)</f>
        <v>-5.27186257332648</v>
      </c>
      <c r="AD259" s="22" t="n">
        <f aca="false">100*(AD125-AD124)</f>
        <v>-5.2874658607176</v>
      </c>
      <c r="AE259" s="22" t="n">
        <f aca="false">100*(AE125-AE124)</f>
        <v>-5.30438212196804</v>
      </c>
      <c r="AF259" s="22" t="n">
        <f aca="false">100*(AF125-AF124)</f>
        <v>-5.32281849855165</v>
      </c>
      <c r="AG259" s="22" t="n">
        <f aca="false">100*(AG125-AG124)</f>
        <v>-5.34293679837372</v>
      </c>
      <c r="AH259" s="22" t="n">
        <f aca="false">100*(AH125-AH124)</f>
        <v>-5.36485468963672</v>
      </c>
      <c r="AI259" s="22" t="n">
        <f aca="false">100*(AI125-AI124)</f>
        <v>-5.38865029533291</v>
      </c>
      <c r="AJ259" s="22" t="n">
        <f aca="false">100*(AJ125-AJ124)</f>
        <v>-5.41436604466208</v>
      </c>
      <c r="AK259" s="22" t="n">
        <f aca="false">100*(AK125-AK124)</f>
        <v>-5.44200577288931</v>
      </c>
      <c r="AL259" s="22" t="n">
        <f aca="false">AVERAGE(C259:AK259)</f>
        <v>-5.11831570865135</v>
      </c>
    </row>
    <row r="260" customFormat="false" ht="15" hidden="false" customHeight="false" outlineLevel="0" collapsed="false">
      <c r="A260" s="20" t="n">
        <f aca="false">A126</f>
        <v>1</v>
      </c>
      <c r="B260" s="21" t="n">
        <f aca="false">B126</f>
        <v>40473</v>
      </c>
      <c r="C260" s="22" t="n">
        <f aca="false">100*(C126-C125)</f>
        <v>4.19367892776673</v>
      </c>
      <c r="D260" s="22" t="n">
        <f aca="false">100*(D126-D125)</f>
        <v>4.25371616089056</v>
      </c>
      <c r="E260" s="22" t="n">
        <f aca="false">100*(E126-E125)</f>
        <v>4.13515423852108</v>
      </c>
      <c r="F260" s="22" t="n">
        <f aca="false">100*(F126-F125)</f>
        <v>3.93014052399621</v>
      </c>
      <c r="G260" s="22" t="n">
        <f aca="false">100*(G126-G125)</f>
        <v>3.6836782648267</v>
      </c>
      <c r="H260" s="22" t="n">
        <f aca="false">100*(H126-H125)</f>
        <v>3.42097732783579</v>
      </c>
      <c r="I260" s="22" t="n">
        <f aca="false">100*(I126-I125)</f>
        <v>3.1576211845024</v>
      </c>
      <c r="J260" s="22" t="n">
        <f aca="false">100*(J126-J125)</f>
        <v>2.90341257038691</v>
      </c>
      <c r="K260" s="22" t="n">
        <f aca="false">100*(K126-K125)</f>
        <v>2.66497381482269</v>
      </c>
      <c r="L260" s="22" t="n">
        <f aca="false">100*(L126-L125)</f>
        <v>2.44697595142638</v>
      </c>
      <c r="M260" s="22" t="n">
        <f aca="false">100*(M126-M125)</f>
        <v>1.5747304079937</v>
      </c>
      <c r="N260" s="22" t="n">
        <f aca="false">100*(N126-N125)</f>
        <v>1.61339350498722</v>
      </c>
      <c r="O260" s="22" t="n">
        <f aca="false">100*(O126-O125)</f>
        <v>1.65942275080728</v>
      </c>
      <c r="P260" s="22" t="n">
        <f aca="false">100*(P126-P125)</f>
        <v>1.71149801713368</v>
      </c>
      <c r="Q260" s="22" t="n">
        <f aca="false">100*(Q126-Q125)</f>
        <v>1.76835725352409</v>
      </c>
      <c r="R260" s="22" t="n">
        <f aca="false">100*(R126-R125)</f>
        <v>1.82881647082032</v>
      </c>
      <c r="S260" s="22" t="n">
        <f aca="false">100*(S126-S125)</f>
        <v>1.89182731774808</v>
      </c>
      <c r="T260" s="22" t="n">
        <f aca="false">100*(T126-T125)</f>
        <v>1.95646748217393</v>
      </c>
      <c r="U260" s="22" t="n">
        <f aca="false">100*(U126-U125)</f>
        <v>2.02192215593637</v>
      </c>
      <c r="V260" s="22" t="n">
        <f aca="false">100*(V126-V125)</f>
        <v>2.08747081139702</v>
      </c>
      <c r="W260" s="22" t="n">
        <f aca="false">100*(W126-W125)</f>
        <v>2.15249887005653</v>
      </c>
      <c r="X260" s="22" t="n">
        <f aca="false">100*(X126-X125)</f>
        <v>2.21650494926591</v>
      </c>
      <c r="Y260" s="22" t="n">
        <f aca="false">100*(Y126-Y125)</f>
        <v>2.27908101050245</v>
      </c>
      <c r="Z260" s="22" t="n">
        <f aca="false">100*(Z126-Z125)</f>
        <v>2.33989388183407</v>
      </c>
      <c r="AA260" s="22" t="n">
        <f aca="false">100*(AA126-AA125)</f>
        <v>2.39867527426139</v>
      </c>
      <c r="AB260" s="22" t="n">
        <f aca="false">100*(AB126-AB125)</f>
        <v>2.45521412023377</v>
      </c>
      <c r="AC260" s="22" t="n">
        <f aca="false">100*(AC126-AC125)</f>
        <v>2.50935313922955</v>
      </c>
      <c r="AD260" s="22" t="n">
        <f aca="false">100*(AD126-AD125)</f>
        <v>2.56098626723329</v>
      </c>
      <c r="AE260" s="22" t="n">
        <f aca="false">100*(AE126-AE125)</f>
        <v>2.61005197401243</v>
      </c>
      <c r="AF260" s="22" t="n">
        <f aca="false">100*(AF126-AF125)</f>
        <v>2.65651867633139</v>
      </c>
      <c r="AG260" s="22" t="n">
        <f aca="false">100*(AG126-AG125)</f>
        <v>2.70037838124662</v>
      </c>
      <c r="AH260" s="22" t="n">
        <f aca="false">100*(AH126-AH125)</f>
        <v>2.74164546583044</v>
      </c>
      <c r="AI260" s="22" t="n">
        <f aca="false">100*(AI126-AI125)</f>
        <v>2.78035435198287</v>
      </c>
      <c r="AJ260" s="22" t="n">
        <f aca="false">100*(AJ126-AJ125)</f>
        <v>2.81655647115349</v>
      </c>
      <c r="AK260" s="22" t="n">
        <f aca="false">100*(AK126-AK125)</f>
        <v>2.85030904515731</v>
      </c>
      <c r="AL260" s="22" t="n">
        <f aca="false">AVERAGE(C260:AK260)</f>
        <v>2.59920734330939</v>
      </c>
    </row>
    <row r="261" customFormat="false" ht="15" hidden="false" customHeight="false" outlineLevel="0" collapsed="false">
      <c r="A261" s="20" t="n">
        <f aca="false">A127</f>
        <v>2</v>
      </c>
      <c r="B261" s="21" t="n">
        <f aca="false">B127</f>
        <v>40476</v>
      </c>
      <c r="C261" s="22" t="n">
        <f aca="false">100*(C127-C126)</f>
        <v>0.932884731852157</v>
      </c>
      <c r="D261" s="22" t="n">
        <f aca="false">100*(D127-D126)</f>
        <v>0.815041435381703</v>
      </c>
      <c r="E261" s="22" t="n">
        <f aca="false">100*(E127-E126)</f>
        <v>0.611198960947701</v>
      </c>
      <c r="F261" s="22" t="n">
        <f aca="false">100*(F127-F126)</f>
        <v>0.348597297505004</v>
      </c>
      <c r="G261" s="22" t="n">
        <f aca="false">100*(G127-G126)</f>
        <v>0.0457892491322109</v>
      </c>
      <c r="H261" s="22" t="n">
        <f aca="false">100*(H127-H126)</f>
        <v>-0.282316275843697</v>
      </c>
      <c r="I261" s="22" t="n">
        <f aca="false">100*(I127-I126)</f>
        <v>-0.622543662621311</v>
      </c>
      <c r="J261" s="22" t="n">
        <f aca="false">100*(J127-J126)</f>
        <v>-0.9633010429416</v>
      </c>
      <c r="K261" s="22" t="n">
        <f aca="false">100*(K127-K126)</f>
        <v>-1.2944300514464</v>
      </c>
      <c r="L261" s="22" t="n">
        <f aca="false">100*(L127-L126)</f>
        <v>-1.607601916752</v>
      </c>
      <c r="M261" s="22" t="n">
        <f aca="false">100*(M127-M126)</f>
        <v>-3.4187065353414</v>
      </c>
      <c r="N261" s="22" t="n">
        <f aca="false">100*(N127-N126)</f>
        <v>-3.44055851018172</v>
      </c>
      <c r="O261" s="22" t="n">
        <f aca="false">100*(O127-O126)</f>
        <v>-3.45609157232589</v>
      </c>
      <c r="P261" s="22" t="n">
        <f aca="false">100*(P127-P126)</f>
        <v>-3.46694241893459</v>
      </c>
      <c r="Q261" s="22" t="n">
        <f aca="false">100*(Q127-Q126)</f>
        <v>-3.4746317488771</v>
      </c>
      <c r="R261" s="22" t="n">
        <f aca="false">100*(R127-R126)</f>
        <v>-3.4805044064659</v>
      </c>
      <c r="S261" s="22" t="n">
        <f aca="false">100*(S127-S126)</f>
        <v>-3.48567011274827</v>
      </c>
      <c r="T261" s="22" t="n">
        <f aca="false">100*(T127-T126)</f>
        <v>-3.49103027721203</v>
      </c>
      <c r="U261" s="22" t="n">
        <f aca="false">100*(U127-U126)</f>
        <v>-3.49730863183764</v>
      </c>
      <c r="V261" s="22" t="n">
        <f aca="false">100*(V127-V126)</f>
        <v>-3.50507507055546</v>
      </c>
      <c r="W261" s="22" t="n">
        <f aca="false">100*(W127-W126)</f>
        <v>-3.51474496384938</v>
      </c>
      <c r="X261" s="22" t="n">
        <f aca="false">100*(X127-X126)</f>
        <v>-3.5265751885289</v>
      </c>
      <c r="Y261" s="22" t="n">
        <f aca="false">100*(Y127-Y126)</f>
        <v>-3.54069899146428</v>
      </c>
      <c r="Z261" s="22" t="n">
        <f aca="false">100*(Z127-Z126)</f>
        <v>-3.55716436117275</v>
      </c>
      <c r="AA261" s="22" t="n">
        <f aca="false">100*(AA127-AA126)</f>
        <v>-3.57594768592424</v>
      </c>
      <c r="AB261" s="22" t="n">
        <f aca="false">100*(AB127-AB126)</f>
        <v>-3.59696295967575</v>
      </c>
      <c r="AC261" s="22" t="n">
        <f aca="false">100*(AC127-AC126)</f>
        <v>-3.62007792236625</v>
      </c>
      <c r="AD261" s="22" t="n">
        <f aca="false">100*(AD127-AD126)</f>
        <v>-3.64513185494983</v>
      </c>
      <c r="AE261" s="22" t="n">
        <f aca="false">100*(AE127-AE126)</f>
        <v>-3.6719412866776</v>
      </c>
      <c r="AF261" s="22" t="n">
        <f aca="false">100*(AF127-AF126)</f>
        <v>-3.70031024895567</v>
      </c>
      <c r="AG261" s="22" t="n">
        <f aca="false">100*(AG127-AG126)</f>
        <v>-3.73003855922001</v>
      </c>
      <c r="AH261" s="22" t="n">
        <f aca="false">100*(AH127-AH126)</f>
        <v>-3.76092262551184</v>
      </c>
      <c r="AI261" s="22" t="n">
        <f aca="false">100*(AI127-AI126)</f>
        <v>-3.7927558004383</v>
      </c>
      <c r="AJ261" s="22" t="n">
        <f aca="false">100*(AJ127-AJ126)</f>
        <v>-3.82532920439047</v>
      </c>
      <c r="AK261" s="22" t="n">
        <f aca="false">100*(AK127-AK126)</f>
        <v>-3.85843802919288</v>
      </c>
      <c r="AL261" s="22" t="n">
        <f aca="false">AVERAGE(C261:AK261)</f>
        <v>-2.6185782926167</v>
      </c>
    </row>
    <row r="262" customFormat="false" ht="15" hidden="false" customHeight="false" outlineLevel="0" collapsed="false">
      <c r="A262" s="20" t="n">
        <f aca="false">A128</f>
        <v>3</v>
      </c>
      <c r="B262" s="21" t="n">
        <f aca="false">B128</f>
        <v>40477</v>
      </c>
      <c r="C262" s="22" t="n">
        <f aca="false">100*(C128-C127)</f>
        <v>9.45484334314405</v>
      </c>
      <c r="D262" s="22" t="n">
        <f aca="false">100*(D128-D127)</f>
        <v>11.1502159999886</v>
      </c>
      <c r="E262" s="22" t="n">
        <f aca="false">100*(E128-E127)</f>
        <v>12.3857519988708</v>
      </c>
      <c r="F262" s="22" t="n">
        <f aca="false">100*(F128-F127)</f>
        <v>13.2765353504193</v>
      </c>
      <c r="G262" s="22" t="n">
        <f aca="false">100*(G128-G127)</f>
        <v>13.9002519189363</v>
      </c>
      <c r="H262" s="22" t="n">
        <f aca="false">100*(H128-H127)</f>
        <v>14.3141498114973</v>
      </c>
      <c r="I262" s="22" t="n">
        <f aca="false">100*(I128-I127)</f>
        <v>14.5635473426478</v>
      </c>
      <c r="J262" s="22" t="n">
        <f aca="false">100*(J128-J127)</f>
        <v>14.6845536524834</v>
      </c>
      <c r="K262" s="22" t="n">
        <f aca="false">100*(K128-K127)</f>
        <v>14.7061656879116</v>
      </c>
      <c r="L262" s="22" t="n">
        <f aca="false">100*(L128-L127)</f>
        <v>14.6517250862757</v>
      </c>
      <c r="M262" s="22" t="n">
        <f aca="false">100*(M128-M127)</f>
        <v>11.537130716211</v>
      </c>
      <c r="N262" s="22" t="n">
        <f aca="false">100*(N128-N127)</f>
        <v>11.2341397624047</v>
      </c>
      <c r="O262" s="22" t="n">
        <f aca="false">100*(O128-O127)</f>
        <v>10.9295819238503</v>
      </c>
      <c r="P262" s="22" t="n">
        <f aca="false">100*(P128-P127)</f>
        <v>10.6248736562493</v>
      </c>
      <c r="Q262" s="22" t="n">
        <f aca="false">100*(Q128-Q127)</f>
        <v>10.3214705290604</v>
      </c>
      <c r="R262" s="22" t="n">
        <f aca="false">100*(R128-R127)</f>
        <v>10.0207835410405</v>
      </c>
      <c r="S262" s="22" t="n">
        <f aca="false">100*(S128-S127)</f>
        <v>9.72412695398632</v>
      </c>
      <c r="T262" s="22" t="n">
        <f aca="false">100*(T128-T127)</f>
        <v>9.43272945481741</v>
      </c>
      <c r="U262" s="22" t="n">
        <f aca="false">100*(U128-U127)</f>
        <v>9.14774674011696</v>
      </c>
      <c r="V262" s="22" t="n">
        <f aca="false">100*(V128-V127)</f>
        <v>8.87026770637966</v>
      </c>
      <c r="W262" s="22" t="n">
        <f aca="false">100*(W128-W127)</f>
        <v>8.60124596375318</v>
      </c>
      <c r="X262" s="22" t="n">
        <f aca="false">100*(X128-X127)</f>
        <v>8.34140815036024</v>
      </c>
      <c r="Y262" s="22" t="n">
        <f aca="false">100*(Y128-Y127)</f>
        <v>8.09127660451221</v>
      </c>
      <c r="Z262" s="22" t="n">
        <f aca="false">100*(Z128-Z127)</f>
        <v>7.85120814139795</v>
      </c>
      <c r="AA262" s="22" t="n">
        <f aca="false">100*(AA128-AA127)</f>
        <v>7.62141660522726</v>
      </c>
      <c r="AB262" s="22" t="n">
        <f aca="false">100*(AB128-AB127)</f>
        <v>7.40199038300924</v>
      </c>
      <c r="AC262" s="22" t="n">
        <f aca="false">100*(AC128-AC127)</f>
        <v>7.19290840261433</v>
      </c>
      <c r="AD262" s="22" t="n">
        <f aca="false">100*(AD128-AD127)</f>
        <v>6.9940540648763</v>
      </c>
      <c r="AE262" s="22" t="n">
        <f aca="false">100*(AE128-AE127)</f>
        <v>6.80522751138337</v>
      </c>
      <c r="AF262" s="22" t="n">
        <f aca="false">100*(AF128-AF127)</f>
        <v>6.62617977336195</v>
      </c>
      <c r="AG262" s="22" t="n">
        <f aca="false">100*(AG128-AG127)</f>
        <v>6.45665438143004</v>
      </c>
      <c r="AH262" s="22" t="n">
        <f aca="false">100*(AH128-AH127)</f>
        <v>6.29639346693569</v>
      </c>
      <c r="AI262" s="22" t="n">
        <f aca="false">100*(AI128-AI127)</f>
        <v>6.14513790996627</v>
      </c>
      <c r="AJ262" s="22" t="n">
        <f aca="false">100*(AJ128-AJ127)</f>
        <v>6.00262797454114</v>
      </c>
      <c r="AK262" s="22" t="n">
        <f aca="false">100*(AK128-AK127)</f>
        <v>5.86861523134417</v>
      </c>
      <c r="AL262" s="22" t="n">
        <f aca="false">AVERAGE(C262:AK262)</f>
        <v>9.74934102117157</v>
      </c>
    </row>
    <row r="263" customFormat="false" ht="15" hidden="false" customHeight="false" outlineLevel="0" collapsed="false">
      <c r="A263" s="20" t="n">
        <f aca="false">A129</f>
        <v>4</v>
      </c>
      <c r="B263" s="21" t="n">
        <f aca="false">B129</f>
        <v>40478</v>
      </c>
      <c r="C263" s="22" t="n">
        <f aca="false">100*(C129-C128)</f>
        <v>1.14971331572206</v>
      </c>
      <c r="D263" s="22" t="n">
        <f aca="false">100*(D129-D128)</f>
        <v>2.54823228946632</v>
      </c>
      <c r="E263" s="22" t="n">
        <f aca="false">100*(E129-E128)</f>
        <v>3.85086777872852</v>
      </c>
      <c r="F263" s="22" t="n">
        <f aca="false">100*(F129-F128)</f>
        <v>4.99535202660599</v>
      </c>
      <c r="G263" s="22" t="n">
        <f aca="false">100*(G129-G128)</f>
        <v>5.9707541263722</v>
      </c>
      <c r="H263" s="22" t="n">
        <f aca="false">100*(H129-H128)</f>
        <v>6.78687415814261</v>
      </c>
      <c r="I263" s="22" t="n">
        <f aca="false">100*(I129-I128)</f>
        <v>7.46167290780768</v>
      </c>
      <c r="J263" s="22" t="n">
        <f aca="false">100*(J129-J128)</f>
        <v>8.01413366761041</v>
      </c>
      <c r="K263" s="22" t="n">
        <f aca="false">100*(K129-K128)</f>
        <v>8.46213903638273</v>
      </c>
      <c r="L263" s="22" t="n">
        <f aca="false">100*(L129-L128)</f>
        <v>8.82192363892238</v>
      </c>
      <c r="M263" s="22" t="n">
        <f aca="false">100*(M129-M128)</f>
        <v>10.1356872908916</v>
      </c>
      <c r="N263" s="22" t="n">
        <f aca="false">100*(N129-N128)</f>
        <v>10.1734831875917</v>
      </c>
      <c r="O263" s="22" t="n">
        <f aca="false">100*(O129-O128)</f>
        <v>10.2128148817509</v>
      </c>
      <c r="P263" s="22" t="n">
        <f aca="false">100*(P129-P128)</f>
        <v>10.2537093242359</v>
      </c>
      <c r="Q263" s="22" t="n">
        <f aca="false">100*(Q129-Q128)</f>
        <v>10.2959510785554</v>
      </c>
      <c r="R263" s="22" t="n">
        <f aca="false">100*(R129-R128)</f>
        <v>10.3391987729339</v>
      </c>
      <c r="S263" s="22" t="n">
        <f aca="false">100*(S129-S128)</f>
        <v>10.3830883415387</v>
      </c>
      <c r="T263" s="22" t="n">
        <f aca="false">100*(T129-T128)</f>
        <v>10.4272447083908</v>
      </c>
      <c r="U263" s="22" t="n">
        <f aca="false">100*(U129-U128)</f>
        <v>10.4712834065049</v>
      </c>
      <c r="V263" s="22" t="n">
        <f aca="false">100*(V129-V128)</f>
        <v>10.5148154112513</v>
      </c>
      <c r="W263" s="22" t="n">
        <f aca="false">100*(W129-W128)</f>
        <v>10.5575026937381</v>
      </c>
      <c r="X263" s="22" t="n">
        <f aca="false">100*(X129-X128)</f>
        <v>10.599120527356</v>
      </c>
      <c r="Y263" s="22" t="n">
        <f aca="false">100*(Y129-Y128)</f>
        <v>10.6395342348649</v>
      </c>
      <c r="Z263" s="22" t="n">
        <f aca="false">100*(Z129-Z128)</f>
        <v>10.678665303937</v>
      </c>
      <c r="AA263" s="22" t="n">
        <f aca="false">100*(AA129-AA128)</f>
        <v>10.7164814970511</v>
      </c>
      <c r="AB263" s="22" t="n">
        <f aca="false">100*(AB129-AB128)</f>
        <v>10.7529906665699</v>
      </c>
      <c r="AC263" s="22" t="n">
        <f aca="false">100*(AC129-AC128)</f>
        <v>10.7882265582077</v>
      </c>
      <c r="AD263" s="22" t="n">
        <f aca="false">100*(AD129-AD128)</f>
        <v>10.8222328413538</v>
      </c>
      <c r="AE263" s="22" t="n">
        <f aca="false">100*(AE129-AE128)</f>
        <v>10.8550592925955</v>
      </c>
      <c r="AF263" s="22" t="n">
        <f aca="false">100*(AF129-AF128)</f>
        <v>10.8867499804147</v>
      </c>
      <c r="AG263" s="22" t="n">
        <f aca="false">100*(AG129-AG128)</f>
        <v>10.9173324121093</v>
      </c>
      <c r="AH263" s="22" t="n">
        <f aca="false">100*(AH129-AH128)</f>
        <v>10.9468183112369</v>
      </c>
      <c r="AI263" s="22" t="n">
        <f aca="false">100*(AI129-AI128)</f>
        <v>10.9752052624986</v>
      </c>
      <c r="AJ263" s="22" t="n">
        <f aca="false">100*(AJ129-AJ128)</f>
        <v>11.0024776541369</v>
      </c>
      <c r="AK263" s="22" t="n">
        <f aca="false">100*(AK129-AK128)</f>
        <v>11.0286022923696</v>
      </c>
      <c r="AL263" s="22" t="n">
        <f aca="false">AVERAGE(C263:AK263)</f>
        <v>9.24102682508132</v>
      </c>
    </row>
    <row r="264" customFormat="false" ht="15" hidden="false" customHeight="false" outlineLevel="0" collapsed="false">
      <c r="A264" s="20" t="n">
        <f aca="false">A130</f>
        <v>5</v>
      </c>
      <c r="B264" s="21" t="n">
        <f aca="false">B130</f>
        <v>40479</v>
      </c>
      <c r="C264" s="22" t="n">
        <f aca="false">100*(C130-C129)</f>
        <v>0.789052730969131</v>
      </c>
      <c r="D264" s="22" t="n">
        <f aca="false">100*(D130-D129)</f>
        <v>0.729900835298891</v>
      </c>
      <c r="E264" s="22" t="n">
        <f aca="false">100*(E130-E129)</f>
        <v>0.620080312738192</v>
      </c>
      <c r="F264" s="22" t="n">
        <f aca="false">100*(F130-F129)</f>
        <v>0.491987132848792</v>
      </c>
      <c r="G264" s="22" t="n">
        <f aca="false">100*(G130-G129)</f>
        <v>0.362260822615812</v>
      </c>
      <c r="H264" s="22" t="n">
        <f aca="false">100*(H130-H129)</f>
        <v>0.238834031157897</v>
      </c>
      <c r="I264" s="22" t="n">
        <f aca="false">100*(I130-I129)</f>
        <v>0.125596488373514</v>
      </c>
      <c r="J264" s="22" t="n">
        <f aca="false">100*(J130-J129)</f>
        <v>0.0247175086915963</v>
      </c>
      <c r="K264" s="22" t="n">
        <f aca="false">100*(K130-K129)</f>
        <v>-0.0624535870841214</v>
      </c>
      <c r="L264" s="22" t="n">
        <f aca="false">100*(L130-L129)</f>
        <v>-0.135058521848386</v>
      </c>
      <c r="M264" s="22" t="n">
        <f aca="false">100*(M130-M129)</f>
        <v>-0.027917754386797</v>
      </c>
      <c r="N264" s="22" t="n">
        <f aca="false">100*(N130-N129)</f>
        <v>0.0157038484131622</v>
      </c>
      <c r="O264" s="22" t="n">
        <f aca="false">100*(O130-O129)</f>
        <v>0.0574400612980863</v>
      </c>
      <c r="P264" s="22" t="n">
        <f aca="false">100*(P130-P129)</f>
        <v>0.0963368087154137</v>
      </c>
      <c r="Q264" s="22" t="n">
        <f aca="false">100*(Q130-Q129)</f>
        <v>0.131558730217396</v>
      </c>
      <c r="R264" s="22" t="n">
        <f aca="false">100*(R130-R129)</f>
        <v>0.162434571883185</v>
      </c>
      <c r="S264" s="22" t="n">
        <f aca="false">100*(S130-S129)</f>
        <v>0.188501710238587</v>
      </c>
      <c r="T264" s="22" t="n">
        <f aca="false">100*(T130-T129)</f>
        <v>0.209481476449191</v>
      </c>
      <c r="U264" s="22" t="n">
        <f aca="false">100*(U130-U129)</f>
        <v>0.225252104165818</v>
      </c>
      <c r="V264" s="22" t="n">
        <f aca="false">100*(V130-V129)</f>
        <v>0.235824750400582</v>
      </c>
      <c r="W264" s="22" t="n">
        <f aca="false">100*(W130-W129)</f>
        <v>0.241294427805094</v>
      </c>
      <c r="X264" s="22" t="n">
        <f aca="false">100*(X130-X129)</f>
        <v>0.241784501621289</v>
      </c>
      <c r="Y264" s="22" t="n">
        <f aca="false">100*(Y130-Y129)</f>
        <v>0.23744935284391</v>
      </c>
      <c r="Z264" s="22" t="n">
        <f aca="false">100*(Z130-Z129)</f>
        <v>0.228488695510887</v>
      </c>
      <c r="AA264" s="22" t="n">
        <f aca="false">100*(AA130-AA129)</f>
        <v>0.215144490728303</v>
      </c>
      <c r="AB264" s="22" t="n">
        <f aca="false">100*(AB130-AB129)</f>
        <v>0.197695777447038</v>
      </c>
      <c r="AC264" s="22" t="n">
        <f aca="false">100*(AC130-AC129)</f>
        <v>0.176453841404012</v>
      </c>
      <c r="AD264" s="22" t="n">
        <f aca="false">100*(AD130-AD129)</f>
        <v>0.151757804652775</v>
      </c>
      <c r="AE264" s="22" t="n">
        <f aca="false">100*(AE130-AE129)</f>
        <v>0.123970485958047</v>
      </c>
      <c r="AF264" s="22" t="n">
        <f aca="false">100*(AF130-AF129)</f>
        <v>0.0934655927967931</v>
      </c>
      <c r="AG264" s="22" t="n">
        <f aca="false">100*(AG130-AG129)</f>
        <v>0.0606166087978366</v>
      </c>
      <c r="AH264" s="22" t="n">
        <f aca="false">100*(AH130-AH129)</f>
        <v>0.0257960665298818</v>
      </c>
      <c r="AI264" s="22" t="n">
        <f aca="false">100*(AI130-AI129)</f>
        <v>-0.010624352691746</v>
      </c>
      <c r="AJ264" s="22" t="n">
        <f aca="false">100*(AJ130-AJ129)</f>
        <v>-0.0482744480284403</v>
      </c>
      <c r="AK264" s="22" t="n">
        <f aca="false">100*(AK130-AK129)</f>
        <v>-0.0867944288576616</v>
      </c>
      <c r="AL264" s="22" t="n">
        <f aca="false">AVERAGE(C264:AK264)</f>
        <v>0.180793099362113</v>
      </c>
    </row>
    <row r="265" customFormat="false" ht="15" hidden="false" customHeight="false" outlineLevel="0" collapsed="false">
      <c r="A265" s="20" t="n">
        <f aca="false">A131</f>
        <v>6</v>
      </c>
      <c r="B265" s="21" t="n">
        <f aca="false">B131</f>
        <v>40480</v>
      </c>
      <c r="C265" s="22" t="n">
        <f aca="false">100*(C131-C130)</f>
        <v>-4.39170796749493</v>
      </c>
      <c r="D265" s="22" t="n">
        <f aca="false">100*(D131-D130)</f>
        <v>-5.01392220836569</v>
      </c>
      <c r="E265" s="22" t="n">
        <f aca="false">100*(E131-E130)</f>
        <v>-5.48137352183211</v>
      </c>
      <c r="F265" s="22" t="n">
        <f aca="false">100*(F131-F130)</f>
        <v>-5.8429155326458</v>
      </c>
      <c r="G265" s="22" t="n">
        <f aca="false">100*(G131-G130)</f>
        <v>-6.1252696354249</v>
      </c>
      <c r="H265" s="22" t="n">
        <f aca="false">100*(H131-H130)</f>
        <v>-6.34507070361849</v>
      </c>
      <c r="I265" s="22" t="n">
        <f aca="false">100*(I131-I130)</f>
        <v>-6.51418996860511</v>
      </c>
      <c r="J265" s="22" t="n">
        <f aca="false">100*(J131-J130)</f>
        <v>-6.64070995510331</v>
      </c>
      <c r="K265" s="22" t="n">
        <f aca="false">100*(K131-K130)</f>
        <v>-6.73050560385908</v>
      </c>
      <c r="L265" s="22" t="n">
        <f aca="false">100*(L131-L130)</f>
        <v>-6.7884530756865</v>
      </c>
      <c r="M265" s="22" t="n">
        <f aca="false">100*(M131-M130)</f>
        <v>-6.18051422337529</v>
      </c>
      <c r="N265" s="22" t="n">
        <f aca="false">100*(N131-N130)</f>
        <v>-6.12648668868387</v>
      </c>
      <c r="O265" s="22" t="n">
        <f aca="false">100*(O131-O130)</f>
        <v>-6.08024494502191</v>
      </c>
      <c r="P265" s="22" t="n">
        <f aca="false">100*(P131-P130)</f>
        <v>-6.04215027942106</v>
      </c>
      <c r="Q265" s="22" t="n">
        <f aca="false">100*(Q131-Q130)</f>
        <v>-6.01231764052637</v>
      </c>
      <c r="R265" s="22" t="n">
        <f aca="false">100*(R131-R130)</f>
        <v>-5.9906753324217</v>
      </c>
      <c r="S265" s="22" t="n">
        <f aca="false">100*(S131-S130)</f>
        <v>-5.9769784353076</v>
      </c>
      <c r="T265" s="22" t="n">
        <f aca="false">100*(T131-T130)</f>
        <v>-5.97083025264622</v>
      </c>
      <c r="U265" s="22" t="n">
        <f aca="false">100*(U131-U130)</f>
        <v>-5.97170463126959</v>
      </c>
      <c r="V265" s="22" t="n">
        <f aca="false">100*(V131-V130)</f>
        <v>-5.97896784399516</v>
      </c>
      <c r="W265" s="22" t="n">
        <f aca="false">100*(W131-W130)</f>
        <v>-5.99195894566522</v>
      </c>
      <c r="X265" s="22" t="n">
        <f aca="false">100*(X131-X130)</f>
        <v>-6.01008756999359</v>
      </c>
      <c r="Y265" s="22" t="n">
        <f aca="false">100*(Y131-Y130)</f>
        <v>-6.03282410027859</v>
      </c>
      <c r="Z265" s="22" t="n">
        <f aca="false">100*(Z131-Z130)</f>
        <v>-6.05967120653377</v>
      </c>
      <c r="AA265" s="22" t="n">
        <f aca="false">100*(AA131-AA130)</f>
        <v>-6.09015681918308</v>
      </c>
      <c r="AB265" s="22" t="n">
        <f aca="false">100*(AB131-AB130)</f>
        <v>-6.1238313193412</v>
      </c>
      <c r="AC265" s="22" t="n">
        <f aca="false">100*(AC131-AC130)</f>
        <v>-6.16026946463411</v>
      </c>
      <c r="AD265" s="22" t="n">
        <f aca="false">100*(AD131-AD130)</f>
        <v>-6.19907375251394</v>
      </c>
      <c r="AE265" s="22" t="n">
        <f aca="false">100*(AE131-AE130)</f>
        <v>-6.23987341756793</v>
      </c>
      <c r="AF265" s="22" t="n">
        <f aca="false">100*(AF131-AF130)</f>
        <v>-6.28233026614087</v>
      </c>
      <c r="AG265" s="22" t="n">
        <f aca="false">100*(AG131-AG130)</f>
        <v>-6.32613634024928</v>
      </c>
      <c r="AH265" s="22" t="n">
        <f aca="false">100*(AH131-AH130)</f>
        <v>-6.3710093066768</v>
      </c>
      <c r="AI265" s="22" t="n">
        <f aca="false">100*(AI131-AI130)</f>
        <v>-6.41668978549177</v>
      </c>
      <c r="AJ265" s="22" t="n">
        <f aca="false">100*(AJ131-AJ130)</f>
        <v>-6.46294000459244</v>
      </c>
      <c r="AK265" s="22" t="n">
        <f aca="false">100*(AK131-AK130)</f>
        <v>-6.50954849593015</v>
      </c>
      <c r="AL265" s="22" t="n">
        <f aca="false">AVERAGE(C265:AK265)</f>
        <v>-6.09946826400278</v>
      </c>
    </row>
    <row r="266" customFormat="false" ht="15" hidden="false" customHeight="false" outlineLevel="0" collapsed="false">
      <c r="A266" s="20" t="n">
        <f aca="false">A132</f>
        <v>7</v>
      </c>
      <c r="B266" s="21" t="n">
        <f aca="false">B132</f>
        <v>40483</v>
      </c>
      <c r="C266" s="22" t="n">
        <f aca="false">100*(C132-C131)</f>
        <v>-0.118695429630389</v>
      </c>
      <c r="D266" s="22" t="n">
        <f aca="false">100*(D132-D131)</f>
        <v>-0.410909057093212</v>
      </c>
      <c r="E266" s="22" t="n">
        <f aca="false">100*(E132-E131)</f>
        <v>-0.725608743986883</v>
      </c>
      <c r="F266" s="22" t="n">
        <f aca="false">100*(F132-F131)</f>
        <v>-1.0368274718831</v>
      </c>
      <c r="G266" s="22" t="n">
        <f aca="false">100*(G132-G131)</f>
        <v>-1.3373817298427</v>
      </c>
      <c r="H266" s="22" t="n">
        <f aca="false">100*(H132-H131)</f>
        <v>-1.6250257387334</v>
      </c>
      <c r="I266" s="22" t="n">
        <f aca="false">100*(I132-I131)</f>
        <v>-1.89812902174968</v>
      </c>
      <c r="J266" s="22" t="n">
        <f aca="false">100*(J132-J131)</f>
        <v>-2.15395586597249</v>
      </c>
      <c r="K266" s="22" t="n">
        <f aca="false">100*(K132-K131)</f>
        <v>-2.38912379068879</v>
      </c>
      <c r="L266" s="22" t="n">
        <f aca="false">100*(L132-L131)</f>
        <v>-2.60056903092631</v>
      </c>
      <c r="M266" s="22" t="n">
        <f aca="false">100*(M132-M131)</f>
        <v>-3.44704507786031</v>
      </c>
      <c r="N266" s="22" t="n">
        <f aca="false">100*(N132-N131)</f>
        <v>-3.43576772557102</v>
      </c>
      <c r="O266" s="22" t="n">
        <f aca="false">100*(O132-O131)</f>
        <v>-3.4219092200539</v>
      </c>
      <c r="P266" s="22" t="n">
        <f aca="false">100*(P132-P131)</f>
        <v>-3.40639407226391</v>
      </c>
      <c r="Q266" s="22" t="n">
        <f aca="false">100*(Q132-Q131)</f>
        <v>-3.39002310708851</v>
      </c>
      <c r="R266" s="22" t="n">
        <f aca="false">100*(R132-R131)</f>
        <v>-3.37347525340128</v>
      </c>
      <c r="S266" s="22" t="n">
        <f aca="false">100*(S132-S131)</f>
        <v>-3.35730002130656</v>
      </c>
      <c r="T266" s="22" t="n">
        <f aca="false">100*(T132-T131)</f>
        <v>-3.34193397187059</v>
      </c>
      <c r="U266" s="22" t="n">
        <f aca="false">100*(U132-U131)</f>
        <v>-3.32771732727419</v>
      </c>
      <c r="V266" s="22" t="n">
        <f aca="false">100*(V132-V131)</f>
        <v>-3.31490806990109</v>
      </c>
      <c r="W266" s="22" t="n">
        <f aca="false">100*(W132-W131)</f>
        <v>-3.30370154692812</v>
      </c>
      <c r="X266" s="22" t="n">
        <f aca="false">100*(X132-X131)</f>
        <v>-3.29425156462175</v>
      </c>
      <c r="Y266" s="22" t="n">
        <f aca="false">100*(Y132-Y131)</f>
        <v>-3.28667182859856</v>
      </c>
      <c r="Z266" s="22" t="n">
        <f aca="false">100*(Z132-Z131)</f>
        <v>-3.28103288154065</v>
      </c>
      <c r="AA266" s="22" t="n">
        <f aca="false">100*(AA132-AA131)</f>
        <v>-3.27736639329821</v>
      </c>
      <c r="AB266" s="22" t="n">
        <f aca="false">100*(AB132-AB131)</f>
        <v>-3.27566984563292</v>
      </c>
      <c r="AC266" s="22" t="n">
        <f aca="false">100*(AC132-AC131)</f>
        <v>-3.27590977030026</v>
      </c>
      <c r="AD266" s="22" t="n">
        <f aca="false">100*(AD132-AD131)</f>
        <v>-3.27802431582036</v>
      </c>
      <c r="AE266" s="22" t="n">
        <f aca="false">100*(AE132-AE131)</f>
        <v>-3.28192692546008</v>
      </c>
      <c r="AF266" s="22" t="n">
        <f aca="false">100*(AF132-AF131)</f>
        <v>-3.28751376001586</v>
      </c>
      <c r="AG266" s="22" t="n">
        <f aca="false">100*(AG132-AG131)</f>
        <v>-3.29466802003164</v>
      </c>
      <c r="AH266" s="22" t="n">
        <f aca="false">100*(AH132-AH131)</f>
        <v>-3.30326111316035</v>
      </c>
      <c r="AI266" s="22" t="n">
        <f aca="false">100*(AI132-AI131)</f>
        <v>-3.31315388204736</v>
      </c>
      <c r="AJ266" s="22" t="n">
        <f aca="false">100*(AJ132-AJ131)</f>
        <v>-3.32419815091889</v>
      </c>
      <c r="AK266" s="22" t="n">
        <f aca="false">100*(AK132-AK131)</f>
        <v>-3.33624180326115</v>
      </c>
      <c r="AL266" s="22" t="n">
        <f aca="false">AVERAGE(C266:AK266)</f>
        <v>-2.78646547224956</v>
      </c>
    </row>
    <row r="267" customFormat="false" ht="15" hidden="false" customHeight="false" outlineLevel="0" collapsed="false">
      <c r="A267" s="20" t="n">
        <f aca="false">A133</f>
        <v>8</v>
      </c>
      <c r="B267" s="21" t="n">
        <f aca="false">B133</f>
        <v>40484</v>
      </c>
      <c r="C267" s="22" t="n">
        <f aca="false">100*(C133-C132)</f>
        <v>0.0799047276026421</v>
      </c>
      <c r="D267" s="22" t="n">
        <f aca="false">100*(D133-D132)</f>
        <v>0.0263895855150964</v>
      </c>
      <c r="E267" s="22" t="n">
        <f aca="false">100*(E133-E132)</f>
        <v>-0.0686041983771979</v>
      </c>
      <c r="F267" s="22" t="n">
        <f aca="false">100*(F133-F132)</f>
        <v>-0.190673144485998</v>
      </c>
      <c r="G267" s="22" t="n">
        <f aca="false">100*(G133-G132)</f>
        <v>-0.328205697079298</v>
      </c>
      <c r="H267" s="22" t="n">
        <f aca="false">100*(H133-H132)</f>
        <v>-0.472518098218311</v>
      </c>
      <c r="I267" s="22" t="n">
        <f aca="false">100*(I133-I132)</f>
        <v>-0.617285288161518</v>
      </c>
      <c r="J267" s="22" t="n">
        <f aca="false">100*(J133-J132)</f>
        <v>-0.757073926393703</v>
      </c>
      <c r="K267" s="22" t="n">
        <f aca="false">100*(K133-K132)</f>
        <v>-0.887105181185222</v>
      </c>
      <c r="L267" s="22" t="n">
        <f aca="false">100*(L133-L132)</f>
        <v>-1.00355649642299</v>
      </c>
      <c r="M267" s="22" t="n">
        <f aca="false">100*(M133-M132)</f>
        <v>-1.0013368900835</v>
      </c>
      <c r="N267" s="22" t="n">
        <f aca="false">100*(N133-N132)</f>
        <v>-0.915791643581176</v>
      </c>
      <c r="O267" s="22" t="n">
        <f aca="false">100*(O133-O132)</f>
        <v>-0.824740847472905</v>
      </c>
      <c r="P267" s="22" t="n">
        <f aca="false">100*(P133-P132)</f>
        <v>-0.729534970637236</v>
      </c>
      <c r="Q267" s="22" t="n">
        <f aca="false">100*(Q133-Q132)</f>
        <v>-0.631500985465605</v>
      </c>
      <c r="R267" s="22" t="n">
        <f aca="false">100*(R133-R132)</f>
        <v>-0.531889419085374</v>
      </c>
      <c r="S267" s="22" t="n">
        <f aca="false">100*(S133-S132)</f>
        <v>-0.431827501250393</v>
      </c>
      <c r="T267" s="22" t="n">
        <f aca="false">100*(T133-T132)</f>
        <v>-0.3323324146014</v>
      </c>
      <c r="U267" s="22" t="n">
        <f aca="false">100*(U133-U132)</f>
        <v>-0.234327478064245</v>
      </c>
      <c r="V267" s="22" t="n">
        <f aca="false">100*(V133-V132)</f>
        <v>-0.138653173370251</v>
      </c>
      <c r="W267" s="22" t="n">
        <f aca="false">100*(W133-W132)</f>
        <v>-0.0460454320595716</v>
      </c>
      <c r="X267" s="22" t="n">
        <f aca="false">100*(X133-X132)</f>
        <v>0.0428895187276623</v>
      </c>
      <c r="Y267" s="22" t="n">
        <f aca="false">100*(Y133-Y132)</f>
        <v>0.127666770944757</v>
      </c>
      <c r="Z267" s="22" t="n">
        <f aca="false">100*(Z133-Z132)</f>
        <v>0.207912992324477</v>
      </c>
      <c r="AA267" s="22" t="n">
        <f aca="false">100*(AA133-AA132)</f>
        <v>0.283353260013008</v>
      </c>
      <c r="AB267" s="22" t="n">
        <f aca="false">100*(AB133-AB132)</f>
        <v>0.353799486250583</v>
      </c>
      <c r="AC267" s="22" t="n">
        <f aca="false">100*(AC133-AC132)</f>
        <v>0.419146523474989</v>
      </c>
      <c r="AD267" s="22" t="n">
        <f aca="false">100*(AD133-AD132)</f>
        <v>0.479370566422954</v>
      </c>
      <c r="AE267" s="22" t="n">
        <f aca="false">100*(AE133-AE132)</f>
        <v>0.534520117420367</v>
      </c>
      <c r="AF267" s="22" t="n">
        <f aca="false">100*(AF133-AF132)</f>
        <v>0.584700641620817</v>
      </c>
      <c r="AG267" s="22" t="n">
        <f aca="false">100*(AG133-AG132)</f>
        <v>0.6300628363479</v>
      </c>
      <c r="AH267" s="22" t="n">
        <f aca="false">100*(AH133-AH132)</f>
        <v>0.670797669179546</v>
      </c>
      <c r="AI267" s="22" t="n">
        <f aca="false">100*(AI133-AI132)</f>
        <v>0.707132183578274</v>
      </c>
      <c r="AJ267" s="22" t="n">
        <f aca="false">100*(AJ133-AJ132)</f>
        <v>0.73932517200479</v>
      </c>
      <c r="AK267" s="22" t="n">
        <f aca="false">100*(AK133-AK132)</f>
        <v>0.767657295448387</v>
      </c>
      <c r="AL267" s="22" t="n">
        <f aca="false">AVERAGE(C267:AK267)</f>
        <v>-0.0996678125462755</v>
      </c>
    </row>
    <row r="268" customFormat="false" ht="15" hidden="false" customHeight="false" outlineLevel="0" collapsed="false">
      <c r="A268" s="20" t="n">
        <f aca="false">A134</f>
        <v>9</v>
      </c>
      <c r="B268" s="21" t="n">
        <f aca="false">B134</f>
        <v>40485</v>
      </c>
      <c r="C268" s="22" t="n">
        <f aca="false">100*(C134-C133)</f>
        <v>-1.32761269387732</v>
      </c>
      <c r="D268" s="22" t="n">
        <f aca="false">100*(D134-D133)</f>
        <v>-1.63447907045406</v>
      </c>
      <c r="E268" s="22" t="n">
        <f aca="false">100*(E134-E133)</f>
        <v>-1.88221735649521</v>
      </c>
      <c r="F268" s="22" t="n">
        <f aca="false">100*(F134-F133)</f>
        <v>-2.09091737056071</v>
      </c>
      <c r="G268" s="22" t="n">
        <f aca="false">100*(G134-G133)</f>
        <v>-2.27188570950501</v>
      </c>
      <c r="H268" s="22" t="n">
        <f aca="false">100*(H134-H133)</f>
        <v>-2.4322377542414</v>
      </c>
      <c r="I268" s="22" t="n">
        <f aca="false">100*(I134-I133)</f>
        <v>-2.57679964626298</v>
      </c>
      <c r="J268" s="22" t="n">
        <f aca="false">100*(J134-J133)</f>
        <v>-2.70805086395909</v>
      </c>
      <c r="K268" s="22" t="n">
        <f aca="false">100*(K134-K133)</f>
        <v>-2.8266865332724</v>
      </c>
      <c r="L268" s="22" t="n">
        <f aca="false">100*(L134-L133)</f>
        <v>-2.93263181713281</v>
      </c>
      <c r="M268" s="22" t="n">
        <f aca="false">100*(M134-M133)</f>
        <v>-3.51861844985319</v>
      </c>
      <c r="N268" s="22" t="n">
        <f aca="false">100*(N134-N133)</f>
        <v>-3.53962566408184</v>
      </c>
      <c r="O268" s="22" t="n">
        <f aca="false">100*(O134-O133)</f>
        <v>-3.56021765600052</v>
      </c>
      <c r="P268" s="22" t="n">
        <f aca="false">100*(P134-P133)</f>
        <v>-3.58054036595918</v>
      </c>
      <c r="Q268" s="22" t="n">
        <f aca="false">100*(Q134-Q133)</f>
        <v>-3.60067574597966</v>
      </c>
      <c r="R268" s="22" t="n">
        <f aca="false">100*(R134-R133)</f>
        <v>-3.62065343311522</v>
      </c>
      <c r="S268" s="22" t="n">
        <f aca="false">100*(S134-S133)</f>
        <v>-3.64045010603862</v>
      </c>
      <c r="T268" s="22" t="n">
        <f aca="false">100*(T134-T133)</f>
        <v>-3.65999585350387</v>
      </c>
      <c r="U268" s="22" t="n">
        <f aca="false">100*(U134-U133)</f>
        <v>-3.67918102580518</v>
      </c>
      <c r="V268" s="22" t="n">
        <f aca="false">100*(V134-V133)</f>
        <v>-3.69786243721464</v>
      </c>
      <c r="W268" s="22" t="n">
        <f aca="false">100*(W134-W133)</f>
        <v>-3.71587924310504</v>
      </c>
      <c r="X268" s="22" t="n">
        <f aca="false">100*(X134-X133)</f>
        <v>-3.73307238570133</v>
      </c>
      <c r="Y268" s="22" t="n">
        <f aca="false">100*(Y134-Y133)</f>
        <v>-3.74929030689035</v>
      </c>
      <c r="Z268" s="22" t="n">
        <f aca="false">100*(Z134-Z133)</f>
        <v>-3.76439190782953</v>
      </c>
      <c r="AA268" s="22" t="n">
        <f aca="false">100*(AA134-AA133)</f>
        <v>-3.77824565755187</v>
      </c>
      <c r="AB268" s="22" t="n">
        <f aca="false">100*(AB134-AB133)</f>
        <v>-3.79072872620148</v>
      </c>
      <c r="AC268" s="22" t="n">
        <f aca="false">100*(AC134-AC133)</f>
        <v>-3.80173058310245</v>
      </c>
      <c r="AD268" s="22" t="n">
        <f aca="false">100*(AD134-AD133)</f>
        <v>-3.81115744316016</v>
      </c>
      <c r="AE268" s="22" t="n">
        <f aca="false">100*(AE134-AE133)</f>
        <v>-3.8189318599807</v>
      </c>
      <c r="AF268" s="22" t="n">
        <f aca="false">100*(AF134-AF133)</f>
        <v>-3.82499779836225</v>
      </c>
      <c r="AG268" s="22" t="n">
        <f aca="false">100*(AG134-AG133)</f>
        <v>-3.82932316874465</v>
      </c>
      <c r="AH268" s="22" t="n">
        <f aca="false">100*(AH134-AH133)</f>
        <v>-3.83189733801119</v>
      </c>
      <c r="AI268" s="22" t="n">
        <f aca="false">100*(AI134-AI133)</f>
        <v>-3.83272889404633</v>
      </c>
      <c r="AJ268" s="22" t="n">
        <f aca="false">100*(AJ134-AJ133)</f>
        <v>-3.83184422911507</v>
      </c>
      <c r="AK268" s="22" t="n">
        <f aca="false">100*(AK134-AK133)</f>
        <v>-3.82929067293381</v>
      </c>
      <c r="AL268" s="22" t="n">
        <f aca="false">AVERAGE(C268:AK268)</f>
        <v>-3.30642427908712</v>
      </c>
    </row>
    <row r="269" customFormat="false" ht="15" hidden="false" customHeight="false" outlineLevel="0" collapsed="false">
      <c r="A269" s="20" t="n">
        <f aca="false">A135</f>
        <v>10</v>
      </c>
      <c r="B269" s="21" t="n">
        <f aca="false">B135</f>
        <v>40486</v>
      </c>
      <c r="C269" s="22" t="n">
        <f aca="false">100*(C135-C134)</f>
        <v>-2.95460586454344</v>
      </c>
      <c r="D269" s="22" t="n">
        <f aca="false">100*(D135-D134)</f>
        <v>-3.42959283139626</v>
      </c>
      <c r="E269" s="22" t="n">
        <f aca="false">100*(E135-E134)</f>
        <v>-3.8155851423795</v>
      </c>
      <c r="F269" s="22" t="n">
        <f aca="false">100*(F135-F134)</f>
        <v>-4.13517431967578</v>
      </c>
      <c r="G269" s="22" t="n">
        <f aca="false">100*(G135-G134)</f>
        <v>-4.3960319452121</v>
      </c>
      <c r="H269" s="22" t="n">
        <f aca="false">100*(H135-H134)</f>
        <v>-4.60278294906169</v>
      </c>
      <c r="I269" s="22" t="n">
        <f aca="false">100*(I135-I134)</f>
        <v>-4.75957011715982</v>
      </c>
      <c r="J269" s="22" t="n">
        <f aca="false">100*(J135-J134)</f>
        <v>-4.8703944591058</v>
      </c>
      <c r="K269" s="22" t="n">
        <f aca="false">100*(K135-K134)</f>
        <v>-4.93914389916199</v>
      </c>
      <c r="L269" s="22" t="n">
        <f aca="false">100*(L135-L134)</f>
        <v>-4.9695321636051</v>
      </c>
      <c r="M269" s="22" t="n">
        <f aca="false">100*(M135-M134)</f>
        <v>-3.15560038150537</v>
      </c>
      <c r="N269" s="22" t="n">
        <f aca="false">100*(N135-N134)</f>
        <v>-2.93178431327137</v>
      </c>
      <c r="O269" s="22" t="n">
        <f aca="false">100*(O135-O134)</f>
        <v>-2.70638687696367</v>
      </c>
      <c r="P269" s="22" t="n">
        <f aca="false">100*(P135-P134)</f>
        <v>-2.48113894830389</v>
      </c>
      <c r="Q269" s="22" t="n">
        <f aca="false">100*(Q135-Q134)</f>
        <v>-2.25771123651604</v>
      </c>
      <c r="R269" s="22" t="n">
        <f aca="false">100*(R135-R134)</f>
        <v>-2.03764609191</v>
      </c>
      <c r="S269" s="22" t="n">
        <f aca="false">100*(S135-S134)</f>
        <v>-1.8223031976059</v>
      </c>
      <c r="T269" s="22" t="n">
        <f aca="false">100*(T135-T134)</f>
        <v>-1.61288095944956</v>
      </c>
      <c r="U269" s="22" t="n">
        <f aca="false">100*(U135-U134)</f>
        <v>-1.41044022325882</v>
      </c>
      <c r="V269" s="22" t="n">
        <f aca="false">100*(V135-V134)</f>
        <v>-1.21591774523893</v>
      </c>
      <c r="W269" s="22" t="n">
        <f aca="false">100*(W135-W134)</f>
        <v>-1.03005622802836</v>
      </c>
      <c r="X269" s="22" t="n">
        <f aca="false">100*(X135-X134)</f>
        <v>-0.853328401921072</v>
      </c>
      <c r="Y269" s="22" t="n">
        <f aca="false">100*(Y135-Y134)</f>
        <v>-0.685982442440114</v>
      </c>
      <c r="Z269" s="22" t="n">
        <f aca="false">100*(Z135-Z134)</f>
        <v>-0.528096965789171</v>
      </c>
      <c r="AA269" s="22" t="n">
        <f aca="false">100*(AA135-AA134)</f>
        <v>-0.37960527630565</v>
      </c>
      <c r="AB269" s="22" t="n">
        <f aca="false">100*(AB135-AB134)</f>
        <v>-0.240313715032148</v>
      </c>
      <c r="AC269" s="22" t="n">
        <f aca="false">100*(AC135-AC134)</f>
        <v>-0.109926059801335</v>
      </c>
      <c r="AD269" s="22" t="n">
        <f aca="false">100*(AD135-AD134)</f>
        <v>0.0119331120015609</v>
      </c>
      <c r="AE269" s="22" t="n">
        <f aca="false">100*(AE135-AE134)</f>
        <v>0.125705691627953</v>
      </c>
      <c r="AF269" s="22" t="n">
        <f aca="false">100*(AF135-AF134)</f>
        <v>0.231863762068141</v>
      </c>
      <c r="AG269" s="22" t="n">
        <f aca="false">100*(AG135-AG134)</f>
        <v>0.33087556160547</v>
      </c>
      <c r="AH269" s="22" t="n">
        <f aca="false">100*(AH135-AH134)</f>
        <v>0.423202891839924</v>
      </c>
      <c r="AI269" s="22" t="n">
        <f aca="false">100*(AI135-AI134)</f>
        <v>0.509301788395522</v>
      </c>
      <c r="AJ269" s="22" t="n">
        <f aca="false">100*(AJ135-AJ134)</f>
        <v>0.589621696997433</v>
      </c>
      <c r="AK269" s="22" t="n">
        <f aca="false">100*(AK135-AK134)</f>
        <v>0.664588593568016</v>
      </c>
      <c r="AL269" s="22" t="n">
        <f aca="false">AVERAGE(C269:AK269)</f>
        <v>-1.86984113304397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6" t="s">
        <v>204</v>
      </c>
    </row>
    <row r="3" customFormat="false" ht="39.55" hidden="false" customHeight="false" outlineLevel="0" collapsed="false">
      <c r="A3" s="3" t="s">
        <v>85</v>
      </c>
      <c r="B3" s="3" t="s">
        <v>72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  <c r="I3" s="3" t="s">
        <v>164</v>
      </c>
      <c r="J3" s="3" t="s">
        <v>165</v>
      </c>
      <c r="K3" s="3" t="s">
        <v>166</v>
      </c>
    </row>
    <row r="4" customFormat="false" ht="15" hidden="false" customHeight="false" outlineLevel="0" collapsed="false">
      <c r="A4" s="10" t="n">
        <v>-121</v>
      </c>
      <c r="B4" s="8" t="n">
        <v>40298</v>
      </c>
      <c r="C4" s="15" t="n">
        <v>4.00032594669</v>
      </c>
      <c r="F4" s="10" t="n">
        <v>0</v>
      </c>
    </row>
    <row r="5" customFormat="false" ht="15" hidden="false" customHeight="false" outlineLevel="0" collapsed="false">
      <c r="A5" s="10" t="n">
        <v>-120</v>
      </c>
      <c r="B5" s="8" t="n">
        <v>40302</v>
      </c>
      <c r="C5" s="15" t="n">
        <v>3.9231927948</v>
      </c>
      <c r="D5" s="22" t="n">
        <f aca="false">100*(C5-C4)</f>
        <v>-7.71331518900005</v>
      </c>
      <c r="E5" s="23" t="n">
        <f aca="false">'A2 control'!AL139</f>
        <v>-7.06739381066684</v>
      </c>
      <c r="F5" s="10" t="n">
        <v>1</v>
      </c>
    </row>
    <row r="6" customFormat="false" ht="15" hidden="false" customHeight="false" outlineLevel="0" collapsed="false">
      <c r="A6" s="10" t="n">
        <v>-119</v>
      </c>
      <c r="B6" s="8" t="n">
        <v>40303</v>
      </c>
      <c r="C6" s="15" t="n">
        <v>3.90036582876</v>
      </c>
      <c r="D6" s="22" t="n">
        <f aca="false">100*(C6-C5)</f>
        <v>-2.28269660399998</v>
      </c>
      <c r="E6" s="23" t="n">
        <f aca="false">'A2 control'!AL140</f>
        <v>-1.27735243078075</v>
      </c>
      <c r="F6" s="10" t="n">
        <v>1</v>
      </c>
    </row>
    <row r="7" customFormat="false" ht="15" hidden="false" customHeight="false" outlineLevel="0" collapsed="false">
      <c r="A7" s="10" t="n">
        <v>-118</v>
      </c>
      <c r="B7" s="8" t="n">
        <v>40304</v>
      </c>
      <c r="C7" s="15" t="n">
        <v>3.88002510459</v>
      </c>
      <c r="D7" s="22" t="n">
        <f aca="false">100*(C7-C6)</f>
        <v>-2.034072417</v>
      </c>
      <c r="E7" s="23" t="n">
        <f aca="false">'A2 control'!AL141</f>
        <v>-2.39558391509309</v>
      </c>
      <c r="F7" s="10" t="n">
        <v>1</v>
      </c>
    </row>
    <row r="8" customFormat="false" ht="15" hidden="false" customHeight="false" outlineLevel="0" collapsed="false">
      <c r="A8" s="10" t="n">
        <v>-117</v>
      </c>
      <c r="B8" s="8" t="n">
        <v>40305</v>
      </c>
      <c r="C8" s="15" t="n">
        <v>3.91896380226</v>
      </c>
      <c r="D8" s="22" t="n">
        <f aca="false">100*(C8-C7)</f>
        <v>3.89386976699999</v>
      </c>
      <c r="E8" s="23" t="n">
        <f aca="false">'A2 control'!AL142</f>
        <v>1.71803530750967</v>
      </c>
      <c r="F8" s="10" t="n">
        <v>1</v>
      </c>
    </row>
    <row r="9" customFormat="false" ht="15" hidden="false" customHeight="false" outlineLevel="0" collapsed="false">
      <c r="A9" s="10" t="n">
        <v>-116</v>
      </c>
      <c r="B9" s="8" t="n">
        <v>40308</v>
      </c>
      <c r="C9" s="15" t="n">
        <v>4.00493113001</v>
      </c>
      <c r="D9" s="22" t="n">
        <f aca="false">100*(C9-C8)</f>
        <v>8.59673277500002</v>
      </c>
      <c r="E9" s="23" t="n">
        <f aca="false">'A2 control'!AL143</f>
        <v>9.29243194452083</v>
      </c>
      <c r="F9" s="10" t="n">
        <v>1</v>
      </c>
    </row>
    <row r="10" customFormat="false" ht="15" hidden="false" customHeight="false" outlineLevel="0" collapsed="false">
      <c r="A10" s="10" t="n">
        <v>-115</v>
      </c>
      <c r="B10" s="8" t="n">
        <v>40309</v>
      </c>
      <c r="C10" s="15" t="n">
        <v>3.9721513669</v>
      </c>
      <c r="D10" s="22" t="n">
        <f aca="false">100*(C10-C9)</f>
        <v>-3.27797631100002</v>
      </c>
      <c r="E10" s="23" t="n">
        <f aca="false">'A2 control'!AL144</f>
        <v>-0.398120194267308</v>
      </c>
      <c r="F10" s="10" t="n">
        <v>1</v>
      </c>
    </row>
    <row r="11" customFormat="false" ht="15" hidden="false" customHeight="false" outlineLevel="0" collapsed="false">
      <c r="A11" s="10" t="n">
        <v>-114</v>
      </c>
      <c r="B11" s="8" t="n">
        <v>40310</v>
      </c>
      <c r="C11" s="15" t="n">
        <v>3.9235317529</v>
      </c>
      <c r="D11" s="22" t="n">
        <f aca="false">100*(C11-C10)</f>
        <v>-4.86196140000001</v>
      </c>
      <c r="E11" s="23" t="n">
        <f aca="false">'A2 control'!AL145</f>
        <v>-3.14844148471649</v>
      </c>
      <c r="F11" s="10" t="n">
        <v>1</v>
      </c>
    </row>
    <row r="12" customFormat="false" ht="15" hidden="false" customHeight="false" outlineLevel="0" collapsed="false">
      <c r="A12" s="10" t="n">
        <v>-113</v>
      </c>
      <c r="B12" s="8" t="n">
        <v>40311</v>
      </c>
      <c r="C12" s="15" t="n">
        <v>3.92796613746</v>
      </c>
      <c r="D12" s="22" t="n">
        <f aca="false">100*(C12-C11)</f>
        <v>0.443438456000012</v>
      </c>
      <c r="E12" s="23" t="n">
        <f aca="false">'A2 control'!AL146</f>
        <v>-0.179225901271185</v>
      </c>
      <c r="F12" s="10" t="n">
        <v>1</v>
      </c>
    </row>
    <row r="13" customFormat="false" ht="15" hidden="false" customHeight="false" outlineLevel="0" collapsed="false">
      <c r="A13" s="10" t="n">
        <v>-112</v>
      </c>
      <c r="B13" s="8" t="n">
        <v>40312</v>
      </c>
      <c r="C13" s="15" t="n">
        <v>3.84842629387</v>
      </c>
      <c r="D13" s="22" t="n">
        <f aca="false">100*(C13-C12)</f>
        <v>-7.95398435900001</v>
      </c>
      <c r="E13" s="23" t="n">
        <f aca="false">'A2 control'!AL147</f>
        <v>-7.18199910843595</v>
      </c>
      <c r="F13" s="10" t="n">
        <v>1</v>
      </c>
    </row>
    <row r="14" customFormat="false" ht="15" hidden="false" customHeight="false" outlineLevel="0" collapsed="false">
      <c r="A14" s="10" t="n">
        <v>-111</v>
      </c>
      <c r="B14" s="8" t="n">
        <v>40315</v>
      </c>
      <c r="C14" s="15" t="n">
        <v>3.83896139783</v>
      </c>
      <c r="D14" s="22" t="n">
        <f aca="false">100*(C14-C13)</f>
        <v>-0.946489603999989</v>
      </c>
      <c r="E14" s="23" t="n">
        <f aca="false">'A2 control'!AL148</f>
        <v>-0.607849328420574</v>
      </c>
      <c r="F14" s="10" t="n">
        <v>1</v>
      </c>
    </row>
    <row r="15" customFormat="false" ht="15" hidden="false" customHeight="false" outlineLevel="0" collapsed="false">
      <c r="A15" s="10" t="n">
        <v>-110</v>
      </c>
      <c r="B15" s="8" t="n">
        <v>40316</v>
      </c>
      <c r="C15" s="15" t="n">
        <v>3.84590899382</v>
      </c>
      <c r="D15" s="22" t="n">
        <f aca="false">100*(C15-C14)</f>
        <v>0.694759599000028</v>
      </c>
      <c r="E15" s="23" t="n">
        <f aca="false">'A2 control'!AL149</f>
        <v>1.12785205046414</v>
      </c>
      <c r="F15" s="10" t="n">
        <v>1</v>
      </c>
    </row>
    <row r="16" customFormat="false" ht="15" hidden="false" customHeight="false" outlineLevel="0" collapsed="false">
      <c r="A16" s="10" t="n">
        <v>-109</v>
      </c>
      <c r="B16" s="8" t="n">
        <v>40317</v>
      </c>
      <c r="C16" s="15" t="n">
        <v>3.75597345422</v>
      </c>
      <c r="D16" s="22" t="n">
        <f aca="false">100*(C16-C15)</f>
        <v>-8.99355396000003</v>
      </c>
      <c r="E16" s="23" t="n">
        <f aca="false">'A2 control'!AL150</f>
        <v>-8.14791135316497</v>
      </c>
      <c r="F16" s="10" t="n">
        <v>1</v>
      </c>
    </row>
    <row r="17" customFormat="false" ht="15" hidden="false" customHeight="false" outlineLevel="0" collapsed="false">
      <c r="A17" s="10" t="n">
        <v>-108</v>
      </c>
      <c r="B17" s="8" t="n">
        <v>40318</v>
      </c>
      <c r="C17" s="15" t="n">
        <v>3.65130540833</v>
      </c>
      <c r="D17" s="22" t="n">
        <f aca="false">100*(C17-C16)</f>
        <v>-10.466804589</v>
      </c>
      <c r="E17" s="23" t="n">
        <f aca="false">'A2 control'!AL151</f>
        <v>-9.80134540893471</v>
      </c>
      <c r="F17" s="10" t="n">
        <v>1</v>
      </c>
    </row>
    <row r="18" customFormat="false" ht="15" hidden="false" customHeight="false" outlineLevel="0" collapsed="false">
      <c r="A18" s="10" t="n">
        <v>-107</v>
      </c>
      <c r="B18" s="8" t="n">
        <v>40319</v>
      </c>
      <c r="C18" s="15" t="n">
        <v>3.63498046505</v>
      </c>
      <c r="D18" s="22" t="n">
        <f aca="false">100*(C18-C17)</f>
        <v>-1.63249432799999</v>
      </c>
      <c r="E18" s="23" t="n">
        <f aca="false">'A2 control'!AL152</f>
        <v>-3.35383978482379</v>
      </c>
      <c r="F18" s="10" t="n">
        <v>1</v>
      </c>
    </row>
    <row r="19" customFormat="false" ht="15" hidden="false" customHeight="false" outlineLevel="0" collapsed="false">
      <c r="A19" s="10" t="n">
        <v>-106</v>
      </c>
      <c r="B19" s="8" t="n">
        <v>40322</v>
      </c>
      <c r="C19" s="15" t="n">
        <v>3.63650175288</v>
      </c>
      <c r="D19" s="22" t="n">
        <f aca="false">100*(C19-C18)</f>
        <v>0.152128783000016</v>
      </c>
      <c r="E19" s="23" t="n">
        <f aca="false">'A2 control'!AL153</f>
        <v>2.08363438367891</v>
      </c>
      <c r="F19" s="10" t="n">
        <v>1</v>
      </c>
    </row>
    <row r="20" customFormat="false" ht="15" hidden="false" customHeight="false" outlineLevel="0" collapsed="false">
      <c r="A20" s="10" t="n">
        <v>-105</v>
      </c>
      <c r="B20" s="8" t="n">
        <v>40323</v>
      </c>
      <c r="C20" s="15" t="n">
        <v>3.55855936569</v>
      </c>
      <c r="D20" s="22" t="n">
        <f aca="false">100*(C20-C19)</f>
        <v>-7.79423871900002</v>
      </c>
      <c r="E20" s="23" t="n">
        <f aca="false">'A2 control'!AL154</f>
        <v>-5.96375806230002</v>
      </c>
      <c r="F20" s="10" t="n">
        <v>1</v>
      </c>
    </row>
    <row r="21" customFormat="false" ht="15" hidden="false" customHeight="false" outlineLevel="0" collapsed="false">
      <c r="A21" s="10" t="n">
        <v>-104</v>
      </c>
      <c r="B21" s="8" t="n">
        <v>40324</v>
      </c>
      <c r="C21" s="15" t="n">
        <v>3.65550782576</v>
      </c>
      <c r="D21" s="22" t="n">
        <f aca="false">100*(C21-C20)</f>
        <v>9.69484600700001</v>
      </c>
      <c r="E21" s="23" t="n">
        <f aca="false">'A2 control'!AL155</f>
        <v>10.2989948126731</v>
      </c>
      <c r="F21" s="10" t="n">
        <v>1</v>
      </c>
    </row>
    <row r="22" customFormat="false" ht="15" hidden="false" customHeight="false" outlineLevel="0" collapsed="false">
      <c r="A22" s="10" t="n">
        <v>-103</v>
      </c>
      <c r="B22" s="8" t="n">
        <v>40325</v>
      </c>
      <c r="C22" s="15" t="n">
        <v>3.71146221426</v>
      </c>
      <c r="D22" s="22" t="n">
        <f aca="false">100*(C22-C21)</f>
        <v>5.59543885</v>
      </c>
      <c r="E22" s="23" t="n">
        <f aca="false">'A2 control'!AL156</f>
        <v>4.90530565730934</v>
      </c>
      <c r="F22" s="10" t="n">
        <v>1</v>
      </c>
    </row>
    <row r="23" customFormat="false" ht="15" hidden="false" customHeight="false" outlineLevel="0" collapsed="false">
      <c r="A23" s="10" t="n">
        <v>-102</v>
      </c>
      <c r="B23" s="8" t="n">
        <v>40326</v>
      </c>
      <c r="C23" s="15" t="n">
        <v>3.68752960647</v>
      </c>
      <c r="D23" s="22" t="n">
        <f aca="false">100*(C23-C22)</f>
        <v>-2.393260779</v>
      </c>
      <c r="E23" s="23" t="n">
        <f aca="false">'A2 control'!AL157</f>
        <v>-0.960310697281882</v>
      </c>
      <c r="F23" s="10" t="n">
        <v>1</v>
      </c>
    </row>
    <row r="24" customFormat="false" ht="15" hidden="false" customHeight="false" outlineLevel="0" collapsed="false">
      <c r="A24" s="10" t="n">
        <v>-101</v>
      </c>
      <c r="B24" s="8" t="n">
        <v>40330</v>
      </c>
      <c r="C24" s="15" t="n">
        <v>3.68010367969</v>
      </c>
      <c r="D24" s="22" t="n">
        <f aca="false">100*(C24-C23)</f>
        <v>-0.742592677999987</v>
      </c>
      <c r="E24" s="23" t="n">
        <f aca="false">'A2 control'!AL158</f>
        <v>0.189727667108581</v>
      </c>
      <c r="F24" s="10" t="n">
        <v>1</v>
      </c>
    </row>
    <row r="25" customFormat="false" ht="15" hidden="false" customHeight="false" outlineLevel="0" collapsed="false">
      <c r="A25" s="10" t="n">
        <v>-100</v>
      </c>
      <c r="B25" s="8" t="n">
        <v>40331</v>
      </c>
      <c r="C25" s="15" t="n">
        <v>3.65171690645</v>
      </c>
      <c r="D25" s="22" t="n">
        <f aca="false">100*(C25-C24)</f>
        <v>-2.83867732400003</v>
      </c>
      <c r="E25" s="23" t="n">
        <f aca="false">'A2 control'!AL159</f>
        <v>-1.46183963632311</v>
      </c>
      <c r="F25" s="10" t="n">
        <v>1</v>
      </c>
    </row>
    <row r="26" customFormat="false" ht="15" hidden="false" customHeight="false" outlineLevel="0" collapsed="false">
      <c r="A26" s="10" t="n">
        <v>-99</v>
      </c>
      <c r="B26" s="8" t="n">
        <v>40332</v>
      </c>
      <c r="C26" s="15" t="n">
        <v>3.69839419183</v>
      </c>
      <c r="D26" s="22" t="n">
        <f aca="false">100*(C26-C25)</f>
        <v>4.66772853799999</v>
      </c>
      <c r="E26" s="23" t="n">
        <f aca="false">'A2 control'!AL160</f>
        <v>3.97324064098215</v>
      </c>
      <c r="F26" s="10" t="n">
        <v>1</v>
      </c>
    </row>
    <row r="27" customFormat="false" ht="15" hidden="false" customHeight="false" outlineLevel="0" collapsed="false">
      <c r="A27" s="10" t="n">
        <v>-98</v>
      </c>
      <c r="B27" s="8" t="n">
        <v>40333</v>
      </c>
      <c r="C27" s="15" t="n">
        <v>3.62639690784</v>
      </c>
      <c r="D27" s="22" t="n">
        <f aca="false">100*(C27-C26)</f>
        <v>-7.19972839900001</v>
      </c>
      <c r="E27" s="23" t="n">
        <f aca="false">'A2 control'!AL161</f>
        <v>-5.49106935651087</v>
      </c>
      <c r="F27" s="10" t="n">
        <v>1</v>
      </c>
    </row>
    <row r="28" customFormat="false" ht="15" hidden="false" customHeight="false" outlineLevel="0" collapsed="false">
      <c r="A28" s="10" t="n">
        <v>-97</v>
      </c>
      <c r="B28" s="8" t="n">
        <v>40336</v>
      </c>
      <c r="C28" s="15" t="n">
        <v>3.60451551887</v>
      </c>
      <c r="D28" s="22" t="n">
        <f aca="false">100*(C28-C27)</f>
        <v>-2.18813889699998</v>
      </c>
      <c r="E28" s="23" t="n">
        <f aca="false">'A2 control'!AL162</f>
        <v>-2.56079907620465</v>
      </c>
      <c r="F28" s="10" t="n">
        <v>1</v>
      </c>
    </row>
    <row r="29" customFormat="false" ht="15" hidden="false" customHeight="false" outlineLevel="0" collapsed="false">
      <c r="A29" s="10" t="n">
        <v>-96</v>
      </c>
      <c r="B29" s="8" t="n">
        <v>40337</v>
      </c>
      <c r="C29" s="15" t="n">
        <v>3.57893899029</v>
      </c>
      <c r="D29" s="22" t="n">
        <f aca="false">100*(C29-C28)</f>
        <v>-2.55765285799998</v>
      </c>
      <c r="E29" s="23" t="n">
        <f aca="false">'A2 control'!AL163</f>
        <v>-2.82817417675581</v>
      </c>
      <c r="F29" s="10" t="n">
        <v>1</v>
      </c>
    </row>
    <row r="30" customFormat="false" ht="15" hidden="false" customHeight="false" outlineLevel="0" collapsed="false">
      <c r="A30" s="10" t="n">
        <v>-95</v>
      </c>
      <c r="B30" s="8" t="n">
        <v>40338</v>
      </c>
      <c r="C30" s="15" t="n">
        <v>3.63519858944</v>
      </c>
      <c r="D30" s="22" t="n">
        <f aca="false">100*(C30-C29)</f>
        <v>5.62595991499997</v>
      </c>
      <c r="E30" s="23" t="n">
        <f aca="false">'A2 control'!AL164</f>
        <v>3.58988813132902</v>
      </c>
      <c r="F30" s="10" t="n">
        <v>1</v>
      </c>
    </row>
    <row r="31" customFormat="false" ht="15" hidden="false" customHeight="false" outlineLevel="0" collapsed="false">
      <c r="A31" s="10" t="n">
        <v>-94</v>
      </c>
      <c r="B31" s="8" t="n">
        <v>40339</v>
      </c>
      <c r="C31" s="15" t="n">
        <v>3.66823333784</v>
      </c>
      <c r="D31" s="22" t="n">
        <f aca="false">100*(C31-C30)</f>
        <v>3.30347484</v>
      </c>
      <c r="E31" s="23" t="n">
        <f aca="false">'A2 control'!AL165</f>
        <v>2.87200219417756</v>
      </c>
      <c r="F31" s="10" t="n">
        <v>1</v>
      </c>
    </row>
    <row r="32" customFormat="false" ht="15" hidden="false" customHeight="false" outlineLevel="0" collapsed="false">
      <c r="A32" s="10" t="n">
        <v>-93</v>
      </c>
      <c r="B32" s="8" t="n">
        <v>40340</v>
      </c>
      <c r="C32" s="15" t="n">
        <v>3.57431802555</v>
      </c>
      <c r="D32" s="22" t="n">
        <f aca="false">100*(C32-C31)</f>
        <v>-9.39153122899996</v>
      </c>
      <c r="E32" s="23" t="n">
        <f aca="false">'A2 control'!AL166</f>
        <v>-7.17689333857331</v>
      </c>
      <c r="F32" s="10" t="n">
        <v>1</v>
      </c>
    </row>
    <row r="33" customFormat="false" ht="15" hidden="false" customHeight="false" outlineLevel="0" collapsed="false">
      <c r="A33" s="10" t="n">
        <v>-92</v>
      </c>
      <c r="B33" s="8" t="n">
        <v>40343</v>
      </c>
      <c r="C33" s="15" t="n">
        <v>3.66286447569</v>
      </c>
      <c r="D33" s="22" t="n">
        <f aca="false">100*(C33-C32)</f>
        <v>8.854645014</v>
      </c>
      <c r="E33" s="23" t="n">
        <f aca="false">'A2 control'!AL167</f>
        <v>7.83034290040684</v>
      </c>
      <c r="F33" s="10" t="n">
        <v>1</v>
      </c>
    </row>
    <row r="34" customFormat="false" ht="15" hidden="false" customHeight="false" outlineLevel="0" collapsed="false">
      <c r="A34" s="10" t="n">
        <v>-91</v>
      </c>
      <c r="B34" s="8" t="n">
        <v>40344</v>
      </c>
      <c r="C34" s="15" t="n">
        <v>3.66732277015</v>
      </c>
      <c r="D34" s="22" t="n">
        <f aca="false">100*(C34-C33)</f>
        <v>0.445829446000001</v>
      </c>
      <c r="E34" s="23" t="n">
        <f aca="false">'A2 control'!AL168</f>
        <v>0.629134180114888</v>
      </c>
      <c r="F34" s="10" t="n">
        <v>1</v>
      </c>
    </row>
    <row r="35" customFormat="false" ht="15" hidden="false" customHeight="false" outlineLevel="0" collapsed="false">
      <c r="A35" s="10" t="n">
        <v>-90</v>
      </c>
      <c r="B35" s="8" t="n">
        <v>40345</v>
      </c>
      <c r="C35" s="15" t="n">
        <v>3.65322710931</v>
      </c>
      <c r="D35" s="22" t="n">
        <f aca="false">100*(C35-C34)</f>
        <v>-1.40956608400002</v>
      </c>
      <c r="E35" s="23" t="n">
        <f aca="false">'A2 control'!AL169</f>
        <v>0.644540667679373</v>
      </c>
      <c r="F35" s="10" t="n">
        <v>1</v>
      </c>
    </row>
    <row r="36" customFormat="false" ht="15" hidden="false" customHeight="false" outlineLevel="0" collapsed="false">
      <c r="A36" s="10" t="n">
        <v>-89</v>
      </c>
      <c r="B36" s="8" t="n">
        <v>40346</v>
      </c>
      <c r="C36" s="15" t="n">
        <v>3.60747688818</v>
      </c>
      <c r="D36" s="22" t="n">
        <f aca="false">100*(C36-C35)</f>
        <v>-4.57502211300001</v>
      </c>
      <c r="E36" s="23" t="n">
        <f aca="false">'A2 control'!AL170</f>
        <v>-3.70311948518222</v>
      </c>
      <c r="F36" s="10" t="n">
        <v>1</v>
      </c>
    </row>
    <row r="37" customFormat="false" ht="15" hidden="false" customHeight="false" outlineLevel="0" collapsed="false">
      <c r="A37" s="10" t="n">
        <v>-88</v>
      </c>
      <c r="B37" s="8" t="n">
        <v>40347</v>
      </c>
      <c r="C37" s="15" t="n">
        <v>3.65920895448</v>
      </c>
      <c r="D37" s="22" t="n">
        <f aca="false">100*(C37-C36)</f>
        <v>5.17320663000001</v>
      </c>
      <c r="E37" s="23" t="n">
        <f aca="false">'A2 control'!AL171</f>
        <v>3.01978833018132</v>
      </c>
      <c r="F37" s="10" t="n">
        <v>1</v>
      </c>
    </row>
    <row r="38" customFormat="false" ht="15" hidden="false" customHeight="false" outlineLevel="0" collapsed="false">
      <c r="A38" s="10" t="n">
        <v>-87</v>
      </c>
      <c r="B38" s="8" t="n">
        <v>40350</v>
      </c>
      <c r="C38" s="15" t="n">
        <v>3.62884637118</v>
      </c>
      <c r="D38" s="22" t="n">
        <f aca="false">100*(C38-C37)</f>
        <v>-3.03625833000001</v>
      </c>
      <c r="E38" s="23" t="n">
        <f aca="false">'A2 control'!AL172</f>
        <v>-3.64975816667895</v>
      </c>
      <c r="F38" s="10" t="n">
        <v>1</v>
      </c>
    </row>
    <row r="39" customFormat="false" ht="15" hidden="false" customHeight="false" outlineLevel="0" collapsed="false">
      <c r="A39" s="10" t="n">
        <v>-86</v>
      </c>
      <c r="B39" s="8" t="n">
        <v>40351</v>
      </c>
      <c r="C39" s="15" t="n">
        <v>3.57766392492</v>
      </c>
      <c r="D39" s="22" t="n">
        <f aca="false">100*(C39-C38)</f>
        <v>-5.11824462599999</v>
      </c>
      <c r="E39" s="23" t="n">
        <f aca="false">'A2 control'!AL173</f>
        <v>-3.18963796756494</v>
      </c>
      <c r="F39" s="10" t="n">
        <v>1</v>
      </c>
    </row>
    <row r="40" customFormat="false" ht="15" hidden="false" customHeight="false" outlineLevel="0" collapsed="false">
      <c r="A40" s="10" t="n">
        <v>-85</v>
      </c>
      <c r="B40" s="8" t="n">
        <v>40352</v>
      </c>
      <c r="C40" s="15" t="n">
        <v>3.55692411271</v>
      </c>
      <c r="D40" s="22" t="n">
        <f aca="false">100*(C40-C39)</f>
        <v>-2.073981221</v>
      </c>
      <c r="E40" s="23" t="n">
        <f aca="false">'A2 control'!AL174</f>
        <v>-0.905223821646235</v>
      </c>
      <c r="F40" s="10" t="n">
        <v>1</v>
      </c>
    </row>
    <row r="41" customFormat="false" ht="15" hidden="false" customHeight="false" outlineLevel="0" collapsed="false">
      <c r="A41" s="10" t="n">
        <v>-84</v>
      </c>
      <c r="B41" s="8" t="n">
        <v>40353</v>
      </c>
      <c r="C41" s="15" t="n">
        <v>3.50519012235</v>
      </c>
      <c r="D41" s="22" t="n">
        <f aca="false">100*(C41-C40)</f>
        <v>-5.17339903599998</v>
      </c>
      <c r="E41" s="23" t="n">
        <f aca="false">'A2 control'!AL175</f>
        <v>-3.10437980599057</v>
      </c>
      <c r="F41" s="10" t="n">
        <v>1</v>
      </c>
    </row>
    <row r="42" customFormat="false" ht="15" hidden="false" customHeight="false" outlineLevel="0" collapsed="false">
      <c r="A42" s="10" t="n">
        <v>-83</v>
      </c>
      <c r="B42" s="8" t="n">
        <v>40354</v>
      </c>
      <c r="C42" s="15" t="n">
        <v>3.50315999425</v>
      </c>
      <c r="D42" s="22" t="n">
        <f aca="false">100*(C42-C41)</f>
        <v>-0.203012810000036</v>
      </c>
      <c r="E42" s="23" t="n">
        <f aca="false">'A2 control'!AL176</f>
        <v>1.30931954566199</v>
      </c>
      <c r="F42" s="10" t="n">
        <v>1</v>
      </c>
    </row>
    <row r="43" customFormat="false" ht="15" hidden="false" customHeight="false" outlineLevel="0" collapsed="false">
      <c r="A43" s="10" t="n">
        <v>-82</v>
      </c>
      <c r="B43" s="8" t="n">
        <v>40357</v>
      </c>
      <c r="C43" s="15" t="n">
        <v>3.49954688272</v>
      </c>
      <c r="D43" s="22" t="n">
        <f aca="false">100*(C43-C42)</f>
        <v>-0.361311152999999</v>
      </c>
      <c r="E43" s="23" t="n">
        <f aca="false">'A2 control'!AL177</f>
        <v>1.09521005448374</v>
      </c>
      <c r="F43" s="10" t="n">
        <v>1</v>
      </c>
    </row>
    <row r="44" customFormat="false" ht="15" hidden="false" customHeight="false" outlineLevel="0" collapsed="false">
      <c r="A44" s="10" t="n">
        <v>-81</v>
      </c>
      <c r="B44" s="8" t="n">
        <v>40358</v>
      </c>
      <c r="C44" s="15" t="n">
        <v>3.51437075009</v>
      </c>
      <c r="D44" s="22" t="n">
        <f aca="false">100*(C44-C43)</f>
        <v>1.48238673700001</v>
      </c>
      <c r="E44" s="23" t="n">
        <f aca="false">'A2 control'!AL178</f>
        <v>1.31031920545306</v>
      </c>
      <c r="F44" s="10" t="n">
        <v>1</v>
      </c>
    </row>
    <row r="45" customFormat="false" ht="15" hidden="false" customHeight="false" outlineLevel="0" collapsed="false">
      <c r="A45" s="10" t="n">
        <v>-80</v>
      </c>
      <c r="B45" s="8" t="n">
        <v>40359</v>
      </c>
      <c r="C45" s="15" t="n">
        <v>3.47320877981</v>
      </c>
      <c r="D45" s="22" t="n">
        <f aca="false">100*(C45-C44)</f>
        <v>-4.11619702799997</v>
      </c>
      <c r="E45" s="23" t="n">
        <f aca="false">'A2 control'!AL179</f>
        <v>-6.03271132630887</v>
      </c>
      <c r="F45" s="10" t="n">
        <v>1</v>
      </c>
    </row>
    <row r="46" customFormat="false" ht="15" hidden="false" customHeight="false" outlineLevel="0" collapsed="false">
      <c r="A46" s="10" t="n">
        <v>-79</v>
      </c>
      <c r="B46" s="8" t="n">
        <v>40360</v>
      </c>
      <c r="C46" s="15" t="n">
        <v>3.43073580414</v>
      </c>
      <c r="D46" s="22" t="n">
        <f aca="false">100*(C46-C45)</f>
        <v>-4.24729756700004</v>
      </c>
      <c r="E46" s="23" t="n">
        <f aca="false">'A2 control'!AL180</f>
        <v>-4.56690681524948</v>
      </c>
      <c r="F46" s="10" t="n">
        <v>1</v>
      </c>
    </row>
    <row r="47" customFormat="false" ht="15" hidden="false" customHeight="false" outlineLevel="0" collapsed="false">
      <c r="A47" s="10" t="n">
        <v>-78</v>
      </c>
      <c r="B47" s="8" t="n">
        <v>40361</v>
      </c>
      <c r="C47" s="15" t="n">
        <v>3.476019232</v>
      </c>
      <c r="D47" s="22" t="n">
        <f aca="false">100*(C47-C46)</f>
        <v>4.52834278600003</v>
      </c>
      <c r="E47" s="23" t="n">
        <f aca="false">'A2 control'!AL181</f>
        <v>2.95406363498715</v>
      </c>
      <c r="F47" s="10" t="n">
        <v>1</v>
      </c>
    </row>
    <row r="48" customFormat="false" ht="15" hidden="false" customHeight="false" outlineLevel="0" collapsed="false">
      <c r="A48" s="10" t="n">
        <v>-77</v>
      </c>
      <c r="B48" s="8" t="n">
        <v>40364</v>
      </c>
      <c r="C48" s="15" t="n">
        <v>3.43594453243</v>
      </c>
      <c r="D48" s="22" t="n">
        <f aca="false">100*(C48-C47)</f>
        <v>-4.00746995699999</v>
      </c>
      <c r="E48" s="23" t="n">
        <f aca="false">'A2 control'!AL182</f>
        <v>-4.09448094861775</v>
      </c>
      <c r="F48" s="10" t="n">
        <v>1</v>
      </c>
    </row>
    <row r="49" customFormat="false" ht="15" hidden="false" customHeight="false" outlineLevel="0" collapsed="false">
      <c r="A49" s="10" t="n">
        <v>-76</v>
      </c>
      <c r="B49" s="8" t="n">
        <v>40365</v>
      </c>
      <c r="C49" s="15" t="n">
        <v>3.46486743131</v>
      </c>
      <c r="D49" s="22" t="n">
        <f aca="false">100*(C49-C48)</f>
        <v>2.89228988799999</v>
      </c>
      <c r="E49" s="23" t="n">
        <f aca="false">'A2 control'!AL183</f>
        <v>3.15420842489055</v>
      </c>
      <c r="F49" s="10" t="n">
        <v>1</v>
      </c>
    </row>
    <row r="50" customFormat="false" ht="15" hidden="false" customHeight="false" outlineLevel="0" collapsed="false">
      <c r="A50" s="10" t="n">
        <v>-75</v>
      </c>
      <c r="B50" s="8" t="n">
        <v>40366</v>
      </c>
      <c r="C50" s="15" t="n">
        <v>3.47587493733</v>
      </c>
      <c r="D50" s="22" t="n">
        <f aca="false">100*(C50-C49)</f>
        <v>1.10075060199999</v>
      </c>
      <c r="E50" s="23" t="n">
        <f aca="false">'A2 control'!AL184</f>
        <v>1.83782598698322</v>
      </c>
      <c r="F50" s="10" t="n">
        <v>1</v>
      </c>
    </row>
    <row r="51" customFormat="false" ht="15" hidden="false" customHeight="false" outlineLevel="0" collapsed="false">
      <c r="A51" s="10" t="n">
        <v>-74</v>
      </c>
      <c r="B51" s="8" t="n">
        <v>40367</v>
      </c>
      <c r="C51" s="15" t="n">
        <v>3.48449411275</v>
      </c>
      <c r="D51" s="22" t="n">
        <f aca="false">100*(C51-C50)</f>
        <v>0.861917542000024</v>
      </c>
      <c r="E51" s="23" t="n">
        <f aca="false">'A2 control'!AL185</f>
        <v>1.41104231650721</v>
      </c>
      <c r="F51" s="10" t="n">
        <v>1</v>
      </c>
    </row>
    <row r="52" customFormat="false" ht="15" hidden="false" customHeight="false" outlineLevel="0" collapsed="false">
      <c r="A52" s="10" t="n">
        <v>-73</v>
      </c>
      <c r="B52" s="8" t="n">
        <v>40368</v>
      </c>
      <c r="C52" s="15" t="n">
        <v>3.44330881892</v>
      </c>
      <c r="D52" s="22" t="n">
        <f aca="false">100*(C52-C51)</f>
        <v>-4.11852938300004</v>
      </c>
      <c r="E52" s="23" t="n">
        <f aca="false">'A2 control'!AL186</f>
        <v>-3.01426706372059</v>
      </c>
      <c r="F52" s="10" t="n">
        <v>1</v>
      </c>
    </row>
    <row r="53" customFormat="false" ht="15" hidden="false" customHeight="false" outlineLevel="0" collapsed="false">
      <c r="A53" s="10" t="n">
        <v>-72</v>
      </c>
      <c r="B53" s="8" t="n">
        <v>40371</v>
      </c>
      <c r="C53" s="15" t="n">
        <v>3.44857294511</v>
      </c>
      <c r="D53" s="22" t="n">
        <f aca="false">100*(C53-C52)</f>
        <v>0.526412619000016</v>
      </c>
      <c r="E53" s="23" t="n">
        <f aca="false">'A2 control'!AL187</f>
        <v>1.21854858627598</v>
      </c>
      <c r="F53" s="10" t="n">
        <v>1</v>
      </c>
    </row>
    <row r="54" customFormat="false" ht="15" hidden="false" customHeight="false" outlineLevel="0" collapsed="false">
      <c r="A54" s="10" t="n">
        <v>-71</v>
      </c>
      <c r="B54" s="8" t="n">
        <v>40372</v>
      </c>
      <c r="C54" s="15" t="n">
        <v>3.48972589022</v>
      </c>
      <c r="D54" s="22" t="n">
        <f aca="false">100*(C54-C53)</f>
        <v>4.11529451099999</v>
      </c>
      <c r="E54" s="23" t="n">
        <f aca="false">'A2 control'!AL188</f>
        <v>2.76838376778185</v>
      </c>
      <c r="F54" s="10" t="n">
        <v>1</v>
      </c>
    </row>
    <row r="55" customFormat="false" ht="15" hidden="false" customHeight="false" outlineLevel="0" collapsed="false">
      <c r="A55" s="10" t="n">
        <v>-70</v>
      </c>
      <c r="B55" s="8" t="n">
        <v>40373</v>
      </c>
      <c r="C55" s="15" t="n">
        <v>3.51480050386</v>
      </c>
      <c r="D55" s="22" t="n">
        <f aca="false">100*(C55-C54)</f>
        <v>2.50746136400002</v>
      </c>
      <c r="E55" s="23" t="n">
        <f aca="false">'A2 control'!AL189</f>
        <v>2.60946967215724</v>
      </c>
      <c r="F55" s="10" t="n">
        <v>1</v>
      </c>
    </row>
    <row r="56" customFormat="false" ht="15" hidden="false" customHeight="false" outlineLevel="0" collapsed="false">
      <c r="A56" s="10" t="n">
        <v>-69</v>
      </c>
      <c r="B56" s="8" t="n">
        <v>40374</v>
      </c>
      <c r="C56" s="15" t="n">
        <v>3.49466611937</v>
      </c>
      <c r="D56" s="22" t="n">
        <f aca="false">100*(C56-C55)</f>
        <v>-2.01343844899999</v>
      </c>
      <c r="E56" s="23" t="n">
        <f aca="false">'A2 control'!AL190</f>
        <v>-1.39148325512715</v>
      </c>
      <c r="F56" s="10" t="n">
        <v>1</v>
      </c>
    </row>
    <row r="57" customFormat="false" ht="15" hidden="false" customHeight="false" outlineLevel="0" collapsed="false">
      <c r="A57" s="10" t="n">
        <v>-68</v>
      </c>
      <c r="B57" s="8" t="n">
        <v>40375</v>
      </c>
      <c r="C57" s="15" t="n">
        <v>3.45654139843</v>
      </c>
      <c r="D57" s="22" t="n">
        <f aca="false">100*(C57-C56)</f>
        <v>-3.812472094</v>
      </c>
      <c r="E57" s="23" t="n">
        <f aca="false">'A2 control'!AL191</f>
        <v>-2.97543777974138</v>
      </c>
      <c r="F57" s="10" t="n">
        <v>1</v>
      </c>
    </row>
    <row r="58" customFormat="false" ht="15" hidden="false" customHeight="false" outlineLevel="0" collapsed="false">
      <c r="A58" s="10" t="n">
        <v>-67</v>
      </c>
      <c r="B58" s="8" t="n">
        <v>40378</v>
      </c>
      <c r="C58" s="15" t="n">
        <v>3.47285035101</v>
      </c>
      <c r="D58" s="22" t="n">
        <f aca="false">100*(C58-C57)</f>
        <v>1.63089525799998</v>
      </c>
      <c r="E58" s="23" t="n">
        <f aca="false">'A2 control'!AL192</f>
        <v>2.78427678643558</v>
      </c>
      <c r="F58" s="10" t="n">
        <v>1</v>
      </c>
    </row>
    <row r="59" customFormat="false" ht="15" hidden="false" customHeight="false" outlineLevel="0" collapsed="false">
      <c r="A59" s="10" t="n">
        <v>-66</v>
      </c>
      <c r="B59" s="8" t="n">
        <v>40379</v>
      </c>
      <c r="C59" s="15" t="n">
        <v>3.47341005276</v>
      </c>
      <c r="D59" s="22" t="n">
        <f aca="false">100*(C59-C58)</f>
        <v>0.0559701749999864</v>
      </c>
      <c r="E59" s="23" t="n">
        <f aca="false">'A2 control'!AL193</f>
        <v>1.56092430799717</v>
      </c>
      <c r="F59" s="10" t="n">
        <v>1</v>
      </c>
    </row>
    <row r="60" customFormat="false" ht="15" hidden="false" customHeight="false" outlineLevel="0" collapsed="false">
      <c r="A60" s="10" t="n">
        <v>-65</v>
      </c>
      <c r="B60" s="8" t="n">
        <v>40380</v>
      </c>
      <c r="C60" s="15" t="n">
        <v>3.4709029688</v>
      </c>
      <c r="D60" s="22" t="n">
        <f aca="false">100*(C60-C59)</f>
        <v>-0.250708395999988</v>
      </c>
      <c r="E60" s="23" t="n">
        <f aca="false">'A2 control'!AL194</f>
        <v>2.12003340999038</v>
      </c>
      <c r="F60" s="10" t="n">
        <v>1</v>
      </c>
    </row>
    <row r="61" customFormat="false" ht="15" hidden="false" customHeight="false" outlineLevel="0" collapsed="false">
      <c r="A61" s="10" t="n">
        <v>-64</v>
      </c>
      <c r="B61" s="8" t="n">
        <v>40381</v>
      </c>
      <c r="C61" s="15" t="n">
        <v>3.48171413098</v>
      </c>
      <c r="D61" s="22" t="n">
        <f aca="false">100*(C61-C60)</f>
        <v>1.081116218</v>
      </c>
      <c r="E61" s="23" t="n">
        <f aca="false">'A2 control'!AL195</f>
        <v>0.231155220019457</v>
      </c>
      <c r="F61" s="10" t="n">
        <v>1</v>
      </c>
    </row>
    <row r="62" customFormat="false" ht="15" hidden="false" customHeight="false" outlineLevel="0" collapsed="false">
      <c r="A62" s="10" t="n">
        <v>-63</v>
      </c>
      <c r="B62" s="8" t="n">
        <v>40382</v>
      </c>
      <c r="C62" s="15" t="n">
        <v>3.55376569472</v>
      </c>
      <c r="D62" s="22" t="n">
        <f aca="false">100*(C62-C61)</f>
        <v>7.20515637400001</v>
      </c>
      <c r="E62" s="23" t="n">
        <f aca="false">'A2 control'!AL196</f>
        <v>6.15394083586732</v>
      </c>
      <c r="F62" s="10" t="n">
        <v>1</v>
      </c>
    </row>
    <row r="63" customFormat="false" ht="15" hidden="false" customHeight="false" outlineLevel="0" collapsed="false">
      <c r="A63" s="10" t="n">
        <v>-62</v>
      </c>
      <c r="B63" s="8" t="n">
        <v>40385</v>
      </c>
      <c r="C63" s="15" t="n">
        <v>3.57370865594</v>
      </c>
      <c r="D63" s="22" t="n">
        <f aca="false">100*(C63-C62)</f>
        <v>1.99429612199999</v>
      </c>
      <c r="E63" s="23" t="n">
        <f aca="false">'A2 control'!AL197</f>
        <v>3.32591432223919</v>
      </c>
      <c r="F63" s="10" t="n">
        <v>1</v>
      </c>
    </row>
    <row r="64" customFormat="false" ht="15" hidden="false" customHeight="false" outlineLevel="0" collapsed="false">
      <c r="A64" s="10" t="n">
        <v>-61</v>
      </c>
      <c r="B64" s="8" t="n">
        <v>40386</v>
      </c>
      <c r="C64" s="15" t="n">
        <v>3.62527261535</v>
      </c>
      <c r="D64" s="22" t="n">
        <f aca="false">100*(C64-C63)</f>
        <v>5.15639594100001</v>
      </c>
      <c r="E64" s="23" t="n">
        <f aca="false">'A2 control'!AL198</f>
        <v>5.18258313742837</v>
      </c>
      <c r="F64" s="10" t="n">
        <v>1</v>
      </c>
    </row>
    <row r="65" customFormat="false" ht="15" hidden="false" customHeight="false" outlineLevel="0" collapsed="false">
      <c r="A65" s="10" t="n">
        <v>-60</v>
      </c>
      <c r="B65" s="8" t="n">
        <v>40387</v>
      </c>
      <c r="C65" s="15" t="n">
        <v>3.59944198296</v>
      </c>
      <c r="D65" s="22" t="n">
        <f aca="false">100*(C65-C64)</f>
        <v>-2.58306323899999</v>
      </c>
      <c r="E65" s="23" t="n">
        <f aca="false">'A2 control'!AL199</f>
        <v>-0.274308340560315</v>
      </c>
      <c r="F65" s="10" t="n">
        <v>1</v>
      </c>
    </row>
    <row r="66" customFormat="false" ht="15" hidden="false" customHeight="false" outlineLevel="0" collapsed="false">
      <c r="A66" s="10" t="n">
        <v>-59</v>
      </c>
      <c r="B66" s="8" t="n">
        <v>40388</v>
      </c>
      <c r="C66" s="15" t="n">
        <v>3.53785622784</v>
      </c>
      <c r="D66" s="22" t="n">
        <f aca="false">100*(C66-C65)</f>
        <v>-6.15857551200003</v>
      </c>
      <c r="E66" s="23" t="n">
        <f aca="false">'A2 control'!AL200</f>
        <v>-4.34697253766827</v>
      </c>
      <c r="F66" s="10" t="n">
        <v>1</v>
      </c>
    </row>
    <row r="67" customFormat="false" ht="15" hidden="false" customHeight="false" outlineLevel="0" collapsed="false">
      <c r="A67" s="10" t="n">
        <v>-58</v>
      </c>
      <c r="B67" s="8" t="n">
        <v>40389</v>
      </c>
      <c r="C67" s="15" t="n">
        <v>3.44618184102</v>
      </c>
      <c r="D67" s="22" t="n">
        <f aca="false">100*(C67-C66)</f>
        <v>-9.16743868199998</v>
      </c>
      <c r="E67" s="23" t="n">
        <f aca="false">'A2 control'!AL201</f>
        <v>-8.90962101849587</v>
      </c>
      <c r="F67" s="10" t="n">
        <v>1</v>
      </c>
    </row>
    <row r="68" customFormat="false" ht="15" hidden="false" customHeight="false" outlineLevel="0" collapsed="false">
      <c r="A68" s="10" t="n">
        <v>-57</v>
      </c>
      <c r="B68" s="8" t="n">
        <v>40392</v>
      </c>
      <c r="C68" s="15" t="n">
        <v>3.46875712657</v>
      </c>
      <c r="D68" s="22" t="n">
        <f aca="false">100*(C68-C67)</f>
        <v>2.25752855499999</v>
      </c>
      <c r="E68" s="23" t="n">
        <f aca="false">'A2 control'!AL202</f>
        <v>0.822038534433629</v>
      </c>
      <c r="F68" s="10" t="n">
        <v>1</v>
      </c>
    </row>
    <row r="69" customFormat="false" ht="15" hidden="false" customHeight="false" outlineLevel="0" collapsed="false">
      <c r="A69" s="10" t="n">
        <v>-56</v>
      </c>
      <c r="B69" s="8" t="n">
        <v>40393</v>
      </c>
      <c r="C69" s="15" t="n">
        <v>3.40022059215</v>
      </c>
      <c r="D69" s="22" t="n">
        <f aca="false">100*(C69-C68)</f>
        <v>-6.85365344199997</v>
      </c>
      <c r="E69" s="23" t="n">
        <f aca="false">'A2 control'!AL203</f>
        <v>-5.77459906300034</v>
      </c>
      <c r="F69" s="10" t="n">
        <v>1</v>
      </c>
    </row>
    <row r="70" customFormat="false" ht="15" hidden="false" customHeight="false" outlineLevel="0" collapsed="false">
      <c r="A70" s="10" t="n">
        <v>-55</v>
      </c>
      <c r="B70" s="8" t="n">
        <v>40394</v>
      </c>
      <c r="C70" s="15" t="n">
        <v>3.41383635045</v>
      </c>
      <c r="D70" s="22" t="n">
        <f aca="false">100*(C70-C69)</f>
        <v>1.36157582999998</v>
      </c>
      <c r="E70" s="23" t="n">
        <f aca="false">'A2 control'!AL204</f>
        <v>0.222791554837921</v>
      </c>
      <c r="F70" s="10" t="n">
        <v>1</v>
      </c>
    </row>
    <row r="71" customFormat="false" ht="15" hidden="false" customHeight="false" outlineLevel="0" collapsed="false">
      <c r="A71" s="10" t="n">
        <v>-54</v>
      </c>
      <c r="B71" s="8" t="n">
        <v>40395</v>
      </c>
      <c r="C71" s="15" t="n">
        <v>3.35733868338</v>
      </c>
      <c r="D71" s="22" t="n">
        <f aca="false">100*(C71-C70)</f>
        <v>-5.64976670699999</v>
      </c>
      <c r="E71" s="23" t="n">
        <f aca="false">'A2 control'!AL205</f>
        <v>-5.23406442835384</v>
      </c>
      <c r="F71" s="10" t="n">
        <v>1</v>
      </c>
    </row>
    <row r="72" customFormat="false" ht="15" hidden="false" customHeight="false" outlineLevel="0" collapsed="false">
      <c r="A72" s="10" t="n">
        <v>-53</v>
      </c>
      <c r="B72" s="8" t="n">
        <v>40396</v>
      </c>
      <c r="C72" s="15" t="n">
        <v>3.3450267032</v>
      </c>
      <c r="D72" s="22" t="n">
        <f aca="false">100*(C72-C71)</f>
        <v>-1.23119801800002</v>
      </c>
      <c r="E72" s="23" t="n">
        <f aca="false">'A2 control'!AL206</f>
        <v>-0.155932869027167</v>
      </c>
      <c r="F72" s="10" t="n">
        <v>1</v>
      </c>
    </row>
    <row r="73" customFormat="false" ht="15" hidden="false" customHeight="false" outlineLevel="0" collapsed="false">
      <c r="A73" s="10" t="n">
        <v>-52</v>
      </c>
      <c r="B73" s="8" t="n">
        <v>40399</v>
      </c>
      <c r="C73" s="15" t="n">
        <v>3.36285903659</v>
      </c>
      <c r="D73" s="22" t="n">
        <f aca="false">100*(C73-C72)</f>
        <v>1.78323333900003</v>
      </c>
      <c r="E73" s="23" t="n">
        <f aca="false">'A2 control'!AL207</f>
        <v>2.16773349080407</v>
      </c>
      <c r="F73" s="10" t="n">
        <v>1</v>
      </c>
    </row>
    <row r="74" customFormat="false" ht="15" hidden="false" customHeight="false" outlineLevel="0" collapsed="false">
      <c r="A74" s="10" t="n">
        <v>-51</v>
      </c>
      <c r="B74" s="8" t="n">
        <v>40400</v>
      </c>
      <c r="C74" s="15" t="n">
        <v>3.37789107248</v>
      </c>
      <c r="D74" s="22" t="n">
        <f aca="false">100*(C74-C73)</f>
        <v>1.503203589</v>
      </c>
      <c r="E74" s="23" t="n">
        <f aca="false">'A2 control'!AL208</f>
        <v>1.81208110427413</v>
      </c>
      <c r="F74" s="10" t="n">
        <v>1</v>
      </c>
    </row>
    <row r="75" customFormat="false" ht="15" hidden="false" customHeight="false" outlineLevel="0" collapsed="false">
      <c r="A75" s="10" t="n">
        <v>-50</v>
      </c>
      <c r="B75" s="8" t="n">
        <v>40401</v>
      </c>
      <c r="C75" s="15" t="n">
        <v>3.26711674384</v>
      </c>
      <c r="D75" s="22" t="n">
        <f aca="false">100*(C75-C74)</f>
        <v>-11.077432864</v>
      </c>
      <c r="E75" s="23" t="n">
        <f aca="false">'A2 control'!AL209</f>
        <v>-4.825989348385</v>
      </c>
      <c r="F75" s="10" t="n">
        <v>1</v>
      </c>
    </row>
    <row r="76" customFormat="false" ht="15" hidden="false" customHeight="false" outlineLevel="0" collapsed="false">
      <c r="A76" s="10" t="n">
        <v>-49</v>
      </c>
      <c r="B76" s="8" t="n">
        <v>40402</v>
      </c>
      <c r="C76" s="15" t="n">
        <v>3.23864157064</v>
      </c>
      <c r="D76" s="22" t="n">
        <f aca="false">100*(C76-C75)</f>
        <v>-2.84751731999999</v>
      </c>
      <c r="E76" s="23" t="n">
        <f aca="false">'A2 control'!AL210</f>
        <v>-5.46199215621755</v>
      </c>
      <c r="F76" s="10" t="n">
        <v>1</v>
      </c>
    </row>
    <row r="77" customFormat="false" ht="15" hidden="false" customHeight="false" outlineLevel="0" collapsed="false">
      <c r="A77" s="10" t="n">
        <v>-48</v>
      </c>
      <c r="B77" s="8" t="n">
        <v>40403</v>
      </c>
      <c r="C77" s="15" t="n">
        <v>3.24410579304</v>
      </c>
      <c r="D77" s="22" t="n">
        <f aca="false">100*(C77-C76)</f>
        <v>0.546422240000011</v>
      </c>
      <c r="E77" s="23" t="n">
        <f aca="false">'A2 control'!AL211</f>
        <v>0.562039811038923</v>
      </c>
      <c r="F77" s="10" t="n">
        <v>1</v>
      </c>
    </row>
    <row r="78" customFormat="false" ht="15" hidden="false" customHeight="false" outlineLevel="0" collapsed="false">
      <c r="A78" s="10" t="n">
        <v>-47</v>
      </c>
      <c r="B78" s="8" t="n">
        <v>40406</v>
      </c>
      <c r="C78" s="15" t="n">
        <v>3.1719718595</v>
      </c>
      <c r="D78" s="22" t="n">
        <f aca="false">100*(C78-C77)</f>
        <v>-7.213393354</v>
      </c>
      <c r="E78" s="23" t="n">
        <f aca="false">'A2 control'!AL212</f>
        <v>-9.75373718398013</v>
      </c>
      <c r="F78" s="10" t="n">
        <v>1</v>
      </c>
    </row>
    <row r="79" customFormat="false" ht="15" hidden="false" customHeight="false" outlineLevel="0" collapsed="false">
      <c r="A79" s="10" t="n">
        <v>-46</v>
      </c>
      <c r="B79" s="8" t="n">
        <v>40407</v>
      </c>
      <c r="C79" s="15" t="n">
        <v>3.18814242448</v>
      </c>
      <c r="D79" s="22" t="n">
        <f aca="false">100*(C79-C78)</f>
        <v>1.61705649799999</v>
      </c>
      <c r="E79" s="23" t="n">
        <f aca="false">'A2 control'!AL213</f>
        <v>0.953150669446453</v>
      </c>
      <c r="F79" s="10" t="n">
        <v>1</v>
      </c>
    </row>
    <row r="80" customFormat="false" ht="15" hidden="false" customHeight="false" outlineLevel="0" collapsed="false">
      <c r="A80" s="10" t="n">
        <v>-45</v>
      </c>
      <c r="B80" s="8" t="n">
        <v>40408</v>
      </c>
      <c r="C80" s="15" t="n">
        <v>3.15362276293</v>
      </c>
      <c r="D80" s="22" t="n">
        <f aca="false">100*(C80-C79)</f>
        <v>-3.45196615500001</v>
      </c>
      <c r="E80" s="23" t="n">
        <f aca="false">'A2 control'!AL214</f>
        <v>-1.13292682370558</v>
      </c>
      <c r="F80" s="10" t="n">
        <v>1</v>
      </c>
    </row>
    <row r="81" customFormat="false" ht="15" hidden="false" customHeight="false" outlineLevel="0" collapsed="false">
      <c r="A81" s="10" t="n">
        <v>-44</v>
      </c>
      <c r="B81" s="8" t="n">
        <v>40409</v>
      </c>
      <c r="C81" s="15" t="n">
        <v>3.13609834957</v>
      </c>
      <c r="D81" s="22" t="n">
        <f aca="false">100*(C81-C80)</f>
        <v>-1.75244133599999</v>
      </c>
      <c r="E81" s="23" t="n">
        <f aca="false">'A2 control'!AL215</f>
        <v>-2.63360865896851</v>
      </c>
      <c r="F81" s="10" t="n">
        <v>1</v>
      </c>
    </row>
    <row r="82" customFormat="false" ht="15" hidden="false" customHeight="false" outlineLevel="0" collapsed="false">
      <c r="A82" s="10" t="n">
        <v>-43</v>
      </c>
      <c r="B82" s="8" t="n">
        <v>40410</v>
      </c>
      <c r="C82" s="15" t="n">
        <v>3.10166353702</v>
      </c>
      <c r="D82" s="22" t="n">
        <f aca="false">100*(C82-C81)</f>
        <v>-3.44348125500003</v>
      </c>
      <c r="E82" s="23" t="n">
        <f aca="false">'A2 control'!AL216</f>
        <v>-2.45021330541695</v>
      </c>
      <c r="F82" s="10" t="n">
        <v>1</v>
      </c>
    </row>
    <row r="83" customFormat="false" ht="15" hidden="false" customHeight="false" outlineLevel="0" collapsed="false">
      <c r="A83" s="10" t="n">
        <v>-42</v>
      </c>
      <c r="B83" s="8" t="n">
        <v>40413</v>
      </c>
      <c r="C83" s="15" t="n">
        <v>3.09683999295</v>
      </c>
      <c r="D83" s="22" t="n">
        <f aca="false">100*(C83-C82)</f>
        <v>-0.482354406999974</v>
      </c>
      <c r="E83" s="23" t="n">
        <f aca="false">'A2 control'!AL217</f>
        <v>-0.645841612881967</v>
      </c>
      <c r="F83" s="10" t="n">
        <v>1</v>
      </c>
    </row>
    <row r="84" customFormat="false" ht="15" hidden="false" customHeight="false" outlineLevel="0" collapsed="false">
      <c r="A84" s="10" t="n">
        <v>-41</v>
      </c>
      <c r="B84" s="8" t="n">
        <v>40414</v>
      </c>
      <c r="C84" s="15" t="n">
        <v>3.00146591602</v>
      </c>
      <c r="D84" s="22" t="n">
        <f aca="false">100*(C84-C83)</f>
        <v>-9.53740769300002</v>
      </c>
      <c r="E84" s="23" t="n">
        <f aca="false">'A2 control'!AL218</f>
        <v>-11.0469484332229</v>
      </c>
      <c r="F84" s="10" t="n">
        <v>1</v>
      </c>
    </row>
    <row r="85" customFormat="false" ht="15" hidden="false" customHeight="false" outlineLevel="0" collapsed="false">
      <c r="A85" s="10" t="n">
        <v>-40</v>
      </c>
      <c r="B85" s="8" t="n">
        <v>40415</v>
      </c>
      <c r="C85" s="15" t="n">
        <v>2.96611559619</v>
      </c>
      <c r="D85" s="22" t="n">
        <f aca="false">100*(C85-C84)</f>
        <v>-3.535031983</v>
      </c>
      <c r="E85" s="23" t="n">
        <f aca="false">'A2 control'!AL219</f>
        <v>-4.33738170770498</v>
      </c>
      <c r="F85" s="10" t="n">
        <v>1</v>
      </c>
    </row>
    <row r="86" customFormat="false" ht="15" hidden="false" customHeight="false" outlineLevel="0" collapsed="false">
      <c r="A86" s="10" t="n">
        <v>-39</v>
      </c>
      <c r="B86" s="8" t="n">
        <v>40416</v>
      </c>
      <c r="C86" s="15" t="n">
        <v>2.95112110067</v>
      </c>
      <c r="D86" s="22" t="n">
        <f aca="false">100*(C86-C85)</f>
        <v>-1.49944955199999</v>
      </c>
      <c r="E86" s="23" t="n">
        <f aca="false">'A2 control'!AL220</f>
        <v>-0.766489895466561</v>
      </c>
      <c r="F86" s="10" t="n">
        <v>1</v>
      </c>
    </row>
    <row r="87" customFormat="false" ht="15" hidden="false" customHeight="false" outlineLevel="0" collapsed="false">
      <c r="A87" s="10" t="n">
        <v>-38</v>
      </c>
      <c r="B87" s="8" t="n">
        <v>40417</v>
      </c>
      <c r="C87" s="15" t="n">
        <v>2.95829273615</v>
      </c>
      <c r="D87" s="22" t="n">
        <f aca="false">100*(C87-C86)</f>
        <v>0.717163548000022</v>
      </c>
      <c r="E87" s="23" t="n">
        <f aca="false">'A2 control'!AL221</f>
        <v>1.70263419052215</v>
      </c>
      <c r="F87" s="10" t="n">
        <v>1</v>
      </c>
    </row>
    <row r="88" customFormat="false" ht="15" hidden="false" customHeight="false" outlineLevel="0" collapsed="false">
      <c r="A88" s="10" t="n">
        <v>-37</v>
      </c>
      <c r="B88" s="8" t="n">
        <v>40421</v>
      </c>
      <c r="C88" s="15" t="n">
        <v>2.89373589511</v>
      </c>
      <c r="D88" s="22" t="n">
        <f aca="false">100*(C88-C87)</f>
        <v>-6.45568410400004</v>
      </c>
      <c r="E88" s="23" t="n">
        <f aca="false">'A2 control'!AL222</f>
        <v>-5.19341749608325</v>
      </c>
      <c r="F88" s="10" t="n">
        <v>1</v>
      </c>
    </row>
    <row r="89" customFormat="false" ht="15" hidden="false" customHeight="false" outlineLevel="0" collapsed="false">
      <c r="A89" s="10" t="n">
        <v>-36</v>
      </c>
      <c r="B89" s="8" t="n">
        <v>40422</v>
      </c>
      <c r="C89" s="15" t="n">
        <v>2.99425317099</v>
      </c>
      <c r="D89" s="22" t="n">
        <f aca="false">100*(C89-C88)</f>
        <v>10.051727588</v>
      </c>
      <c r="E89" s="23" t="n">
        <f aca="false">'A2 control'!AL223</f>
        <v>9.93061067403704</v>
      </c>
      <c r="F89" s="10" t="n">
        <v>1</v>
      </c>
    </row>
    <row r="90" customFormat="false" ht="15" hidden="false" customHeight="false" outlineLevel="0" collapsed="false">
      <c r="A90" s="10" t="n">
        <v>-35</v>
      </c>
      <c r="B90" s="8" t="n">
        <v>40423</v>
      </c>
      <c r="C90" s="15" t="n">
        <v>3.02470426975</v>
      </c>
      <c r="D90" s="22" t="n">
        <f aca="false">100*(C90-C89)</f>
        <v>3.045109876</v>
      </c>
      <c r="E90" s="23" t="n">
        <f aca="false">'A2 control'!AL224</f>
        <v>4.615249240368</v>
      </c>
      <c r="F90" s="10" t="n">
        <v>1</v>
      </c>
    </row>
    <row r="91" customFormat="false" ht="15" hidden="false" customHeight="false" outlineLevel="0" collapsed="false">
      <c r="A91" s="10" t="n">
        <v>-34</v>
      </c>
      <c r="B91" s="8" t="n">
        <v>40424</v>
      </c>
      <c r="C91" s="15" t="n">
        <v>3.07033255123</v>
      </c>
      <c r="D91" s="22" t="n">
        <f aca="false">100*(C91-C90)</f>
        <v>4.562828148</v>
      </c>
      <c r="E91" s="23" t="n">
        <f aca="false">'A2 control'!AL225</f>
        <v>4.91586786650135</v>
      </c>
      <c r="F91" s="10" t="n">
        <v>1</v>
      </c>
    </row>
    <row r="92" customFormat="false" ht="15" hidden="false" customHeight="false" outlineLevel="0" collapsed="false">
      <c r="A92" s="10" t="n">
        <v>-33</v>
      </c>
      <c r="B92" s="8" t="n">
        <v>40427</v>
      </c>
      <c r="C92" s="15" t="n">
        <v>3.04332342071</v>
      </c>
      <c r="D92" s="22" t="n">
        <f aca="false">100*(C92-C91)</f>
        <v>-2.70091305199998</v>
      </c>
      <c r="E92" s="23" t="n">
        <f aca="false">'A2 control'!AL226</f>
        <v>-2.9519665471241</v>
      </c>
      <c r="F92" s="10" t="n">
        <v>1</v>
      </c>
    </row>
    <row r="93" customFormat="false" ht="15" hidden="false" customHeight="false" outlineLevel="0" collapsed="false">
      <c r="A93" s="10" t="n">
        <v>-32</v>
      </c>
      <c r="B93" s="8" t="n">
        <v>40428</v>
      </c>
      <c r="C93" s="15" t="n">
        <v>2.97485365097</v>
      </c>
      <c r="D93" s="22" t="n">
        <f aca="false">100*(C93-C92)</f>
        <v>-6.84697697400001</v>
      </c>
      <c r="E93" s="23" t="n">
        <f aca="false">'A2 control'!AL227</f>
        <v>-5.73843637827716</v>
      </c>
      <c r="F93" s="10" t="n">
        <v>1</v>
      </c>
    </row>
    <row r="94" customFormat="false" ht="15" hidden="false" customHeight="false" outlineLevel="0" collapsed="false">
      <c r="A94" s="10" t="n">
        <v>-31</v>
      </c>
      <c r="B94" s="8" t="n">
        <v>40429</v>
      </c>
      <c r="C94" s="15" t="n">
        <v>3.04942002275</v>
      </c>
      <c r="D94" s="22" t="n">
        <f aca="false">100*(C94-C93)</f>
        <v>7.456637178</v>
      </c>
      <c r="E94" s="23" t="n">
        <f aca="false">'A2 control'!AL228</f>
        <v>5.38587961659587</v>
      </c>
      <c r="F94" s="10" t="n">
        <v>1</v>
      </c>
    </row>
    <row r="95" customFormat="false" ht="15" hidden="false" customHeight="false" outlineLevel="0" collapsed="false">
      <c r="A95" s="10" t="n">
        <v>-30</v>
      </c>
      <c r="B95" s="8" t="n">
        <v>40430</v>
      </c>
      <c r="C95" s="15" t="n">
        <v>3.11395097984</v>
      </c>
      <c r="D95" s="22" t="n">
        <f aca="false">100*(C95-C94)</f>
        <v>6.45309570899997</v>
      </c>
      <c r="E95" s="23" t="n">
        <f aca="false">'A2 control'!AL229</f>
        <v>5.41782913413655</v>
      </c>
      <c r="F95" s="10" t="n">
        <v>1</v>
      </c>
    </row>
    <row r="96" customFormat="false" ht="15" hidden="false" customHeight="false" outlineLevel="0" collapsed="false">
      <c r="A96" s="10" t="n">
        <v>-29</v>
      </c>
      <c r="B96" s="8" t="n">
        <v>40431</v>
      </c>
      <c r="C96" s="15" t="n">
        <v>3.18673964156</v>
      </c>
      <c r="D96" s="22" t="n">
        <f aca="false">100*(C96-C95)</f>
        <v>7.27886617200002</v>
      </c>
      <c r="E96" s="23" t="n">
        <f aca="false">'A2 control'!AL230</f>
        <v>7.79626254982483</v>
      </c>
      <c r="F96" s="10" t="n">
        <v>1</v>
      </c>
    </row>
    <row r="97" customFormat="false" ht="15" hidden="false" customHeight="false" outlineLevel="0" collapsed="false">
      <c r="A97" s="10" t="n">
        <v>-28</v>
      </c>
      <c r="B97" s="8" t="n">
        <v>40434</v>
      </c>
      <c r="C97" s="15" t="n">
        <v>3.17917631973</v>
      </c>
      <c r="D97" s="22" t="n">
        <f aca="false">100*(C97-C96)</f>
        <v>-0.756332183000019</v>
      </c>
      <c r="E97" s="23" t="n">
        <f aca="false">'A2 control'!AL231</f>
        <v>-0.0467872113023105</v>
      </c>
      <c r="F97" s="10" t="n">
        <v>1</v>
      </c>
    </row>
    <row r="98" customFormat="false" ht="15" hidden="false" customHeight="false" outlineLevel="0" collapsed="false">
      <c r="A98" s="10" t="n">
        <v>-27</v>
      </c>
      <c r="B98" s="8" t="n">
        <v>40435</v>
      </c>
      <c r="C98" s="15" t="n">
        <v>3.1172656756</v>
      </c>
      <c r="D98" s="22" t="n">
        <f aca="false">100*(C98-C97)</f>
        <v>-6.19106441299997</v>
      </c>
      <c r="E98" s="23" t="n">
        <f aca="false">'A2 control'!AL232</f>
        <v>-4.31980312380229</v>
      </c>
      <c r="F98" s="10" t="n">
        <v>1</v>
      </c>
    </row>
    <row r="99" customFormat="false" ht="15" hidden="false" customHeight="false" outlineLevel="0" collapsed="false">
      <c r="A99" s="10" t="n">
        <v>-26</v>
      </c>
      <c r="B99" s="8" t="n">
        <v>40436</v>
      </c>
      <c r="C99" s="15" t="n">
        <v>3.14079051925</v>
      </c>
      <c r="D99" s="22" t="n">
        <f aca="false">100*(C99-C98)</f>
        <v>2.35248436499997</v>
      </c>
      <c r="E99" s="23" t="n">
        <f aca="false">'A2 control'!AL233</f>
        <v>0.215304034695942</v>
      </c>
      <c r="F99" s="10" t="n">
        <v>1</v>
      </c>
    </row>
    <row r="100" customFormat="false" ht="15" hidden="false" customHeight="false" outlineLevel="0" collapsed="false">
      <c r="A100" s="10" t="n">
        <v>-25</v>
      </c>
      <c r="B100" s="8" t="n">
        <v>40437</v>
      </c>
      <c r="C100" s="15" t="n">
        <v>3.20450835638</v>
      </c>
      <c r="D100" s="22" t="n">
        <f aca="false">100*(C100-C99)</f>
        <v>6.371783713</v>
      </c>
      <c r="E100" s="23" t="n">
        <f aca="false">'A2 control'!AL234</f>
        <v>6.17120220068172</v>
      </c>
      <c r="F100" s="10" t="n">
        <v>1</v>
      </c>
    </row>
    <row r="101" customFormat="false" ht="15" hidden="false" customHeight="false" outlineLevel="0" collapsed="false">
      <c r="A101" s="10" t="n">
        <v>-24</v>
      </c>
      <c r="B101" s="8" t="n">
        <v>40438</v>
      </c>
      <c r="C101" s="15" t="n">
        <v>3.18948487707</v>
      </c>
      <c r="D101" s="22" t="n">
        <f aca="false">100*(C101-C100)</f>
        <v>-1.50234793099999</v>
      </c>
      <c r="E101" s="23" t="n">
        <f aca="false">'A2 control'!AL235</f>
        <v>-0.987997189186239</v>
      </c>
      <c r="F101" s="10" t="n">
        <v>1</v>
      </c>
    </row>
    <row r="102" customFormat="false" ht="15" hidden="false" customHeight="false" outlineLevel="0" collapsed="false">
      <c r="A102" s="10" t="n">
        <v>-23</v>
      </c>
      <c r="B102" s="8" t="n">
        <v>40441</v>
      </c>
      <c r="C102" s="15" t="n">
        <v>3.21703818896</v>
      </c>
      <c r="D102" s="22" t="n">
        <f aca="false">100*(C102-C101)</f>
        <v>2.75533118900002</v>
      </c>
      <c r="E102" s="23" t="n">
        <f aca="false">'A2 control'!AL236</f>
        <v>2.56367324008225</v>
      </c>
      <c r="F102" s="10" t="n">
        <v>1</v>
      </c>
    </row>
    <row r="103" customFormat="false" ht="15" hidden="false" customHeight="false" outlineLevel="0" collapsed="false">
      <c r="A103" s="10" t="n">
        <v>-22</v>
      </c>
      <c r="B103" s="8" t="n">
        <v>40442</v>
      </c>
      <c r="C103" s="15" t="n">
        <v>3.17963589249</v>
      </c>
      <c r="D103" s="22" t="n">
        <f aca="false">100*(C103-C102)</f>
        <v>-3.74022964700003</v>
      </c>
      <c r="E103" s="23" t="n">
        <f aca="false">'A2 control'!AL237</f>
        <v>-3.29192572147074</v>
      </c>
      <c r="F103" s="10" t="n">
        <v>1</v>
      </c>
    </row>
    <row r="104" customFormat="false" ht="15" hidden="false" customHeight="false" outlineLevel="0" collapsed="false">
      <c r="A104" s="10" t="n">
        <v>-21</v>
      </c>
      <c r="B104" s="8" t="n">
        <v>40443</v>
      </c>
      <c r="C104" s="15" t="n">
        <v>3.02992456523</v>
      </c>
      <c r="D104" s="22" t="n">
        <f aca="false">100*(C104-C103)</f>
        <v>-14.971132726</v>
      </c>
      <c r="E104" s="23" t="n">
        <f aca="false">'A2 control'!AL238</f>
        <v>-14.2847000582646</v>
      </c>
      <c r="F104" s="10" t="n">
        <v>1</v>
      </c>
    </row>
    <row r="105" customFormat="false" ht="15" hidden="false" customHeight="false" outlineLevel="0" collapsed="false">
      <c r="A105" s="10" t="n">
        <v>-20</v>
      </c>
      <c r="B105" s="8" t="n">
        <v>40444</v>
      </c>
      <c r="C105" s="15" t="n">
        <v>3.00825693725</v>
      </c>
      <c r="D105" s="22" t="n">
        <f aca="false">100*(C105-C104)</f>
        <v>-2.16676279799999</v>
      </c>
      <c r="E105" s="23" t="n">
        <f aca="false">'A2 control'!AL239</f>
        <v>-3.01962679319415</v>
      </c>
      <c r="F105" s="10" t="n">
        <v>0</v>
      </c>
    </row>
    <row r="106" customFormat="false" ht="15" hidden="false" customHeight="false" outlineLevel="0" collapsed="false">
      <c r="A106" s="10" t="n">
        <v>-19</v>
      </c>
      <c r="B106" s="8" t="n">
        <v>40445</v>
      </c>
      <c r="C106" s="15" t="n">
        <v>3.09677376202</v>
      </c>
      <c r="D106" s="22" t="n">
        <f aca="false">100*(C106-C105)</f>
        <v>8.85168247700001</v>
      </c>
      <c r="E106" s="23" t="n">
        <f aca="false">'A2 control'!AL240</f>
        <v>7.1216618578341</v>
      </c>
      <c r="F106" s="10" t="n">
        <v>0</v>
      </c>
    </row>
    <row r="107" customFormat="false" ht="15" hidden="false" customHeight="false" outlineLevel="0" collapsed="false">
      <c r="A107" s="10" t="n">
        <v>-18</v>
      </c>
      <c r="B107" s="8" t="n">
        <v>40448</v>
      </c>
      <c r="C107" s="15" t="n">
        <v>3.02868864502</v>
      </c>
      <c r="D107" s="22" t="n">
        <f aca="false">100*(C107-C106)</f>
        <v>-6.80851170000003</v>
      </c>
      <c r="E107" s="23" t="n">
        <f aca="false">'A2 control'!AL241</f>
        <v>-6.08149825561284</v>
      </c>
      <c r="F107" s="10" t="n">
        <v>0</v>
      </c>
    </row>
    <row r="108" customFormat="false" ht="15" hidden="false" customHeight="false" outlineLevel="0" collapsed="false">
      <c r="A108" s="10" t="n">
        <v>-17</v>
      </c>
      <c r="B108" s="8" t="n">
        <v>40449</v>
      </c>
      <c r="C108" s="15" t="n">
        <v>2.9866461482</v>
      </c>
      <c r="D108" s="22" t="n">
        <f aca="false">100*(C108-C107)</f>
        <v>-4.20424968199997</v>
      </c>
      <c r="E108" s="23" t="n">
        <f aca="false">'A2 control'!AL242</f>
        <v>-5.79183825108797</v>
      </c>
      <c r="F108" s="10" t="n">
        <v>0</v>
      </c>
    </row>
    <row r="109" customFormat="false" ht="15" hidden="false" customHeight="false" outlineLevel="0" collapsed="false">
      <c r="A109" s="10" t="n">
        <v>-16</v>
      </c>
      <c r="B109" s="8" t="n">
        <v>40450</v>
      </c>
      <c r="C109" s="15" t="n">
        <v>2.96136437473</v>
      </c>
      <c r="D109" s="22" t="n">
        <f aca="false">100*(C109-C108)</f>
        <v>-2.52817734700002</v>
      </c>
      <c r="E109" s="23" t="n">
        <f aca="false">'A2 control'!AL243</f>
        <v>-4.55665705356666</v>
      </c>
      <c r="F109" s="10" t="n">
        <v>0</v>
      </c>
    </row>
    <row r="110" customFormat="false" ht="15" hidden="false" customHeight="false" outlineLevel="0" collapsed="false">
      <c r="A110" s="10" t="n">
        <v>-15</v>
      </c>
      <c r="B110" s="8" t="n">
        <v>40451</v>
      </c>
      <c r="C110" s="15" t="n">
        <v>3.00226775235</v>
      </c>
      <c r="D110" s="22" t="n">
        <f aca="false">100*(C110-C109)</f>
        <v>4.09033776199999</v>
      </c>
      <c r="E110" s="23" t="n">
        <f aca="false">'A2 control'!AL244</f>
        <v>3.91091935790477</v>
      </c>
      <c r="F110" s="10" t="n">
        <v>0</v>
      </c>
    </row>
    <row r="111" customFormat="false" ht="15" hidden="false" customHeight="false" outlineLevel="0" collapsed="false">
      <c r="A111" s="10" t="n">
        <v>-14</v>
      </c>
      <c r="B111" s="8" t="n">
        <v>40452</v>
      </c>
      <c r="C111" s="15" t="n">
        <v>3.02356880304</v>
      </c>
      <c r="D111" s="22" t="n">
        <f aca="false">100*(C111-C110)</f>
        <v>2.130105069</v>
      </c>
      <c r="E111" s="23" t="n">
        <f aca="false">'A2 control'!AL245</f>
        <v>1.74865437780659</v>
      </c>
      <c r="F111" s="10" t="n">
        <v>0</v>
      </c>
    </row>
    <row r="112" customFormat="false" ht="15" hidden="false" customHeight="false" outlineLevel="0" collapsed="false">
      <c r="A112" s="10" t="n">
        <v>-13</v>
      </c>
      <c r="B112" s="8" t="n">
        <v>40455</v>
      </c>
      <c r="C112" s="15" t="n">
        <v>2.98202735434</v>
      </c>
      <c r="D112" s="22" t="n">
        <f aca="false">100*(C112-C111)</f>
        <v>-4.15414486999999</v>
      </c>
      <c r="E112" s="23" t="n">
        <f aca="false">'A2 control'!AL246</f>
        <v>-2.05500816651605</v>
      </c>
      <c r="F112" s="10" t="n">
        <v>0</v>
      </c>
    </row>
    <row r="113" customFormat="false" ht="15" hidden="false" customHeight="false" outlineLevel="0" collapsed="false">
      <c r="A113" s="10" t="n">
        <v>-12</v>
      </c>
      <c r="B113" s="8" t="n">
        <v>40456</v>
      </c>
      <c r="C113" s="15" t="n">
        <v>3.01628706702</v>
      </c>
      <c r="D113" s="22" t="n">
        <f aca="false">100*(C113-C112)</f>
        <v>3.42597126799999</v>
      </c>
      <c r="E113" s="23" t="n">
        <f aca="false">'A2 control'!AL247</f>
        <v>4.76992531281274</v>
      </c>
      <c r="F113" s="10" t="n">
        <v>0</v>
      </c>
    </row>
    <row r="114" customFormat="false" ht="15" hidden="false" customHeight="false" outlineLevel="0" collapsed="false">
      <c r="A114" s="10" t="n">
        <v>-11</v>
      </c>
      <c r="B114" s="8" t="n">
        <v>40457</v>
      </c>
      <c r="C114" s="15" t="n">
        <v>2.94863653689</v>
      </c>
      <c r="D114" s="22" t="n">
        <f aca="false">100*(C114-C113)</f>
        <v>-6.76505301299999</v>
      </c>
      <c r="E114" s="23" t="n">
        <f aca="false">'A2 control'!AL248</f>
        <v>-3.66772584324575</v>
      </c>
      <c r="F114" s="10" t="n">
        <v>0</v>
      </c>
    </row>
    <row r="115" customFormat="false" ht="15" hidden="false" customHeight="false" outlineLevel="0" collapsed="false">
      <c r="A115" s="10" t="n">
        <v>-10</v>
      </c>
      <c r="B115" s="8" t="n">
        <v>40458</v>
      </c>
      <c r="C115" s="15" t="n">
        <v>2.97921155878</v>
      </c>
      <c r="D115" s="22" t="n">
        <f aca="false">100*(C115-C114)</f>
        <v>3.05750218899998</v>
      </c>
      <c r="E115" s="23" t="n">
        <f aca="false">'A2 control'!AL249</f>
        <v>2.88505809647099</v>
      </c>
      <c r="F115" s="10" t="n">
        <v>0</v>
      </c>
      <c r="G115" s="22" t="n">
        <f aca="false">D115-$B$137*E115</f>
        <v>0.0515164163808723</v>
      </c>
      <c r="H115" s="22" t="n">
        <f aca="false">H116-G116</f>
        <v>4.55467037733886</v>
      </c>
      <c r="I115" s="22" t="n">
        <f aca="false">D115-E115</f>
        <v>0.172444092528989</v>
      </c>
      <c r="J115" s="22" t="n">
        <f aca="false">J116-I116</f>
        <v>4.56824349186505</v>
      </c>
      <c r="K115" s="22" t="n">
        <f aca="false">K116-D116</f>
        <v>4.89206699699998</v>
      </c>
    </row>
    <row r="116" customFormat="false" ht="15" hidden="false" customHeight="false" outlineLevel="0" collapsed="false">
      <c r="A116" s="10" t="n">
        <v>-9</v>
      </c>
      <c r="B116" s="8" t="n">
        <v>40459</v>
      </c>
      <c r="C116" s="15" t="n">
        <v>2.91360220653</v>
      </c>
      <c r="D116" s="22" t="n">
        <f aca="false">100*(C116-C115)</f>
        <v>-6.56093522500001</v>
      </c>
      <c r="E116" s="23" t="n">
        <f aca="false">'A2 control'!AL250</f>
        <v>-5.07213711560505</v>
      </c>
      <c r="F116" s="10" t="n">
        <v>0</v>
      </c>
      <c r="G116" s="22" t="n">
        <f aca="false">D116-$B$137*E116</f>
        <v>-1.27619866287255</v>
      </c>
      <c r="H116" s="22" t="n">
        <f aca="false">H117-G117</f>
        <v>3.27847171446631</v>
      </c>
      <c r="I116" s="22" t="n">
        <f aca="false">D116-E116</f>
        <v>-1.48879810939496</v>
      </c>
      <c r="J116" s="22" t="n">
        <f aca="false">J117-I117</f>
        <v>3.07944538247009</v>
      </c>
      <c r="K116" s="22" t="n">
        <f aca="false">K117-D117</f>
        <v>-1.66886822800003</v>
      </c>
    </row>
    <row r="117" customFormat="false" ht="15" hidden="false" customHeight="false" outlineLevel="0" collapsed="false">
      <c r="A117" s="10" t="n">
        <v>-8</v>
      </c>
      <c r="B117" s="8" t="n">
        <v>40462</v>
      </c>
      <c r="C117" s="15" t="n">
        <v>2.93337556571</v>
      </c>
      <c r="D117" s="22" t="n">
        <f aca="false">100*(C117-C116)</f>
        <v>1.97733591800002</v>
      </c>
      <c r="E117" s="23" t="n">
        <f aca="false">'A2 control'!AL251</f>
        <v>3.54243864060464</v>
      </c>
      <c r="F117" s="10" t="n">
        <v>0</v>
      </c>
      <c r="G117" s="22" t="n">
        <f aca="false">D117-$B$137*E117</f>
        <v>-1.71358461044931</v>
      </c>
      <c r="H117" s="22" t="n">
        <f aca="false">H118-G118</f>
        <v>1.56488710401701</v>
      </c>
      <c r="I117" s="22" t="n">
        <f aca="false">D117-E117</f>
        <v>-1.56510272260462</v>
      </c>
      <c r="J117" s="22" t="n">
        <f aca="false">J118-I118</f>
        <v>1.51434265986547</v>
      </c>
      <c r="K117" s="22" t="n">
        <f aca="false">K118-D118</f>
        <v>0.308467689999992</v>
      </c>
    </row>
    <row r="118" customFormat="false" ht="15" hidden="false" customHeight="false" outlineLevel="0" collapsed="false">
      <c r="A118" s="10" t="n">
        <v>-7</v>
      </c>
      <c r="B118" s="8" t="n">
        <v>40463</v>
      </c>
      <c r="C118" s="15" t="n">
        <v>2.8978569776</v>
      </c>
      <c r="D118" s="22" t="n">
        <f aca="false">100*(C118-C117)</f>
        <v>-3.551858811</v>
      </c>
      <c r="E118" s="23" t="n">
        <f aca="false">'A2 control'!AL252</f>
        <v>-1.71643862401057</v>
      </c>
      <c r="F118" s="10" t="n">
        <v>0</v>
      </c>
      <c r="G118" s="22" t="n">
        <f aca="false">D118-$B$137*E118</f>
        <v>-1.76347538480109</v>
      </c>
      <c r="H118" s="22" t="n">
        <f aca="false">H119-G119</f>
        <v>-0.198588280784082</v>
      </c>
      <c r="I118" s="22" t="n">
        <f aca="false">D118-E118</f>
        <v>-1.83542018698942</v>
      </c>
      <c r="J118" s="22" t="n">
        <f aca="false">J119-I119</f>
        <v>-0.321077527123955</v>
      </c>
      <c r="K118" s="22" t="n">
        <f aca="false">K119-D119</f>
        <v>-3.24339112100001</v>
      </c>
    </row>
    <row r="119" customFormat="false" ht="15" hidden="false" customHeight="false" outlineLevel="0" collapsed="false">
      <c r="A119" s="10" t="n">
        <v>-6</v>
      </c>
      <c r="B119" s="8" t="n">
        <v>40464</v>
      </c>
      <c r="C119" s="15" t="n">
        <v>2.93029088881</v>
      </c>
      <c r="D119" s="22" t="n">
        <f aca="false">100*(C119-C118)</f>
        <v>3.24339112100001</v>
      </c>
      <c r="E119" s="23" t="n">
        <f aca="false">'A2 control'!AL253</f>
        <v>2.92231359387605</v>
      </c>
      <c r="F119" s="10" t="n">
        <v>0</v>
      </c>
      <c r="G119" s="22" t="n">
        <f aca="false">D119-$B$137*E119</f>
        <v>0.198588280784082</v>
      </c>
      <c r="H119" s="22" t="n">
        <v>0</v>
      </c>
      <c r="I119" s="22" t="n">
        <f aca="false">D119-E119</f>
        <v>0.321077527123955</v>
      </c>
      <c r="J119" s="22" t="n">
        <v>0</v>
      </c>
      <c r="K119" s="22" t="n">
        <v>0</v>
      </c>
    </row>
    <row r="120" customFormat="false" ht="15" hidden="false" customHeight="false" outlineLevel="0" collapsed="false">
      <c r="A120" s="10" t="n">
        <v>-5</v>
      </c>
      <c r="B120" s="8" t="n">
        <v>40465</v>
      </c>
      <c r="C120" s="15" t="n">
        <v>2.9299827491</v>
      </c>
      <c r="D120" s="22" t="n">
        <f aca="false">100*(C120-C119)</f>
        <v>-0.0308139709999988</v>
      </c>
      <c r="E120" s="23" t="n">
        <f aca="false">'A2 control'!AL254</f>
        <v>0.131350323326689</v>
      </c>
      <c r="F120" s="10" t="n">
        <v>0</v>
      </c>
      <c r="G120" s="22" t="n">
        <f aca="false">D120-$B$137*E120</f>
        <v>-0.167669864346449</v>
      </c>
      <c r="H120" s="22" t="n">
        <f aca="false">H119+G120</f>
        <v>-0.167669864346449</v>
      </c>
      <c r="I120" s="22" t="n">
        <f aca="false">D120-E120</f>
        <v>-0.162164294326688</v>
      </c>
      <c r="J120" s="22" t="n">
        <f aca="false">J119+I120</f>
        <v>-0.162164294326688</v>
      </c>
      <c r="K120" s="22" t="n">
        <f aca="false">K119+D120</f>
        <v>-0.0308139709999988</v>
      </c>
    </row>
    <row r="121" customFormat="false" ht="15" hidden="false" customHeight="false" outlineLevel="0" collapsed="false">
      <c r="A121" s="10" t="n">
        <v>-4</v>
      </c>
      <c r="B121" s="8" t="n">
        <v>40466</v>
      </c>
      <c r="C121" s="15" t="n">
        <v>2.99258048629</v>
      </c>
      <c r="D121" s="22" t="n">
        <f aca="false">100*(C121-C120)</f>
        <v>6.259773719</v>
      </c>
      <c r="E121" s="23" t="n">
        <f aca="false">'A2 control'!AL255</f>
        <v>7.12249176591494</v>
      </c>
      <c r="F121" s="10" t="n">
        <v>0</v>
      </c>
      <c r="G121" s="22" t="n">
        <f aca="false">D121-$B$137*E121</f>
        <v>-1.16125843980677</v>
      </c>
      <c r="H121" s="22" t="n">
        <f aca="false">H120+G121</f>
        <v>-1.32892830415322</v>
      </c>
      <c r="I121" s="22" t="n">
        <f aca="false">D121-E121</f>
        <v>-0.862718046914946</v>
      </c>
      <c r="J121" s="22" t="n">
        <f aca="false">J120+I121</f>
        <v>-1.02488234124163</v>
      </c>
      <c r="K121" s="22" t="n">
        <f aca="false">K120+D121</f>
        <v>6.228959748</v>
      </c>
    </row>
    <row r="122" customFormat="false" ht="15" hidden="false" customHeight="false" outlineLevel="0" collapsed="false">
      <c r="A122" s="10" t="n">
        <v>-3</v>
      </c>
      <c r="B122" s="8" t="n">
        <v>40469</v>
      </c>
      <c r="C122" s="15" t="n">
        <v>3.01292349149</v>
      </c>
      <c r="D122" s="22" t="n">
        <f aca="false">100*(C122-C121)</f>
        <v>2.03430052</v>
      </c>
      <c r="E122" s="23" t="n">
        <f aca="false">'A2 control'!AL256</f>
        <v>1.15805460178293</v>
      </c>
      <c r="F122" s="10" t="n">
        <v>0</v>
      </c>
      <c r="G122" s="22" t="n">
        <f aca="false">D122-$B$137*E122</f>
        <v>0.827705872518324</v>
      </c>
      <c r="H122" s="22" t="n">
        <f aca="false">H121+G122</f>
        <v>-0.501222431634894</v>
      </c>
      <c r="I122" s="22" t="n">
        <f aca="false">D122-E122</f>
        <v>0.876245918217071</v>
      </c>
      <c r="J122" s="22" t="n">
        <f aca="false">J121+I122</f>
        <v>-0.148636423024562</v>
      </c>
      <c r="K122" s="22" t="n">
        <f aca="false">K121+D122</f>
        <v>8.26326026799999</v>
      </c>
    </row>
    <row r="123" customFormat="false" ht="15" hidden="false" customHeight="false" outlineLevel="0" collapsed="false">
      <c r="A123" s="10" t="n">
        <v>-2</v>
      </c>
      <c r="B123" s="8" t="n">
        <v>40470</v>
      </c>
      <c r="C123" s="15" t="n">
        <v>3.05107798927</v>
      </c>
      <c r="D123" s="22" t="n">
        <f aca="false">100*(C123-C122)</f>
        <v>3.81544977799999</v>
      </c>
      <c r="E123" s="23" t="n">
        <f aca="false">'A2 control'!AL257</f>
        <v>3.95285021774395</v>
      </c>
      <c r="F123" s="10" t="n">
        <v>0</v>
      </c>
      <c r="G123" s="22" t="n">
        <f aca="false">D123-$B$137*E123</f>
        <v>-0.303084795139796</v>
      </c>
      <c r="H123" s="22" t="n">
        <f aca="false">H122+G123</f>
        <v>-0.80430722677469</v>
      </c>
      <c r="I123" s="22" t="n">
        <f aca="false">D123-E123</f>
        <v>-0.137400439743954</v>
      </c>
      <c r="J123" s="22" t="n">
        <f aca="false">J122+I123</f>
        <v>-0.286036862768516</v>
      </c>
      <c r="K123" s="22" t="n">
        <f aca="false">K122+D123</f>
        <v>12.078710046</v>
      </c>
    </row>
    <row r="124" customFormat="false" ht="15" hidden="false" customHeight="false" outlineLevel="0" collapsed="false">
      <c r="A124" s="10" t="n">
        <v>-1</v>
      </c>
      <c r="B124" s="8" t="n">
        <v>40471</v>
      </c>
      <c r="C124" s="15" t="n">
        <v>3.03409659011</v>
      </c>
      <c r="D124" s="22" t="n">
        <f aca="false">100*(C124-C123)</f>
        <v>-1.69813991600001</v>
      </c>
      <c r="E124" s="23" t="n">
        <f aca="false">'A2 control'!AL258</f>
        <v>-2.21746961368836</v>
      </c>
      <c r="F124" s="10" t="n">
        <v>0</v>
      </c>
      <c r="G124" s="22" t="n">
        <f aca="false">D124-$B$137*E124</f>
        <v>0.6122752947425</v>
      </c>
      <c r="H124" s="22" t="n">
        <f aca="false">H123+G124</f>
        <v>-0.192031932032191</v>
      </c>
      <c r="I124" s="22" t="n">
        <f aca="false">D124-E124</f>
        <v>0.519329697688353</v>
      </c>
      <c r="J124" s="22" t="n">
        <f aca="false">J123+I124</f>
        <v>0.233292834919837</v>
      </c>
      <c r="K124" s="22" t="n">
        <f aca="false">K123+D124</f>
        <v>10.38057013</v>
      </c>
    </row>
    <row r="125" customFormat="false" ht="15" hidden="false" customHeight="false" outlineLevel="0" collapsed="false">
      <c r="A125" s="10" t="n">
        <v>0</v>
      </c>
      <c r="B125" s="8" t="n">
        <v>40472</v>
      </c>
      <c r="C125" s="15" t="n">
        <v>2.98142785014</v>
      </c>
      <c r="D125" s="22" t="n">
        <f aca="false">100*(C125-C124)</f>
        <v>-5.26687399700001</v>
      </c>
      <c r="E125" s="23" t="n">
        <f aca="false">'A2 control'!AL259</f>
        <v>-5.11831570865135</v>
      </c>
      <c r="F125" s="10" t="n">
        <v>0</v>
      </c>
      <c r="G125" s="22" t="n">
        <f aca="false">D125-$B$137*E125</f>
        <v>0.0659767413606875</v>
      </c>
      <c r="H125" s="22" t="n">
        <f aca="false">H124+G125</f>
        <v>-0.126055190671503</v>
      </c>
      <c r="I125" s="22" t="n">
        <f aca="false">D125-E125</f>
        <v>-0.148558288348663</v>
      </c>
      <c r="J125" s="22" t="n">
        <f aca="false">J124+I125</f>
        <v>0.0847345465711742</v>
      </c>
      <c r="K125" s="22" t="n">
        <f aca="false">K124+D125</f>
        <v>5.11369613299997</v>
      </c>
    </row>
    <row r="126" customFormat="false" ht="15" hidden="false" customHeight="false" outlineLevel="0" collapsed="false">
      <c r="A126" s="10" t="n">
        <v>1</v>
      </c>
      <c r="B126" s="8" t="n">
        <v>40473</v>
      </c>
      <c r="C126" s="15" t="n">
        <v>2.99767503314</v>
      </c>
      <c r="D126" s="22" t="n">
        <f aca="false">100*(C126-C125)</f>
        <v>1.62471830000004</v>
      </c>
      <c r="E126" s="23" t="n">
        <f aca="false">'A2 control'!AL260</f>
        <v>2.59920734330939</v>
      </c>
      <c r="F126" s="10" t="n">
        <v>0</v>
      </c>
      <c r="G126" s="22" t="n">
        <f aca="false">D126-$B$137*E126</f>
        <v>-1.08343523896413</v>
      </c>
      <c r="H126" s="22" t="n">
        <f aca="false">H125+G126</f>
        <v>-1.20949042963563</v>
      </c>
      <c r="I126" s="22" t="n">
        <f aca="false">D126-E126</f>
        <v>-0.974489043309351</v>
      </c>
      <c r="J126" s="22" t="n">
        <f aca="false">J125+I126</f>
        <v>-0.889754496738177</v>
      </c>
      <c r="K126" s="22" t="n">
        <f aca="false">K125+D126</f>
        <v>6.73841443300001</v>
      </c>
    </row>
    <row r="127" customFormat="false" ht="15" hidden="false" customHeight="false" outlineLevel="0" collapsed="false">
      <c r="A127" s="10" t="n">
        <v>2</v>
      </c>
      <c r="B127" s="8" t="n">
        <v>40476</v>
      </c>
      <c r="C127" s="15" t="n">
        <v>2.96963771041</v>
      </c>
      <c r="D127" s="22" t="n">
        <f aca="false">100*(C127-C126)</f>
        <v>-2.80373227300004</v>
      </c>
      <c r="E127" s="23" t="n">
        <f aca="false">'A2 control'!AL261</f>
        <v>-2.6185782926167</v>
      </c>
      <c r="F127" s="10" t="n">
        <v>0</v>
      </c>
      <c r="G127" s="22" t="n">
        <f aca="false">D127-$B$137*E127</f>
        <v>-0.0753958482592845</v>
      </c>
      <c r="H127" s="22" t="n">
        <f aca="false">H126+G127</f>
        <v>-1.28488627789491</v>
      </c>
      <c r="I127" s="22" t="n">
        <f aca="false">D127-E127</f>
        <v>-0.18515398038334</v>
      </c>
      <c r="J127" s="22" t="n">
        <f aca="false">J126+I127</f>
        <v>-1.07490847712152</v>
      </c>
      <c r="K127" s="22" t="n">
        <f aca="false">K126+D127</f>
        <v>3.93468215999997</v>
      </c>
    </row>
    <row r="128" customFormat="false" ht="15" hidden="false" customHeight="false" outlineLevel="0" collapsed="false">
      <c r="A128" s="10" t="n">
        <v>3</v>
      </c>
      <c r="B128" s="8" t="n">
        <v>40477</v>
      </c>
      <c r="C128" s="15" t="n">
        <v>3.10378874978</v>
      </c>
      <c r="D128" s="22" t="n">
        <f aca="false">100*(C128-C127)</f>
        <v>13.415103937</v>
      </c>
      <c r="E128" s="23" t="n">
        <f aca="false">'A2 control'!AL262</f>
        <v>9.74934102117157</v>
      </c>
      <c r="F128" s="10" t="n">
        <v>0</v>
      </c>
      <c r="G128" s="22" t="n">
        <f aca="false">D128-$B$137*E128</f>
        <v>3.25711771207749</v>
      </c>
      <c r="H128" s="22" t="n">
        <f aca="false">H127+G128</f>
        <v>1.97223143418258</v>
      </c>
      <c r="I128" s="22" t="n">
        <f aca="false">D128-E128</f>
        <v>3.66576291582846</v>
      </c>
      <c r="J128" s="22" t="n">
        <f aca="false">J127+I128</f>
        <v>2.59085443870695</v>
      </c>
      <c r="K128" s="22" t="n">
        <f aca="false">K127+D128</f>
        <v>17.349786097</v>
      </c>
    </row>
    <row r="129" customFormat="false" ht="15" hidden="false" customHeight="false" outlineLevel="0" collapsed="false">
      <c r="A129" s="10" t="n">
        <v>4</v>
      </c>
      <c r="B129" s="8" t="n">
        <v>40478</v>
      </c>
      <c r="C129" s="15" t="n">
        <v>3.19907623919</v>
      </c>
      <c r="D129" s="22" t="n">
        <f aca="false">100*(C129-C128)</f>
        <v>9.528748941</v>
      </c>
      <c r="E129" s="23" t="n">
        <f aca="false">'A2 control'!AL263</f>
        <v>9.24102682508132</v>
      </c>
      <c r="F129" s="10" t="n">
        <v>0</v>
      </c>
      <c r="G129" s="22" t="n">
        <f aca="false">D129-$B$137*E129</f>
        <v>-0.0996170161932248</v>
      </c>
      <c r="H129" s="22" t="n">
        <f aca="false">H128+G129</f>
        <v>1.87261441798935</v>
      </c>
      <c r="I129" s="22" t="n">
        <f aca="false">D129-E129</f>
        <v>0.287722115918678</v>
      </c>
      <c r="J129" s="22" t="n">
        <f aca="false">J128+I129</f>
        <v>2.87857655462562</v>
      </c>
      <c r="K129" s="22" t="n">
        <f aca="false">K128+D129</f>
        <v>26.878535038</v>
      </c>
    </row>
    <row r="130" customFormat="false" ht="15" hidden="false" customHeight="false" outlineLevel="0" collapsed="false">
      <c r="A130" s="10" t="n">
        <v>5</v>
      </c>
      <c r="B130" s="8" t="n">
        <v>40479</v>
      </c>
      <c r="C130" s="15" t="n">
        <v>3.19639411248</v>
      </c>
      <c r="D130" s="22" t="n">
        <f aca="false">100*(C130-C129)</f>
        <v>-0.26821267099999</v>
      </c>
      <c r="E130" s="23" t="n">
        <f aca="false">'A2 control'!AL264</f>
        <v>0.180793099362113</v>
      </c>
      <c r="F130" s="10" t="n">
        <v>0</v>
      </c>
      <c r="G130" s="22" t="n">
        <f aca="false">D130-$B$137*E130</f>
        <v>-0.456583742326071</v>
      </c>
      <c r="H130" s="22" t="n">
        <f aca="false">H129+G130</f>
        <v>1.41603067566328</v>
      </c>
      <c r="I130" s="22" t="n">
        <f aca="false">D130-E130</f>
        <v>-0.449005770362103</v>
      </c>
      <c r="J130" s="22" t="n">
        <f aca="false">J129+I130</f>
        <v>2.42957078426352</v>
      </c>
      <c r="K130" s="22" t="n">
        <f aca="false">K129+D130</f>
        <v>26.610322367</v>
      </c>
    </row>
    <row r="131" customFormat="false" ht="15" hidden="false" customHeight="false" outlineLevel="0" collapsed="false">
      <c r="A131" s="10" t="n">
        <v>6</v>
      </c>
      <c r="B131" s="8" t="n">
        <v>40480</v>
      </c>
      <c r="C131" s="15" t="n">
        <v>3.12861518151</v>
      </c>
      <c r="D131" s="22" t="n">
        <f aca="false">100*(C131-C130)</f>
        <v>-6.77789309700003</v>
      </c>
      <c r="E131" s="23" t="n">
        <f aca="false">'A2 control'!AL265</f>
        <v>-6.09946826400278</v>
      </c>
      <c r="F131" s="10" t="n">
        <v>0</v>
      </c>
      <c r="G131" s="22" t="n">
        <f aca="false">D131-$B$137*E131</f>
        <v>-0.422764635440994</v>
      </c>
      <c r="H131" s="22" t="n">
        <f aca="false">H130+G131</f>
        <v>0.993266040222287</v>
      </c>
      <c r="I131" s="22" t="n">
        <f aca="false">D131-E131</f>
        <v>-0.678424832997248</v>
      </c>
      <c r="J131" s="22" t="n">
        <f aca="false">J130+I131</f>
        <v>1.75114595126627</v>
      </c>
      <c r="K131" s="22" t="n">
        <f aca="false">K130+D131</f>
        <v>19.83242927</v>
      </c>
    </row>
    <row r="132" customFormat="false" ht="15" hidden="false" customHeight="false" outlineLevel="0" collapsed="false">
      <c r="A132" s="10" t="n">
        <v>7</v>
      </c>
      <c r="B132" s="8" t="n">
        <v>40483</v>
      </c>
      <c r="C132" s="15" t="n">
        <v>3.09598656109</v>
      </c>
      <c r="D132" s="22" t="n">
        <f aca="false">100*(C132-C131)</f>
        <v>-3.26286204199997</v>
      </c>
      <c r="E132" s="23" t="n">
        <f aca="false">'A2 control'!AL266</f>
        <v>-2.78646547224956</v>
      </c>
      <c r="F132" s="10" t="n">
        <v>0</v>
      </c>
      <c r="G132" s="22" t="n">
        <f aca="false">D132-$B$137*E132</f>
        <v>-0.359601419372584</v>
      </c>
      <c r="H132" s="22" t="n">
        <f aca="false">H131+G132</f>
        <v>0.633664620849703</v>
      </c>
      <c r="I132" s="22" t="n">
        <f aca="false">D132-E132</f>
        <v>-0.476396569750413</v>
      </c>
      <c r="J132" s="22" t="n">
        <f aca="false">J131+I132</f>
        <v>1.27474938151586</v>
      </c>
      <c r="K132" s="22" t="n">
        <f aca="false">K131+D132</f>
        <v>16.569567228</v>
      </c>
    </row>
    <row r="133" customFormat="false" ht="15" hidden="false" customHeight="false" outlineLevel="0" collapsed="false">
      <c r="A133" s="10" t="n">
        <v>8</v>
      </c>
      <c r="B133" s="8" t="n">
        <v>40484</v>
      </c>
      <c r="C133" s="15" t="n">
        <v>3.08294829797</v>
      </c>
      <c r="D133" s="22" t="n">
        <f aca="false">100*(C133-C132)</f>
        <v>-1.30382631200003</v>
      </c>
      <c r="E133" s="23" t="n">
        <f aca="false">'A2 control'!AL267</f>
        <v>-0.0996678125462755</v>
      </c>
      <c r="F133" s="10" t="n">
        <v>0</v>
      </c>
      <c r="G133" s="22" t="n">
        <f aca="false">D133-$B$137*E133</f>
        <v>-1.19998090699116</v>
      </c>
      <c r="H133" s="22" t="n">
        <f aca="false">H132+G133</f>
        <v>-0.566316286141453</v>
      </c>
      <c r="I133" s="22" t="n">
        <f aca="false">D133-E133</f>
        <v>-1.20415849945376</v>
      </c>
      <c r="J133" s="22" t="n">
        <f aca="false">J132+I133</f>
        <v>0.0705908820621015</v>
      </c>
      <c r="K133" s="22" t="n">
        <f aca="false">K132+D133</f>
        <v>15.265740916</v>
      </c>
    </row>
    <row r="134" customFormat="false" ht="15" hidden="false" customHeight="false" outlineLevel="0" collapsed="false">
      <c r="A134" s="10" t="n">
        <v>9</v>
      </c>
      <c r="B134" s="8" t="n">
        <v>40485</v>
      </c>
      <c r="C134" s="15" t="n">
        <v>3.04975111073</v>
      </c>
      <c r="D134" s="22" t="n">
        <f aca="false">100*(C134-C133)</f>
        <v>-3.31971872399999</v>
      </c>
      <c r="E134" s="23" t="n">
        <f aca="false">'A2 control'!AL268</f>
        <v>-3.30642427908712</v>
      </c>
      <c r="F134" s="10" t="n">
        <v>0</v>
      </c>
      <c r="G134" s="22" t="n">
        <f aca="false">D134-$B$137*E134</f>
        <v>0.125294862844503</v>
      </c>
      <c r="H134" s="22" t="n">
        <f aca="false">H133+G134</f>
        <v>-0.441021423296951</v>
      </c>
      <c r="I134" s="22" t="n">
        <f aca="false">D134-E134</f>
        <v>-0.0132944449128694</v>
      </c>
      <c r="J134" s="22" t="n">
        <f aca="false">J133+I134</f>
        <v>0.0572964371492322</v>
      </c>
      <c r="K134" s="22" t="n">
        <f aca="false">K133+D134</f>
        <v>11.946022192</v>
      </c>
    </row>
    <row r="135" customFormat="false" ht="15" hidden="false" customHeight="false" outlineLevel="0" collapsed="false">
      <c r="A135" s="10" t="n">
        <v>10</v>
      </c>
      <c r="B135" s="8" t="n">
        <v>40486</v>
      </c>
      <c r="C135" s="15" t="n">
        <v>3.00461789634</v>
      </c>
      <c r="D135" s="22" t="n">
        <f aca="false">100*(C135-C134)</f>
        <v>-4.51332143899998</v>
      </c>
      <c r="E135" s="23" t="n">
        <f aca="false">'A2 control'!AL269</f>
        <v>-1.86984113304397</v>
      </c>
      <c r="F135" s="10" t="n">
        <v>0</v>
      </c>
      <c r="G135" s="22" t="n">
        <f aca="false">D135-$B$137*E135</f>
        <v>-2.56510561282185</v>
      </c>
      <c r="H135" s="22" t="n">
        <f aca="false">H134+G135</f>
        <v>-3.0061270361188</v>
      </c>
      <c r="I135" s="22" t="n">
        <f aca="false">D135-E135</f>
        <v>-2.64348030595602</v>
      </c>
      <c r="J135" s="22" t="n">
        <f aca="false">J134+I135</f>
        <v>-2.58618386880679</v>
      </c>
      <c r="K135" s="22" t="n">
        <f aca="false">K134+D135</f>
        <v>7.432700753</v>
      </c>
    </row>
    <row r="137" customFormat="false" ht="15" hidden="false" customHeight="false" outlineLevel="0" collapsed="false">
      <c r="A137" s="7" t="s">
        <v>167</v>
      </c>
      <c r="B137" s="24" t="n">
        <f aca="false">SLOPE(D5:D104,E5:E104)</f>
        <v>1.04191516153385</v>
      </c>
    </row>
    <row r="138" customFormat="false" ht="15" hidden="false" customHeight="false" outlineLevel="0" collapsed="false">
      <c r="A138" s="7" t="s">
        <v>168</v>
      </c>
      <c r="B138" s="22" t="n">
        <f aca="false">INTERCEPT(D5:D104,E5:E104)</f>
        <v>-0.316719556480382</v>
      </c>
    </row>
    <row r="139" customFormat="false" ht="15" hidden="false" customHeight="false" outlineLevel="0" collapsed="false">
      <c r="A139" s="7" t="s">
        <v>169</v>
      </c>
      <c r="B139" s="18" t="n">
        <f aca="false">RSQ(D5:D104,E5:E104)</f>
        <v>0.925248776166747</v>
      </c>
    </row>
    <row r="140" customFormat="false" ht="15" hidden="false" customHeight="false" outlineLevel="0" collapsed="false">
      <c r="A140" s="7" t="s">
        <v>170</v>
      </c>
      <c r="B140" s="19" t="n">
        <f aca="false">COUNT(D5:D104)</f>
        <v>100</v>
      </c>
    </row>
    <row r="141" customFormat="false" ht="15" hidden="false" customHeight="false" outlineLevel="0" collapsed="false">
      <c r="A141" s="7" t="s">
        <v>171</v>
      </c>
      <c r="B141" s="25" t="n">
        <v>1.04191516153385</v>
      </c>
    </row>
    <row r="143" customFormat="false" ht="26.85" hidden="false" customHeight="false" outlineLevel="0" collapsed="false">
      <c r="A143" s="3" t="s">
        <v>172</v>
      </c>
      <c r="B143" s="3" t="s">
        <v>173</v>
      </c>
      <c r="C143" s="3" t="s">
        <v>174</v>
      </c>
      <c r="D143" s="3" t="s">
        <v>175</v>
      </c>
      <c r="E143" s="3" t="s">
        <v>176</v>
      </c>
    </row>
    <row r="144" customFormat="false" ht="15" hidden="false" customHeight="false" outlineLevel="0" collapsed="false">
      <c r="A144" s="7" t="s">
        <v>177</v>
      </c>
      <c r="B144" s="17" t="n">
        <f aca="false">H124-H119</f>
        <v>-0.192031932032191</v>
      </c>
      <c r="C144" s="18" t="n">
        <f aca="false">J124-J119</f>
        <v>0.233292834919837</v>
      </c>
      <c r="D144" s="18" t="n">
        <f aca="false">K124-K119</f>
        <v>10.38057013</v>
      </c>
      <c r="E144" s="9" t="n">
        <v>-0.192031932032198</v>
      </c>
    </row>
    <row r="145" customFormat="false" ht="15" hidden="false" customHeight="false" outlineLevel="0" collapsed="false">
      <c r="A145" s="7" t="s">
        <v>178</v>
      </c>
      <c r="B145" s="17" t="n">
        <f aca="false">H125-H124</f>
        <v>0.0659767413606875</v>
      </c>
      <c r="C145" s="18" t="n">
        <f aca="false">J125-J124</f>
        <v>-0.148558288348663</v>
      </c>
      <c r="D145" s="18" t="n">
        <f aca="false">K125-K124</f>
        <v>-5.26687399700001</v>
      </c>
      <c r="E145" s="9" t="n">
        <v>0.0659767413606911</v>
      </c>
    </row>
    <row r="146" customFormat="false" ht="15" hidden="false" customHeight="false" outlineLevel="0" collapsed="false">
      <c r="A146" s="7" t="s">
        <v>179</v>
      </c>
      <c r="B146" s="17" t="n">
        <f aca="false">H130-H125</f>
        <v>1.54208586633478</v>
      </c>
      <c r="C146" s="18" t="n">
        <f aca="false">J130-J125</f>
        <v>2.34483623769235</v>
      </c>
      <c r="D146" s="18" t="n">
        <f aca="false">K130-K125</f>
        <v>21.496626234</v>
      </c>
      <c r="E146" s="9" t="n">
        <v>1.54208586633477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6" t="s">
        <v>205</v>
      </c>
    </row>
    <row r="3" customFormat="false" ht="15" hidden="false" customHeight="false" outlineLevel="0" collapsed="false">
      <c r="A3" s="7" t="s">
        <v>33</v>
      </c>
      <c r="B3" s="8" t="n">
        <v>41191</v>
      </c>
    </row>
    <row r="4" customFormat="false" ht="15" hidden="false" customHeight="false" outlineLevel="0" collapsed="false">
      <c r="A4" s="7" t="s">
        <v>34</v>
      </c>
      <c r="B4" s="8" t="n">
        <v>41192</v>
      </c>
    </row>
    <row r="5" customFormat="false" ht="15" hidden="false" customHeight="false" outlineLevel="0" collapsed="false">
      <c r="A5" s="7" t="s">
        <v>35</v>
      </c>
      <c r="B5" s="8" t="n">
        <v>41192</v>
      </c>
    </row>
    <row r="6" customFormat="false" ht="15" hidden="false" customHeight="false" outlineLevel="0" collapsed="false">
      <c r="A6" s="7" t="s">
        <v>36</v>
      </c>
      <c r="B6" s="8" t="n">
        <v>41190</v>
      </c>
    </row>
    <row r="7" customFormat="false" ht="15" hidden="false" customHeight="false" outlineLevel="0" collapsed="false">
      <c r="A7" s="7" t="s">
        <v>37</v>
      </c>
      <c r="B7" s="9" t="n">
        <v>4.25</v>
      </c>
    </row>
    <row r="8" customFormat="false" ht="15" hidden="false" customHeight="false" outlineLevel="0" collapsed="false">
      <c r="A8" s="7" t="s">
        <v>38</v>
      </c>
      <c r="B8" s="8" t="n">
        <v>48372</v>
      </c>
    </row>
    <row r="9" customFormat="false" ht="15" hidden="false" customHeight="false" outlineLevel="0" collapsed="false">
      <c r="A9" s="7" t="s">
        <v>39</v>
      </c>
      <c r="B9" s="8" t="n">
        <v>36671</v>
      </c>
    </row>
    <row r="10" customFormat="false" ht="15" hidden="false" customHeight="false" outlineLevel="0" collapsed="false">
      <c r="A10" s="7" t="s">
        <v>40</v>
      </c>
      <c r="B10" s="8" t="n">
        <v>36867</v>
      </c>
    </row>
    <row r="11" customFormat="false" ht="15" hidden="false" customHeight="false" outlineLevel="0" collapsed="false">
      <c r="A11" s="7" t="s">
        <v>41</v>
      </c>
      <c r="B11" s="10" t="s">
        <v>42</v>
      </c>
    </row>
    <row r="12" customFormat="false" ht="15" hidden="false" customHeight="false" outlineLevel="0" collapsed="false">
      <c r="A12" s="7" t="s">
        <v>43</v>
      </c>
      <c r="B12" s="11" t="n">
        <v>1.45150273224044</v>
      </c>
    </row>
    <row r="13" customFormat="false" ht="15" hidden="false" customHeight="false" outlineLevel="0" collapsed="false">
      <c r="A13" s="7" t="s">
        <v>44</v>
      </c>
      <c r="B13" s="11" t="n">
        <v>2.661455</v>
      </c>
    </row>
    <row r="14" customFormat="false" ht="15" hidden="false" customHeight="false" outlineLevel="0" collapsed="false">
      <c r="A14" s="7" t="s">
        <v>45</v>
      </c>
      <c r="B14" s="12" t="n">
        <v>25</v>
      </c>
    </row>
    <row r="15" customFormat="false" ht="15" hidden="false" customHeight="false" outlineLevel="0" collapsed="false">
      <c r="A15" s="7" t="s">
        <v>46</v>
      </c>
      <c r="B15" s="11" t="n">
        <v>3.36237883368499</v>
      </c>
    </row>
    <row r="16" customFormat="false" ht="15" hidden="false" customHeight="false" outlineLevel="0" collapsed="false">
      <c r="A16" s="7" t="s">
        <v>47</v>
      </c>
      <c r="B16" s="11" t="n">
        <v>4.77938075244922</v>
      </c>
    </row>
    <row r="19" customFormat="false" ht="39.55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58</v>
      </c>
      <c r="L19" s="3" t="s">
        <v>59</v>
      </c>
      <c r="M19" s="3" t="s">
        <v>60</v>
      </c>
      <c r="N19" s="3" t="s">
        <v>61</v>
      </c>
    </row>
    <row r="20" customFormat="false" ht="15" hidden="false" customHeight="false" outlineLevel="0" collapsed="false">
      <c r="A20" s="8" t="n">
        <v>41250</v>
      </c>
      <c r="B20" s="11" t="n">
        <v>2.125</v>
      </c>
      <c r="C20" s="13" t="n">
        <f aca="false">(A20-$B$5)/365.25</f>
        <v>0.158795345653662</v>
      </c>
      <c r="D20" s="11" t="n">
        <v>0.44372926718684</v>
      </c>
      <c r="E20" s="14" t="n">
        <f aca="false">EXP(-D20/100*C20)</f>
        <v>0.999295626763783</v>
      </c>
      <c r="F20" s="13" t="n">
        <f aca="false">B20*E20</f>
        <v>2.12350320687304</v>
      </c>
      <c r="G20" s="11" t="n">
        <v>0.316939890710383</v>
      </c>
      <c r="H20" s="14" t="n">
        <f aca="false">(1/(1+$B$64/200))^G20</f>
        <v>0.995834727923539</v>
      </c>
      <c r="I20" s="13" t="n">
        <f aca="false">B20*H20</f>
        <v>2.11614879683752</v>
      </c>
      <c r="J20" s="9" t="n">
        <v>0.083333</v>
      </c>
      <c r="K20" s="11" t="n">
        <v>0.464447077856646</v>
      </c>
      <c r="L20" s="9" t="n">
        <v>0.166667</v>
      </c>
      <c r="M20" s="11" t="n">
        <v>0.44144571037375</v>
      </c>
      <c r="N20" s="13" t="n">
        <f aca="false">IF(L20=J20,K20,K20+(M20-K20)*(C20-J20)/(L20-J20))</f>
        <v>0.443618398764064</v>
      </c>
    </row>
    <row r="21" customFormat="false" ht="15" hidden="false" customHeight="false" outlineLevel="0" collapsed="false">
      <c r="A21" s="8" t="n">
        <v>41432</v>
      </c>
      <c r="B21" s="11" t="n">
        <v>2.125</v>
      </c>
      <c r="C21" s="13" t="n">
        <f aca="false">(A21-$B$5)/365.25</f>
        <v>0.657084188911704</v>
      </c>
      <c r="D21" s="11" t="n">
        <v>0.348531503760215</v>
      </c>
      <c r="E21" s="14" t="n">
        <f aca="false">EXP(-D21/100*C21)</f>
        <v>0.997712474977669</v>
      </c>
      <c r="F21" s="13" t="n">
        <f aca="false">B21*E21</f>
        <v>2.12013900932755</v>
      </c>
      <c r="G21" s="11" t="n">
        <v>1.31693989071038</v>
      </c>
      <c r="H21" s="14" t="n">
        <f aca="false">(1/(1+$B$64/200))^G21</f>
        <v>0.982805964864708</v>
      </c>
      <c r="I21" s="13" t="n">
        <f aca="false">B21*H21</f>
        <v>2.0884626753375</v>
      </c>
      <c r="J21" s="9" t="n">
        <v>0.583333</v>
      </c>
      <c r="K21" s="11" t="n">
        <v>0.360715659074277</v>
      </c>
      <c r="L21" s="9" t="n">
        <v>0.666667</v>
      </c>
      <c r="M21" s="11" t="n">
        <v>0.34680882844747</v>
      </c>
      <c r="N21" s="13" t="n">
        <f aca="false">IF(L21=J21,K21,K21+(M21-K21)*(C21-J21)/(L21-J21))</f>
        <v>0.348408014022789</v>
      </c>
    </row>
    <row r="22" customFormat="false" ht="15" hidden="false" customHeight="false" outlineLevel="0" collapsed="false">
      <c r="A22" s="8" t="n">
        <v>41615</v>
      </c>
      <c r="B22" s="11" t="n">
        <v>2.125</v>
      </c>
      <c r="C22" s="13" t="n">
        <f aca="false">(A22-$B$5)/365.25</f>
        <v>1.15811088295688</v>
      </c>
      <c r="D22" s="11" t="n">
        <v>0.245145488002871</v>
      </c>
      <c r="E22" s="14" t="n">
        <f aca="false">EXP(-D22/100*C22)</f>
        <v>0.997164969734272</v>
      </c>
      <c r="F22" s="13" t="n">
        <f aca="false">B22*E22</f>
        <v>2.11897556068533</v>
      </c>
      <c r="G22" s="11" t="n">
        <v>2.31693989071038</v>
      </c>
      <c r="H22" s="14" t="n">
        <f aca="false">(1/(1+$B$64/200))^G22</f>
        <v>0.969947660479472</v>
      </c>
      <c r="I22" s="13" t="n">
        <f aca="false">B22*H22</f>
        <v>2.06113877851888</v>
      </c>
      <c r="J22" s="9" t="n">
        <v>1.083333</v>
      </c>
      <c r="K22" s="11" t="n">
        <v>0.259389637075876</v>
      </c>
      <c r="L22" s="9" t="n">
        <v>1.166667</v>
      </c>
      <c r="M22" s="11" t="n">
        <v>0.243595467572964</v>
      </c>
      <c r="N22" s="13" t="n">
        <f aca="false">IF(L22=J22,K22,K22+(M22-K22)*(C22-J22)/(L22-J22))</f>
        <v>0.245217095754328</v>
      </c>
    </row>
    <row r="23" customFormat="false" ht="15" hidden="false" customHeight="false" outlineLevel="0" collapsed="false">
      <c r="A23" s="8" t="n">
        <v>41797</v>
      </c>
      <c r="B23" s="11" t="n">
        <v>2.125</v>
      </c>
      <c r="C23" s="13" t="n">
        <f aca="false">(A23-$B$5)/365.25</f>
        <v>1.65639972621492</v>
      </c>
      <c r="D23" s="11" t="n">
        <v>0.186281652213348</v>
      </c>
      <c r="E23" s="14" t="n">
        <f aca="false">EXP(-D23/100*C23)</f>
        <v>0.996919186697717</v>
      </c>
      <c r="F23" s="13" t="n">
        <f aca="false">B23*E23</f>
        <v>2.11845327173265</v>
      </c>
      <c r="G23" s="11" t="n">
        <v>3.31693989071038</v>
      </c>
      <c r="H23" s="14" t="n">
        <f aca="false">(1/(1+$B$64/200))^G23</f>
        <v>0.957257584612962</v>
      </c>
      <c r="I23" s="13" t="n">
        <f aca="false">B23*H23</f>
        <v>2.03417236730254</v>
      </c>
      <c r="J23" s="9" t="n">
        <v>1.583333</v>
      </c>
      <c r="K23" s="11" t="n">
        <v>0.190890780621194</v>
      </c>
      <c r="L23" s="9" t="n">
        <v>1.666667</v>
      </c>
      <c r="M23" s="11" t="n">
        <v>0.185739359769815</v>
      </c>
      <c r="N23" s="13" t="n">
        <f aca="false">IF(L23=J23,K23,K23+(M23-K23)*(C23-J23)/(L23-J23))</f>
        <v>0.186374047271474</v>
      </c>
    </row>
    <row r="24" customFormat="false" ht="15" hidden="false" customHeight="false" outlineLevel="0" collapsed="false">
      <c r="A24" s="8" t="n">
        <v>41980</v>
      </c>
      <c r="B24" s="11" t="n">
        <v>2.125</v>
      </c>
      <c r="C24" s="13" t="n">
        <f aca="false">(A24-$B$5)/365.25</f>
        <v>2.1574264202601</v>
      </c>
      <c r="D24" s="11" t="n">
        <v>0.186759611620905</v>
      </c>
      <c r="E24" s="14" t="n">
        <f aca="false">EXP(-D24/100*C24)</f>
        <v>0.995978905136671</v>
      </c>
      <c r="F24" s="13" t="n">
        <f aca="false">B24*E24</f>
        <v>2.11645517341543</v>
      </c>
      <c r="G24" s="11" t="n">
        <v>4.31693989071038</v>
      </c>
      <c r="H24" s="14" t="n">
        <f aca="false">(1/(1+$B$64/200))^G24</f>
        <v>0.944733536287997</v>
      </c>
      <c r="I24" s="13" t="n">
        <f aca="false">B24*H24</f>
        <v>2.00755876461199</v>
      </c>
      <c r="J24" s="9" t="n">
        <v>2.083333</v>
      </c>
      <c r="K24" s="11" t="n">
        <v>0.183561361186699</v>
      </c>
      <c r="L24" s="9" t="n">
        <v>2.166667</v>
      </c>
      <c r="M24" s="11" t="n">
        <v>0.187224790697279</v>
      </c>
      <c r="N24" s="13" t="n">
        <f aca="false">IF(L24=J24,K24,K24+(M24-K24)*(C24-J24)/(L24-J24))</f>
        <v>0.186818567396897</v>
      </c>
    </row>
    <row r="25" customFormat="false" ht="15" hidden="false" customHeight="false" outlineLevel="0" collapsed="false">
      <c r="A25" s="8" t="n">
        <v>42162</v>
      </c>
      <c r="B25" s="11" t="n">
        <v>2.125</v>
      </c>
      <c r="C25" s="13" t="n">
        <f aca="false">(A25-$B$5)/365.25</f>
        <v>2.65571526351814</v>
      </c>
      <c r="D25" s="11" t="n">
        <v>0.229862142123054</v>
      </c>
      <c r="E25" s="14" t="n">
        <f aca="false">EXP(-D25/100*C25)</f>
        <v>0.993914110513139</v>
      </c>
      <c r="F25" s="13" t="n">
        <f aca="false">B25*E25</f>
        <v>2.11206748484042</v>
      </c>
      <c r="G25" s="11" t="n">
        <v>5.31693989071038</v>
      </c>
      <c r="H25" s="14" t="n">
        <f aca="false">(1/(1+$B$64/200))^G25</f>
        <v>0.932373343323353</v>
      </c>
      <c r="I25" s="13" t="n">
        <f aca="false">B25*H25</f>
        <v>1.98129335456213</v>
      </c>
      <c r="J25" s="9" t="n">
        <v>2.583333</v>
      </c>
      <c r="K25" s="11" t="n">
        <v>0.221568703832874</v>
      </c>
      <c r="L25" s="9" t="n">
        <v>2.666667</v>
      </c>
      <c r="M25" s="11" t="n">
        <v>0.231169118945054</v>
      </c>
      <c r="N25" s="13" t="n">
        <f aca="false">IF(L25=J25,K25,K25+(M25-K25)*(C25-J25)/(L25-J25))</f>
        <v>0.229907434441429</v>
      </c>
    </row>
    <row r="26" customFormat="false" ht="15" hidden="false" customHeight="false" outlineLevel="0" collapsed="false">
      <c r="A26" s="8" t="n">
        <v>42345</v>
      </c>
      <c r="B26" s="11" t="n">
        <v>2.125</v>
      </c>
      <c r="C26" s="13" t="n">
        <f aca="false">(A26-$B$5)/365.25</f>
        <v>3.15674195756331</v>
      </c>
      <c r="D26" s="11" t="n">
        <v>0.301650946810612</v>
      </c>
      <c r="E26" s="14" t="n">
        <f aca="false">EXP(-D26/100*C26)</f>
        <v>0.990522851930798</v>
      </c>
      <c r="F26" s="13" t="n">
        <f aca="false">B26*E26</f>
        <v>2.10486106035295</v>
      </c>
      <c r="G26" s="11" t="n">
        <v>6.31693989071038</v>
      </c>
      <c r="H26" s="14" t="n">
        <f aca="false">(1/(1+$B$64/200))^G26</f>
        <v>0.920174861957012</v>
      </c>
      <c r="I26" s="13" t="n">
        <f aca="false">B26*H26</f>
        <v>1.95537158165865</v>
      </c>
      <c r="J26" s="9" t="n">
        <v>3.083333</v>
      </c>
      <c r="K26" s="11" t="n">
        <v>0.289773121438646</v>
      </c>
      <c r="L26" s="9" t="n">
        <v>3.166667</v>
      </c>
      <c r="M26" s="11" t="n">
        <v>0.303287565752375</v>
      </c>
      <c r="N26" s="13" t="n">
        <f aca="false">IF(L26=J26,K26,K26+(M26-K26)*(C26-J26)/(L26-J26))</f>
        <v>0.301678001429025</v>
      </c>
    </row>
    <row r="27" customFormat="false" ht="15" hidden="false" customHeight="false" outlineLevel="0" collapsed="false">
      <c r="A27" s="8" t="n">
        <v>42528</v>
      </c>
      <c r="B27" s="11" t="n">
        <v>2.125</v>
      </c>
      <c r="C27" s="13" t="n">
        <f aca="false">(A27-$B$5)/365.25</f>
        <v>3.65776865160849</v>
      </c>
      <c r="D27" s="11" t="n">
        <v>0.391987314785143</v>
      </c>
      <c r="E27" s="14" t="n">
        <f aca="false">EXP(-D27/100*C27)</f>
        <v>0.985764310341021</v>
      </c>
      <c r="F27" s="13" t="n">
        <f aca="false">B27*E27</f>
        <v>2.09474915947467</v>
      </c>
      <c r="G27" s="11" t="n">
        <v>7.31693989071038</v>
      </c>
      <c r="H27" s="14" t="n">
        <f aca="false">(1/(1+$B$64/200))^G27</f>
        <v>0.908135976474348</v>
      </c>
      <c r="I27" s="13" t="n">
        <f aca="false">B27*H27</f>
        <v>1.92978895000799</v>
      </c>
      <c r="J27" s="9" t="n">
        <v>3.583333</v>
      </c>
      <c r="K27" s="11" t="n">
        <v>0.377690936957947</v>
      </c>
      <c r="L27" s="9" t="n">
        <v>3.666667</v>
      </c>
      <c r="M27" s="11" t="n">
        <v>0.393713715964142</v>
      </c>
      <c r="N27" s="13" t="n">
        <f aca="false">IF(L27=J27,K27,K27+(M27-K27)*(C27-J27)/(L27-J27))</f>
        <v>0.392002814413787</v>
      </c>
    </row>
    <row r="28" customFormat="false" ht="15" hidden="false" customHeight="false" outlineLevel="0" collapsed="false">
      <c r="A28" s="8" t="n">
        <v>42711</v>
      </c>
      <c r="B28" s="11" t="n">
        <v>2.125</v>
      </c>
      <c r="C28" s="13" t="n">
        <f aca="false">(A28-$B$5)/365.25</f>
        <v>4.15879534565366</v>
      </c>
      <c r="D28" s="11" t="n">
        <v>0.494000917615428</v>
      </c>
      <c r="E28" s="14" t="n">
        <f aca="false">EXP(-D28/100*C28)</f>
        <v>0.979665112977356</v>
      </c>
      <c r="F28" s="13" t="n">
        <f aca="false">B28*E28</f>
        <v>2.08178836507688</v>
      </c>
      <c r="G28" s="11" t="n">
        <v>8.31693989071038</v>
      </c>
      <c r="H28" s="14" t="n">
        <f aca="false">(1/(1+$B$64/200))^G28</f>
        <v>0.896254598841177</v>
      </c>
      <c r="I28" s="13" t="n">
        <f aca="false">B28*H28</f>
        <v>1.9045410225375</v>
      </c>
      <c r="J28" s="9" t="n">
        <v>4.083333</v>
      </c>
      <c r="K28" s="11" t="n">
        <v>0.478092872082951</v>
      </c>
      <c r="L28" s="9" t="n">
        <v>4.166666</v>
      </c>
      <c r="M28" s="11" t="n">
        <v>0.495669313529374</v>
      </c>
      <c r="N28" s="13" t="n">
        <f aca="false">IF(L28=J28,K28,K28+(M28-K28)*(C28-J28)/(L28-J28))</f>
        <v>0.494009249745958</v>
      </c>
    </row>
    <row r="29" customFormat="false" ht="15" hidden="false" customHeight="false" outlineLevel="0" collapsed="false">
      <c r="A29" s="8" t="n">
        <v>42893</v>
      </c>
      <c r="B29" s="11" t="n">
        <v>2.125</v>
      </c>
      <c r="C29" s="13" t="n">
        <f aca="false">(A29-$B$5)/365.25</f>
        <v>4.6570841889117</v>
      </c>
      <c r="D29" s="11" t="n">
        <v>0.602404886993924</v>
      </c>
      <c r="E29" s="14" t="n">
        <f aca="false">EXP(-D29/100*C29)</f>
        <v>0.972335370409874</v>
      </c>
      <c r="F29" s="13" t="n">
        <f aca="false">B29*E29</f>
        <v>2.06621266212098</v>
      </c>
      <c r="G29" s="11" t="n">
        <v>9.31693989071038</v>
      </c>
      <c r="H29" s="14" t="n">
        <f aca="false">(1/(1+$B$64/200))^G29</f>
        <v>0.884528668341607</v>
      </c>
      <c r="I29" s="13" t="n">
        <f aca="false">B29*H29</f>
        <v>1.87962342022591</v>
      </c>
      <c r="J29" s="9" t="n">
        <v>4.583333</v>
      </c>
      <c r="K29" s="11" t="n">
        <v>0.586059523222667</v>
      </c>
      <c r="L29" s="9" t="n">
        <v>4.666666</v>
      </c>
      <c r="M29" s="11" t="n">
        <v>0.604534569670971</v>
      </c>
      <c r="N29" s="13" t="n">
        <f aca="false">IF(L29=J29,K29,K29+(M29-K29)*(C29-J29)/(L29-J29))</f>
        <v>0.602410268314784</v>
      </c>
    </row>
    <row r="30" customFormat="false" ht="15" hidden="false" customHeight="false" outlineLevel="0" collapsed="false">
      <c r="A30" s="8" t="n">
        <v>43076</v>
      </c>
      <c r="B30" s="11" t="n">
        <v>2.125</v>
      </c>
      <c r="C30" s="13" t="n">
        <f aca="false">(A30-$B$5)/365.25</f>
        <v>5.15811088295688</v>
      </c>
      <c r="D30" s="11" t="n">
        <v>0.715184337756251</v>
      </c>
      <c r="E30" s="14" t="n">
        <f aca="false">EXP(-D30/100*C30)</f>
        <v>0.963782144437365</v>
      </c>
      <c r="F30" s="13" t="n">
        <f aca="false">B30*E30</f>
        <v>2.0480370569294</v>
      </c>
      <c r="G30" s="11" t="n">
        <v>10.3169398907104</v>
      </c>
      <c r="H30" s="14" t="n">
        <f aca="false">(1/(1+$B$64/200))^G30</f>
        <v>0.872956151220621</v>
      </c>
      <c r="I30" s="13" t="n">
        <f aca="false">B30*H30</f>
        <v>1.85503182134382</v>
      </c>
      <c r="J30" s="9" t="n">
        <v>5</v>
      </c>
      <c r="K30" s="11" t="n">
        <v>0.679336761293335</v>
      </c>
      <c r="L30" s="9" t="n">
        <v>5.5</v>
      </c>
      <c r="M30" s="11" t="n">
        <v>0.793141749779315</v>
      </c>
      <c r="N30" s="13" t="n">
        <f aca="false">IF(L30=J30,K30,K30+(M30-K30)*(C30-J30)/(L30-J30))</f>
        <v>0.715324375722167</v>
      </c>
    </row>
    <row r="31" customFormat="false" ht="15" hidden="false" customHeight="false" outlineLevel="0" collapsed="false">
      <c r="A31" s="8" t="n">
        <v>43258</v>
      </c>
      <c r="B31" s="11" t="n">
        <v>2.125</v>
      </c>
      <c r="C31" s="13" t="n">
        <f aca="false">(A31-$B$5)/365.25</f>
        <v>5.65639972621492</v>
      </c>
      <c r="D31" s="11" t="n">
        <v>0.828888377613931</v>
      </c>
      <c r="E31" s="14" t="n">
        <f aca="false">EXP(-D31/100*C31)</f>
        <v>0.954196895017401</v>
      </c>
      <c r="F31" s="13" t="n">
        <f aca="false">B31*E31</f>
        <v>2.02766840191198</v>
      </c>
      <c r="G31" s="11" t="n">
        <v>11.3169398907104</v>
      </c>
      <c r="H31" s="14" t="n">
        <f aca="false">(1/(1+$B$64/200))^G31</f>
        <v>0.861535040331349</v>
      </c>
      <c r="I31" s="13" t="n">
        <f aca="false">B31*H31</f>
        <v>1.83076196070412</v>
      </c>
      <c r="J31" s="9" t="n">
        <v>5.5</v>
      </c>
      <c r="K31" s="11" t="n">
        <v>0.793141749779315</v>
      </c>
      <c r="L31" s="9" t="n">
        <v>6</v>
      </c>
      <c r="M31" s="11" t="n">
        <v>0.907336593004423</v>
      </c>
      <c r="N31" s="13" t="n">
        <f aca="false">IF(L31=J31,K31,K31+(M31-K31)*(C31-J31)/(L31-J31))</f>
        <v>0.82886183421044</v>
      </c>
    </row>
    <row r="32" customFormat="false" ht="15" hidden="false" customHeight="false" outlineLevel="0" collapsed="false">
      <c r="A32" s="8" t="n">
        <v>43441</v>
      </c>
      <c r="B32" s="11" t="n">
        <v>2.125</v>
      </c>
      <c r="C32" s="13" t="n">
        <f aca="false">(A32-$B$5)/365.25</f>
        <v>6.1574264202601</v>
      </c>
      <c r="D32" s="11" t="n">
        <v>0.943153903519362</v>
      </c>
      <c r="E32" s="14" t="n">
        <f aca="false">EXP(-D32/100*C32)</f>
        <v>0.943580112716315</v>
      </c>
      <c r="F32" s="13" t="n">
        <f aca="false">B32*E32</f>
        <v>2.00510773952217</v>
      </c>
      <c r="G32" s="11" t="n">
        <v>12.3169398907104</v>
      </c>
      <c r="H32" s="14" t="n">
        <f aca="false">(1/(1+$B$64/200))^G32</f>
        <v>0.850263354786937</v>
      </c>
      <c r="I32" s="13" t="n">
        <f aca="false">B32*H32</f>
        <v>1.80680962892224</v>
      </c>
      <c r="J32" s="9" t="n">
        <v>6</v>
      </c>
      <c r="K32" s="11" t="n">
        <v>0.907336593004423</v>
      </c>
      <c r="L32" s="9" t="n">
        <v>6.5</v>
      </c>
      <c r="M32" s="11" t="n">
        <v>1.02062116348913</v>
      </c>
      <c r="N32" s="13" t="n">
        <f aca="false">IF(L32=J32,K32,K32+(M32-K32)*(C32-J32)/(L32-J32))</f>
        <v>0.943004561808642</v>
      </c>
    </row>
    <row r="33" customFormat="false" ht="15" hidden="false" customHeight="false" outlineLevel="0" collapsed="false">
      <c r="A33" s="8" t="n">
        <v>43623</v>
      </c>
      <c r="B33" s="11" t="n">
        <v>2.125</v>
      </c>
      <c r="C33" s="13" t="n">
        <f aca="false">(A33-$B$5)/365.25</f>
        <v>6.65571526351814</v>
      </c>
      <c r="D33" s="11" t="n">
        <v>1.05555416784364</v>
      </c>
      <c r="E33" s="14" t="n">
        <f aca="false">EXP(-D33/100*C33)</f>
        <v>0.93215638821064</v>
      </c>
      <c r="F33" s="13" t="n">
        <f aca="false">B33*E33</f>
        <v>1.98083232494761</v>
      </c>
      <c r="G33" s="11" t="n">
        <v>13.3169398907104</v>
      </c>
      <c r="H33" s="14" t="n">
        <f aca="false">(1/(1+$B$64/200))^G33</f>
        <v>0.839139139616991</v>
      </c>
      <c r="I33" s="13" t="n">
        <f aca="false">B33*H33</f>
        <v>1.78317067168611</v>
      </c>
      <c r="J33" s="9" t="n">
        <v>6.5</v>
      </c>
      <c r="K33" s="11" t="n">
        <v>1.02062116348913</v>
      </c>
      <c r="L33" s="9" t="n">
        <v>7</v>
      </c>
      <c r="M33" s="11" t="n">
        <v>1.13201504146226</v>
      </c>
      <c r="N33" s="13" t="n">
        <f aca="false">IF(L33=J33,K33,K33+(M33-K33)*(C33-J33)/(L33-J33))</f>
        <v>1.05531261761492</v>
      </c>
    </row>
    <row r="34" customFormat="false" ht="15" hidden="false" customHeight="false" outlineLevel="0" collapsed="false">
      <c r="A34" s="8" t="n">
        <v>43806</v>
      </c>
      <c r="B34" s="11" t="n">
        <v>2.125</v>
      </c>
      <c r="C34" s="13" t="n">
        <f aca="false">(A34-$B$5)/365.25</f>
        <v>7.15674195756331</v>
      </c>
      <c r="D34" s="11" t="n">
        <v>1.16642134163438</v>
      </c>
      <c r="E34" s="14" t="n">
        <f aca="false">EXP(-D34/100*C34)</f>
        <v>0.919911540162971</v>
      </c>
      <c r="F34" s="13" t="n">
        <f aca="false">B34*E34</f>
        <v>1.95481202284631</v>
      </c>
      <c r="G34" s="11" t="n">
        <v>14.3169398907104</v>
      </c>
      <c r="H34" s="14" t="n">
        <f aca="false">(1/(1+$B$64/200))^G34</f>
        <v>0.828160465428495</v>
      </c>
      <c r="I34" s="13" t="n">
        <f aca="false">B34*H34</f>
        <v>1.75984098903555</v>
      </c>
      <c r="J34" s="9" t="n">
        <v>7</v>
      </c>
      <c r="K34" s="11" t="n">
        <v>1.13201504146226</v>
      </c>
      <c r="L34" s="9" t="n">
        <v>7.5</v>
      </c>
      <c r="M34" s="11" t="n">
        <v>1.24076991686022</v>
      </c>
      <c r="N34" s="13" t="n">
        <f aca="false">IF(L34=J34,K34,K34+(M34-K34)*(C34-J34)/(L34-J34))</f>
        <v>1.16610794559112</v>
      </c>
    </row>
    <row r="35" customFormat="false" ht="15" hidden="false" customHeight="false" outlineLevel="0" collapsed="false">
      <c r="A35" s="8" t="n">
        <v>43989</v>
      </c>
      <c r="B35" s="11" t="n">
        <v>2.125</v>
      </c>
      <c r="C35" s="13" t="n">
        <f aca="false">(A35-$B$5)/365.25</f>
        <v>7.65776865160849</v>
      </c>
      <c r="D35" s="11" t="n">
        <v>1.27444425997502</v>
      </c>
      <c r="E35" s="14" t="n">
        <f aca="false">EXP(-D35/100*C35)</f>
        <v>0.907017084271777</v>
      </c>
      <c r="F35" s="13" t="n">
        <f aca="false">B35*E35</f>
        <v>1.92741130407753</v>
      </c>
      <c r="G35" s="11" t="n">
        <v>15.3169398907104</v>
      </c>
      <c r="H35" s="14" t="n">
        <f aca="false">(1/(1+$B$64/200))^G35</f>
        <v>0.817325428071183</v>
      </c>
      <c r="I35" s="13" t="n">
        <f aca="false">B35*H35</f>
        <v>1.73681653465126</v>
      </c>
      <c r="J35" s="9" t="n">
        <v>7.5</v>
      </c>
      <c r="K35" s="11" t="n">
        <v>1.24076991686022</v>
      </c>
      <c r="L35" s="9" t="n">
        <v>8</v>
      </c>
      <c r="M35" s="11" t="n">
        <v>1.34632980015573</v>
      </c>
      <c r="N35" s="13" t="n">
        <f aca="false">IF(L35=J35,K35,K35+(M35-K35)*(C35-J35)/(L35-J35))</f>
        <v>1.27407799776318</v>
      </c>
    </row>
    <row r="36" customFormat="false" ht="15" hidden="false" customHeight="false" outlineLevel="0" collapsed="false">
      <c r="A36" s="8" t="n">
        <v>44172</v>
      </c>
      <c r="B36" s="11" t="n">
        <v>2.125</v>
      </c>
      <c r="C36" s="13" t="n">
        <f aca="false">(A36-$B$5)/365.25</f>
        <v>8.15879534565366</v>
      </c>
      <c r="D36" s="11" t="n">
        <v>1.37911894899316</v>
      </c>
      <c r="E36" s="14" t="n">
        <f aca="false">EXP(-D36/100*C36)</f>
        <v>0.893579928723437</v>
      </c>
      <c r="F36" s="13" t="n">
        <f aca="false">B36*E36</f>
        <v>1.8988573485373</v>
      </c>
      <c r="G36" s="11" t="n">
        <v>16.3169398907104</v>
      </c>
      <c r="H36" s="14" t="n">
        <f aca="false">(1/(1+$B$64/200))^G36</f>
        <v>0.806632148307279</v>
      </c>
      <c r="I36" s="13" t="n">
        <f aca="false">B36*H36</f>
        <v>1.71409331515297</v>
      </c>
      <c r="J36" s="9" t="n">
        <v>8</v>
      </c>
      <c r="K36" s="11" t="n">
        <v>1.34632980015573</v>
      </c>
      <c r="L36" s="9" t="n">
        <v>8.5</v>
      </c>
      <c r="M36" s="11" t="n">
        <v>1.44830910030806</v>
      </c>
      <c r="N36" s="13" t="n">
        <f aca="false">IF(L36=J36,K36,K36+(M36-K36)*(C36-J36)/(L36-J36))</f>
        <v>1.37871747659015</v>
      </c>
    </row>
    <row r="37" customFormat="false" ht="15" hidden="false" customHeight="false" outlineLevel="0" collapsed="false">
      <c r="A37" s="8" t="n">
        <v>44354</v>
      </c>
      <c r="B37" s="11" t="n">
        <v>2.125</v>
      </c>
      <c r="C37" s="13" t="n">
        <f aca="false">(A37-$B$5)/365.25</f>
        <v>8.65708418891171</v>
      </c>
      <c r="D37" s="11" t="n">
        <v>1.47956849994992</v>
      </c>
      <c r="E37" s="14" t="n">
        <f aca="false">EXP(-D37/100*C37)</f>
        <v>0.879776403547485</v>
      </c>
      <c r="F37" s="13" t="n">
        <f aca="false">B37*E37</f>
        <v>1.86952485753841</v>
      </c>
      <c r="G37" s="11" t="n">
        <v>17.3169398907104</v>
      </c>
      <c r="H37" s="14" t="n">
        <f aca="false">(1/(1+$B$64/200))^G37</f>
        <v>0.796078771485559</v>
      </c>
      <c r="I37" s="13" t="n">
        <f aca="false">B37*H37</f>
        <v>1.69166738940681</v>
      </c>
      <c r="J37" s="9" t="n">
        <v>8.5</v>
      </c>
      <c r="K37" s="11" t="n">
        <v>1.44830910030806</v>
      </c>
      <c r="L37" s="9" t="n">
        <v>9</v>
      </c>
      <c r="M37" s="11" t="n">
        <v>1.54648120153772</v>
      </c>
      <c r="N37" s="13" t="n">
        <f aca="false">IF(L37=J37,K37,K37+(M37-K37)*(C37-J37)/(L37-J37))</f>
        <v>1.4791516700989</v>
      </c>
    </row>
    <row r="38" customFormat="false" ht="15" hidden="false" customHeight="false" outlineLevel="0" collapsed="false">
      <c r="A38" s="8" t="n">
        <v>44537</v>
      </c>
      <c r="B38" s="11" t="n">
        <v>2.125</v>
      </c>
      <c r="C38" s="13" t="n">
        <f aca="false">(A38-$B$5)/365.25</f>
        <v>9.15811088295688</v>
      </c>
      <c r="D38" s="11" t="n">
        <v>1.57671447719793</v>
      </c>
      <c r="E38" s="14" t="n">
        <f aca="false">EXP(-D38/100*C38)</f>
        <v>0.865543833696603</v>
      </c>
      <c r="F38" s="13" t="n">
        <f aca="false">B38*E38</f>
        <v>1.83928064660528</v>
      </c>
      <c r="G38" s="11" t="n">
        <v>18.3169398907104</v>
      </c>
      <c r="H38" s="14" t="n">
        <f aca="false">(1/(1+$B$64/200))^G38</f>
        <v>0.785663467219681</v>
      </c>
      <c r="I38" s="13" t="n">
        <f aca="false">B38*H38</f>
        <v>1.66953486784182</v>
      </c>
      <c r="J38" s="9" t="n">
        <v>9</v>
      </c>
      <c r="K38" s="11" t="n">
        <v>1.54648120153772</v>
      </c>
      <c r="L38" s="9" t="n">
        <v>9.5</v>
      </c>
      <c r="M38" s="11" t="n">
        <v>1.64075600945815</v>
      </c>
      <c r="N38" s="13" t="n">
        <f aca="false">IF(L38=J38,K38,K38+(M38-K38)*(C38-J38)/(L38-J38))</f>
        <v>1.5762929477795</v>
      </c>
    </row>
    <row r="39" customFormat="false" ht="15" hidden="false" customHeight="false" outlineLevel="0" collapsed="false">
      <c r="A39" s="8" t="n">
        <v>44719</v>
      </c>
      <c r="B39" s="11" t="n">
        <v>2.125</v>
      </c>
      <c r="C39" s="13" t="n">
        <f aca="false">(A39-$B$5)/365.25</f>
        <v>9.65639972621492</v>
      </c>
      <c r="D39" s="11" t="n">
        <v>1.66944843889325</v>
      </c>
      <c r="E39" s="14" t="n">
        <f aca="false">EXP(-D39/100*C39)</f>
        <v>0.851114497775035</v>
      </c>
      <c r="F39" s="13" t="n">
        <f aca="false">B39*E39</f>
        <v>1.80861830777195</v>
      </c>
      <c r="G39" s="11" t="n">
        <v>19.3169398907104</v>
      </c>
      <c r="H39" s="14" t="n">
        <f aca="false">(1/(1+$B$64/200))^G39</f>
        <v>0.775384429070721</v>
      </c>
      <c r="I39" s="13" t="n">
        <f aca="false">B39*H39</f>
        <v>1.64769191177528</v>
      </c>
      <c r="J39" s="9" t="n">
        <v>9.5</v>
      </c>
      <c r="K39" s="11" t="n">
        <v>1.64075600945815</v>
      </c>
      <c r="L39" s="9" t="n">
        <v>10</v>
      </c>
      <c r="M39" s="11" t="n">
        <v>1.7311738015818</v>
      </c>
      <c r="N39" s="13" t="n">
        <f aca="false">IF(L39=J39,K39,K39+(M39-K39)*(C39-J39)/(L39-J39))</f>
        <v>1.66903864532434</v>
      </c>
    </row>
    <row r="40" customFormat="false" ht="15" hidden="false" customHeight="false" outlineLevel="0" collapsed="false">
      <c r="A40" s="8" t="n">
        <v>44902</v>
      </c>
      <c r="B40" s="11" t="n">
        <v>2.125</v>
      </c>
      <c r="C40" s="13" t="n">
        <f aca="false">(A40-$B$5)/365.25</f>
        <v>10.1574264202601</v>
      </c>
      <c r="D40" s="11" t="n">
        <v>1.75886216087224</v>
      </c>
      <c r="E40" s="14" t="n">
        <f aca="false">EXP(-D40/100*C40)</f>
        <v>0.836394297112412</v>
      </c>
      <c r="F40" s="13" t="n">
        <f aca="false">B40*E40</f>
        <v>1.77733788136388</v>
      </c>
      <c r="G40" s="11" t="n">
        <v>20.3169398907104</v>
      </c>
      <c r="H40" s="14" t="n">
        <f aca="false">(1/(1+$B$64/200))^G40</f>
        <v>0.76523987423386</v>
      </c>
      <c r="I40" s="13" t="n">
        <f aca="false">B40*H40</f>
        <v>1.62613473274695</v>
      </c>
      <c r="J40" s="9" t="n">
        <v>10</v>
      </c>
      <c r="K40" s="11" t="n">
        <v>1.7311738015818</v>
      </c>
      <c r="L40" s="9" t="n">
        <v>10.5</v>
      </c>
      <c r="M40" s="11" t="n">
        <v>1.81785804027759</v>
      </c>
      <c r="N40" s="13" t="n">
        <f aca="false">IF(L40=J40,K40,K40+(M40-K40)*(C40-J40)/(L40-J40))</f>
        <v>1.7584665803635</v>
      </c>
    </row>
    <row r="41" customFormat="false" ht="15" hidden="false" customHeight="false" outlineLevel="0" collapsed="false">
      <c r="A41" s="8" t="n">
        <v>45084</v>
      </c>
      <c r="B41" s="11" t="n">
        <v>2.125</v>
      </c>
      <c r="C41" s="13" t="n">
        <f aca="false">(A41-$B$5)/365.25</f>
        <v>10.6557152635181</v>
      </c>
      <c r="D41" s="11" t="n">
        <v>1.84411635966893</v>
      </c>
      <c r="E41" s="14" t="n">
        <f aca="false">EXP(-D41/100*C41)</f>
        <v>0.821598218734936</v>
      </c>
      <c r="F41" s="13" t="n">
        <f aca="false">B41*E41</f>
        <v>1.74589621481174</v>
      </c>
      <c r="G41" s="11" t="n">
        <v>21.3169398907104</v>
      </c>
      <c r="H41" s="14" t="n">
        <f aca="false">(1/(1+$B$64/200))^G41</f>
        <v>0.755228043229179</v>
      </c>
      <c r="I41" s="13" t="n">
        <f aca="false">B41*H41</f>
        <v>1.60485959186201</v>
      </c>
      <c r="J41" s="9" t="n">
        <v>10.5</v>
      </c>
      <c r="K41" s="11" t="n">
        <v>1.81785804027759</v>
      </c>
      <c r="L41" s="9" t="n">
        <v>11</v>
      </c>
      <c r="M41" s="11" t="n">
        <v>1.90097081970673</v>
      </c>
      <c r="N41" s="13" t="n">
        <f aca="false">IF(L41=J41,K41,K41+(M41-K41)*(C41-J41)/(L41-J41))</f>
        <v>1.84374189697866</v>
      </c>
    </row>
    <row r="42" customFormat="false" ht="15" hidden="false" customHeight="false" outlineLevel="0" collapsed="false">
      <c r="A42" s="8" t="n">
        <v>45267</v>
      </c>
      <c r="B42" s="11" t="n">
        <v>2.125</v>
      </c>
      <c r="C42" s="13" t="n">
        <f aca="false">(A42-$B$5)/365.25</f>
        <v>11.1567419575633</v>
      </c>
      <c r="D42" s="11" t="n">
        <v>1.92631965744869</v>
      </c>
      <c r="E42" s="14" t="n">
        <f aca="false">EXP(-D42/100*C42)</f>
        <v>0.80661039156209</v>
      </c>
      <c r="F42" s="13" t="n">
        <f aca="false">B42*E42</f>
        <v>1.71404708206944</v>
      </c>
      <c r="G42" s="11" t="n">
        <v>22.3169398907104</v>
      </c>
      <c r="H42" s="14" t="n">
        <f aca="false">(1/(1+$B$64/200))^G42</f>
        <v>0.745347199596486</v>
      </c>
      <c r="I42" s="13" t="n">
        <f aca="false">B42*H42</f>
        <v>1.58386279914253</v>
      </c>
      <c r="J42" s="9" t="n">
        <v>11</v>
      </c>
      <c r="K42" s="11" t="n">
        <v>1.90097081970673</v>
      </c>
      <c r="L42" s="9" t="n">
        <v>11.5</v>
      </c>
      <c r="M42" s="11" t="n">
        <v>1.98070309241309</v>
      </c>
      <c r="N42" s="13" t="n">
        <f aca="false">IF(L42=J42,K42,K42+(M42-K42)*(C42-J42)/(L42-J42))</f>
        <v>1.92596560471666</v>
      </c>
    </row>
    <row r="43" customFormat="false" ht="15" hidden="false" customHeight="false" outlineLevel="0" collapsed="false">
      <c r="A43" s="8" t="n">
        <v>45450</v>
      </c>
      <c r="B43" s="11" t="n">
        <v>2.125</v>
      </c>
      <c r="C43" s="13" t="n">
        <f aca="false">(A43-$B$5)/365.25</f>
        <v>11.6577686516085</v>
      </c>
      <c r="D43" s="11" t="n">
        <v>2.00519366949751</v>
      </c>
      <c r="E43" s="14" t="n">
        <f aca="false">EXP(-D43/100*C43)</f>
        <v>0.791551101407472</v>
      </c>
      <c r="F43" s="13" t="n">
        <f aca="false">B43*E43</f>
        <v>1.68204609049088</v>
      </c>
      <c r="G43" s="11" t="n">
        <v>23.3169398907104</v>
      </c>
      <c r="H43" s="14" t="n">
        <f aca="false">(1/(1+$B$64/200))^G43</f>
        <v>0.735595629594147</v>
      </c>
      <c r="I43" s="13" t="n">
        <f aca="false">B43*H43</f>
        <v>1.56314071288756</v>
      </c>
      <c r="J43" s="9" t="n">
        <v>11.5</v>
      </c>
      <c r="K43" s="11" t="n">
        <v>1.98070309241309</v>
      </c>
      <c r="L43" s="9" t="n">
        <v>12</v>
      </c>
      <c r="M43" s="11" t="n">
        <v>2.05726865716015</v>
      </c>
      <c r="N43" s="13" t="n">
        <f aca="false">IF(L43=J43,K43,K43+(M43-K43)*(C43-J43)/(L43-J43))</f>
        <v>2.00486238423266</v>
      </c>
    </row>
    <row r="44" customFormat="false" ht="15" hidden="false" customHeight="false" outlineLevel="0" collapsed="false">
      <c r="A44" s="8" t="n">
        <v>45633</v>
      </c>
      <c r="B44" s="11" t="n">
        <v>2.125</v>
      </c>
      <c r="C44" s="13" t="n">
        <f aca="false">(A44-$B$5)/365.25</f>
        <v>12.1587953456537</v>
      </c>
      <c r="D44" s="11" t="n">
        <v>2.08095960901889</v>
      </c>
      <c r="E44" s="14" t="n">
        <f aca="false">EXP(-D44/100*C44)</f>
        <v>0.776452647606319</v>
      </c>
      <c r="F44" s="13" t="n">
        <f aca="false">B44*E44</f>
        <v>1.64996187616343</v>
      </c>
      <c r="G44" s="11" t="n">
        <v>24.3169398907104</v>
      </c>
      <c r="H44" s="14" t="n">
        <f aca="false">(1/(1+$B$64/200))^G44</f>
        <v>0.725971641901853</v>
      </c>
      <c r="I44" s="13" t="n">
        <f aca="false">B44*H44</f>
        <v>1.54268973904144</v>
      </c>
      <c r="J44" s="9" t="n">
        <v>12</v>
      </c>
      <c r="K44" s="11" t="n">
        <v>2.05726865716015</v>
      </c>
      <c r="L44" s="9" t="n">
        <v>12.5</v>
      </c>
      <c r="M44" s="11" t="n">
        <v>2.13089958804062</v>
      </c>
      <c r="N44" s="13" t="n">
        <f aca="false">IF(L44=J44,K44,K44+(M44-K44)*(C44-J44)/(L44-J44))</f>
        <v>2.08065315540008</v>
      </c>
    </row>
    <row r="45" customFormat="false" ht="15" hidden="false" customHeight="false" outlineLevel="0" collapsed="false">
      <c r="A45" s="8" t="n">
        <v>45815</v>
      </c>
      <c r="B45" s="11" t="n">
        <v>2.125</v>
      </c>
      <c r="C45" s="13" t="n">
        <f aca="false">(A45-$B$5)/365.25</f>
        <v>12.6570841889117</v>
      </c>
      <c r="D45" s="11" t="n">
        <v>2.15346528519282</v>
      </c>
      <c r="E45" s="14" t="n">
        <f aca="false">EXP(-D45/100*C45)</f>
        <v>0.761423238973909</v>
      </c>
      <c r="F45" s="13" t="n">
        <f aca="false">B45*E45</f>
        <v>1.61802438281956</v>
      </c>
      <c r="G45" s="11" t="n">
        <v>25.3169398907104</v>
      </c>
      <c r="H45" s="14" t="n">
        <f aca="false">(1/(1+$B$64/200))^G45</f>
        <v>0.716473567327277</v>
      </c>
      <c r="I45" s="13" t="n">
        <f aca="false">B45*H45</f>
        <v>1.52250633057046</v>
      </c>
      <c r="J45" s="9" t="n">
        <v>12.5</v>
      </c>
      <c r="K45" s="11" t="n">
        <v>2.13089958804062</v>
      </c>
      <c r="L45" s="9" t="n">
        <v>13</v>
      </c>
      <c r="M45" s="11" t="n">
        <v>2.20183896219987</v>
      </c>
      <c r="N45" s="13" t="n">
        <f aca="false">IF(L45=J45,K45,K45+(M45-K45)*(C45-J45)/(L45-J45))</f>
        <v>2.15318649614404</v>
      </c>
    </row>
    <row r="46" customFormat="false" ht="15" hidden="false" customHeight="false" outlineLevel="0" collapsed="false">
      <c r="A46" s="8" t="n">
        <v>45998</v>
      </c>
      <c r="B46" s="11" t="n">
        <v>2.125</v>
      </c>
      <c r="C46" s="13" t="n">
        <f aca="false">(A46-$B$5)/365.25</f>
        <v>13.1581108829569</v>
      </c>
      <c r="D46" s="11" t="n">
        <v>2.22374876391171</v>
      </c>
      <c r="E46" s="14" t="n">
        <f aca="false">EXP(-D46/100*C46)</f>
        <v>0.74631812540738</v>
      </c>
      <c r="F46" s="13" t="n">
        <f aca="false">B46*E46</f>
        <v>1.58592601649068</v>
      </c>
      <c r="G46" s="11" t="n">
        <v>26.3169398907104</v>
      </c>
      <c r="H46" s="14" t="n">
        <f aca="false">(1/(1+$B$64/200))^G46</f>
        <v>0.707099758516565</v>
      </c>
      <c r="I46" s="13" t="n">
        <f aca="false">B46*H46</f>
        <v>1.5025869868477</v>
      </c>
      <c r="J46" s="9" t="n">
        <v>13</v>
      </c>
      <c r="K46" s="11" t="n">
        <v>2.20183896219987</v>
      </c>
      <c r="L46" s="9" t="n">
        <v>13.5</v>
      </c>
      <c r="M46" s="11" t="n">
        <v>2.27031383357432</v>
      </c>
      <c r="N46" s="13" t="n">
        <f aca="false">IF(L46=J46,K46,K46+(M46-K46)*(C46-J46)/(L46-J46))</f>
        <v>2.22349220694661</v>
      </c>
    </row>
    <row r="47" customFormat="false" ht="15" hidden="false" customHeight="false" outlineLevel="0" collapsed="false">
      <c r="A47" s="8" t="n">
        <v>46180</v>
      </c>
      <c r="B47" s="11" t="n">
        <v>2.125</v>
      </c>
      <c r="C47" s="13" t="n">
        <f aca="false">(A47-$B$5)/365.25</f>
        <v>13.6563997262149</v>
      </c>
      <c r="D47" s="11" t="n">
        <v>2.29125871577073</v>
      </c>
      <c r="E47" s="14" t="n">
        <f aca="false">EXP(-D47/100*C47)</f>
        <v>0.731320518896914</v>
      </c>
      <c r="F47" s="13" t="n">
        <f aca="false">B47*E47</f>
        <v>1.55405610265594</v>
      </c>
      <c r="G47" s="11" t="n">
        <v>27.3169398907104</v>
      </c>
      <c r="H47" s="14" t="n">
        <f aca="false">(1/(1+$B$64/200))^G47</f>
        <v>0.697848589668618</v>
      </c>
      <c r="I47" s="13" t="n">
        <f aca="false">B47*H47</f>
        <v>1.48292825304581</v>
      </c>
      <c r="J47" s="9" t="n">
        <v>13.5</v>
      </c>
      <c r="K47" s="11" t="n">
        <v>2.27031383357432</v>
      </c>
      <c r="L47" s="9" t="n">
        <v>14</v>
      </c>
      <c r="M47" s="11" t="n">
        <v>2.33652136018689</v>
      </c>
      <c r="N47" s="13" t="n">
        <f aca="false">IF(L47=J47,K47,K47+(M47-K47)*(C47-J47)/(L47-J47))</f>
        <v>2.29102351164547</v>
      </c>
    </row>
    <row r="48" customFormat="false" ht="15" hidden="false" customHeight="false" outlineLevel="0" collapsed="false">
      <c r="A48" s="8" t="n">
        <v>46363</v>
      </c>
      <c r="B48" s="11" t="n">
        <v>2.125</v>
      </c>
      <c r="C48" s="13" t="n">
        <f aca="false">(A48-$B$5)/365.25</f>
        <v>14.1574264202601</v>
      </c>
      <c r="D48" s="11" t="n">
        <v>2.35692572093004</v>
      </c>
      <c r="E48" s="14" t="n">
        <f aca="false">EXP(-D48/100*C48)</f>
        <v>0.716282938396259</v>
      </c>
      <c r="F48" s="13" t="n">
        <f aca="false">B48*E48</f>
        <v>1.52210124409205</v>
      </c>
      <c r="G48" s="11" t="n">
        <v>28.3169398907104</v>
      </c>
      <c r="H48" s="14" t="n">
        <f aca="false">(1/(1+$B$64/200))^G48</f>
        <v>0.688718456253116</v>
      </c>
      <c r="I48" s="13" t="n">
        <f aca="false">B48*H48</f>
        <v>1.46352671953787</v>
      </c>
      <c r="J48" s="9" t="n">
        <v>14</v>
      </c>
      <c r="K48" s="11" t="n">
        <v>2.33652136018689</v>
      </c>
      <c r="L48" s="9" t="n">
        <v>14.5</v>
      </c>
      <c r="M48" s="11" t="n">
        <v>2.4006330830714</v>
      </c>
      <c r="N48" s="13" t="n">
        <f aca="false">IF(L48=J48,K48,K48+(M48-K48)*(C48-J48)/(L48-J48))</f>
        <v>2.35670711824772</v>
      </c>
    </row>
    <row r="49" customFormat="false" ht="15" hidden="false" customHeight="false" outlineLevel="0" collapsed="false">
      <c r="A49" s="8" t="n">
        <v>46545</v>
      </c>
      <c r="B49" s="11" t="n">
        <v>2.125</v>
      </c>
      <c r="C49" s="13" t="n">
        <f aca="false">(A49-$B$5)/365.25</f>
        <v>14.6557152635181</v>
      </c>
      <c r="D49" s="11" t="n">
        <v>2.42019560313165</v>
      </c>
      <c r="E49" s="14" t="n">
        <f aca="false">EXP(-D49/100*C49)</f>
        <v>0.701385947494207</v>
      </c>
      <c r="F49" s="13" t="n">
        <f aca="false">B49*E49</f>
        <v>1.49044513842519</v>
      </c>
      <c r="G49" s="11" t="n">
        <v>29.3169398907104</v>
      </c>
      <c r="H49" s="14" t="n">
        <f aca="false">(1/(1+$B$64/200))^G49</f>
        <v>0.67970777473222</v>
      </c>
      <c r="I49" s="13" t="n">
        <f aca="false">B49*H49</f>
        <v>1.44437902130597</v>
      </c>
      <c r="J49" s="9" t="n">
        <v>14.5</v>
      </c>
      <c r="K49" s="11" t="n">
        <v>2.4006330830714</v>
      </c>
      <c r="L49" s="9" t="n">
        <v>15</v>
      </c>
      <c r="M49" s="11" t="n">
        <v>2.46279919577073</v>
      </c>
      <c r="N49" s="13" t="n">
        <f aca="false">IF(L49=J49,K49,K49+(M49-K49)*(C49-J49)/(L49-J49))</f>
        <v>2.41999350831315</v>
      </c>
    </row>
    <row r="50" customFormat="false" ht="15" hidden="false" customHeight="false" outlineLevel="0" collapsed="false">
      <c r="A50" s="8" t="n">
        <v>46728</v>
      </c>
      <c r="B50" s="11" t="n">
        <v>2.125</v>
      </c>
      <c r="C50" s="13" t="n">
        <f aca="false">(A50-$B$5)/365.25</f>
        <v>15.1567419575633</v>
      </c>
      <c r="D50" s="11" t="n">
        <v>2.48190824015645</v>
      </c>
      <c r="E50" s="14" t="n">
        <f aca="false">EXP(-D50/100*C50)</f>
        <v>0.686481208136706</v>
      </c>
      <c r="F50" s="13" t="n">
        <f aca="false">B50*E50</f>
        <v>1.4587725672905</v>
      </c>
      <c r="G50" s="11" t="n">
        <v>30.3169398907104</v>
      </c>
      <c r="H50" s="14" t="n">
        <f aca="false">(1/(1+$B$64/200))^G50</f>
        <v>0.67081498228593</v>
      </c>
      <c r="I50" s="13" t="n">
        <f aca="false">B50*H50</f>
        <v>1.4254818373576</v>
      </c>
      <c r="J50" s="9" t="n">
        <v>15</v>
      </c>
      <c r="K50" s="11" t="n">
        <v>2.46279919577073</v>
      </c>
      <c r="L50" s="9" t="n">
        <v>15.5</v>
      </c>
      <c r="M50" s="11" t="n">
        <v>2.52315178039546</v>
      </c>
      <c r="N50" s="13" t="n">
        <f aca="false">IF(L50=J50,K50,K50+(M50-K50)*(C50-J50)/(L50-J50))</f>
        <v>2.4817187602869</v>
      </c>
    </row>
    <row r="51" customFormat="false" ht="15" hidden="false" customHeight="false" outlineLevel="0" collapsed="false">
      <c r="A51" s="8" t="n">
        <v>46911</v>
      </c>
      <c r="B51" s="11" t="n">
        <v>2.125</v>
      </c>
      <c r="C51" s="13" t="n">
        <f aca="false">(A51-$B$5)/365.25</f>
        <v>15.6577686516085</v>
      </c>
      <c r="D51" s="11" t="n">
        <v>2.54183741962775</v>
      </c>
      <c r="E51" s="14" t="n">
        <f aca="false">EXP(-D51/100*C51)</f>
        <v>0.671665370757028</v>
      </c>
      <c r="F51" s="13" t="n">
        <f aca="false">B51*E51</f>
        <v>1.42728891285869</v>
      </c>
      <c r="G51" s="11" t="n">
        <v>31.3169398907104</v>
      </c>
      <c r="H51" s="14" t="n">
        <f aca="false">(1/(1+$B$64/200))^G51</f>
        <v>0.66203853654102</v>
      </c>
      <c r="I51" s="13" t="n">
        <f aca="false">B51*H51</f>
        <v>1.40683189014967</v>
      </c>
      <c r="J51" s="9" t="n">
        <v>15.5</v>
      </c>
      <c r="K51" s="11" t="n">
        <v>2.52315178039546</v>
      </c>
      <c r="L51" s="9" t="n">
        <v>16</v>
      </c>
      <c r="M51" s="11" t="n">
        <v>2.58180062044586</v>
      </c>
      <c r="N51" s="13" t="n">
        <f aca="false">IF(L51=J51,K51,K51+(M51-K51)*(C51-J51)/(L51-J51))</f>
        <v>2.54165767722177</v>
      </c>
    </row>
    <row r="52" customFormat="false" ht="15" hidden="false" customHeight="false" outlineLevel="0" collapsed="false">
      <c r="A52" s="8" t="n">
        <v>47094</v>
      </c>
      <c r="B52" s="11" t="n">
        <v>2.125</v>
      </c>
      <c r="C52" s="13" t="n">
        <f aca="false">(A52-$B$5)/365.25</f>
        <v>16.1587953456537</v>
      </c>
      <c r="D52" s="11" t="n">
        <v>2.60008379595824</v>
      </c>
      <c r="E52" s="14" t="n">
        <f aca="false">EXP(-D52/100*C52)</f>
        <v>0.6569533816522</v>
      </c>
      <c r="F52" s="13" t="n">
        <f aca="false">B52*E52</f>
        <v>1.39602593601093</v>
      </c>
      <c r="G52" s="11" t="n">
        <v>32.3169398907104</v>
      </c>
      <c r="H52" s="14" t="n">
        <f aca="false">(1/(1+$B$64/200))^G52</f>
        <v>0.653376915303534</v>
      </c>
      <c r="I52" s="13" t="n">
        <f aca="false">B52*H52</f>
        <v>1.38842594502001</v>
      </c>
      <c r="J52" s="9" t="n">
        <v>16</v>
      </c>
      <c r="K52" s="11" t="n">
        <v>2.58180062044586</v>
      </c>
      <c r="L52" s="9" t="n">
        <v>16.5</v>
      </c>
      <c r="M52" s="11" t="n">
        <v>2.63882232045935</v>
      </c>
      <c r="N52" s="13" t="n">
        <f aca="false">IF(L52=J52,K52,K52+(M52-K52)*(C52-J52)/(L52-J52))</f>
        <v>2.59991018157267</v>
      </c>
    </row>
    <row r="53" customFormat="false" ht="15" hidden="false" customHeight="false" outlineLevel="0" collapsed="false">
      <c r="A53" s="8" t="n">
        <v>47276</v>
      </c>
      <c r="B53" s="11" t="n">
        <v>2.125</v>
      </c>
      <c r="C53" s="13" t="n">
        <f aca="false">(A53-$B$5)/365.25</f>
        <v>16.6570841889117</v>
      </c>
      <c r="D53" s="11" t="n">
        <v>2.65640902609103</v>
      </c>
      <c r="E53" s="14" t="n">
        <f aca="false">EXP(-D53/100*C53)</f>
        <v>0.642441004718875</v>
      </c>
      <c r="F53" s="13" t="n">
        <f aca="false">B53*E53</f>
        <v>1.36518713502761</v>
      </c>
      <c r="G53" s="11" t="n">
        <v>33.3169398907104</v>
      </c>
      <c r="H53" s="14" t="n">
        <f aca="false">(1/(1+$B$64/200))^G53</f>
        <v>0.644828616294771</v>
      </c>
      <c r="I53" s="13" t="n">
        <f aca="false">B53*H53</f>
        <v>1.37026080962639</v>
      </c>
      <c r="J53" s="9" t="n">
        <v>16.5</v>
      </c>
      <c r="K53" s="11" t="n">
        <v>2.63882232045935</v>
      </c>
      <c r="L53" s="9" t="n">
        <v>17</v>
      </c>
      <c r="M53" s="11" t="n">
        <v>2.69426427294112</v>
      </c>
      <c r="N53" s="13" t="n">
        <f aca="false">IF(L53=J53,K53,K53+(M53-K53)*(C53-J53)/(L53-J53))</f>
        <v>2.65624042873391</v>
      </c>
    </row>
    <row r="54" customFormat="false" ht="15" hidden="false" customHeight="false" outlineLevel="0" collapsed="false">
      <c r="A54" s="8" t="n">
        <v>47459</v>
      </c>
      <c r="B54" s="11" t="n">
        <v>2.125</v>
      </c>
      <c r="C54" s="13" t="n">
        <f aca="false">(A54-$B$5)/365.25</f>
        <v>17.1581108829569</v>
      </c>
      <c r="D54" s="11" t="n">
        <v>2.71147229965104</v>
      </c>
      <c r="E54" s="14" t="n">
        <f aca="false">EXP(-D54/100*C54)</f>
        <v>0.627985988709613</v>
      </c>
      <c r="F54" s="13" t="n">
        <f aca="false">B54*E54</f>
        <v>1.33447022600793</v>
      </c>
      <c r="G54" s="11" t="n">
        <v>34.3169398907104</v>
      </c>
      <c r="H54" s="14" t="n">
        <f aca="false">(1/(1+$B$64/200))^G54</f>
        <v>0.636392156890732</v>
      </c>
      <c r="I54" s="13" t="n">
        <f aca="false">B54*H54</f>
        <v>1.35233333339281</v>
      </c>
      <c r="J54" s="9" t="n">
        <v>17</v>
      </c>
      <c r="K54" s="11" t="n">
        <v>2.69426427294112</v>
      </c>
      <c r="L54" s="9" t="n">
        <v>17.5</v>
      </c>
      <c r="M54" s="11" t="n">
        <v>2.74815341764562</v>
      </c>
      <c r="N54" s="13" t="n">
        <f aca="false">IF(L54=J54,K54,K54+(M54-K54)*(C54-J54)/(L54-J54))</f>
        <v>2.71130519344315</v>
      </c>
    </row>
    <row r="55" customFormat="false" ht="15" hidden="false" customHeight="false" outlineLevel="0" collapsed="false">
      <c r="A55" s="8" t="n">
        <v>47641</v>
      </c>
      <c r="B55" s="11" t="n">
        <v>2.125</v>
      </c>
      <c r="C55" s="13" t="n">
        <f aca="false">(A55-$B$5)/365.25</f>
        <v>17.6563997262149</v>
      </c>
      <c r="D55" s="11" t="n">
        <v>2.76469316370581</v>
      </c>
      <c r="E55" s="14" t="n">
        <f aca="false">EXP(-D55/100*C55)</f>
        <v>0.613763701315319</v>
      </c>
      <c r="F55" s="13" t="n">
        <f aca="false">B55*E55</f>
        <v>1.30424786529505</v>
      </c>
      <c r="G55" s="11" t="n">
        <v>35.3169398907104</v>
      </c>
      <c r="H55" s="14" t="n">
        <f aca="false">(1/(1+$B$64/200))^G55</f>
        <v>0.62806607386497</v>
      </c>
      <c r="I55" s="13" t="n">
        <f aca="false">B55*H55</f>
        <v>1.33464040696306</v>
      </c>
      <c r="J55" s="9" t="n">
        <v>17.5</v>
      </c>
      <c r="K55" s="11" t="n">
        <v>2.74815341764562</v>
      </c>
      <c r="L55" s="9" t="n">
        <v>18</v>
      </c>
      <c r="M55" s="11" t="n">
        <v>2.80050010398498</v>
      </c>
      <c r="N55" s="13" t="n">
        <f aca="false">IF(L55=J55,K55,K55+(M55-K55)*(C55-J55)/(L55-J55))</f>
        <v>2.76452743246909</v>
      </c>
    </row>
    <row r="56" customFormat="false" ht="15" hidden="false" customHeight="false" outlineLevel="0" collapsed="false">
      <c r="A56" s="8" t="n">
        <v>47824</v>
      </c>
      <c r="B56" s="11" t="n">
        <v>2.125</v>
      </c>
      <c r="C56" s="13" t="n">
        <f aca="false">(A56-$B$5)/365.25</f>
        <v>18.1574264202601</v>
      </c>
      <c r="D56" s="11" t="n">
        <v>2.81666205538722</v>
      </c>
      <c r="E56" s="14" t="n">
        <f aca="false">EXP(-D56/100*C56)</f>
        <v>0.599635480904347</v>
      </c>
      <c r="F56" s="13" t="n">
        <f aca="false">B56*E56</f>
        <v>1.27422539692174</v>
      </c>
      <c r="G56" s="11" t="n">
        <v>36.3169398907104</v>
      </c>
      <c r="H56" s="14" t="n">
        <f aca="false">(1/(1+$B$64/200))^G56</f>
        <v>0.619848923134808</v>
      </c>
      <c r="I56" s="13" t="n">
        <f aca="false">B56*H56</f>
        <v>1.31717896166147</v>
      </c>
      <c r="J56" s="9" t="n">
        <v>18</v>
      </c>
      <c r="K56" s="11" t="n">
        <v>2.80050010398498</v>
      </c>
      <c r="L56" s="9" t="n">
        <v>18.5</v>
      </c>
      <c r="M56" s="11" t="n">
        <v>2.85130038236337</v>
      </c>
      <c r="N56" s="13" t="n">
        <f aca="false">IF(L56=J56,K56,K56+(M56-K56)*(C56-J56)/(L56-J56))</f>
        <v>2.81649471593163</v>
      </c>
    </row>
    <row r="57" customFormat="false" ht="15" hidden="false" customHeight="false" outlineLevel="0" collapsed="false">
      <c r="A57" s="8" t="n">
        <v>48006</v>
      </c>
      <c r="B57" s="11" t="n">
        <v>2.125</v>
      </c>
      <c r="C57" s="13" t="n">
        <f aca="false">(A57-$B$5)/365.25</f>
        <v>18.6557152635181</v>
      </c>
      <c r="D57" s="11" t="n">
        <v>2.86680322282038</v>
      </c>
      <c r="E57" s="14" t="n">
        <f aca="false">EXP(-D57/100*C57)</f>
        <v>0.585773169904635</v>
      </c>
      <c r="F57" s="13" t="n">
        <f aca="false">B57*E57</f>
        <v>1.24476798604735</v>
      </c>
      <c r="G57" s="11" t="n">
        <v>37.3169398907104</v>
      </c>
      <c r="H57" s="14" t="n">
        <f aca="false">(1/(1+$B$64/200))^G57</f>
        <v>0.611739279510876</v>
      </c>
      <c r="I57" s="13" t="n">
        <f aca="false">B57*H57</f>
        <v>1.29994596896061</v>
      </c>
      <c r="J57" s="9" t="n">
        <v>18.5</v>
      </c>
      <c r="K57" s="11" t="n">
        <v>2.85130038236337</v>
      </c>
      <c r="L57" s="9" t="n">
        <v>19</v>
      </c>
      <c r="M57" s="11" t="n">
        <v>2.90053952809473</v>
      </c>
      <c r="N57" s="13" t="n">
        <f aca="false">IF(L57=J57,K57,K57+(M57-K57)*(C57-J57)/(L57-J57))</f>
        <v>2.86663495546931</v>
      </c>
    </row>
    <row r="58" customFormat="false" ht="15" hidden="false" customHeight="false" outlineLevel="0" collapsed="false">
      <c r="A58" s="8" t="n">
        <v>48189</v>
      </c>
      <c r="B58" s="11" t="n">
        <v>2.125</v>
      </c>
      <c r="C58" s="13" t="n">
        <f aca="false">(A58-$B$5)/365.25</f>
        <v>19.1567419575633</v>
      </c>
      <c r="D58" s="11" t="n">
        <v>2.91565066828931</v>
      </c>
      <c r="E58" s="14" t="n">
        <f aca="false">EXP(-D58/100*C58)</f>
        <v>0.572041535969075</v>
      </c>
      <c r="F58" s="13" t="n">
        <f aca="false">B58*E58</f>
        <v>1.21558826393428</v>
      </c>
      <c r="G58" s="11" t="n">
        <v>38.3169398907104</v>
      </c>
      <c r="H58" s="14" t="n">
        <f aca="false">(1/(1+$B$64/200))^G58</f>
        <v>0.603735736449924</v>
      </c>
      <c r="I58" s="13" t="n">
        <f aca="false">B58*H58</f>
        <v>1.28293843995609</v>
      </c>
      <c r="J58" s="9" t="n">
        <v>19</v>
      </c>
      <c r="K58" s="11" t="n">
        <v>2.90053952809473</v>
      </c>
      <c r="L58" s="9" t="n">
        <v>19.5</v>
      </c>
      <c r="M58" s="11" t="n">
        <v>2.9481969170956</v>
      </c>
      <c r="N58" s="13" t="n">
        <f aca="false">IF(L58=J58,K58,K58+(M58-K58)*(C58-J58)/(L58-J58))</f>
        <v>2.91547935298344</v>
      </c>
    </row>
    <row r="59" customFormat="false" ht="15" hidden="false" customHeight="false" outlineLevel="0" collapsed="false">
      <c r="A59" s="8" t="n">
        <v>48372</v>
      </c>
      <c r="B59" s="11" t="n">
        <v>102.125</v>
      </c>
      <c r="C59" s="13" t="n">
        <f aca="false">(A59-$B$5)/365.25</f>
        <v>19.6577686516085</v>
      </c>
      <c r="D59" s="11" t="n">
        <v>2.96290240068597</v>
      </c>
      <c r="E59" s="14" t="n">
        <f aca="false">EXP(-D59/100*C59)</f>
        <v>0.558533601025894</v>
      </c>
      <c r="F59" s="13" t="n">
        <f aca="false">B59*E59</f>
        <v>57.0402440047694</v>
      </c>
      <c r="G59" s="11" t="n">
        <v>39.3169398907104</v>
      </c>
      <c r="H59" s="14" t="n">
        <f aca="false">(1/(1+$B$64/200))^G59</f>
        <v>0.595836905810871</v>
      </c>
      <c r="I59" s="13" t="n">
        <f aca="false">B59*H59</f>
        <v>60.8498440059352</v>
      </c>
      <c r="J59" s="9" t="n">
        <v>19.5</v>
      </c>
      <c r="K59" s="11" t="n">
        <v>2.9481969170956</v>
      </c>
      <c r="L59" s="9" t="n">
        <v>20</v>
      </c>
      <c r="M59" s="11" t="n">
        <v>2.99424762325294</v>
      </c>
      <c r="N59" s="13" t="n">
        <f aca="false">IF(L59=J59,K59,K59+(M59-K59)*(C59-J59)/(L59-J59))</f>
        <v>2.96272763272773</v>
      </c>
    </row>
    <row r="61" customFormat="false" ht="15" hidden="false" customHeight="false" outlineLevel="0" collapsed="false">
      <c r="A61" s="7" t="s">
        <v>62</v>
      </c>
      <c r="B61" s="13" t="n">
        <f aca="false">SUM(F20:F59)</f>
        <v>125.818015288134</v>
      </c>
    </row>
    <row r="62" customFormat="false" ht="15" hidden="false" customHeight="false" outlineLevel="0" collapsed="false">
      <c r="A62" s="7" t="s">
        <v>63</v>
      </c>
      <c r="B62" s="13" t="n">
        <f aca="false">B12</f>
        <v>1.45150273224044</v>
      </c>
    </row>
    <row r="63" customFormat="false" ht="15" hidden="false" customHeight="false" outlineLevel="0" collapsed="false">
      <c r="A63" s="7" t="s">
        <v>64</v>
      </c>
      <c r="B63" s="13" t="n">
        <f aca="false">B61-B62</f>
        <v>124.366512555894</v>
      </c>
    </row>
    <row r="64" customFormat="false" ht="15" hidden="false" customHeight="false" outlineLevel="0" collapsed="false">
      <c r="A64" s="7" t="s">
        <v>65</v>
      </c>
      <c r="B64" s="15" t="n">
        <v>2.65133984216823</v>
      </c>
    </row>
    <row r="65" customFormat="false" ht="15" hidden="false" customHeight="false" outlineLevel="0" collapsed="false">
      <c r="A65" s="7" t="s">
        <v>66</v>
      </c>
      <c r="B65" s="13" t="n">
        <f aca="false">SUM(I20:I59)</f>
        <v>125.818015288132</v>
      </c>
    </row>
    <row r="66" customFormat="false" ht="15" hidden="false" customHeight="false" outlineLevel="0" collapsed="false">
      <c r="A66" s="7" t="s">
        <v>67</v>
      </c>
      <c r="B66" s="16" t="n">
        <f aca="false">B65-B61</f>
        <v>-2.31636931857793E-012</v>
      </c>
    </row>
    <row r="67" customFormat="false" ht="15" hidden="false" customHeight="false" outlineLevel="0" collapsed="false">
      <c r="A67" s="7" t="s">
        <v>68</v>
      </c>
      <c r="B67" s="17" t="n">
        <f aca="false">100*(B13-B64)</f>
        <v>1.01151578317733</v>
      </c>
    </row>
    <row r="68" customFormat="false" ht="15" hidden="false" customHeight="false" outlineLevel="0" collapsed="false">
      <c r="A68" s="7" t="s">
        <v>69</v>
      </c>
      <c r="B68" s="9" t="n">
        <v>1.01151578317729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6" t="s">
        <v>206</v>
      </c>
    </row>
    <row r="3" customFormat="false" ht="77.6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customFormat="false" ht="15" hidden="false" customHeight="false" outlineLevel="0" collapsed="false">
      <c r="A4" s="10" t="n">
        <v>-25</v>
      </c>
      <c r="B4" s="8" t="n">
        <v>41156</v>
      </c>
      <c r="C4" s="11" t="n">
        <v>2.499266</v>
      </c>
      <c r="D4" s="11" t="n">
        <v>2.493772018</v>
      </c>
      <c r="E4" s="18" t="n">
        <f aca="false">IF(F4=1,100*(C4-D4),"")</f>
        <v>0.549398199999995</v>
      </c>
      <c r="F4" s="10" t="n">
        <v>1</v>
      </c>
      <c r="G4" s="10"/>
    </row>
    <row r="5" customFormat="false" ht="15" hidden="false" customHeight="false" outlineLevel="0" collapsed="false">
      <c r="A5" s="10" t="n">
        <v>-24</v>
      </c>
      <c r="B5" s="8" t="n">
        <v>41157</v>
      </c>
      <c r="C5" s="11" t="n">
        <v>2.515781</v>
      </c>
      <c r="D5" s="11" t="n">
        <v>2.522845006</v>
      </c>
      <c r="E5" s="18" t="n">
        <f aca="false">IF(F5=1,100*(C5-D5),"")</f>
        <v>-0.706400599999979</v>
      </c>
      <c r="F5" s="10" t="n">
        <v>1</v>
      </c>
      <c r="G5" s="10"/>
    </row>
    <row r="6" customFormat="false" ht="15" hidden="false" customHeight="false" outlineLevel="0" collapsed="false">
      <c r="A6" s="10" t="n">
        <v>-23</v>
      </c>
      <c r="B6" s="8" t="n">
        <v>41158</v>
      </c>
      <c r="C6" s="11" t="n">
        <v>2.597495</v>
      </c>
      <c r="D6" s="11" t="n">
        <v>2.599990239</v>
      </c>
      <c r="E6" s="18" t="n">
        <f aca="false">IF(F6=1,100*(C6-D6),"")</f>
        <v>-0.249523899999993</v>
      </c>
      <c r="F6" s="10" t="n">
        <v>1</v>
      </c>
      <c r="G6" s="10"/>
    </row>
    <row r="7" customFormat="false" ht="15" hidden="false" customHeight="false" outlineLevel="0" collapsed="false">
      <c r="A7" s="10" t="n">
        <v>-22</v>
      </c>
      <c r="B7" s="8" t="n">
        <v>41159</v>
      </c>
      <c r="C7" s="11" t="n">
        <v>2.57786</v>
      </c>
      <c r="D7" s="11" t="n">
        <v>2.57709504</v>
      </c>
      <c r="E7" s="18" t="n">
        <f aca="false">IF(F7=1,100*(C7-D7),"")</f>
        <v>0.0764959999999704</v>
      </c>
      <c r="F7" s="10" t="n">
        <v>1</v>
      </c>
      <c r="G7" s="10"/>
    </row>
    <row r="8" customFormat="false" ht="15" hidden="false" customHeight="false" outlineLevel="0" collapsed="false">
      <c r="A8" s="10" t="n">
        <v>-21</v>
      </c>
      <c r="B8" s="8" t="n">
        <v>41162</v>
      </c>
      <c r="C8" s="11" t="n">
        <v>2.632029</v>
      </c>
      <c r="D8" s="11" t="n">
        <v>2.632477038</v>
      </c>
      <c r="E8" s="18" t="n">
        <f aca="false">IF(F8=1,100*(C8-D8),"")</f>
        <v>-0.0448038000000039</v>
      </c>
      <c r="F8" s="10" t="n">
        <v>1</v>
      </c>
      <c r="G8" s="10"/>
    </row>
    <row r="9" customFormat="false" ht="15" hidden="false" customHeight="false" outlineLevel="0" collapsed="false">
      <c r="A9" s="10" t="n">
        <v>-20</v>
      </c>
      <c r="B9" s="8" t="n">
        <v>41163</v>
      </c>
      <c r="C9" s="11" t="n">
        <v>2.647255</v>
      </c>
      <c r="D9" s="11" t="n">
        <v>2.651279947</v>
      </c>
      <c r="E9" s="18" t="n">
        <f aca="false">IF(F9=1,100*(C9-D9),"")</f>
        <v>-0.4024947</v>
      </c>
      <c r="F9" s="10" t="n">
        <v>1</v>
      </c>
      <c r="G9" s="10"/>
    </row>
    <row r="10" customFormat="false" ht="15" hidden="false" customHeight="false" outlineLevel="0" collapsed="false">
      <c r="A10" s="10" t="n">
        <v>-19</v>
      </c>
      <c r="B10" s="8" t="n">
        <v>41164</v>
      </c>
      <c r="C10" s="11" t="n">
        <v>2.709606</v>
      </c>
      <c r="D10" s="11" t="n">
        <v>2.711245375</v>
      </c>
      <c r="E10" s="18" t="n">
        <f aca="false">IF(F10=1,100*(C10-D10),"")</f>
        <v>-0.163937499999989</v>
      </c>
      <c r="F10" s="10" t="n">
        <v>1</v>
      </c>
      <c r="G10" s="10"/>
    </row>
    <row r="11" customFormat="false" ht="15" hidden="false" customHeight="false" outlineLevel="0" collapsed="false">
      <c r="A11" s="10" t="n">
        <v>-18</v>
      </c>
      <c r="B11" s="8" t="n">
        <v>41165</v>
      </c>
      <c r="C11" s="11" t="n">
        <v>2.672108</v>
      </c>
      <c r="D11" s="11" t="n">
        <v>2.682577796</v>
      </c>
      <c r="E11" s="18" t="n">
        <f aca="false">IF(F11=1,100*(C11-D11),"")</f>
        <v>-1.04697959999998</v>
      </c>
      <c r="F11" s="10" t="n">
        <v>1</v>
      </c>
      <c r="G11" s="10"/>
    </row>
    <row r="12" customFormat="false" ht="15" hidden="false" customHeight="false" outlineLevel="0" collapsed="false">
      <c r="A12" s="10" t="n">
        <v>-17</v>
      </c>
      <c r="B12" s="8" t="n">
        <v>41166</v>
      </c>
      <c r="C12" s="11" t="n">
        <v>2.798563</v>
      </c>
      <c r="D12" s="11" t="n">
        <v>2.816994946</v>
      </c>
      <c r="E12" s="18" t="n">
        <f aca="false">IF(F12=1,100*(C12-D12),"")</f>
        <v>-1.84319459999998</v>
      </c>
      <c r="F12" s="10" t="n">
        <v>1</v>
      </c>
      <c r="G12" s="10"/>
    </row>
    <row r="13" customFormat="false" ht="15" hidden="false" customHeight="false" outlineLevel="0" collapsed="false">
      <c r="A13" s="10" t="n">
        <v>-16</v>
      </c>
      <c r="B13" s="8" t="n">
        <v>41169</v>
      </c>
      <c r="C13" s="11" t="n">
        <v>2.761051</v>
      </c>
      <c r="D13" s="11" t="n">
        <v>2.772122857</v>
      </c>
      <c r="E13" s="18" t="n">
        <f aca="false">IF(F13=1,100*(C13-D13),"")</f>
        <v>-1.10718569999997</v>
      </c>
      <c r="F13" s="10" t="n">
        <v>1</v>
      </c>
      <c r="G13" s="10"/>
    </row>
    <row r="14" customFormat="false" ht="15" hidden="false" customHeight="false" outlineLevel="0" collapsed="false">
      <c r="A14" s="10" t="n">
        <v>-15</v>
      </c>
      <c r="B14" s="8" t="n">
        <v>41170</v>
      </c>
      <c r="C14" s="11" t="n">
        <v>2.728984</v>
      </c>
      <c r="D14" s="11" t="n">
        <v>2.731461489</v>
      </c>
      <c r="E14" s="18" t="n">
        <f aca="false">IF(F14=1,100*(C14-D14),"")</f>
        <v>-0.247748899999989</v>
      </c>
      <c r="F14" s="10" t="n">
        <v>1</v>
      </c>
      <c r="G14" s="10"/>
    </row>
    <row r="15" customFormat="false" ht="15" hidden="false" customHeight="false" outlineLevel="0" collapsed="false">
      <c r="A15" s="10" t="n">
        <v>-14</v>
      </c>
      <c r="B15" s="8" t="n">
        <v>41171</v>
      </c>
      <c r="C15" s="11" t="n">
        <v>2.702273</v>
      </c>
      <c r="D15" s="11" t="n">
        <v>2.711157593</v>
      </c>
      <c r="E15" s="18" t="n">
        <f aca="false">IF(F15=1,100*(C15-D15),"")</f>
        <v>-0.888459299999989</v>
      </c>
      <c r="F15" s="10" t="n">
        <v>1</v>
      </c>
      <c r="G15" s="10"/>
    </row>
    <row r="16" customFormat="false" ht="15" hidden="false" customHeight="false" outlineLevel="0" collapsed="false">
      <c r="A16" s="10" t="n">
        <v>-13</v>
      </c>
      <c r="B16" s="8" t="n">
        <v>41172</v>
      </c>
      <c r="C16" s="11" t="n">
        <v>2.655638</v>
      </c>
      <c r="D16" s="11" t="n">
        <v>2.6656181</v>
      </c>
      <c r="E16" s="18" t="n">
        <f aca="false">IF(F16=1,100*(C16-D16),"")</f>
        <v>-0.998009999999994</v>
      </c>
      <c r="F16" s="10" t="n">
        <v>1</v>
      </c>
      <c r="G16" s="10"/>
    </row>
    <row r="17" customFormat="false" ht="15" hidden="false" customHeight="false" outlineLevel="0" collapsed="false">
      <c r="A17" s="10" t="n">
        <v>-12</v>
      </c>
      <c r="B17" s="8" t="n">
        <v>41173</v>
      </c>
      <c r="C17" s="11" t="n">
        <v>2.706897</v>
      </c>
      <c r="D17" s="11" t="n">
        <v>2.705853914</v>
      </c>
      <c r="E17" s="18" t="n">
        <f aca="false">IF(F17=1,100*(C17-D17),"")</f>
        <v>0.104308600000014</v>
      </c>
      <c r="F17" s="10" t="n">
        <v>1</v>
      </c>
      <c r="G17" s="10"/>
    </row>
    <row r="18" customFormat="false" ht="15" hidden="false" customHeight="false" outlineLevel="0" collapsed="false">
      <c r="A18" s="10" t="n">
        <v>-11</v>
      </c>
      <c r="B18" s="8" t="n">
        <v>41176</v>
      </c>
      <c r="C18" s="11" t="n">
        <v>2.693498</v>
      </c>
      <c r="D18" s="11" t="n">
        <v>2.695677496</v>
      </c>
      <c r="E18" s="18" t="n">
        <f aca="false">IF(F18=1,100*(C18-D18),"")</f>
        <v>-0.217949600000011</v>
      </c>
      <c r="F18" s="10" t="n">
        <v>1</v>
      </c>
      <c r="G18" s="10"/>
    </row>
    <row r="19" customFormat="false" ht="15" hidden="false" customHeight="false" outlineLevel="0" collapsed="false">
      <c r="A19" s="10" t="n">
        <v>-10</v>
      </c>
      <c r="B19" s="8" t="n">
        <v>41177</v>
      </c>
      <c r="C19" s="11" t="n">
        <v>2.679552</v>
      </c>
      <c r="D19" s="11" t="n">
        <v>2.684220872</v>
      </c>
      <c r="E19" s="18" t="n">
        <f aca="false">IF(F19=1,100*(C19-D19),"")</f>
        <v>-0.466887199999988</v>
      </c>
      <c r="F19" s="10" t="n">
        <v>1</v>
      </c>
      <c r="G19" s="10"/>
    </row>
    <row r="20" customFormat="false" ht="15" hidden="false" customHeight="false" outlineLevel="0" collapsed="false">
      <c r="A20" s="10" t="n">
        <v>-9</v>
      </c>
      <c r="B20" s="8" t="n">
        <v>41178</v>
      </c>
      <c r="C20" s="11" t="n">
        <v>2.566225</v>
      </c>
      <c r="D20" s="11" t="n">
        <v>2.576344299</v>
      </c>
      <c r="E20" s="18" t="n">
        <f aca="false">IF(F20=1,100*(C20-D20),"")</f>
        <v>-1.01192989999999</v>
      </c>
      <c r="F20" s="10" t="n">
        <v>1</v>
      </c>
      <c r="G20" s="10"/>
    </row>
    <row r="21" customFormat="false" ht="15" hidden="false" customHeight="false" outlineLevel="0" collapsed="false">
      <c r="A21" s="10" t="n">
        <v>-8</v>
      </c>
      <c r="B21" s="8" t="n">
        <v>41179</v>
      </c>
      <c r="C21" s="11" t="n">
        <v>2.611872</v>
      </c>
      <c r="D21" s="11" t="n">
        <v>2.622332026</v>
      </c>
      <c r="E21" s="18" t="n">
        <f aca="false">IF(F21=1,100*(C21-D21),"")</f>
        <v>-1.04600260000001</v>
      </c>
      <c r="F21" s="10" t="n">
        <v>1</v>
      </c>
      <c r="G21" s="10"/>
    </row>
    <row r="22" customFormat="false" ht="15" hidden="false" customHeight="false" outlineLevel="0" collapsed="false">
      <c r="A22" s="10" t="n">
        <v>-7</v>
      </c>
      <c r="B22" s="8" t="n">
        <v>41180</v>
      </c>
      <c r="C22" s="11" t="n">
        <v>2.613693</v>
      </c>
      <c r="D22" s="11" t="n">
        <v>2.625105355</v>
      </c>
      <c r="E22" s="18" t="n">
        <f aca="false">IF(F22=1,100*(C22-D22),"")</f>
        <v>-1.1412355</v>
      </c>
      <c r="F22" s="10" t="n">
        <v>1</v>
      </c>
      <c r="G22" s="10"/>
    </row>
    <row r="23" customFormat="false" ht="15" hidden="false" customHeight="false" outlineLevel="0" collapsed="false">
      <c r="A23" s="10" t="n">
        <v>-6</v>
      </c>
      <c r="B23" s="8" t="n">
        <v>41183</v>
      </c>
      <c r="C23" s="11" t="n">
        <v>2.638028</v>
      </c>
      <c r="D23" s="11" t="n">
        <v>2.630169554</v>
      </c>
      <c r="E23" s="18" t="n">
        <f aca="false">IF(F23=1,100*(C23-D23),"")</f>
        <v>0.785844599999974</v>
      </c>
      <c r="F23" s="10" t="n">
        <v>1</v>
      </c>
      <c r="G23" s="10"/>
    </row>
    <row r="25" customFormat="false" ht="15" hidden="false" customHeight="false" outlineLevel="0" collapsed="false">
      <c r="A25" s="7" t="s">
        <v>78</v>
      </c>
      <c r="B25" s="19" t="n">
        <f aca="false">SUM(F4:F23)</f>
        <v>20</v>
      </c>
    </row>
    <row r="26" customFormat="false" ht="15" hidden="false" customHeight="false" outlineLevel="0" collapsed="false">
      <c r="A26" s="7" t="s">
        <v>79</v>
      </c>
      <c r="B26" s="18" t="n">
        <f aca="false">IF(B25&gt;=10,AVERAGEIF(F4:F23,1,E4:E23),"n/a")</f>
        <v>-0.503334799999995</v>
      </c>
    </row>
    <row r="27" customFormat="false" ht="15" hidden="false" customHeight="false" outlineLevel="0" collapsed="false">
      <c r="A27" s="7" t="s">
        <v>80</v>
      </c>
      <c r="B27" s="18" t="n">
        <f aca="false">'A3 M1'!B67</f>
        <v>1.01151578317733</v>
      </c>
    </row>
    <row r="28" customFormat="false" ht="15" hidden="false" customHeight="false" outlineLevel="0" collapsed="false">
      <c r="A28" s="7" t="s">
        <v>81</v>
      </c>
      <c r="B28" s="17" t="n">
        <f aca="false">IF(B25&gt;=10,B27-B26,"n/a")</f>
        <v>1.51485058317733</v>
      </c>
    </row>
    <row r="29" customFormat="false" ht="15" hidden="false" customHeight="false" outlineLevel="0" collapsed="false">
      <c r="A29" s="7" t="s">
        <v>82</v>
      </c>
      <c r="B29" s="9" t="n">
        <v>1.51485057472728</v>
      </c>
    </row>
    <row r="30" customFormat="false" ht="15" hidden="false" customHeight="false" outlineLevel="0" collapsed="false">
      <c r="A30" s="7" t="s">
        <v>83</v>
      </c>
      <c r="B3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207</v>
      </c>
    </row>
    <row r="3" customFormat="false" ht="15" hidden="false" customHeight="false" outlineLevel="0" collapsed="false">
      <c r="A3" s="3" t="s">
        <v>85</v>
      </c>
      <c r="B3" s="3" t="s">
        <v>72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208</v>
      </c>
      <c r="N3" s="3" t="s">
        <v>209</v>
      </c>
      <c r="O3" s="3" t="s">
        <v>86</v>
      </c>
      <c r="P3" s="3" t="s">
        <v>87</v>
      </c>
      <c r="Q3" s="3" t="s">
        <v>88</v>
      </c>
      <c r="R3" s="3" t="s">
        <v>89</v>
      </c>
      <c r="S3" s="3" t="s">
        <v>90</v>
      </c>
      <c r="T3" s="3" t="s">
        <v>91</v>
      </c>
      <c r="U3" s="3" t="s">
        <v>92</v>
      </c>
      <c r="V3" s="3" t="s">
        <v>93</v>
      </c>
      <c r="W3" s="3" t="s">
        <v>94</v>
      </c>
      <c r="X3" s="3" t="s">
        <v>95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  <c r="AE3" s="3" t="s">
        <v>102</v>
      </c>
      <c r="AF3" s="3" t="s">
        <v>103</v>
      </c>
      <c r="AG3" s="3" t="s">
        <v>116</v>
      </c>
      <c r="AH3" s="3" t="s">
        <v>117</v>
      </c>
      <c r="AI3" s="3" t="s">
        <v>118</v>
      </c>
      <c r="AJ3" s="3" t="s">
        <v>119</v>
      </c>
      <c r="AK3" s="3" t="s">
        <v>120</v>
      </c>
    </row>
    <row r="4" customFormat="false" ht="15" hidden="false" customHeight="false" outlineLevel="0" collapsed="false">
      <c r="A4" s="10" t="n">
        <v>-121</v>
      </c>
      <c r="B4" s="8" t="n">
        <v>41016</v>
      </c>
      <c r="C4" s="11" t="n">
        <v>0.400186130350733</v>
      </c>
      <c r="D4" s="11" t="n">
        <v>0.455621495824422</v>
      </c>
      <c r="E4" s="11" t="n">
        <v>0.541714852868913</v>
      </c>
      <c r="F4" s="11" t="n">
        <v>0.647560303797707</v>
      </c>
      <c r="G4" s="11" t="n">
        <v>0.765907898018318</v>
      </c>
      <c r="H4" s="11" t="n">
        <v>0.891757135478026</v>
      </c>
      <c r="I4" s="11" t="n">
        <v>1.02160990338519</v>
      </c>
      <c r="J4" s="11" t="n">
        <v>1.15296408376241</v>
      </c>
      <c r="K4" s="11" t="n">
        <v>1.28398056769394</v>
      </c>
      <c r="L4" s="11" t="n">
        <v>1.41325265558415</v>
      </c>
      <c r="M4" s="11" t="n">
        <v>1.53969727233708</v>
      </c>
      <c r="N4" s="11" t="n">
        <v>1.66246212007441</v>
      </c>
      <c r="O4" s="11" t="n">
        <v>1.78088424891814</v>
      </c>
      <c r="P4" s="11" t="n">
        <v>1.89447733224664</v>
      </c>
      <c r="Q4" s="11" t="n">
        <v>2.00292063436363</v>
      </c>
      <c r="R4" s="11" t="n">
        <v>2.10605151806283</v>
      </c>
      <c r="S4" s="11" t="n">
        <v>2.20384461291846</v>
      </c>
      <c r="T4" s="11" t="n">
        <v>2.29640874363815</v>
      </c>
      <c r="U4" s="11" t="n">
        <v>2.38393052811714</v>
      </c>
      <c r="V4" s="11" t="n">
        <v>2.46662787579409</v>
      </c>
      <c r="W4" s="11" t="n">
        <v>2.54474212969306</v>
      </c>
      <c r="X4" s="11" t="n">
        <v>2.61853337970649</v>
      </c>
      <c r="Y4" s="11" t="n">
        <v>2.68827685301599</v>
      </c>
      <c r="Z4" s="11" t="n">
        <v>2.75425571136073</v>
      </c>
      <c r="AA4" s="11" t="n">
        <v>2.81673373016666</v>
      </c>
      <c r="AB4" s="11" t="n">
        <v>2.87594295379165</v>
      </c>
      <c r="AC4" s="11" t="n">
        <v>2.93208828314103</v>
      </c>
      <c r="AD4" s="11" t="n">
        <v>2.9853518536438</v>
      </c>
      <c r="AE4" s="11" t="n">
        <v>3.03589639983681</v>
      </c>
      <c r="AF4" s="11" t="n">
        <v>3.08386278103669</v>
      </c>
      <c r="AG4" s="11" t="n">
        <v>3.50700963327954</v>
      </c>
      <c r="AH4" s="11" t="n">
        <v>3.52610782760509</v>
      </c>
      <c r="AI4" s="11" t="n">
        <v>3.54357994757702</v>
      </c>
      <c r="AJ4" s="11" t="n">
        <v>3.55949484356265</v>
      </c>
      <c r="AK4" s="11" t="n">
        <v>3.57392225392234</v>
      </c>
    </row>
    <row r="5" customFormat="false" ht="15" hidden="false" customHeight="false" outlineLevel="0" collapsed="false">
      <c r="A5" s="10" t="n">
        <v>-120</v>
      </c>
      <c r="B5" s="8" t="n">
        <v>41017</v>
      </c>
      <c r="C5" s="11" t="n">
        <v>0.432989107367526</v>
      </c>
      <c r="D5" s="11" t="n">
        <v>0.498987640611102</v>
      </c>
      <c r="E5" s="11" t="n">
        <v>0.592228591304565</v>
      </c>
      <c r="F5" s="11" t="n">
        <v>0.702492688196014</v>
      </c>
      <c r="G5" s="11" t="n">
        <v>0.823145533967815</v>
      </c>
      <c r="H5" s="11" t="n">
        <v>0.949687002790962</v>
      </c>
      <c r="I5" s="11" t="n">
        <v>1.0790217037844</v>
      </c>
      <c r="J5" s="11" t="n">
        <v>1.20897806432208</v>
      </c>
      <c r="K5" s="11" t="n">
        <v>1.33799064600282</v>
      </c>
      <c r="L5" s="11" t="n">
        <v>1.46487259369883</v>
      </c>
      <c r="M5" s="11" t="n">
        <v>1.5887169958246</v>
      </c>
      <c r="N5" s="11" t="n">
        <v>1.70880431998194</v>
      </c>
      <c r="O5" s="11" t="n">
        <v>1.82456582171848</v>
      </c>
      <c r="P5" s="11" t="n">
        <v>1.93557694311264</v>
      </c>
      <c r="Q5" s="11" t="n">
        <v>2.04155175738014</v>
      </c>
      <c r="R5" s="11" t="n">
        <v>2.14234223636451</v>
      </c>
      <c r="S5" s="11" t="n">
        <v>2.23792360419588</v>
      </c>
      <c r="T5" s="11" t="n">
        <v>2.32839270551808</v>
      </c>
      <c r="U5" s="11" t="n">
        <v>2.41391939867434</v>
      </c>
      <c r="V5" s="11" t="n">
        <v>2.49470593446916</v>
      </c>
      <c r="W5" s="11" t="n">
        <v>2.57097910811173</v>
      </c>
      <c r="X5" s="11" t="n">
        <v>2.642985350335</v>
      </c>
      <c r="Y5" s="11" t="n">
        <v>2.71098694692103</v>
      </c>
      <c r="Z5" s="11" t="n">
        <v>2.77525505599889</v>
      </c>
      <c r="AA5" s="11" t="n">
        <v>2.83604463603772</v>
      </c>
      <c r="AB5" s="11" t="n">
        <v>2.89358318465982</v>
      </c>
      <c r="AC5" s="11" t="n">
        <v>2.9480746995</v>
      </c>
      <c r="AD5" s="11" t="n">
        <v>2.99970346852618</v>
      </c>
      <c r="AE5" s="11" t="n">
        <v>3.04863694587638</v>
      </c>
      <c r="AF5" s="11" t="n">
        <v>3.09502269177357</v>
      </c>
      <c r="AG5" s="11" t="n">
        <v>3.50356566046074</v>
      </c>
      <c r="AH5" s="11" t="n">
        <v>3.52210699856588</v>
      </c>
      <c r="AI5" s="11" t="n">
        <v>3.53909802593349</v>
      </c>
      <c r="AJ5" s="11" t="n">
        <v>3.55460393527821</v>
      </c>
      <c r="AK5" s="11" t="n">
        <v>3.56869058322077</v>
      </c>
    </row>
    <row r="6" customFormat="false" ht="15" hidden="false" customHeight="false" outlineLevel="0" collapsed="false">
      <c r="A6" s="10" t="n">
        <v>-119</v>
      </c>
      <c r="B6" s="8" t="n">
        <v>41018</v>
      </c>
      <c r="C6" s="11" t="n">
        <v>0.440405730248961</v>
      </c>
      <c r="D6" s="11" t="n">
        <v>0.51277281565748</v>
      </c>
      <c r="E6" s="11" t="n">
        <v>0.611427406178626</v>
      </c>
      <c r="F6" s="11" t="n">
        <v>0.72571665706121</v>
      </c>
      <c r="G6" s="11" t="n">
        <v>0.849014892270673</v>
      </c>
      <c r="H6" s="11" t="n">
        <v>0.977011375473669</v>
      </c>
      <c r="I6" s="11" t="n">
        <v>1.10685472083336</v>
      </c>
      <c r="J6" s="11" t="n">
        <v>1.23661743659618</v>
      </c>
      <c r="K6" s="11" t="n">
        <v>1.36494695668816</v>
      </c>
      <c r="L6" s="11" t="n">
        <v>1.4908313389815</v>
      </c>
      <c r="M6" s="11" t="n">
        <v>1.61350212712037</v>
      </c>
      <c r="N6" s="11" t="n">
        <v>1.73234755105165</v>
      </c>
      <c r="O6" s="11" t="n">
        <v>1.84687935753007</v>
      </c>
      <c r="P6" s="11" t="n">
        <v>1.95673141589709</v>
      </c>
      <c r="Q6" s="11" t="n">
        <v>2.06165789847741</v>
      </c>
      <c r="R6" s="11" t="n">
        <v>2.1615365357185</v>
      </c>
      <c r="S6" s="11" t="n">
        <v>2.25635736754974</v>
      </c>
      <c r="T6" s="11" t="n">
        <v>2.34622376553632</v>
      </c>
      <c r="U6" s="11" t="n">
        <v>2.43130546027572</v>
      </c>
      <c r="V6" s="11" t="n">
        <v>2.51179920501744</v>
      </c>
      <c r="W6" s="11" t="n">
        <v>2.5879220600939</v>
      </c>
      <c r="X6" s="11" t="n">
        <v>2.65990733150381</v>
      </c>
      <c r="Y6" s="11" t="n">
        <v>2.72800144211461</v>
      </c>
      <c r="Z6" s="11" t="n">
        <v>2.7924575870654</v>
      </c>
      <c r="AA6" s="11" t="n">
        <v>2.85351211910262</v>
      </c>
      <c r="AB6" s="11" t="n">
        <v>2.91137420584012</v>
      </c>
      <c r="AC6" s="11" t="n">
        <v>2.96622979121551</v>
      </c>
      <c r="AD6" s="11" t="n">
        <v>3.01824534124441</v>
      </c>
      <c r="AE6" s="11" t="n">
        <v>3.06757070976254</v>
      </c>
      <c r="AF6" s="11" t="n">
        <v>3.11433686562905</v>
      </c>
      <c r="AG6" s="11" t="n">
        <v>3.52343680458545</v>
      </c>
      <c r="AH6" s="11" t="n">
        <v>3.54167908595078</v>
      </c>
      <c r="AI6" s="11" t="n">
        <v>3.55834418962667</v>
      </c>
      <c r="AJ6" s="11" t="n">
        <v>3.57350356417195</v>
      </c>
      <c r="AK6" s="11" t="n">
        <v>3.58722908018169</v>
      </c>
    </row>
    <row r="7" customFormat="false" ht="15" hidden="false" customHeight="false" outlineLevel="0" collapsed="false">
      <c r="A7" s="10" t="n">
        <v>-118</v>
      </c>
      <c r="B7" s="8" t="n">
        <v>41019</v>
      </c>
      <c r="C7" s="11" t="n">
        <v>0.471455746324823</v>
      </c>
      <c r="D7" s="11" t="n">
        <v>0.55191813629012</v>
      </c>
      <c r="E7" s="11" t="n">
        <v>0.656454521815818</v>
      </c>
      <c r="F7" s="11" t="n">
        <v>0.774535044323396</v>
      </c>
      <c r="G7" s="11" t="n">
        <v>0.899819061663676</v>
      </c>
      <c r="H7" s="11" t="n">
        <v>1.02832942216792</v>
      </c>
      <c r="I7" s="11" t="n">
        <v>1.15753509300959</v>
      </c>
      <c r="J7" s="11" t="n">
        <v>1.28579652069169</v>
      </c>
      <c r="K7" s="11" t="n">
        <v>1.41200692417192</v>
      </c>
      <c r="L7" s="11" t="n">
        <v>1.53536704392961</v>
      </c>
      <c r="M7" s="11" t="n">
        <v>1.65527921368807</v>
      </c>
      <c r="N7" s="11" t="n">
        <v>1.7712721403059</v>
      </c>
      <c r="O7" s="11" t="n">
        <v>1.88297114547797</v>
      </c>
      <c r="P7" s="11" t="n">
        <v>1.99009790291993</v>
      </c>
      <c r="Q7" s="11" t="n">
        <v>2.09246880729427</v>
      </c>
      <c r="R7" s="11" t="n">
        <v>2.19000197354982</v>
      </c>
      <c r="S7" s="11" t="n">
        <v>2.28270923970157</v>
      </c>
      <c r="T7" s="11" t="n">
        <v>2.3706978390258</v>
      </c>
      <c r="U7" s="11" t="n">
        <v>2.45412989242838</v>
      </c>
      <c r="V7" s="11" t="n">
        <v>2.5331889188979</v>
      </c>
      <c r="W7" s="11" t="n">
        <v>2.60807449168515</v>
      </c>
      <c r="X7" s="11" t="n">
        <v>2.67899902745066</v>
      </c>
      <c r="Y7" s="11" t="n">
        <v>2.74618531103524</v>
      </c>
      <c r="Z7" s="11" t="n">
        <v>2.80986098824972</v>
      </c>
      <c r="AA7" s="11" t="n">
        <v>2.87023802661058</v>
      </c>
      <c r="AB7" s="11" t="n">
        <v>2.92750420017918</v>
      </c>
      <c r="AC7" s="11" t="n">
        <v>2.98182666720888</v>
      </c>
      <c r="AD7" s="11" t="n">
        <v>3.03335529527539</v>
      </c>
      <c r="AE7" s="11" t="n">
        <v>3.08222519610763</v>
      </c>
      <c r="AF7" s="11" t="n">
        <v>3.12855473516257</v>
      </c>
      <c r="AG7" s="11" t="n">
        <v>3.53180085599798</v>
      </c>
      <c r="AH7" s="11" t="n">
        <v>3.54958197362489</v>
      </c>
      <c r="AI7" s="11" t="n">
        <v>3.56579382137719</v>
      </c>
      <c r="AJ7" s="11" t="n">
        <v>3.58050988598373</v>
      </c>
      <c r="AK7" s="11" t="n">
        <v>3.5938037304043</v>
      </c>
    </row>
    <row r="8" customFormat="false" ht="15" hidden="false" customHeight="false" outlineLevel="0" collapsed="false">
      <c r="A8" s="10" t="n">
        <v>-117</v>
      </c>
      <c r="B8" s="8" t="n">
        <v>41022</v>
      </c>
      <c r="C8" s="11" t="n">
        <v>0.448947726966292</v>
      </c>
      <c r="D8" s="11" t="n">
        <v>0.522696427608681</v>
      </c>
      <c r="E8" s="11" t="n">
        <v>0.621866127125958</v>
      </c>
      <c r="F8" s="11" t="n">
        <v>0.735710853424502</v>
      </c>
      <c r="G8" s="11" t="n">
        <v>0.857657709635008</v>
      </c>
      <c r="H8" s="11" t="n">
        <v>0.983527770340933</v>
      </c>
      <c r="I8" s="11" t="n">
        <v>1.11063104838913</v>
      </c>
      <c r="J8" s="11" t="n">
        <v>1.23720686405749</v>
      </c>
      <c r="K8" s="11" t="n">
        <v>1.36205853954843</v>
      </c>
      <c r="L8" s="11" t="n">
        <v>1.48432458423494</v>
      </c>
      <c r="M8" s="11" t="n">
        <v>1.60336624921363</v>
      </c>
      <c r="N8" s="11" t="n">
        <v>1.71869004427367</v>
      </c>
      <c r="O8" s="11" t="n">
        <v>1.82991377231614</v>
      </c>
      <c r="P8" s="11" t="n">
        <v>1.93676022845399</v>
      </c>
      <c r="Q8" s="11" t="n">
        <v>2.03905218275253</v>
      </c>
      <c r="R8" s="11" t="n">
        <v>2.13671634906693</v>
      </c>
      <c r="S8" s="11" t="n">
        <v>2.22977261168754</v>
      </c>
      <c r="T8" s="11" t="n">
        <v>2.31833692254842</v>
      </c>
      <c r="U8" s="11" t="n">
        <v>2.40257652438256</v>
      </c>
      <c r="V8" s="11" t="n">
        <v>2.48267399060503</v>
      </c>
      <c r="W8" s="11" t="n">
        <v>2.55882303373637</v>
      </c>
      <c r="X8" s="11" t="n">
        <v>2.63122627758153</v>
      </c>
      <c r="Y8" s="11" t="n">
        <v>2.7000935373882</v>
      </c>
      <c r="Z8" s="11" t="n">
        <v>2.76563665959907</v>
      </c>
      <c r="AA8" s="11" t="n">
        <v>2.82804845869738</v>
      </c>
      <c r="AB8" s="11" t="n">
        <v>2.88749433447408</v>
      </c>
      <c r="AC8" s="11" t="n">
        <v>2.94411637781021</v>
      </c>
      <c r="AD8" s="11" t="n">
        <v>2.99803713017853</v>
      </c>
      <c r="AE8" s="11" t="n">
        <v>3.0493624956544</v>
      </c>
      <c r="AF8" s="11" t="n">
        <v>3.09818072298374</v>
      </c>
      <c r="AG8" s="11" t="n">
        <v>3.52704284361377</v>
      </c>
      <c r="AH8" s="11" t="n">
        <v>3.54595444437711</v>
      </c>
      <c r="AI8" s="11" t="n">
        <v>3.56318264886313</v>
      </c>
      <c r="AJ8" s="11" t="n">
        <v>3.5788081346034</v>
      </c>
      <c r="AK8" s="11" t="n">
        <v>3.5929119989403</v>
      </c>
    </row>
    <row r="9" customFormat="false" ht="15" hidden="false" customHeight="false" outlineLevel="0" collapsed="false">
      <c r="A9" s="10" t="n">
        <v>-116</v>
      </c>
      <c r="B9" s="8" t="n">
        <v>41023</v>
      </c>
      <c r="C9" s="11" t="n">
        <v>0.422120891971487</v>
      </c>
      <c r="D9" s="11" t="n">
        <v>0.492266337880789</v>
      </c>
      <c r="E9" s="11" t="n">
        <v>0.589213356684447</v>
      </c>
      <c r="F9" s="11" t="n">
        <v>0.70173653204669</v>
      </c>
      <c r="G9" s="11" t="n">
        <v>0.822980566274116</v>
      </c>
      <c r="H9" s="11" t="n">
        <v>0.948595691154284</v>
      </c>
      <c r="I9" s="11" t="n">
        <v>1.07578292553298</v>
      </c>
      <c r="J9" s="11" t="n">
        <v>1.20270433819922</v>
      </c>
      <c r="K9" s="11" t="n">
        <v>1.32809915641662</v>
      </c>
      <c r="L9" s="11" t="n">
        <v>1.4510492301146</v>
      </c>
      <c r="M9" s="11" t="n">
        <v>1.57086406549819</v>
      </c>
      <c r="N9" s="11" t="n">
        <v>1.68700631846484</v>
      </c>
      <c r="O9" s="11" t="n">
        <v>1.79905869683295</v>
      </c>
      <c r="P9" s="11" t="n">
        <v>1.90671671703939</v>
      </c>
      <c r="Q9" s="11" t="n">
        <v>2.00978407659662</v>
      </c>
      <c r="R9" s="11" t="n">
        <v>2.10817518435137</v>
      </c>
      <c r="S9" s="11" t="n">
        <v>2.20190354566438</v>
      </c>
      <c r="T9" s="11" t="n">
        <v>2.29108409125749</v>
      </c>
      <c r="U9" s="11" t="n">
        <v>2.37588610676877</v>
      </c>
      <c r="V9" s="11" t="n">
        <v>2.45649672577314</v>
      </c>
      <c r="W9" s="11" t="n">
        <v>2.53311624107096</v>
      </c>
      <c r="X9" s="11" t="n">
        <v>2.60595547284297</v>
      </c>
      <c r="Y9" s="11" t="n">
        <v>2.67523373690529</v>
      </c>
      <c r="Z9" s="11" t="n">
        <v>2.74117305636843</v>
      </c>
      <c r="AA9" s="11" t="n">
        <v>2.80397520604353</v>
      </c>
      <c r="AB9" s="11" t="n">
        <v>2.86381269260317</v>
      </c>
      <c r="AC9" s="11" t="n">
        <v>2.9208331455081</v>
      </c>
      <c r="AD9" s="11" t="n">
        <v>2.9751633294608</v>
      </c>
      <c r="AE9" s="11" t="n">
        <v>3.02691221850436</v>
      </c>
      <c r="AF9" s="11" t="n">
        <v>3.07616916752667</v>
      </c>
      <c r="AG9" s="11" t="n">
        <v>3.5099318972606</v>
      </c>
      <c r="AH9" s="11" t="n">
        <v>3.52900184676646</v>
      </c>
      <c r="AI9" s="11" t="n">
        <v>3.54634869216739</v>
      </c>
      <c r="AJ9" s="11" t="n">
        <v>3.56205433810876</v>
      </c>
      <c r="AK9" s="11" t="n">
        <v>3.57620151751636</v>
      </c>
    </row>
    <row r="10" customFormat="false" ht="15" hidden="false" customHeight="false" outlineLevel="0" collapsed="false">
      <c r="A10" s="10" t="n">
        <v>-115</v>
      </c>
      <c r="B10" s="8" t="n">
        <v>41024</v>
      </c>
      <c r="C10" s="11" t="n">
        <v>0.415905224685802</v>
      </c>
      <c r="D10" s="11" t="n">
        <v>0.486501019507477</v>
      </c>
      <c r="E10" s="11" t="n">
        <v>0.585133623764158</v>
      </c>
      <c r="F10" s="11" t="n">
        <v>0.700552780453806</v>
      </c>
      <c r="G10" s="11" t="n">
        <v>0.825660267312462</v>
      </c>
      <c r="H10" s="11" t="n">
        <v>0.955804089754005</v>
      </c>
      <c r="I10" s="11" t="n">
        <v>1.08790522527256</v>
      </c>
      <c r="J10" s="11" t="n">
        <v>1.2198857697641</v>
      </c>
      <c r="K10" s="11" t="n">
        <v>1.35028296206954</v>
      </c>
      <c r="L10" s="11" t="n">
        <v>1.47801164664507</v>
      </c>
      <c r="M10" s="11" t="n">
        <v>1.60224658760224</v>
      </c>
      <c r="N10" s="11" t="n">
        <v>1.72234582435274</v>
      </c>
      <c r="O10" s="11" t="n">
        <v>1.83781580523553</v>
      </c>
      <c r="P10" s="11" t="n">
        <v>1.94830094755902</v>
      </c>
      <c r="Q10" s="11" t="n">
        <v>2.05357668378294</v>
      </c>
      <c r="R10" s="11" t="n">
        <v>2.1535484223805</v>
      </c>
      <c r="S10" s="11" t="n">
        <v>2.24823747676711</v>
      </c>
      <c r="T10" s="11" t="n">
        <v>2.33778024160771</v>
      </c>
      <c r="U10" s="11" t="n">
        <v>2.42237787210933</v>
      </c>
      <c r="V10" s="11" t="n">
        <v>2.5022586447113</v>
      </c>
      <c r="W10" s="11" t="n">
        <v>2.57767140250237</v>
      </c>
      <c r="X10" s="11" t="n">
        <v>2.64888144189081</v>
      </c>
      <c r="Y10" s="11" t="n">
        <v>2.71616733940369</v>
      </c>
      <c r="Z10" s="11" t="n">
        <v>2.77981355393471</v>
      </c>
      <c r="AA10" s="11" t="n">
        <v>2.84008341445658</v>
      </c>
      <c r="AB10" s="11" t="n">
        <v>2.89720848236772</v>
      </c>
      <c r="AC10" s="11" t="n">
        <v>2.95139330121166</v>
      </c>
      <c r="AD10" s="11" t="n">
        <v>3.00281975439557</v>
      </c>
      <c r="AE10" s="11" t="n">
        <v>3.05165031736049</v>
      </c>
      <c r="AF10" s="11" t="n">
        <v>3.09802412225291</v>
      </c>
      <c r="AG10" s="11" t="n">
        <v>3.50857194356987</v>
      </c>
      <c r="AH10" s="11" t="n">
        <v>3.52709781772428</v>
      </c>
      <c r="AI10" s="11" t="n">
        <v>3.54403164333473</v>
      </c>
      <c r="AJ10" s="11" t="n">
        <v>3.55943995868459</v>
      </c>
      <c r="AK10" s="11" t="n">
        <v>3.57339049600133</v>
      </c>
    </row>
    <row r="11" customFormat="false" ht="15" hidden="false" customHeight="false" outlineLevel="0" collapsed="false">
      <c r="A11" s="10" t="n">
        <v>-114</v>
      </c>
      <c r="B11" s="8" t="n">
        <v>41025</v>
      </c>
      <c r="C11" s="11" t="n">
        <v>0.39347261680773</v>
      </c>
      <c r="D11" s="11" t="n">
        <v>0.459510862010662</v>
      </c>
      <c r="E11" s="11" t="n">
        <v>0.55500438040789</v>
      </c>
      <c r="F11" s="11" t="n">
        <v>0.668191647368411</v>
      </c>
      <c r="G11" s="11" t="n">
        <v>0.791680507032001</v>
      </c>
      <c r="H11" s="11" t="n">
        <v>0.920632214812232</v>
      </c>
      <c r="I11" s="11" t="n">
        <v>1.05183748736136</v>
      </c>
      <c r="J11" s="11" t="n">
        <v>1.18312363859028</v>
      </c>
      <c r="K11" s="11" t="n">
        <v>1.3129575624123</v>
      </c>
      <c r="L11" s="11" t="n">
        <v>1.44020445883948</v>
      </c>
      <c r="M11" s="11" t="n">
        <v>1.56400573193268</v>
      </c>
      <c r="N11" s="11" t="n">
        <v>1.6837028785232</v>
      </c>
      <c r="O11" s="11" t="n">
        <v>1.79880143319568</v>
      </c>
      <c r="P11" s="11" t="n">
        <v>1.9089558291751</v>
      </c>
      <c r="Q11" s="11" t="n">
        <v>2.01395872866842</v>
      </c>
      <c r="R11" s="11" t="n">
        <v>2.11373483537397</v>
      </c>
      <c r="S11" s="11" t="n">
        <v>2.20832503891951</v>
      </c>
      <c r="T11" s="11" t="n">
        <v>2.29788599774643</v>
      </c>
      <c r="U11" s="11" t="n">
        <v>2.38263447755195</v>
      </c>
      <c r="V11" s="11" t="n">
        <v>2.46280813107673</v>
      </c>
      <c r="W11" s="11" t="n">
        <v>2.53866016716234</v>
      </c>
      <c r="X11" s="11" t="n">
        <v>2.61045623953106</v>
      </c>
      <c r="Y11" s="11" t="n">
        <v>2.67847204321955</v>
      </c>
      <c r="Z11" s="11" t="n">
        <v>2.74298622018481</v>
      </c>
      <c r="AA11" s="11" t="n">
        <v>2.8042526954965</v>
      </c>
      <c r="AB11" s="11" t="n">
        <v>2.86249019019671</v>
      </c>
      <c r="AC11" s="11" t="n">
        <v>2.91788753724845</v>
      </c>
      <c r="AD11" s="11" t="n">
        <v>2.97060850219353</v>
      </c>
      <c r="AE11" s="11" t="n">
        <v>3.02079542502763</v>
      </c>
      <c r="AF11" s="11" t="n">
        <v>3.06856604367775</v>
      </c>
      <c r="AG11" s="11" t="n">
        <v>3.49355713627104</v>
      </c>
      <c r="AH11" s="11" t="n">
        <v>3.51264547553678</v>
      </c>
      <c r="AI11" s="11" t="n">
        <v>3.53006524114551</v>
      </c>
      <c r="AJ11" s="11" t="n">
        <v>3.54588804132755</v>
      </c>
      <c r="AK11" s="11" t="n">
        <v>3.56018693004841</v>
      </c>
    </row>
    <row r="12" customFormat="false" ht="15" hidden="false" customHeight="false" outlineLevel="0" collapsed="false">
      <c r="A12" s="10" t="n">
        <v>-113</v>
      </c>
      <c r="B12" s="8" t="n">
        <v>41026</v>
      </c>
      <c r="C12" s="11" t="n">
        <v>0.412613195125488</v>
      </c>
      <c r="D12" s="11" t="n">
        <v>0.483175305170531</v>
      </c>
      <c r="E12" s="11" t="n">
        <v>0.581517994953149</v>
      </c>
      <c r="F12" s="11" t="n">
        <v>0.696413897140849</v>
      </c>
      <c r="G12" s="11" t="n">
        <v>0.820811235731974</v>
      </c>
      <c r="H12" s="11" t="n">
        <v>0.950098210995555</v>
      </c>
      <c r="I12" s="11" t="n">
        <v>1.08122966340508</v>
      </c>
      <c r="J12" s="11" t="n">
        <v>1.21216104892283</v>
      </c>
      <c r="K12" s="11" t="n">
        <v>1.34146270567755</v>
      </c>
      <c r="L12" s="11" t="n">
        <v>1.46809164891333</v>
      </c>
      <c r="M12" s="11" t="n">
        <v>1.59125974129961</v>
      </c>
      <c r="N12" s="11" t="n">
        <v>1.71036700855961</v>
      </c>
      <c r="O12" s="11" t="n">
        <v>1.82496362936024</v>
      </c>
      <c r="P12" s="11" t="n">
        <v>1.93473007410041</v>
      </c>
      <c r="Q12" s="11" t="n">
        <v>2.03947188040222</v>
      </c>
      <c r="R12" s="11" t="n">
        <v>2.13911303996016</v>
      </c>
      <c r="S12" s="11" t="n">
        <v>2.23368586462158</v>
      </c>
      <c r="T12" s="11" t="n">
        <v>2.32333178340331</v>
      </c>
      <c r="U12" s="11" t="n">
        <v>2.40824800561815</v>
      </c>
      <c r="V12" s="11" t="n">
        <v>2.488653690601</v>
      </c>
      <c r="W12" s="11" t="n">
        <v>2.56478461870474</v>
      </c>
      <c r="X12" s="11" t="n">
        <v>2.63688986709663</v>
      </c>
      <c r="Y12" s="11" t="n">
        <v>2.70522924050219</v>
      </c>
      <c r="Z12" s="11" t="n">
        <v>2.7700661910093</v>
      </c>
      <c r="AA12" s="11" t="n">
        <v>2.83164184214183</v>
      </c>
      <c r="AB12" s="11" t="n">
        <v>2.89016556448026</v>
      </c>
      <c r="AC12" s="11" t="n">
        <v>2.94581980138094</v>
      </c>
      <c r="AD12" s="11" t="n">
        <v>2.99876441207668</v>
      </c>
      <c r="AE12" s="11" t="n">
        <v>3.04913991353603</v>
      </c>
      <c r="AF12" s="11" t="n">
        <v>3.09706409310862</v>
      </c>
      <c r="AG12" s="11" t="n">
        <v>3.52261751414571</v>
      </c>
      <c r="AH12" s="11" t="n">
        <v>3.54175714545228</v>
      </c>
      <c r="AI12" s="11" t="n">
        <v>3.55923717821396</v>
      </c>
      <c r="AJ12" s="11" t="n">
        <v>3.57512924931821</v>
      </c>
      <c r="AK12" s="11" t="n">
        <v>3.58950621925382</v>
      </c>
    </row>
    <row r="13" customFormat="false" ht="15" hidden="false" customHeight="false" outlineLevel="0" collapsed="false">
      <c r="A13" s="10" t="n">
        <v>-112</v>
      </c>
      <c r="B13" s="8" t="n">
        <v>41029</v>
      </c>
      <c r="C13" s="11" t="n">
        <v>0.43857662116094</v>
      </c>
      <c r="D13" s="11" t="n">
        <v>0.51309987952852</v>
      </c>
      <c r="E13" s="11" t="n">
        <v>0.613225652197801</v>
      </c>
      <c r="F13" s="11" t="n">
        <v>0.728213357635185</v>
      </c>
      <c r="G13" s="11" t="n">
        <v>0.851385152422173</v>
      </c>
      <c r="H13" s="11" t="n">
        <v>0.978410802729936</v>
      </c>
      <c r="I13" s="11" t="n">
        <v>1.10647295731648</v>
      </c>
      <c r="J13" s="11" t="n">
        <v>1.23373030742715</v>
      </c>
      <c r="K13" s="11" t="n">
        <v>1.35894778734208</v>
      </c>
      <c r="L13" s="11" t="n">
        <v>1.48127411900249</v>
      </c>
      <c r="M13" s="11" t="n">
        <v>1.60009709354858</v>
      </c>
      <c r="N13" s="11" t="n">
        <v>1.71497464164081</v>
      </c>
      <c r="O13" s="11" t="n">
        <v>1.82558975382971</v>
      </c>
      <c r="P13" s="11" t="n">
        <v>1.93172657206152</v>
      </c>
      <c r="Q13" s="11" t="n">
        <v>2.03326580006889</v>
      </c>
      <c r="R13" s="11" t="n">
        <v>2.13017810792235</v>
      </c>
      <c r="S13" s="11" t="n">
        <v>2.22251609174015</v>
      </c>
      <c r="T13" s="11" t="n">
        <v>2.31041739692219</v>
      </c>
      <c r="U13" s="11" t="n">
        <v>2.39405996547315</v>
      </c>
      <c r="V13" s="11" t="n">
        <v>2.47363415978324</v>
      </c>
      <c r="W13" s="11" t="n">
        <v>2.54933952279344</v>
      </c>
      <c r="X13" s="11" t="n">
        <v>2.62138294188535</v>
      </c>
      <c r="Y13" s="11" t="n">
        <v>2.68997722577746</v>
      </c>
      <c r="Z13" s="11" t="n">
        <v>2.75533579366631</v>
      </c>
      <c r="AA13" s="11" t="n">
        <v>2.8176519016503</v>
      </c>
      <c r="AB13" s="11" t="n">
        <v>2.87709141766687</v>
      </c>
      <c r="AC13" s="11" t="n">
        <v>2.93379701795309</v>
      </c>
      <c r="AD13" s="11" t="n">
        <v>2.9878919276425</v>
      </c>
      <c r="AE13" s="11" t="n">
        <v>3.03948274860855</v>
      </c>
      <c r="AF13" s="11" t="n">
        <v>3.08865741284738</v>
      </c>
      <c r="AG13" s="11" t="n">
        <v>3.5280535078127</v>
      </c>
      <c r="AH13" s="11" t="n">
        <v>3.54797374831951</v>
      </c>
      <c r="AI13" s="11" t="n">
        <v>3.56620267887003</v>
      </c>
      <c r="AJ13" s="11" t="n">
        <v>3.58281516873569</v>
      </c>
      <c r="AK13" s="11" t="n">
        <v>3.59788713294135</v>
      </c>
    </row>
    <row r="14" customFormat="false" ht="15" hidden="false" customHeight="false" outlineLevel="0" collapsed="false">
      <c r="A14" s="10" t="n">
        <v>-111</v>
      </c>
      <c r="B14" s="8" t="n">
        <v>41030</v>
      </c>
      <c r="C14" s="11" t="n">
        <v>0.431335917560835</v>
      </c>
      <c r="D14" s="11" t="n">
        <v>0.50554308232869</v>
      </c>
      <c r="E14" s="11" t="n">
        <v>0.604973536388085</v>
      </c>
      <c r="F14" s="11" t="n">
        <v>0.719034336572464</v>
      </c>
      <c r="G14" s="11" t="n">
        <v>0.841177162346406</v>
      </c>
      <c r="H14" s="11" t="n">
        <v>0.967169590336322</v>
      </c>
      <c r="I14" s="11" t="n">
        <v>1.09426638422677</v>
      </c>
      <c r="J14" s="11" t="n">
        <v>1.22067671154607</v>
      </c>
      <c r="K14" s="11" t="n">
        <v>1.34519632662531</v>
      </c>
      <c r="L14" s="11" t="n">
        <v>1.46698826810415</v>
      </c>
      <c r="M14" s="11" t="n">
        <v>1.58543702157893</v>
      </c>
      <c r="N14" s="11" t="n">
        <v>1.70008420022236</v>
      </c>
      <c r="O14" s="11" t="n">
        <v>1.8105858547824</v>
      </c>
      <c r="P14" s="11" t="n">
        <v>1.91669237851218</v>
      </c>
      <c r="Q14" s="11" t="n">
        <v>2.01825017777838</v>
      </c>
      <c r="R14" s="11" t="n">
        <v>2.11519957017238</v>
      </c>
      <c r="S14" s="11" t="n">
        <v>2.20756834879018</v>
      </c>
      <c r="T14" s="11" t="n">
        <v>2.29547514325919</v>
      </c>
      <c r="U14" s="11" t="n">
        <v>2.37908435411047</v>
      </c>
      <c r="V14" s="11" t="n">
        <v>2.4585778533408</v>
      </c>
      <c r="W14" s="11" t="n">
        <v>2.53415073176994</v>
      </c>
      <c r="X14" s="11" t="n">
        <v>2.60600865527602</v>
      </c>
      <c r="Y14" s="11" t="n">
        <v>2.67436581963825</v>
      </c>
      <c r="Z14" s="11" t="n">
        <v>2.73943911230817</v>
      </c>
      <c r="AA14" s="11" t="n">
        <v>2.80142703658454</v>
      </c>
      <c r="AB14" s="11" t="n">
        <v>2.86050234393372</v>
      </c>
      <c r="AC14" s="11" t="n">
        <v>2.9168159709579</v>
      </c>
      <c r="AD14" s="11" t="n">
        <v>2.97050055792152</v>
      </c>
      <c r="AE14" s="11" t="n">
        <v>3.02167307765022</v>
      </c>
      <c r="AF14" s="11" t="n">
        <v>3.07043233937321</v>
      </c>
      <c r="AG14" s="11" t="n">
        <v>3.50817473013484</v>
      </c>
      <c r="AH14" s="11" t="n">
        <v>3.52833968069981</v>
      </c>
      <c r="AI14" s="11" t="n">
        <v>3.5468544352773</v>
      </c>
      <c r="AJ14" s="11" t="n">
        <v>3.56378834054618</v>
      </c>
      <c r="AK14" s="11" t="n">
        <v>3.57921173335117</v>
      </c>
    </row>
    <row r="15" customFormat="false" ht="15" hidden="false" customHeight="false" outlineLevel="0" collapsed="false">
      <c r="A15" s="10" t="n">
        <v>-110</v>
      </c>
      <c r="B15" s="8" t="n">
        <v>41031</v>
      </c>
      <c r="C15" s="11" t="n">
        <v>0.412525981648704</v>
      </c>
      <c r="D15" s="11" t="n">
        <v>0.483378249630678</v>
      </c>
      <c r="E15" s="11" t="n">
        <v>0.579856918395881</v>
      </c>
      <c r="F15" s="11" t="n">
        <v>0.691125280707707</v>
      </c>
      <c r="G15" s="11" t="n">
        <v>0.810558114557775</v>
      </c>
      <c r="H15" s="11" t="n">
        <v>0.933914487154075</v>
      </c>
      <c r="I15" s="11" t="n">
        <v>1.05846775331704</v>
      </c>
      <c r="J15" s="11" t="n">
        <v>1.18245632989258</v>
      </c>
      <c r="K15" s="11" t="n">
        <v>1.30470597269848</v>
      </c>
      <c r="L15" s="11" t="n">
        <v>1.42440524919903</v>
      </c>
      <c r="M15" s="11" t="n">
        <v>1.54095532321017</v>
      </c>
      <c r="N15" s="11" t="n">
        <v>1.65390758535497</v>
      </c>
      <c r="O15" s="11" t="n">
        <v>1.7629218745069</v>
      </c>
      <c r="P15" s="11" t="n">
        <v>1.86774717573028</v>
      </c>
      <c r="Q15" s="11" t="n">
        <v>1.96822382487104</v>
      </c>
      <c r="R15" s="11" t="n">
        <v>2.06428176121058</v>
      </c>
      <c r="S15" s="11" t="n">
        <v>2.1559337742336</v>
      </c>
      <c r="T15" s="11" t="n">
        <v>2.2432780854217</v>
      </c>
      <c r="U15" s="11" t="n">
        <v>2.32645813200014</v>
      </c>
      <c r="V15" s="11" t="n">
        <v>2.40563688112565</v>
      </c>
      <c r="W15" s="11" t="n">
        <v>2.48099224229252</v>
      </c>
      <c r="X15" s="11" t="n">
        <v>2.55271407886508</v>
      </c>
      <c r="Y15" s="11" t="n">
        <v>2.62100189788974</v>
      </c>
      <c r="Z15" s="11" t="n">
        <v>2.68605909182006</v>
      </c>
      <c r="AA15" s="11" t="n">
        <v>2.74807329669659</v>
      </c>
      <c r="AB15" s="11" t="n">
        <v>2.80720953075184</v>
      </c>
      <c r="AC15" s="11" t="n">
        <v>2.86361364816151</v>
      </c>
      <c r="AD15" s="11" t="n">
        <v>2.91741543002141</v>
      </c>
      <c r="AE15" s="11" t="n">
        <v>2.96873085440799</v>
      </c>
      <c r="AF15" s="11" t="n">
        <v>3.01765917238051</v>
      </c>
      <c r="AG15" s="11" t="n">
        <v>3.46075005491357</v>
      </c>
      <c r="AH15" s="11" t="n">
        <v>3.481579473401</v>
      </c>
      <c r="AI15" s="11" t="n">
        <v>3.50078456872191</v>
      </c>
      <c r="AJ15" s="11" t="n">
        <v>3.51843028955867</v>
      </c>
      <c r="AK15" s="11" t="n">
        <v>3.53458234203103</v>
      </c>
    </row>
    <row r="16" customFormat="false" ht="15" hidden="false" customHeight="false" outlineLevel="0" collapsed="false">
      <c r="A16" s="10" t="n">
        <v>-109</v>
      </c>
      <c r="B16" s="8" t="n">
        <v>41032</v>
      </c>
      <c r="C16" s="11" t="n">
        <v>0.408977431911685</v>
      </c>
      <c r="D16" s="11" t="n">
        <v>0.480079844218188</v>
      </c>
      <c r="E16" s="11" t="n">
        <v>0.576755526255776</v>
      </c>
      <c r="F16" s="11" t="n">
        <v>0.688146700559346</v>
      </c>
      <c r="G16" s="11" t="n">
        <v>0.807628647253949</v>
      </c>
      <c r="H16" s="11" t="n">
        <v>0.930966149448011</v>
      </c>
      <c r="I16" s="11" t="n">
        <v>1.05543918319765</v>
      </c>
      <c r="J16" s="11" t="n">
        <v>1.17928883019688</v>
      </c>
      <c r="K16" s="11" t="n">
        <v>1.30134147360958</v>
      </c>
      <c r="L16" s="11" t="n">
        <v>1.42078707891376</v>
      </c>
      <c r="M16" s="11" t="n">
        <v>1.53703070404658</v>
      </c>
      <c r="N16" s="11" t="n">
        <v>1.64963205012719</v>
      </c>
      <c r="O16" s="11" t="n">
        <v>1.7582645569428</v>
      </c>
      <c r="P16" s="11" t="n">
        <v>1.86269613148427</v>
      </c>
      <c r="Q16" s="11" t="n">
        <v>1.96278959475138</v>
      </c>
      <c r="R16" s="11" t="n">
        <v>2.05849794539627</v>
      </c>
      <c r="S16" s="11" t="n">
        <v>2.14985428662964</v>
      </c>
      <c r="T16" s="11" t="n">
        <v>2.23697360500175</v>
      </c>
      <c r="U16" s="11" t="n">
        <v>2.32001157344241</v>
      </c>
      <c r="V16" s="11" t="n">
        <v>2.39913864590874</v>
      </c>
      <c r="W16" s="11" t="n">
        <v>2.47453643085272</v>
      </c>
      <c r="X16" s="11" t="n">
        <v>2.54639546032227</v>
      </c>
      <c r="Y16" s="11" t="n">
        <v>2.61491346171314</v>
      </c>
      <c r="Z16" s="11" t="n">
        <v>2.68029000848176</v>
      </c>
      <c r="AA16" s="11" t="n">
        <v>2.74270729234624</v>
      </c>
      <c r="AB16" s="11" t="n">
        <v>2.80232368228212</v>
      </c>
      <c r="AC16" s="11" t="n">
        <v>2.85927739032937</v>
      </c>
      <c r="AD16" s="11" t="n">
        <v>2.91368972271105</v>
      </c>
      <c r="AE16" s="11" t="n">
        <v>2.96566749842037</v>
      </c>
      <c r="AF16" s="11" t="n">
        <v>3.01530069906989</v>
      </c>
      <c r="AG16" s="11" t="n">
        <v>3.46855583050459</v>
      </c>
      <c r="AH16" s="11" t="n">
        <v>3.49011795109316</v>
      </c>
      <c r="AI16" s="11" t="n">
        <v>3.51004103547608</v>
      </c>
      <c r="AJ16" s="11" t="n">
        <v>3.52838971732063</v>
      </c>
      <c r="AK16" s="11" t="n">
        <v>3.54522944025866</v>
      </c>
    </row>
    <row r="17" customFormat="false" ht="15" hidden="false" customHeight="false" outlineLevel="0" collapsed="false">
      <c r="A17" s="10" t="n">
        <v>-108</v>
      </c>
      <c r="B17" s="8" t="n">
        <v>41033</v>
      </c>
      <c r="C17" s="11" t="n">
        <v>0.398427383997957</v>
      </c>
      <c r="D17" s="11" t="n">
        <v>0.464792021032943</v>
      </c>
      <c r="E17" s="11" t="n">
        <v>0.557221944016178</v>
      </c>
      <c r="F17" s="11" t="n">
        <v>0.664897993493036</v>
      </c>
      <c r="G17" s="11" t="n">
        <v>0.781153662947386</v>
      </c>
      <c r="H17" s="11" t="n">
        <v>0.901703266426874</v>
      </c>
      <c r="I17" s="11" t="n">
        <v>1.02377682180469</v>
      </c>
      <c r="J17" s="11" t="n">
        <v>1.14556922010004</v>
      </c>
      <c r="K17" s="11" t="n">
        <v>1.26587013477433</v>
      </c>
      <c r="L17" s="11" t="n">
        <v>1.38382501951506</v>
      </c>
      <c r="M17" s="11" t="n">
        <v>1.498815638117</v>
      </c>
      <c r="N17" s="11" t="n">
        <v>1.61037744069947</v>
      </c>
      <c r="O17" s="11" t="n">
        <v>1.71816324854913</v>
      </c>
      <c r="P17" s="11" t="n">
        <v>1.82192859943234</v>
      </c>
      <c r="Q17" s="11" t="n">
        <v>1.92152547348988</v>
      </c>
      <c r="R17" s="11" t="n">
        <v>2.0168975489525</v>
      </c>
      <c r="S17" s="11" t="n">
        <v>2.10806822550518</v>
      </c>
      <c r="T17" s="11" t="n">
        <v>2.19514169823355</v>
      </c>
      <c r="U17" s="11" t="n">
        <v>2.2782624597528</v>
      </c>
      <c r="V17" s="11" t="n">
        <v>2.35758965302885</v>
      </c>
      <c r="W17" s="11" t="n">
        <v>2.43329352166757</v>
      </c>
      <c r="X17" s="11" t="n">
        <v>2.50555318978677</v>
      </c>
      <c r="Y17" s="11" t="n">
        <v>2.57455493860833</v>
      </c>
      <c r="Z17" s="11" t="n">
        <v>2.64048673471867</v>
      </c>
      <c r="AA17" s="11" t="n">
        <v>2.70351945926364</v>
      </c>
      <c r="AB17" s="11" t="n">
        <v>2.76380106669212</v>
      </c>
      <c r="AC17" s="11" t="n">
        <v>2.82146014602796</v>
      </c>
      <c r="AD17" s="11" t="n">
        <v>2.87660904432562</v>
      </c>
      <c r="AE17" s="11" t="n">
        <v>2.92934616303249</v>
      </c>
      <c r="AF17" s="11" t="n">
        <v>2.97975350514305</v>
      </c>
      <c r="AG17" s="11" t="n">
        <v>3.44215963021379</v>
      </c>
      <c r="AH17" s="11" t="n">
        <v>3.46427215241742</v>
      </c>
      <c r="AI17" s="11" t="n">
        <v>3.48472027062777</v>
      </c>
      <c r="AJ17" s="11" t="n">
        <v>3.50356865337724</v>
      </c>
      <c r="AK17" s="11" t="n">
        <v>3.52088281870289</v>
      </c>
    </row>
    <row r="18" customFormat="false" ht="15" hidden="false" customHeight="false" outlineLevel="0" collapsed="false">
      <c r="A18" s="10" t="n">
        <v>-107</v>
      </c>
      <c r="B18" s="8" t="n">
        <v>41037</v>
      </c>
      <c r="C18" s="11" t="n">
        <v>0.401471771063436</v>
      </c>
      <c r="D18" s="11" t="n">
        <v>0.461775902186918</v>
      </c>
      <c r="E18" s="11" t="n">
        <v>0.547027612417313</v>
      </c>
      <c r="F18" s="11" t="n">
        <v>0.647287260244258</v>
      </c>
      <c r="G18" s="11" t="n">
        <v>0.756370844561649</v>
      </c>
      <c r="H18" s="11" t="n">
        <v>0.870258670859048</v>
      </c>
      <c r="I18" s="11" t="n">
        <v>0.986318880789326</v>
      </c>
      <c r="J18" s="11" t="n">
        <v>1.10280645617343</v>
      </c>
      <c r="K18" s="11" t="n">
        <v>1.21851866013167</v>
      </c>
      <c r="L18" s="11" t="n">
        <v>1.33257336411504</v>
      </c>
      <c r="M18" s="11" t="n">
        <v>1.44430970592665</v>
      </c>
      <c r="N18" s="11" t="n">
        <v>1.55321141399852</v>
      </c>
      <c r="O18" s="11" t="n">
        <v>1.65887811930809</v>
      </c>
      <c r="P18" s="11" t="n">
        <v>1.76101452364389</v>
      </c>
      <c r="Q18" s="11" t="n">
        <v>1.85942344436822</v>
      </c>
      <c r="R18" s="11" t="n">
        <v>1.95400144835668</v>
      </c>
      <c r="S18" s="11" t="n">
        <v>2.0447265036497</v>
      </c>
      <c r="T18" s="11" t="n">
        <v>2.1316581899686</v>
      </c>
      <c r="U18" s="11" t="n">
        <v>2.21489980047582</v>
      </c>
      <c r="V18" s="11" t="n">
        <v>2.29457367679106</v>
      </c>
      <c r="W18" s="11" t="n">
        <v>2.37081680315126</v>
      </c>
      <c r="X18" s="11" t="n">
        <v>2.44377787788721</v>
      </c>
      <c r="Y18" s="11" t="n">
        <v>2.51361504514719</v>
      </c>
      <c r="Z18" s="11" t="n">
        <v>2.58049022092577</v>
      </c>
      <c r="AA18" s="11" t="n">
        <v>2.64455117264203</v>
      </c>
      <c r="AB18" s="11" t="n">
        <v>2.70592585251385</v>
      </c>
      <c r="AC18" s="11" t="n">
        <v>2.76472546568668</v>
      </c>
      <c r="AD18" s="11" t="n">
        <v>2.82104717137426</v>
      </c>
      <c r="AE18" s="11" t="n">
        <v>2.87497602759829</v>
      </c>
      <c r="AF18" s="11" t="n">
        <v>2.92658218500348</v>
      </c>
      <c r="AG18" s="11" t="n">
        <v>3.40203175285192</v>
      </c>
      <c r="AH18" s="11" t="n">
        <v>3.42484472188794</v>
      </c>
      <c r="AI18" s="11" t="n">
        <v>3.4459478114602</v>
      </c>
      <c r="AJ18" s="11" t="n">
        <v>3.46540670883781</v>
      </c>
      <c r="AK18" s="11" t="n">
        <v>3.48328810161827</v>
      </c>
    </row>
    <row r="19" customFormat="false" ht="15" hidden="false" customHeight="false" outlineLevel="0" collapsed="false">
      <c r="A19" s="10" t="n">
        <v>-106</v>
      </c>
      <c r="B19" s="8" t="n">
        <v>41038</v>
      </c>
      <c r="C19" s="11" t="n">
        <v>0.400262147350706</v>
      </c>
      <c r="D19" s="11" t="n">
        <v>0.458932202312616</v>
      </c>
      <c r="E19" s="11" t="n">
        <v>0.542286782664526</v>
      </c>
      <c r="F19" s="11" t="n">
        <v>0.640506698250568</v>
      </c>
      <c r="G19" s="11" t="n">
        <v>0.747501216536673</v>
      </c>
      <c r="H19" s="11" t="n">
        <v>0.85931744373383</v>
      </c>
      <c r="I19" s="11" t="n">
        <v>0.973367852814321</v>
      </c>
      <c r="J19" s="11" t="n">
        <v>1.087931612764</v>
      </c>
      <c r="K19" s="11" t="n">
        <v>1.20181245281971</v>
      </c>
      <c r="L19" s="11" t="n">
        <v>1.31412534105771</v>
      </c>
      <c r="M19" s="11" t="n">
        <v>1.42420546403922</v>
      </c>
      <c r="N19" s="11" t="n">
        <v>1.53153665202149</v>
      </c>
      <c r="O19" s="11" t="n">
        <v>1.63572581492766</v>
      </c>
      <c r="P19" s="11" t="n">
        <v>1.73649332311181</v>
      </c>
      <c r="Q19" s="11" t="n">
        <v>1.83366188690073</v>
      </c>
      <c r="R19" s="11" t="n">
        <v>1.92714753423247</v>
      </c>
      <c r="S19" s="11" t="n">
        <v>2.01694368322796</v>
      </c>
      <c r="T19" s="11" t="n">
        <v>2.10311875967589</v>
      </c>
      <c r="U19" s="11" t="n">
        <v>2.18577871866718</v>
      </c>
      <c r="V19" s="11" t="n">
        <v>2.26504364171039</v>
      </c>
      <c r="W19" s="11" t="n">
        <v>2.3410443641933</v>
      </c>
      <c r="X19" s="11" t="n">
        <v>2.41392032460706</v>
      </c>
      <c r="Y19" s="11" t="n">
        <v>2.48381789422817</v>
      </c>
      <c r="Z19" s="11" t="n">
        <v>2.55088528818051</v>
      </c>
      <c r="AA19" s="11" t="n">
        <v>2.61525574013562</v>
      </c>
      <c r="AB19" s="11" t="n">
        <v>2.67704242596245</v>
      </c>
      <c r="AC19" s="11" t="n">
        <v>2.73634159014655</v>
      </c>
      <c r="AD19" s="11" t="n">
        <v>2.79323527665831</v>
      </c>
      <c r="AE19" s="11" t="n">
        <v>2.84779331692704</v>
      </c>
      <c r="AF19" s="11" t="n">
        <v>2.90007097288643</v>
      </c>
      <c r="AG19" s="11" t="n">
        <v>3.38383332368701</v>
      </c>
      <c r="AH19" s="11" t="n">
        <v>3.40712516331975</v>
      </c>
      <c r="AI19" s="11" t="n">
        <v>3.42868648616886</v>
      </c>
      <c r="AJ19" s="11" t="n">
        <v>3.44858528969816</v>
      </c>
      <c r="AK19" s="11" t="n">
        <v>3.46689049163375</v>
      </c>
    </row>
    <row r="20" customFormat="false" ht="15" hidden="false" customHeight="false" outlineLevel="0" collapsed="false">
      <c r="A20" s="10" t="n">
        <v>-105</v>
      </c>
      <c r="B20" s="8" t="n">
        <v>41039</v>
      </c>
      <c r="C20" s="11" t="n">
        <v>0.418917606318672</v>
      </c>
      <c r="D20" s="11" t="n">
        <v>0.486270073454518</v>
      </c>
      <c r="E20" s="11" t="n">
        <v>0.57826542403024</v>
      </c>
      <c r="F20" s="11" t="n">
        <v>0.684860204018488</v>
      </c>
      <c r="G20" s="11" t="n">
        <v>0.799755170059288</v>
      </c>
      <c r="H20" s="11" t="n">
        <v>0.918815214515436</v>
      </c>
      <c r="I20" s="11" t="n">
        <v>1.03932148765107</v>
      </c>
      <c r="J20" s="11" t="n">
        <v>1.15947978842424</v>
      </c>
      <c r="K20" s="11" t="n">
        <v>1.27807432192103</v>
      </c>
      <c r="L20" s="11" t="n">
        <v>1.39424330330022</v>
      </c>
      <c r="M20" s="11" t="n">
        <v>1.50737208845132</v>
      </c>
      <c r="N20" s="11" t="n">
        <v>1.61700959686295</v>
      </c>
      <c r="O20" s="11" t="n">
        <v>1.72283484845353</v>
      </c>
      <c r="P20" s="11" t="n">
        <v>1.82464320768352</v>
      </c>
      <c r="Q20" s="11" t="n">
        <v>1.92233067553768</v>
      </c>
      <c r="R20" s="11" t="n">
        <v>2.01588234808294</v>
      </c>
      <c r="S20" s="11" t="n">
        <v>2.10535476117623</v>
      </c>
      <c r="T20" s="11" t="n">
        <v>2.19087282459404</v>
      </c>
      <c r="U20" s="11" t="n">
        <v>2.27259186648876</v>
      </c>
      <c r="V20" s="11" t="n">
        <v>2.35067493209813</v>
      </c>
      <c r="W20" s="11" t="n">
        <v>2.4252907332825</v>
      </c>
      <c r="X20" s="11" t="n">
        <v>2.49661251520033</v>
      </c>
      <c r="Y20" s="11" t="n">
        <v>2.56481716675722</v>
      </c>
      <c r="Z20" s="11" t="n">
        <v>2.63008049450936</v>
      </c>
      <c r="AA20" s="11" t="n">
        <v>2.69256008817065</v>
      </c>
      <c r="AB20" s="11" t="n">
        <v>2.75239051331626</v>
      </c>
      <c r="AC20" s="11" t="n">
        <v>2.80968692908185</v>
      </c>
      <c r="AD20" s="11" t="n">
        <v>2.86454821823456</v>
      </c>
      <c r="AE20" s="11" t="n">
        <v>2.91705929448611</v>
      </c>
      <c r="AF20" s="11" t="n">
        <v>2.96728899826783</v>
      </c>
      <c r="AG20" s="11" t="n">
        <v>3.42821976913422</v>
      </c>
      <c r="AH20" s="11" t="n">
        <v>3.45019776342154</v>
      </c>
      <c r="AI20" s="11" t="n">
        <v>3.47051768802684</v>
      </c>
      <c r="AJ20" s="11" t="n">
        <v>3.48924840862917</v>
      </c>
      <c r="AK20" s="11" t="n">
        <v>3.5064594262901</v>
      </c>
    </row>
    <row r="21" customFormat="false" ht="15" hidden="false" customHeight="false" outlineLevel="0" collapsed="false">
      <c r="A21" s="10" t="n">
        <v>-104</v>
      </c>
      <c r="B21" s="8" t="n">
        <v>41040</v>
      </c>
      <c r="C21" s="11" t="n">
        <v>0.402293730465075</v>
      </c>
      <c r="D21" s="11" t="n">
        <v>0.463649374190695</v>
      </c>
      <c r="E21" s="11" t="n">
        <v>0.551485564004578</v>
      </c>
      <c r="F21" s="11" t="n">
        <v>0.655437700809087</v>
      </c>
      <c r="G21" s="11" t="n">
        <v>0.768890319909668</v>
      </c>
      <c r="H21" s="11" t="n">
        <v>0.887437992143675</v>
      </c>
      <c r="I21" s="11" t="n">
        <v>1.00813218392161</v>
      </c>
      <c r="J21" s="11" t="n">
        <v>1.12898190373706</v>
      </c>
      <c r="K21" s="11" t="n">
        <v>1.24860403112718</v>
      </c>
      <c r="L21" s="11" t="n">
        <v>1.36600105600001</v>
      </c>
      <c r="M21" s="11" t="n">
        <v>1.48044965403999</v>
      </c>
      <c r="N21" s="11" t="n">
        <v>1.59141842379829</v>
      </c>
      <c r="O21" s="11" t="n">
        <v>1.69853189470186</v>
      </c>
      <c r="P21" s="11" t="n">
        <v>1.80155266036111</v>
      </c>
      <c r="Q21" s="11" t="n">
        <v>1.90035939761269</v>
      </c>
      <c r="R21" s="11" t="n">
        <v>1.99493198587716</v>
      </c>
      <c r="S21" s="11" t="n">
        <v>2.0853291306846</v>
      </c>
      <c r="T21" s="11" t="n">
        <v>2.1716826292935</v>
      </c>
      <c r="U21" s="11" t="n">
        <v>2.25415610752283</v>
      </c>
      <c r="V21" s="11" t="n">
        <v>2.33292125412628</v>
      </c>
      <c r="W21" s="11" t="n">
        <v>2.40815570919173</v>
      </c>
      <c r="X21" s="11" t="n">
        <v>2.48004187387439</v>
      </c>
      <c r="Y21" s="11" t="n">
        <v>2.54876597258259</v>
      </c>
      <c r="Z21" s="11" t="n">
        <v>2.61451295329173</v>
      </c>
      <c r="AA21" s="11" t="n">
        <v>2.6774486748966</v>
      </c>
      <c r="AB21" s="11" t="n">
        <v>2.73771522086922</v>
      </c>
      <c r="AC21" s="11" t="n">
        <v>2.7954346561557</v>
      </c>
      <c r="AD21" s="11" t="n">
        <v>2.85071225597073</v>
      </c>
      <c r="AE21" s="11" t="n">
        <v>2.90363888671395</v>
      </c>
      <c r="AF21" s="11" t="n">
        <v>2.95428907936834</v>
      </c>
      <c r="AG21" s="11" t="n">
        <v>3.423069149767</v>
      </c>
      <c r="AH21" s="11" t="n">
        <v>3.44587794500626</v>
      </c>
      <c r="AI21" s="11" t="n">
        <v>3.46705151472011</v>
      </c>
      <c r="AJ21" s="11" t="n">
        <v>3.48665446198362</v>
      </c>
      <c r="AK21" s="11" t="n">
        <v>3.50475205041266</v>
      </c>
    </row>
    <row r="22" customFormat="false" ht="15" hidden="false" customHeight="false" outlineLevel="0" collapsed="false">
      <c r="A22" s="10" t="n">
        <v>-103</v>
      </c>
      <c r="B22" s="8" t="n">
        <v>41043</v>
      </c>
      <c r="C22" s="11" t="n">
        <v>0.381308118582264</v>
      </c>
      <c r="D22" s="11" t="n">
        <v>0.433823867294521</v>
      </c>
      <c r="E22" s="11" t="n">
        <v>0.51325985568189</v>
      </c>
      <c r="F22" s="11" t="n">
        <v>0.609451680486008</v>
      </c>
      <c r="G22" s="11" t="n">
        <v>0.715863766234207</v>
      </c>
      <c r="H22" s="11" t="n">
        <v>0.828118953159134</v>
      </c>
      <c r="I22" s="11" t="n">
        <v>0.943272091790096</v>
      </c>
      <c r="J22" s="11" t="n">
        <v>1.05931912367385</v>
      </c>
      <c r="K22" s="11" t="n">
        <v>1.17484803251175</v>
      </c>
      <c r="L22" s="11" t="n">
        <v>1.28881894365639</v>
      </c>
      <c r="M22" s="11" t="n">
        <v>1.40045400067522</v>
      </c>
      <c r="N22" s="11" t="n">
        <v>1.50916134892819</v>
      </c>
      <c r="O22" s="11" t="n">
        <v>1.61450187497408</v>
      </c>
      <c r="P22" s="11" t="n">
        <v>1.71617377721172</v>
      </c>
      <c r="Q22" s="11" t="n">
        <v>1.81399444038122</v>
      </c>
      <c r="R22" s="11" t="n">
        <v>1.90788730963483</v>
      </c>
      <c r="S22" s="11" t="n">
        <v>1.99785970482533</v>
      </c>
      <c r="T22" s="11" t="n">
        <v>2.08399592110794</v>
      </c>
      <c r="U22" s="11" t="n">
        <v>2.1664184864715</v>
      </c>
      <c r="V22" s="11" t="n">
        <v>2.24526519322855</v>
      </c>
      <c r="W22" s="11" t="n">
        <v>2.32068555093335</v>
      </c>
      <c r="X22" s="11" t="n">
        <v>2.39283844293362</v>
      </c>
      <c r="Y22" s="11" t="n">
        <v>2.46189030136675</v>
      </c>
      <c r="Z22" s="11" t="n">
        <v>2.52800949132185</v>
      </c>
      <c r="AA22" s="11" t="n">
        <v>2.59134886929877</v>
      </c>
      <c r="AB22" s="11" t="n">
        <v>2.65204098897605</v>
      </c>
      <c r="AC22" s="11" t="n">
        <v>2.71020129696157</v>
      </c>
      <c r="AD22" s="11" t="n">
        <v>2.76593089199751</v>
      </c>
      <c r="AE22" s="11" t="n">
        <v>2.81931848504621</v>
      </c>
      <c r="AF22" s="11" t="n">
        <v>2.87043758528228</v>
      </c>
      <c r="AG22" s="11" t="n">
        <v>3.34598854111784</v>
      </c>
      <c r="AH22" s="11" t="n">
        <v>3.36937443759453</v>
      </c>
      <c r="AI22" s="11" t="n">
        <v>3.39113091012323</v>
      </c>
      <c r="AJ22" s="11" t="n">
        <v>3.41132120158934</v>
      </c>
      <c r="AK22" s="11" t="n">
        <v>3.4300091768807</v>
      </c>
    </row>
    <row r="23" customFormat="false" ht="15" hidden="false" customHeight="false" outlineLevel="0" collapsed="false">
      <c r="A23" s="10" t="n">
        <v>-102</v>
      </c>
      <c r="B23" s="8" t="n">
        <v>41044</v>
      </c>
      <c r="C23" s="11" t="n">
        <v>0.379594171191174</v>
      </c>
      <c r="D23" s="11" t="n">
        <v>0.434213165120828</v>
      </c>
      <c r="E23" s="11" t="n">
        <v>0.515340114447931</v>
      </c>
      <c r="F23" s="11" t="n">
        <v>0.612970981174061</v>
      </c>
      <c r="G23" s="11" t="n">
        <v>0.720694744589826</v>
      </c>
      <c r="H23" s="11" t="n">
        <v>0.834214909065113</v>
      </c>
      <c r="I23" s="11" t="n">
        <v>0.950626349067265</v>
      </c>
      <c r="J23" s="11" t="n">
        <v>1.06793229828503</v>
      </c>
      <c r="K23" s="11" t="n">
        <v>1.18470582153534</v>
      </c>
      <c r="L23" s="11" t="n">
        <v>1.29987967505914</v>
      </c>
      <c r="M23" s="11" t="n">
        <v>1.41264327056394</v>
      </c>
      <c r="N23" s="11" t="n">
        <v>1.52237320823238</v>
      </c>
      <c r="O23" s="11" t="n">
        <v>1.62860484013076</v>
      </c>
      <c r="P23" s="11" t="n">
        <v>1.73101977675474</v>
      </c>
      <c r="Q23" s="11" t="n">
        <v>1.82943050870886</v>
      </c>
      <c r="R23" s="11" t="n">
        <v>1.9237667055106</v>
      </c>
      <c r="S23" s="11" t="n">
        <v>2.01405089967072</v>
      </c>
      <c r="T23" s="11" t="n">
        <v>2.1003918873307</v>
      </c>
      <c r="U23" s="11" t="n">
        <v>2.18293818287426</v>
      </c>
      <c r="V23" s="11" t="n">
        <v>2.26185161105217</v>
      </c>
      <c r="W23" s="11" t="n">
        <v>2.33730410033914</v>
      </c>
      <c r="X23" s="11" t="n">
        <v>2.40947566218908</v>
      </c>
      <c r="Y23" s="11" t="n">
        <v>2.47855280943027</v>
      </c>
      <c r="Z23" s="11" t="n">
        <v>2.54472244897403</v>
      </c>
      <c r="AA23" s="11" t="n">
        <v>2.60815220055633</v>
      </c>
      <c r="AB23" s="11" t="n">
        <v>2.66898525983604</v>
      </c>
      <c r="AC23" s="11" t="n">
        <v>2.7273442609989</v>
      </c>
      <c r="AD23" s="11" t="n">
        <v>2.78333459312417</v>
      </c>
      <c r="AE23" s="11" t="n">
        <v>2.83704682034501</v>
      </c>
      <c r="AF23" s="11" t="n">
        <v>2.88855444058872</v>
      </c>
      <c r="AG23" s="11" t="n">
        <v>3.37338833049797</v>
      </c>
      <c r="AH23" s="11" t="n">
        <v>3.39763218389898</v>
      </c>
      <c r="AI23" s="11" t="n">
        <v>3.42023832146264</v>
      </c>
      <c r="AJ23" s="11" t="n">
        <v>3.44126426323161</v>
      </c>
      <c r="AK23" s="11" t="n">
        <v>3.46076855540014</v>
      </c>
    </row>
    <row r="24" customFormat="false" ht="15" hidden="false" customHeight="false" outlineLevel="0" collapsed="false">
      <c r="A24" s="10" t="n">
        <v>-101</v>
      </c>
      <c r="B24" s="8" t="n">
        <v>41045</v>
      </c>
      <c r="C24" s="11" t="n">
        <v>0.357435315687561</v>
      </c>
      <c r="D24" s="11" t="n">
        <v>0.407336830135214</v>
      </c>
      <c r="E24" s="11" t="n">
        <v>0.485179461604844</v>
      </c>
      <c r="F24" s="11" t="n">
        <v>0.580724945222223</v>
      </c>
      <c r="G24" s="11" t="n">
        <v>0.687360459329397</v>
      </c>
      <c r="H24" s="11" t="n">
        <v>0.80062359495513</v>
      </c>
      <c r="I24" s="11" t="n">
        <v>0.917461489911411</v>
      </c>
      <c r="J24" s="11" t="n">
        <v>1.03573727771057</v>
      </c>
      <c r="K24" s="11" t="n">
        <v>1.15389121067829</v>
      </c>
      <c r="L24" s="11" t="n">
        <v>1.27073087654647</v>
      </c>
      <c r="M24" s="11" t="n">
        <v>1.38532636274565</v>
      </c>
      <c r="N24" s="11" t="n">
        <v>1.49694217652231</v>
      </c>
      <c r="O24" s="11" t="n">
        <v>1.6050100737113</v>
      </c>
      <c r="P24" s="11" t="n">
        <v>1.70911967891196</v>
      </c>
      <c r="Q24" s="11" t="n">
        <v>1.80900838592154</v>
      </c>
      <c r="R24" s="11" t="n">
        <v>1.90454960994236</v>
      </c>
      <c r="S24" s="11" t="n">
        <v>1.99572919862933</v>
      </c>
      <c r="T24" s="11" t="n">
        <v>2.08263707091289</v>
      </c>
      <c r="U24" s="11" t="n">
        <v>2.16541681908173</v>
      </c>
      <c r="V24" s="11" t="n">
        <v>2.24423688255647</v>
      </c>
      <c r="W24" s="11" t="n">
        <v>2.31928496360261</v>
      </c>
      <c r="X24" s="11" t="n">
        <v>2.39076417476161</v>
      </c>
      <c r="Y24" s="11" t="n">
        <v>2.45889004383114</v>
      </c>
      <c r="Z24" s="11" t="n">
        <v>2.52388277934573</v>
      </c>
      <c r="AA24" s="11" t="n">
        <v>2.58594498359869</v>
      </c>
      <c r="AB24" s="11" t="n">
        <v>2.64525554461511</v>
      </c>
      <c r="AC24" s="11" t="n">
        <v>2.70197336903767</v>
      </c>
      <c r="AD24" s="11" t="n">
        <v>2.75624060493029</v>
      </c>
      <c r="AE24" s="11" t="n">
        <v>2.8081849022765</v>
      </c>
      <c r="AF24" s="11" t="n">
        <v>2.85791585705622</v>
      </c>
      <c r="AG24" s="11" t="n">
        <v>3.32872719025735</v>
      </c>
      <c r="AH24" s="11" t="n">
        <v>3.35281971916391</v>
      </c>
      <c r="AI24" s="11" t="n">
        <v>3.37538424129185</v>
      </c>
      <c r="AJ24" s="11" t="n">
        <v>3.39646804114445</v>
      </c>
      <c r="AK24" s="11" t="n">
        <v>3.41611937176142</v>
      </c>
    </row>
    <row r="25" customFormat="false" ht="15" hidden="false" customHeight="false" outlineLevel="0" collapsed="false">
      <c r="A25" s="10" t="n">
        <v>-100</v>
      </c>
      <c r="B25" s="8" t="n">
        <v>41046</v>
      </c>
      <c r="C25" s="11" t="n">
        <v>0.326671526486399</v>
      </c>
      <c r="D25" s="11" t="n">
        <v>0.370672613447177</v>
      </c>
      <c r="E25" s="11" t="n">
        <v>0.444564800134167</v>
      </c>
      <c r="F25" s="11" t="n">
        <v>0.537493634056592</v>
      </c>
      <c r="G25" s="11" t="n">
        <v>0.642481123369139</v>
      </c>
      <c r="H25" s="11" t="n">
        <v>0.754833985974568</v>
      </c>
      <c r="I25" s="11" t="n">
        <v>0.871333568380089</v>
      </c>
      <c r="J25" s="11" t="n">
        <v>0.989708513459683</v>
      </c>
      <c r="K25" s="11" t="n">
        <v>1.10828230059689</v>
      </c>
      <c r="L25" s="11" t="n">
        <v>1.22576182127625</v>
      </c>
      <c r="M25" s="11" t="n">
        <v>1.34113291440012</v>
      </c>
      <c r="N25" s="11" t="n">
        <v>1.45359236891468</v>
      </c>
      <c r="O25" s="11" t="n">
        <v>1.56252027796273</v>
      </c>
      <c r="P25" s="11" t="n">
        <v>1.66746749453026</v>
      </c>
      <c r="Q25" s="11" t="n">
        <v>1.76814387531657</v>
      </c>
      <c r="R25" s="11" t="n">
        <v>1.86440326767384</v>
      </c>
      <c r="S25" s="11" t="n">
        <v>1.95621968086944</v>
      </c>
      <c r="T25" s="11" t="n">
        <v>2.04367810088438</v>
      </c>
      <c r="U25" s="11" t="n">
        <v>2.12692076117318</v>
      </c>
      <c r="V25" s="11" t="n">
        <v>2.20611727352645</v>
      </c>
      <c r="W25" s="11" t="n">
        <v>2.28145852111486</v>
      </c>
      <c r="X25" s="11" t="n">
        <v>2.35315240421305</v>
      </c>
      <c r="Y25" s="11" t="n">
        <v>2.42142053305638</v>
      </c>
      <c r="Z25" s="11" t="n">
        <v>2.4864899708429</v>
      </c>
      <c r="AA25" s="11" t="n">
        <v>2.54856999111576</v>
      </c>
      <c r="AB25" s="11" t="n">
        <v>2.60784576857341</v>
      </c>
      <c r="AC25" s="11" t="n">
        <v>2.6644821758552</v>
      </c>
      <c r="AD25" s="11" t="n">
        <v>2.71862705806705</v>
      </c>
      <c r="AE25" s="11" t="n">
        <v>2.77041351983276</v>
      </c>
      <c r="AF25" s="11" t="n">
        <v>2.81995626231973</v>
      </c>
      <c r="AG25" s="11" t="n">
        <v>3.28711624052909</v>
      </c>
      <c r="AH25" s="11" t="n">
        <v>3.31090571594593</v>
      </c>
      <c r="AI25" s="11" t="n">
        <v>3.33316892517171</v>
      </c>
      <c r="AJ25" s="11" t="n">
        <v>3.35395325793874</v>
      </c>
      <c r="AK25" s="11" t="n">
        <v>3.37330688500936</v>
      </c>
    </row>
    <row r="26" customFormat="false" ht="15" hidden="false" customHeight="false" outlineLevel="0" collapsed="false">
      <c r="A26" s="10" t="n">
        <v>-99</v>
      </c>
      <c r="B26" s="8" t="n">
        <v>41047</v>
      </c>
      <c r="C26" s="11" t="n">
        <v>0.303356017618617</v>
      </c>
      <c r="D26" s="11" t="n">
        <v>0.344796182640975</v>
      </c>
      <c r="E26" s="11" t="n">
        <v>0.418162409266779</v>
      </c>
      <c r="F26" s="11" t="n">
        <v>0.511839360224769</v>
      </c>
      <c r="G26" s="11" t="n">
        <v>0.618337643468595</v>
      </c>
      <c r="H26" s="11" t="n">
        <v>0.732630090868394</v>
      </c>
      <c r="I26" s="11" t="n">
        <v>0.851272425457654</v>
      </c>
      <c r="J26" s="11" t="n">
        <v>0.971827727435314</v>
      </c>
      <c r="K26" s="11" t="n">
        <v>1.09249176614511</v>
      </c>
      <c r="L26" s="11" t="n">
        <v>1.21187539943023</v>
      </c>
      <c r="M26" s="11" t="n">
        <v>1.32889090684905</v>
      </c>
      <c r="N26" s="11" t="n">
        <v>1.4426845501795</v>
      </c>
      <c r="O26" s="11" t="n">
        <v>1.55260480836783</v>
      </c>
      <c r="P26" s="11" t="n">
        <v>1.65818253040167</v>
      </c>
      <c r="Q26" s="11" t="n">
        <v>1.75912133065932</v>
      </c>
      <c r="R26" s="11" t="n">
        <v>1.8552782894591</v>
      </c>
      <c r="S26" s="11" t="n">
        <v>1.94664320695035</v>
      </c>
      <c r="T26" s="11" t="n">
        <v>2.03332686866443</v>
      </c>
      <c r="U26" s="11" t="n">
        <v>2.11549958499627</v>
      </c>
      <c r="V26" s="11" t="n">
        <v>2.19336052660845</v>
      </c>
      <c r="W26" s="11" t="n">
        <v>2.26713133427443</v>
      </c>
      <c r="X26" s="11" t="n">
        <v>2.33705162485642</v>
      </c>
      <c r="Y26" s="11" t="n">
        <v>2.4033754890024</v>
      </c>
      <c r="Z26" s="11" t="n">
        <v>2.46636221007444</v>
      </c>
      <c r="AA26" s="11" t="n">
        <v>2.52625063126487</v>
      </c>
      <c r="AB26" s="11" t="n">
        <v>2.58325265429227</v>
      </c>
      <c r="AC26" s="11" t="n">
        <v>2.63755751153942</v>
      </c>
      <c r="AD26" s="11" t="n">
        <v>2.68933542239776</v>
      </c>
      <c r="AE26" s="11" t="n">
        <v>2.73874013084544</v>
      </c>
      <c r="AF26" s="11" t="n">
        <v>2.78590491150046</v>
      </c>
      <c r="AG26" s="11" t="n">
        <v>3.22714823591792</v>
      </c>
      <c r="AH26" s="11" t="n">
        <v>3.24945519289904</v>
      </c>
      <c r="AI26" s="11" t="n">
        <v>3.27030721646874</v>
      </c>
      <c r="AJ26" s="11" t="n">
        <v>3.28974980944747</v>
      </c>
      <c r="AK26" s="11" t="n">
        <v>3.30782915227168</v>
      </c>
    </row>
    <row r="27" customFormat="false" ht="15" hidden="false" customHeight="false" outlineLevel="0" collapsed="false">
      <c r="A27" s="10" t="n">
        <v>-98</v>
      </c>
      <c r="B27" s="8" t="n">
        <v>41050</v>
      </c>
      <c r="C27" s="11" t="n">
        <v>0.294615752022367</v>
      </c>
      <c r="D27" s="11" t="n">
        <v>0.340424499342052</v>
      </c>
      <c r="E27" s="11" t="n">
        <v>0.418381923138438</v>
      </c>
      <c r="F27" s="11" t="n">
        <v>0.516449511174484</v>
      </c>
      <c r="G27" s="11" t="n">
        <v>0.626940322190486</v>
      </c>
      <c r="H27" s="11" t="n">
        <v>0.74472323805907</v>
      </c>
      <c r="I27" s="11" t="n">
        <v>0.866307857575577</v>
      </c>
      <c r="J27" s="11" t="n">
        <v>0.989256086686219</v>
      </c>
      <c r="K27" s="11" t="n">
        <v>1.11179933004361</v>
      </c>
      <c r="L27" s="11" t="n">
        <v>1.23260654875203</v>
      </c>
      <c r="M27" s="11" t="n">
        <v>1.350650907227</v>
      </c>
      <c r="N27" s="11" t="n">
        <v>1.46513876903887</v>
      </c>
      <c r="O27" s="11" t="n">
        <v>1.5754738898549</v>
      </c>
      <c r="P27" s="11" t="n">
        <v>1.68123654510318</v>
      </c>
      <c r="Q27" s="11" t="n">
        <v>1.78217720231741</v>
      </c>
      <c r="R27" s="11" t="n">
        <v>1.87819860287118</v>
      </c>
      <c r="S27" s="11" t="n">
        <v>1.96933740600146</v>
      </c>
      <c r="T27" s="11" t="n">
        <v>2.05575460977474</v>
      </c>
      <c r="U27" s="11" t="n">
        <v>2.13766522847789</v>
      </c>
      <c r="V27" s="11" t="n">
        <v>2.21530524382593</v>
      </c>
      <c r="W27" s="11" t="n">
        <v>2.28892679465131</v>
      </c>
      <c r="X27" s="11" t="n">
        <v>2.35879494548034</v>
      </c>
      <c r="Y27" s="11" t="n">
        <v>2.42518514643984</v>
      </c>
      <c r="Z27" s="11" t="n">
        <v>2.4883737132369</v>
      </c>
      <c r="AA27" s="11" t="n">
        <v>2.54860961117002</v>
      </c>
      <c r="AB27" s="11" t="n">
        <v>2.60610792303231</v>
      </c>
      <c r="AC27" s="11" t="n">
        <v>2.66105525758999</v>
      </c>
      <c r="AD27" s="11" t="n">
        <v>2.71361434216737</v>
      </c>
      <c r="AE27" s="11" t="n">
        <v>2.76392731642308</v>
      </c>
      <c r="AF27" s="11" t="n">
        <v>2.81211240638385</v>
      </c>
      <c r="AG27" s="11" t="n">
        <v>3.26908500089744</v>
      </c>
      <c r="AH27" s="11" t="n">
        <v>3.2923751109634</v>
      </c>
      <c r="AI27" s="11" t="n">
        <v>3.31415291510864</v>
      </c>
      <c r="AJ27" s="11" t="n">
        <v>3.33446464714294</v>
      </c>
      <c r="AK27" s="11" t="n">
        <v>3.35335791630672</v>
      </c>
    </row>
    <row r="28" customFormat="false" ht="15" hidden="false" customHeight="false" outlineLevel="0" collapsed="false">
      <c r="A28" s="10" t="n">
        <v>-97</v>
      </c>
      <c r="B28" s="8" t="n">
        <v>41051</v>
      </c>
      <c r="C28" s="11" t="n">
        <v>0.28959476959449</v>
      </c>
      <c r="D28" s="11" t="n">
        <v>0.340013956377556</v>
      </c>
      <c r="E28" s="11" t="n">
        <v>0.422356448087793</v>
      </c>
      <c r="F28" s="11" t="n">
        <v>0.524414569748129</v>
      </c>
      <c r="G28" s="11" t="n">
        <v>0.638458553025172</v>
      </c>
      <c r="H28" s="11" t="n">
        <v>0.759349821249552</v>
      </c>
      <c r="I28" s="11" t="n">
        <v>0.883610724485336</v>
      </c>
      <c r="J28" s="11" t="n">
        <v>1.0088269347961</v>
      </c>
      <c r="K28" s="11" t="n">
        <v>1.13326121072993</v>
      </c>
      <c r="L28" s="11" t="n">
        <v>1.25561922336989</v>
      </c>
      <c r="M28" s="11" t="n">
        <v>1.37491195056878</v>
      </c>
      <c r="N28" s="11" t="n">
        <v>1.49038545048924</v>
      </c>
      <c r="O28" s="11" t="n">
        <v>1.60148331696383</v>
      </c>
      <c r="P28" s="11" t="n">
        <v>1.70782318575841</v>
      </c>
      <c r="Q28" s="11" t="n">
        <v>1.80918993623757</v>
      </c>
      <c r="R28" s="11" t="n">
        <v>1.90551680954353</v>
      </c>
      <c r="S28" s="11" t="n">
        <v>1.99686634471218</v>
      </c>
      <c r="T28" s="11" t="n">
        <v>2.08342143949304</v>
      </c>
      <c r="U28" s="11" t="n">
        <v>2.16541525093435</v>
      </c>
      <c r="V28" s="11" t="n">
        <v>2.24309879873096</v>
      </c>
      <c r="W28" s="11" t="n">
        <v>2.31673680952439</v>
      </c>
      <c r="X28" s="11" t="n">
        <v>2.38660497551356</v>
      </c>
      <c r="Y28" s="11" t="n">
        <v>2.45298778737953</v>
      </c>
      <c r="Z28" s="11" t="n">
        <v>2.51616907972003</v>
      </c>
      <c r="AA28" s="11" t="n">
        <v>2.57640362039586</v>
      </c>
      <c r="AB28" s="11" t="n">
        <v>2.63391082773599</v>
      </c>
      <c r="AC28" s="11" t="n">
        <v>2.68888042855572</v>
      </c>
      <c r="AD28" s="11" t="n">
        <v>2.74147724711046</v>
      </c>
      <c r="AE28" s="11" t="n">
        <v>2.7918446338523</v>
      </c>
      <c r="AF28" s="11" t="n">
        <v>2.84010102794443</v>
      </c>
      <c r="AG28" s="11" t="n">
        <v>3.29890748155399</v>
      </c>
      <c r="AH28" s="11" t="n">
        <v>3.32237111188155</v>
      </c>
      <c r="AI28" s="11" t="n">
        <v>3.3443262358902</v>
      </c>
      <c r="AJ28" s="11" t="n">
        <v>3.36481967143242</v>
      </c>
      <c r="AK28" s="11" t="n">
        <v>3.38389960674569</v>
      </c>
    </row>
    <row r="29" customFormat="false" ht="15" hidden="false" customHeight="false" outlineLevel="0" collapsed="false">
      <c r="A29" s="10" t="n">
        <v>-96</v>
      </c>
      <c r="B29" s="8" t="n">
        <v>41052</v>
      </c>
      <c r="C29" s="11" t="n">
        <v>0.252115145853698</v>
      </c>
      <c r="D29" s="11" t="n">
        <v>0.293748226707016</v>
      </c>
      <c r="E29" s="11" t="n">
        <v>0.367881600835454</v>
      </c>
      <c r="F29" s="11" t="n">
        <v>0.462412781180721</v>
      </c>
      <c r="G29" s="11" t="n">
        <v>0.569627112613494</v>
      </c>
      <c r="H29" s="11" t="n">
        <v>0.684374228929431</v>
      </c>
      <c r="I29" s="11" t="n">
        <v>0.803155661951204</v>
      </c>
      <c r="J29" s="11" t="n">
        <v>0.923532388714627</v>
      </c>
      <c r="K29" s="11" t="n">
        <v>1.04374442594789</v>
      </c>
      <c r="L29" s="11" t="n">
        <v>1.1624750552116</v>
      </c>
      <c r="M29" s="11" t="n">
        <v>1.27871473160481</v>
      </c>
      <c r="N29" s="11" t="n">
        <v>1.39168754434493</v>
      </c>
      <c r="O29" s="11" t="n">
        <v>1.50081444417221</v>
      </c>
      <c r="P29" s="11" t="n">
        <v>1.60568975341426</v>
      </c>
      <c r="Q29" s="11" t="n">
        <v>1.70607388595377</v>
      </c>
      <c r="R29" s="11" t="n">
        <v>1.80187429377812</v>
      </c>
      <c r="S29" s="11" t="n">
        <v>1.89312501652298</v>
      </c>
      <c r="T29" s="11" t="n">
        <v>1.9799784504856</v>
      </c>
      <c r="U29" s="11" t="n">
        <v>2.06263640345417</v>
      </c>
      <c r="V29" s="11" t="n">
        <v>2.14131809932562</v>
      </c>
      <c r="W29" s="11" t="n">
        <v>2.21625613043794</v>
      </c>
      <c r="X29" s="11" t="n">
        <v>2.28769378388203</v>
      </c>
      <c r="Y29" s="11" t="n">
        <v>2.35588292355927</v>
      </c>
      <c r="Z29" s="11" t="n">
        <v>2.42107450003419</v>
      </c>
      <c r="AA29" s="11" t="n">
        <v>2.48349028184635</v>
      </c>
      <c r="AB29" s="11" t="n">
        <v>2.54331676892526</v>
      </c>
      <c r="AC29" s="11" t="n">
        <v>2.60071084660752</v>
      </c>
      <c r="AD29" s="11" t="n">
        <v>2.6558045621841</v>
      </c>
      <c r="AE29" s="11" t="n">
        <v>2.7087085163705</v>
      </c>
      <c r="AF29" s="11" t="n">
        <v>2.75950814809101</v>
      </c>
      <c r="AG29" s="11" t="n">
        <v>3.24117970529555</v>
      </c>
      <c r="AH29" s="11" t="n">
        <v>3.26531675025397</v>
      </c>
      <c r="AI29" s="11" t="n">
        <v>3.2878136891451</v>
      </c>
      <c r="AJ29" s="11" t="n">
        <v>3.30873015515605</v>
      </c>
      <c r="AK29" s="11" t="n">
        <v>3.32812742364347</v>
      </c>
    </row>
    <row r="30" customFormat="false" ht="15" hidden="false" customHeight="false" outlineLevel="0" collapsed="false">
      <c r="A30" s="10" t="n">
        <v>-95</v>
      </c>
      <c r="B30" s="8" t="n">
        <v>41053</v>
      </c>
      <c r="C30" s="11" t="n">
        <v>0.234204431879803</v>
      </c>
      <c r="D30" s="11" t="n">
        <v>0.277298442772281</v>
      </c>
      <c r="E30" s="11" t="n">
        <v>0.353206991808504</v>
      </c>
      <c r="F30" s="11" t="n">
        <v>0.449718258591996</v>
      </c>
      <c r="G30" s="11" t="n">
        <v>0.559041249425934</v>
      </c>
      <c r="H30" s="11" t="n">
        <v>0.675953386075287</v>
      </c>
      <c r="I30" s="11" t="n">
        <v>0.796887115496288</v>
      </c>
      <c r="J30" s="11" t="n">
        <v>0.919342461036351</v>
      </c>
      <c r="K30" s="11" t="n">
        <v>1.04150882517775</v>
      </c>
      <c r="L30" s="11" t="n">
        <v>1.16202809663593</v>
      </c>
      <c r="M30" s="11" t="n">
        <v>1.27986227142045</v>
      </c>
      <c r="N30" s="11" t="n">
        <v>1.39421297128139</v>
      </c>
      <c r="O30" s="11" t="n">
        <v>1.50448488646772</v>
      </c>
      <c r="P30" s="11" t="n">
        <v>1.61026225498777</v>
      </c>
      <c r="Q30" s="11" t="n">
        <v>1.71130098436796</v>
      </c>
      <c r="R30" s="11" t="n">
        <v>1.80750896360294</v>
      </c>
      <c r="S30" s="11" t="n">
        <v>1.89892414726134</v>
      </c>
      <c r="T30" s="11" t="n">
        <v>1.98570549033327</v>
      </c>
      <c r="U30" s="11" t="n">
        <v>2.06806433756248</v>
      </c>
      <c r="V30" s="11" t="n">
        <v>2.14623235931609</v>
      </c>
      <c r="W30" s="11" t="n">
        <v>2.22045691966889</v>
      </c>
      <c r="X30" s="11" t="n">
        <v>2.2909979376618</v>
      </c>
      <c r="Y30" s="11" t="n">
        <v>2.35812540731178</v>
      </c>
      <c r="Z30" s="11" t="n">
        <v>2.42210939625401</v>
      </c>
      <c r="AA30" s="11" t="n">
        <v>2.48319114032096</v>
      </c>
      <c r="AB30" s="11" t="n">
        <v>2.54157685551622</v>
      </c>
      <c r="AC30" s="11" t="n">
        <v>2.59744335551114</v>
      </c>
      <c r="AD30" s="11" t="n">
        <v>2.65094279395648</v>
      </c>
      <c r="AE30" s="11" t="n">
        <v>2.70220597358286</v>
      </c>
      <c r="AF30" s="11" t="n">
        <v>2.75133797097533</v>
      </c>
      <c r="AG30" s="11" t="n">
        <v>3.2145371286722</v>
      </c>
      <c r="AH30" s="11" t="n">
        <v>3.23767992783054</v>
      </c>
      <c r="AI30" s="11" t="n">
        <v>3.25924675010264</v>
      </c>
      <c r="AJ30" s="11" t="n">
        <v>3.27929630605625</v>
      </c>
      <c r="AK30" s="11" t="n">
        <v>3.29788883920334</v>
      </c>
    </row>
    <row r="31" customFormat="false" ht="15" hidden="false" customHeight="false" outlineLevel="0" collapsed="false">
      <c r="A31" s="10" t="n">
        <v>-94</v>
      </c>
      <c r="B31" s="8" t="n">
        <v>41054</v>
      </c>
      <c r="C31" s="11" t="n">
        <v>0.219398651252437</v>
      </c>
      <c r="D31" s="11" t="n">
        <v>0.260612273314413</v>
      </c>
      <c r="E31" s="11" t="n">
        <v>0.33538679206301</v>
      </c>
      <c r="F31" s="11" t="n">
        <v>0.431212442540266</v>
      </c>
      <c r="G31" s="11" t="n">
        <v>0.540090128033726</v>
      </c>
      <c r="H31" s="11" t="n">
        <v>0.656660603837483</v>
      </c>
      <c r="I31" s="11" t="n">
        <v>0.777275211059997</v>
      </c>
      <c r="J31" s="11" t="n">
        <v>0.899401735998985</v>
      </c>
      <c r="K31" s="11" t="n">
        <v>1.02122707913284</v>
      </c>
      <c r="L31" s="11" t="n">
        <v>1.14140503692203</v>
      </c>
      <c r="M31" s="11" t="n">
        <v>1.25892380173424</v>
      </c>
      <c r="N31" s="11" t="n">
        <v>1.37300471624545</v>
      </c>
      <c r="O31" s="11" t="n">
        <v>1.48306663095728</v>
      </c>
      <c r="P31" s="11" t="n">
        <v>1.58870649430558</v>
      </c>
      <c r="Q31" s="11" t="n">
        <v>1.68968712004992</v>
      </c>
      <c r="R31" s="11" t="n">
        <v>1.78592020835482</v>
      </c>
      <c r="S31" s="11" t="n">
        <v>1.87744395357066</v>
      </c>
      <c r="T31" s="11" t="n">
        <v>1.96441497171891</v>
      </c>
      <c r="U31" s="11" t="n">
        <v>2.04704027615607</v>
      </c>
      <c r="V31" s="11" t="n">
        <v>2.1255458893419</v>
      </c>
      <c r="W31" s="11" t="n">
        <v>2.20017251988594</v>
      </c>
      <c r="X31" s="11" t="n">
        <v>2.27117262531757</v>
      </c>
      <c r="Y31" s="11" t="n">
        <v>2.33880807754841</v>
      </c>
      <c r="Z31" s="11" t="n">
        <v>2.40334009558425</v>
      </c>
      <c r="AA31" s="11" t="n">
        <v>2.46500093477556</v>
      </c>
      <c r="AB31" s="11" t="n">
        <v>2.52398830249568</v>
      </c>
      <c r="AC31" s="11" t="n">
        <v>2.5804709243064</v>
      </c>
      <c r="AD31" s="11" t="n">
        <v>2.63459321844366</v>
      </c>
      <c r="AE31" s="11" t="n">
        <v>2.68647853007966</v>
      </c>
      <c r="AF31" s="11" t="n">
        <v>2.73622482740983</v>
      </c>
      <c r="AG31" s="11" t="n">
        <v>3.2047495860522</v>
      </c>
      <c r="AH31" s="11" t="n">
        <v>3.22803562293561</v>
      </c>
      <c r="AI31" s="11" t="n">
        <v>3.24971038106009</v>
      </c>
      <c r="AJ31" s="11" t="n">
        <v>3.26983490451308</v>
      </c>
      <c r="AK31" s="11" t="n">
        <v>3.28847184670402</v>
      </c>
    </row>
    <row r="32" customFormat="false" ht="15" hidden="false" customHeight="false" outlineLevel="0" collapsed="false">
      <c r="A32" s="10" t="n">
        <v>-93</v>
      </c>
      <c r="B32" s="8" t="n">
        <v>41057</v>
      </c>
      <c r="C32" s="11" t="n">
        <v>0.23161135738723</v>
      </c>
      <c r="D32" s="11" t="n">
        <v>0.273481410433122</v>
      </c>
      <c r="E32" s="11" t="n">
        <v>0.348237962892437</v>
      </c>
      <c r="F32" s="11" t="n">
        <v>0.443739866827265</v>
      </c>
      <c r="G32" s="11" t="n">
        <v>0.552173884214325</v>
      </c>
      <c r="H32" s="11" t="n">
        <v>0.668283652134685</v>
      </c>
      <c r="I32" s="11" t="n">
        <v>0.788474427056732</v>
      </c>
      <c r="J32" s="11" t="n">
        <v>0.910237797816912</v>
      </c>
      <c r="K32" s="11" t="n">
        <v>1.03176290120248</v>
      </c>
      <c r="L32" s="11" t="n">
        <v>1.15169328829573</v>
      </c>
      <c r="M32" s="11" t="n">
        <v>1.26900367413342</v>
      </c>
      <c r="N32" s="11" t="n">
        <v>1.38290045635027</v>
      </c>
      <c r="O32" s="11" t="n">
        <v>1.49279059693572</v>
      </c>
      <c r="P32" s="11" t="n">
        <v>1.59826562133883</v>
      </c>
      <c r="Q32" s="11" t="n">
        <v>1.69908855379507</v>
      </c>
      <c r="R32" s="11" t="n">
        <v>1.79517791172716</v>
      </c>
      <c r="S32" s="11" t="n">
        <v>1.88658425465122</v>
      </c>
      <c r="T32" s="11" t="n">
        <v>1.97348243960394</v>
      </c>
      <c r="U32" s="11" t="n">
        <v>2.05609676512588</v>
      </c>
      <c r="V32" s="11" t="n">
        <v>2.1346673535408</v>
      </c>
      <c r="W32" s="11" t="n">
        <v>2.20944645934577</v>
      </c>
      <c r="X32" s="11" t="n">
        <v>2.28069604277655</v>
      </c>
      <c r="Y32" s="11" t="n">
        <v>2.34868581793094</v>
      </c>
      <c r="Z32" s="11" t="n">
        <v>2.41368269639644</v>
      </c>
      <c r="AA32" s="11" t="n">
        <v>2.47592054154067</v>
      </c>
      <c r="AB32" s="11" t="n">
        <v>2.53559456713191</v>
      </c>
      <c r="AC32" s="11" t="n">
        <v>2.59286757951078</v>
      </c>
      <c r="AD32" s="11" t="n">
        <v>2.64787520459467</v>
      </c>
      <c r="AE32" s="11" t="n">
        <v>2.70072956268387</v>
      </c>
      <c r="AF32" s="11" t="n">
        <v>2.75151534796855</v>
      </c>
      <c r="AG32" s="11" t="n">
        <v>3.23380815039954</v>
      </c>
      <c r="AH32" s="11" t="n">
        <v>3.25784772350807</v>
      </c>
      <c r="AI32" s="11" t="n">
        <v>3.28021222637684</v>
      </c>
      <c r="AJ32" s="11" t="n">
        <v>3.30096308367305</v>
      </c>
      <c r="AK32" s="11" t="n">
        <v>3.32016399460788</v>
      </c>
    </row>
    <row r="33" customFormat="false" ht="15" hidden="false" customHeight="false" outlineLevel="0" collapsed="false">
      <c r="A33" s="10" t="n">
        <v>-92</v>
      </c>
      <c r="B33" s="8" t="n">
        <v>41058</v>
      </c>
      <c r="C33" s="11" t="n">
        <v>0.271526072104907</v>
      </c>
      <c r="D33" s="11" t="n">
        <v>0.316599687956296</v>
      </c>
      <c r="E33" s="11" t="n">
        <v>0.391747592485168</v>
      </c>
      <c r="F33" s="11" t="n">
        <v>0.485918060162206</v>
      </c>
      <c r="G33" s="11" t="n">
        <v>0.592009521335619</v>
      </c>
      <c r="H33" s="11" t="n">
        <v>0.705236212870735</v>
      </c>
      <c r="I33" s="11" t="n">
        <v>0.822319086130923</v>
      </c>
      <c r="J33" s="11" t="n">
        <v>0.940961948202619</v>
      </c>
      <c r="K33" s="11" t="n">
        <v>1.05949638177844</v>
      </c>
      <c r="L33" s="11" t="n">
        <v>1.17666262552627</v>
      </c>
      <c r="M33" s="11" t="n">
        <v>1.29149666103914</v>
      </c>
      <c r="N33" s="11" t="n">
        <v>1.40324137518667</v>
      </c>
      <c r="O33" s="11" t="n">
        <v>1.5113187689071</v>
      </c>
      <c r="P33" s="11" t="n">
        <v>1.61531988461432</v>
      </c>
      <c r="Q33" s="11" t="n">
        <v>1.71499403485821</v>
      </c>
      <c r="R33" s="11" t="n">
        <v>1.81023658501367</v>
      </c>
      <c r="S33" s="11" t="n">
        <v>1.90106778902644</v>
      </c>
      <c r="T33" s="11" t="n">
        <v>1.98762640698898</v>
      </c>
      <c r="U33" s="11" t="n">
        <v>2.07010027927298</v>
      </c>
      <c r="V33" s="11" t="n">
        <v>2.14869476837936</v>
      </c>
      <c r="W33" s="11" t="n">
        <v>2.22362875745807</v>
      </c>
      <c r="X33" s="11" t="n">
        <v>2.29513194617821</v>
      </c>
      <c r="Y33" s="11" t="n">
        <v>2.36344269032328</v>
      </c>
      <c r="Z33" s="11" t="n">
        <v>2.42879812513154</v>
      </c>
      <c r="AA33" s="11" t="n">
        <v>2.49140685067052</v>
      </c>
      <c r="AB33" s="11" t="n">
        <v>2.55144385872815</v>
      </c>
      <c r="AC33" s="11" t="n">
        <v>2.60905596259215</v>
      </c>
      <c r="AD33" s="11" t="n">
        <v>2.66436634196946</v>
      </c>
      <c r="AE33" s="11" t="n">
        <v>2.71747774510474</v>
      </c>
      <c r="AF33" s="11" t="n">
        <v>2.7684692744173</v>
      </c>
      <c r="AG33" s="11" t="n">
        <v>3.25004786285176</v>
      </c>
      <c r="AH33" s="11" t="n">
        <v>3.273897855233</v>
      </c>
      <c r="AI33" s="11" t="n">
        <v>3.29606442076962</v>
      </c>
      <c r="AJ33" s="11" t="n">
        <v>3.31660994126716</v>
      </c>
      <c r="AK33" s="11" t="n">
        <v>3.33559891057339</v>
      </c>
    </row>
    <row r="34" customFormat="false" ht="15" hidden="false" customHeight="false" outlineLevel="0" collapsed="false">
      <c r="A34" s="10" t="n">
        <v>-91</v>
      </c>
      <c r="B34" s="8" t="n">
        <v>41059</v>
      </c>
      <c r="C34" s="11" t="n">
        <v>0.242826030588957</v>
      </c>
      <c r="D34" s="11" t="n">
        <v>0.274903976112683</v>
      </c>
      <c r="E34" s="11" t="n">
        <v>0.338014628385599</v>
      </c>
      <c r="F34" s="11" t="n">
        <v>0.421042433805072</v>
      </c>
      <c r="G34" s="11" t="n">
        <v>0.516827450347893</v>
      </c>
      <c r="H34" s="11" t="n">
        <v>0.620563400135941</v>
      </c>
      <c r="I34" s="11" t="n">
        <v>0.728964552637384</v>
      </c>
      <c r="J34" s="11" t="n">
        <v>0.83972898874261</v>
      </c>
      <c r="K34" s="11" t="n">
        <v>0.951183397286348</v>
      </c>
      <c r="L34" s="11" t="n">
        <v>1.0620669039306</v>
      </c>
      <c r="M34" s="11" t="n">
        <v>1.17141178474468</v>
      </c>
      <c r="N34" s="11" t="n">
        <v>1.27845418941554</v>
      </c>
      <c r="O34" s="11" t="n">
        <v>1.38260260513395</v>
      </c>
      <c r="P34" s="11" t="n">
        <v>1.48342948102947</v>
      </c>
      <c r="Q34" s="11" t="n">
        <v>1.58065990038365</v>
      </c>
      <c r="R34" s="11" t="n">
        <v>1.67415989825531</v>
      </c>
      <c r="S34" s="11" t="n">
        <v>1.76391550248437</v>
      </c>
      <c r="T34" s="11" t="n">
        <v>1.85002731867041</v>
      </c>
      <c r="U34" s="11" t="n">
        <v>1.93264268656025</v>
      </c>
      <c r="V34" s="11" t="n">
        <v>2.01192506445007</v>
      </c>
      <c r="W34" s="11" t="n">
        <v>2.08805033682715</v>
      </c>
      <c r="X34" s="11" t="n">
        <v>2.1612043291316</v>
      </c>
      <c r="Y34" s="11" t="n">
        <v>2.23158081404159</v>
      </c>
      <c r="Z34" s="11" t="n">
        <v>2.29937188713855</v>
      </c>
      <c r="AA34" s="11" t="n">
        <v>2.36474148506042</v>
      </c>
      <c r="AB34" s="11" t="n">
        <v>2.42782064081905</v>
      </c>
      <c r="AC34" s="11" t="n">
        <v>2.48871280739928</v>
      </c>
      <c r="AD34" s="11" t="n">
        <v>2.54749830615031</v>
      </c>
      <c r="AE34" s="11" t="n">
        <v>2.60423745744212</v>
      </c>
      <c r="AF34" s="11" t="n">
        <v>2.65896749305423</v>
      </c>
      <c r="AG34" s="11" t="n">
        <v>3.18488371902354</v>
      </c>
      <c r="AH34" s="11" t="n">
        <v>3.21119722531139</v>
      </c>
      <c r="AI34" s="11" t="n">
        <v>3.23566386473175</v>
      </c>
      <c r="AJ34" s="11" t="n">
        <v>3.25834873922164</v>
      </c>
      <c r="AK34" s="11" t="n">
        <v>3.27932008027135</v>
      </c>
    </row>
    <row r="35" customFormat="false" ht="15" hidden="false" customHeight="false" outlineLevel="0" collapsed="false">
      <c r="A35" s="10" t="n">
        <v>-90</v>
      </c>
      <c r="B35" s="8" t="n">
        <v>41060</v>
      </c>
      <c r="C35" s="11" t="n">
        <v>0.224848679023161</v>
      </c>
      <c r="D35" s="11" t="n">
        <v>0.256346054234642</v>
      </c>
      <c r="E35" s="11" t="n">
        <v>0.31661399719255</v>
      </c>
      <c r="F35" s="11" t="n">
        <v>0.395069972603589</v>
      </c>
      <c r="G35" s="11" t="n">
        <v>0.485132488313726</v>
      </c>
      <c r="H35" s="11" t="n">
        <v>0.582485042651827</v>
      </c>
      <c r="I35" s="11" t="n">
        <v>0.684235373684411</v>
      </c>
      <c r="J35" s="11" t="n">
        <v>0.788391186209205</v>
      </c>
      <c r="K35" s="11" t="n">
        <v>0.893520546764474</v>
      </c>
      <c r="L35" s="11" t="n">
        <v>0.998548470435514</v>
      </c>
      <c r="M35" s="11" t="n">
        <v>1.10263689526457</v>
      </c>
      <c r="N35" s="11" t="n">
        <v>1.2051057299163</v>
      </c>
      <c r="O35" s="11" t="n">
        <v>1.3054013544791</v>
      </c>
      <c r="P35" s="11" t="n">
        <v>1.40309508231456</v>
      </c>
      <c r="Q35" s="11" t="n">
        <v>1.49787968611818</v>
      </c>
      <c r="R35" s="11" t="n">
        <v>1.58956569211359</v>
      </c>
      <c r="S35" s="11" t="n">
        <v>1.67806692428922</v>
      </c>
      <c r="T35" s="11" t="n">
        <v>1.76339801893369</v>
      </c>
      <c r="U35" s="11" t="n">
        <v>1.84562273171714</v>
      </c>
      <c r="V35" s="11" t="n">
        <v>1.92482862045867</v>
      </c>
      <c r="W35" s="11" t="n">
        <v>2.00112185345384</v>
      </c>
      <c r="X35" s="11" t="n">
        <v>2.07462348737938</v>
      </c>
      <c r="Y35" s="11" t="n">
        <v>2.14546653850968</v>
      </c>
      <c r="Z35" s="11" t="n">
        <v>2.21378746670778</v>
      </c>
      <c r="AA35" s="11" t="n">
        <v>2.27970512617764</v>
      </c>
      <c r="AB35" s="11" t="n">
        <v>2.34331656734663</v>
      </c>
      <c r="AC35" s="11" t="n">
        <v>2.40470055335031</v>
      </c>
      <c r="AD35" s="11" t="n">
        <v>2.46392050959565</v>
      </c>
      <c r="AE35" s="11" t="n">
        <v>2.52102648868575</v>
      </c>
      <c r="AF35" s="11" t="n">
        <v>2.57605182664319</v>
      </c>
      <c r="AG35" s="11" t="n">
        <v>3.10266816367346</v>
      </c>
      <c r="AH35" s="11" t="n">
        <v>3.12905352176996</v>
      </c>
      <c r="AI35" s="11" t="n">
        <v>3.15361160510981</v>
      </c>
      <c r="AJ35" s="11" t="n">
        <v>3.17640695570935</v>
      </c>
      <c r="AK35" s="11" t="n">
        <v>3.19750680188218</v>
      </c>
    </row>
    <row r="36" customFormat="false" ht="15" hidden="false" customHeight="false" outlineLevel="0" collapsed="false">
      <c r="A36" s="10" t="n">
        <v>-89</v>
      </c>
      <c r="B36" s="8" t="n">
        <v>41061</v>
      </c>
      <c r="C36" s="11" t="n">
        <v>0.244377666100473</v>
      </c>
      <c r="D36" s="11" t="n">
        <v>0.277315147465694</v>
      </c>
      <c r="E36" s="11" t="n">
        <v>0.33616113934117</v>
      </c>
      <c r="F36" s="11" t="n">
        <v>0.41127447277395</v>
      </c>
      <c r="G36" s="11" t="n">
        <v>0.496765845736489</v>
      </c>
      <c r="H36" s="11" t="n">
        <v>0.588832385933835</v>
      </c>
      <c r="I36" s="11" t="n">
        <v>0.684963459487136</v>
      </c>
      <c r="J36" s="11" t="n">
        <v>0.783449537179921</v>
      </c>
      <c r="K36" s="11" t="n">
        <v>0.883067546581037</v>
      </c>
      <c r="L36" s="11" t="n">
        <v>0.982890819378498</v>
      </c>
      <c r="M36" s="11" t="n">
        <v>1.08217241588896</v>
      </c>
      <c r="N36" s="11" t="n">
        <v>1.18028244766795</v>
      </c>
      <c r="O36" s="11" t="n">
        <v>1.27667935439459</v>
      </c>
      <c r="P36" s="11" t="n">
        <v>1.37091394946521</v>
      </c>
      <c r="Q36" s="11" t="n">
        <v>1.46263468111409</v>
      </c>
      <c r="R36" s="11" t="n">
        <v>1.55159218740727</v>
      </c>
      <c r="S36" s="11" t="n">
        <v>1.63762950954577</v>
      </c>
      <c r="T36" s="11" t="n">
        <v>1.72068044371687</v>
      </c>
      <c r="U36" s="11" t="n">
        <v>1.80073461192142</v>
      </c>
      <c r="V36" s="11" t="n">
        <v>1.87781752521263</v>
      </c>
      <c r="W36" s="11" t="n">
        <v>1.9519829994244</v>
      </c>
      <c r="X36" s="11" t="n">
        <v>2.02330749421516</v>
      </c>
      <c r="Y36" s="11" t="n">
        <v>2.09188570219606</v>
      </c>
      <c r="Z36" s="11" t="n">
        <v>2.15782260420583</v>
      </c>
      <c r="AA36" s="11" t="n">
        <v>2.22121773794658</v>
      </c>
      <c r="AB36" s="11" t="n">
        <v>2.28216151755764</v>
      </c>
      <c r="AC36" s="11" t="n">
        <v>2.34073668933378</v>
      </c>
      <c r="AD36" s="11" t="n">
        <v>2.39701956847433</v>
      </c>
      <c r="AE36" s="11" t="n">
        <v>2.45108058343714</v>
      </c>
      <c r="AF36" s="11" t="n">
        <v>2.50297988765769</v>
      </c>
      <c r="AG36" s="11" t="n">
        <v>2.99492764157991</v>
      </c>
      <c r="AH36" s="11" t="n">
        <v>3.01971414709307</v>
      </c>
      <c r="AI36" s="11" t="n">
        <v>3.04284425202928</v>
      </c>
      <c r="AJ36" s="11" t="n">
        <v>3.06437648969058</v>
      </c>
      <c r="AK36" s="11" t="n">
        <v>3.08437105528958</v>
      </c>
    </row>
    <row r="37" customFormat="false" ht="15" hidden="false" customHeight="false" outlineLevel="0" collapsed="false">
      <c r="A37" s="10" t="n">
        <v>-88</v>
      </c>
      <c r="B37" s="8" t="n">
        <v>41066</v>
      </c>
      <c r="C37" s="11" t="n">
        <v>0.262423525742691</v>
      </c>
      <c r="D37" s="11" t="n">
        <v>0.310855802154822</v>
      </c>
      <c r="E37" s="11" t="n">
        <v>0.383800574647702</v>
      </c>
      <c r="F37" s="11" t="n">
        <v>0.471900591165078</v>
      </c>
      <c r="G37" s="11" t="n">
        <v>0.569395584487498</v>
      </c>
      <c r="H37" s="11" t="n">
        <v>0.672498970657775</v>
      </c>
      <c r="I37" s="11" t="n">
        <v>0.77866912514395</v>
      </c>
      <c r="J37" s="11" t="n">
        <v>0.886153960650226</v>
      </c>
      <c r="K37" s="11" t="n">
        <v>0.99369718382408</v>
      </c>
      <c r="L37" s="11" t="n">
        <v>1.10035613901545</v>
      </c>
      <c r="M37" s="11" t="n">
        <v>1.20539032321031</v>
      </c>
      <c r="N37" s="11" t="n">
        <v>1.30819883695792</v>
      </c>
      <c r="O37" s="11" t="n">
        <v>1.40829110063655</v>
      </c>
      <c r="P37" s="11" t="n">
        <v>1.50528377028302</v>
      </c>
      <c r="Q37" s="11" t="n">
        <v>1.59890064549804</v>
      </c>
      <c r="R37" s="11" t="n">
        <v>1.68897256179983</v>
      </c>
      <c r="S37" s="11" t="n">
        <v>1.77542591441864</v>
      </c>
      <c r="T37" s="11" t="n">
        <v>1.85827946861186</v>
      </c>
      <c r="U37" s="11" t="n">
        <v>1.93760286519797</v>
      </c>
      <c r="V37" s="11" t="n">
        <v>2.01349571703439</v>
      </c>
      <c r="W37" s="11" t="n">
        <v>2.08608123386997</v>
      </c>
      <c r="X37" s="11" t="n">
        <v>2.15550150296672</v>
      </c>
      <c r="Y37" s="11" t="n">
        <v>2.2219137870389</v>
      </c>
      <c r="Z37" s="11" t="n">
        <v>2.28548207444809</v>
      </c>
      <c r="AA37" s="11" t="n">
        <v>2.34635894309071</v>
      </c>
      <c r="AB37" s="11" t="n">
        <v>2.40468196856591</v>
      </c>
      <c r="AC37" s="11" t="n">
        <v>2.46057614879131</v>
      </c>
      <c r="AD37" s="11" t="n">
        <v>2.51415593266133</v>
      </c>
      <c r="AE37" s="11" t="n">
        <v>2.56552636854647</v>
      </c>
      <c r="AF37" s="11" t="n">
        <v>2.61477888985404</v>
      </c>
      <c r="AG37" s="11" t="n">
        <v>3.08389655364697</v>
      </c>
      <c r="AH37" s="11" t="n">
        <v>3.10793494303061</v>
      </c>
      <c r="AI37" s="11" t="n">
        <v>3.13043241456534</v>
      </c>
      <c r="AJ37" s="11" t="n">
        <v>3.15143767748905</v>
      </c>
      <c r="AK37" s="11" t="n">
        <v>3.17100127765672</v>
      </c>
    </row>
    <row r="38" customFormat="false" ht="15" hidden="false" customHeight="false" outlineLevel="0" collapsed="false">
      <c r="A38" s="10" t="n">
        <v>-87</v>
      </c>
      <c r="B38" s="8" t="n">
        <v>41067</v>
      </c>
      <c r="C38" s="11" t="n">
        <v>0.264262136281307</v>
      </c>
      <c r="D38" s="11" t="n">
        <v>0.322074812249598</v>
      </c>
      <c r="E38" s="11" t="n">
        <v>0.404213085096114</v>
      </c>
      <c r="F38" s="11" t="n">
        <v>0.500602781812723</v>
      </c>
      <c r="G38" s="11" t="n">
        <v>0.605252992258279</v>
      </c>
      <c r="H38" s="11" t="n">
        <v>0.714343861285654</v>
      </c>
      <c r="I38" s="11" t="n">
        <v>0.825373478433699</v>
      </c>
      <c r="J38" s="11" t="n">
        <v>0.936661462860037</v>
      </c>
      <c r="K38" s="11" t="n">
        <v>1.04704641624326</v>
      </c>
      <c r="L38" s="11" t="n">
        <v>1.15569501758293</v>
      </c>
      <c r="M38" s="11" t="n">
        <v>1.26197988869213</v>
      </c>
      <c r="N38" s="11" t="n">
        <v>1.36541463724045</v>
      </c>
      <c r="O38" s="11" t="n">
        <v>1.46561938241671</v>
      </c>
      <c r="P38" s="11" t="n">
        <v>1.56231424848474</v>
      </c>
      <c r="Q38" s="11" t="n">
        <v>1.65531898126278</v>
      </c>
      <c r="R38" s="11" t="n">
        <v>1.74455026906071</v>
      </c>
      <c r="S38" s="11" t="n">
        <v>1.83001144077396</v>
      </c>
      <c r="T38" s="11" t="n">
        <v>1.91178993708839</v>
      </c>
      <c r="U38" s="11" t="n">
        <v>1.99001375030237</v>
      </c>
      <c r="V38" s="11" t="n">
        <v>2.06483169332999</v>
      </c>
      <c r="W38" s="11" t="n">
        <v>2.13640892155129</v>
      </c>
      <c r="X38" s="11" t="n">
        <v>2.20492366431906</v>
      </c>
      <c r="Y38" s="11" t="n">
        <v>2.27056462511823</v>
      </c>
      <c r="Z38" s="11" t="n">
        <v>2.33352252536627</v>
      </c>
      <c r="AA38" s="11" t="n">
        <v>2.39397042288619</v>
      </c>
      <c r="AB38" s="11" t="n">
        <v>2.45206049466997</v>
      </c>
      <c r="AC38" s="11" t="n">
        <v>2.50792743422303</v>
      </c>
      <c r="AD38" s="11" t="n">
        <v>2.56169127148138</v>
      </c>
      <c r="AE38" s="11" t="n">
        <v>2.61345908224986</v>
      </c>
      <c r="AF38" s="11" t="n">
        <v>2.66332049233242</v>
      </c>
      <c r="AG38" s="11" t="n">
        <v>3.15444527882943</v>
      </c>
      <c r="AH38" s="11" t="n">
        <v>3.18073324044384</v>
      </c>
      <c r="AI38" s="11" t="n">
        <v>3.2054823450978</v>
      </c>
      <c r="AJ38" s="11" t="n">
        <v>3.22872759728908</v>
      </c>
      <c r="AK38" s="11" t="n">
        <v>3.25050690502045</v>
      </c>
    </row>
    <row r="39" customFormat="false" ht="15" hidden="false" customHeight="false" outlineLevel="0" collapsed="false">
      <c r="A39" s="10" t="n">
        <v>-86</v>
      </c>
      <c r="B39" s="8" t="n">
        <v>41068</v>
      </c>
      <c r="C39" s="11" t="n">
        <v>0.233777223624752</v>
      </c>
      <c r="D39" s="11" t="n">
        <v>0.283764123118571</v>
      </c>
      <c r="E39" s="11" t="n">
        <v>0.359973030183256</v>
      </c>
      <c r="F39" s="11" t="n">
        <v>0.451405744584301</v>
      </c>
      <c r="G39" s="11" t="n">
        <v>0.551545682324703</v>
      </c>
      <c r="H39" s="11" t="n">
        <v>0.656303209911183</v>
      </c>
      <c r="I39" s="11" t="n">
        <v>0.763063236350143</v>
      </c>
      <c r="J39" s="11" t="n">
        <v>0.870125095643849</v>
      </c>
      <c r="K39" s="11" t="n">
        <v>0.976366864634166</v>
      </c>
      <c r="L39" s="11" t="n">
        <v>1.08102293692581</v>
      </c>
      <c r="M39" s="11" t="n">
        <v>1.18353218920085</v>
      </c>
      <c r="N39" s="11" t="n">
        <v>1.28346666235284</v>
      </c>
      <c r="O39" s="11" t="n">
        <v>1.38048677334857</v>
      </c>
      <c r="P39" s="11" t="n">
        <v>1.47433317416674</v>
      </c>
      <c r="Q39" s="11" t="n">
        <v>1.56483223544808</v>
      </c>
      <c r="R39" s="11" t="n">
        <v>1.65189342277666</v>
      </c>
      <c r="S39" s="11" t="n">
        <v>1.73550594050569</v>
      </c>
      <c r="T39" s="11" t="n">
        <v>1.8157355545631</v>
      </c>
      <c r="U39" s="11" t="n">
        <v>1.89268802167408</v>
      </c>
      <c r="V39" s="11" t="n">
        <v>1.96649269856765</v>
      </c>
      <c r="W39" s="11" t="n">
        <v>2.0372975355517</v>
      </c>
      <c r="X39" s="11" t="n">
        <v>2.1052653577972</v>
      </c>
      <c r="Y39" s="11" t="n">
        <v>2.17057091339045</v>
      </c>
      <c r="Z39" s="11" t="n">
        <v>2.23339232751879</v>
      </c>
      <c r="AA39" s="11" t="n">
        <v>2.29389240961159</v>
      </c>
      <c r="AB39" s="11" t="n">
        <v>2.3522156495523</v>
      </c>
      <c r="AC39" s="11" t="n">
        <v>2.40849120299309</v>
      </c>
      <c r="AD39" s="11" t="n">
        <v>2.46283536461789</v>
      </c>
      <c r="AE39" s="11" t="n">
        <v>2.51535285269136</v>
      </c>
      <c r="AF39" s="11" t="n">
        <v>2.56613089130913</v>
      </c>
      <c r="AG39" s="11" t="n">
        <v>3.08089985649284</v>
      </c>
      <c r="AH39" s="11" t="n">
        <v>3.10944951137636</v>
      </c>
      <c r="AI39" s="11" t="n">
        <v>3.1364395597981</v>
      </c>
      <c r="AJ39" s="11" t="n">
        <v>3.16188819623032</v>
      </c>
      <c r="AK39" s="11" t="n">
        <v>3.18581820947114</v>
      </c>
    </row>
    <row r="40" customFormat="false" ht="15" hidden="false" customHeight="false" outlineLevel="0" collapsed="false">
      <c r="A40" s="10" t="n">
        <v>-85</v>
      </c>
      <c r="B40" s="8" t="n">
        <v>41071</v>
      </c>
      <c r="C40" s="11" t="n">
        <v>0.253817165063223</v>
      </c>
      <c r="D40" s="11" t="n">
        <v>0.306336530555597</v>
      </c>
      <c r="E40" s="11" t="n">
        <v>0.385215102904951</v>
      </c>
      <c r="F40" s="11" t="n">
        <v>0.479208036844117</v>
      </c>
      <c r="G40" s="11" t="n">
        <v>0.581586464015386</v>
      </c>
      <c r="H40" s="11" t="n">
        <v>0.688119832787747</v>
      </c>
      <c r="I40" s="11" t="n">
        <v>0.796132863214957</v>
      </c>
      <c r="J40" s="11" t="n">
        <v>0.903922987793822</v>
      </c>
      <c r="K40" s="11" t="n">
        <v>1.01040707060921</v>
      </c>
      <c r="L40" s="11" t="n">
        <v>1.11487945518064</v>
      </c>
      <c r="M40" s="11" t="n">
        <v>1.21684944815739</v>
      </c>
      <c r="N40" s="11" t="n">
        <v>1.31596675301692</v>
      </c>
      <c r="O40" s="11" t="n">
        <v>1.41197203620792</v>
      </c>
      <c r="P40" s="11" t="n">
        <v>1.50468379636677</v>
      </c>
      <c r="Q40" s="11" t="n">
        <v>1.59400004938023</v>
      </c>
      <c r="R40" s="11" t="n">
        <v>1.67989096918556</v>
      </c>
      <c r="S40" s="11" t="n">
        <v>1.7623949508273</v>
      </c>
      <c r="T40" s="11" t="n">
        <v>1.84161512297013</v>
      </c>
      <c r="U40" s="11" t="n">
        <v>1.9176854301732</v>
      </c>
      <c r="V40" s="11" t="n">
        <v>1.99075659036205</v>
      </c>
      <c r="W40" s="11" t="n">
        <v>2.06099251758305</v>
      </c>
      <c r="X40" s="11" t="n">
        <v>2.12856768277921</v>
      </c>
      <c r="Y40" s="11" t="n">
        <v>2.1936649835555</v>
      </c>
      <c r="Z40" s="11" t="n">
        <v>2.25646745191654</v>
      </c>
      <c r="AA40" s="11" t="n">
        <v>2.31713925749827</v>
      </c>
      <c r="AB40" s="11" t="n">
        <v>2.37582311470641</v>
      </c>
      <c r="AC40" s="11" t="n">
        <v>2.43264379045098</v>
      </c>
      <c r="AD40" s="11" t="n">
        <v>2.48771099890366</v>
      </c>
      <c r="AE40" s="11" t="n">
        <v>2.54112091697762</v>
      </c>
      <c r="AF40" s="11" t="n">
        <v>2.59294952296514</v>
      </c>
      <c r="AG40" s="11" t="n">
        <v>3.12865739165158</v>
      </c>
      <c r="AH40" s="11" t="n">
        <v>3.15890096220188</v>
      </c>
      <c r="AI40" s="11" t="n">
        <v>3.18755038578077</v>
      </c>
      <c r="AJ40" s="11" t="n">
        <v>3.21461888160561</v>
      </c>
      <c r="AK40" s="11" t="n">
        <v>3.24012503355322</v>
      </c>
    </row>
    <row r="41" customFormat="false" ht="15" hidden="false" customHeight="false" outlineLevel="0" collapsed="false">
      <c r="A41" s="10" t="n">
        <v>-84</v>
      </c>
      <c r="B41" s="8" t="n">
        <v>41072</v>
      </c>
      <c r="C41" s="11" t="n">
        <v>0.272924765404389</v>
      </c>
      <c r="D41" s="11" t="n">
        <v>0.331845372258132</v>
      </c>
      <c r="E41" s="11" t="n">
        <v>0.416681874536724</v>
      </c>
      <c r="F41" s="11" t="n">
        <v>0.516075122739464</v>
      </c>
      <c r="G41" s="11" t="n">
        <v>0.62324526963744</v>
      </c>
      <c r="H41" s="11" t="n">
        <v>0.733929199729379</v>
      </c>
      <c r="I41" s="11" t="n">
        <v>0.845422952057498</v>
      </c>
      <c r="J41" s="11" t="n">
        <v>0.955997629586221</v>
      </c>
      <c r="K41" s="11" t="n">
        <v>1.06454897896898</v>
      </c>
      <c r="L41" s="11" t="n">
        <v>1.17036183395735</v>
      </c>
      <c r="M41" s="11" t="n">
        <v>1.27296108502914</v>
      </c>
      <c r="N41" s="11" t="n">
        <v>1.37203640602734</v>
      </c>
      <c r="O41" s="11" t="n">
        <v>1.4673960546568</v>
      </c>
      <c r="P41" s="11" t="n">
        <v>1.55894488661948</v>
      </c>
      <c r="Q41" s="11" t="n">
        <v>1.64667697176776</v>
      </c>
      <c r="R41" s="11" t="n">
        <v>1.73065806381011</v>
      </c>
      <c r="S41" s="11" t="n">
        <v>1.81101547424889</v>
      </c>
      <c r="T41" s="11" t="n">
        <v>1.8879324326281</v>
      </c>
      <c r="U41" s="11" t="n">
        <v>1.96161204839659</v>
      </c>
      <c r="V41" s="11" t="n">
        <v>2.03226439686087</v>
      </c>
      <c r="W41" s="11" t="n">
        <v>2.10010497425179</v>
      </c>
      <c r="X41" s="11" t="n">
        <v>2.16535361353963</v>
      </c>
      <c r="Y41" s="11" t="n">
        <v>2.22823353336254</v>
      </c>
      <c r="Z41" s="11" t="n">
        <v>2.28896306632283</v>
      </c>
      <c r="AA41" s="11" t="n">
        <v>2.34773525580742</v>
      </c>
      <c r="AB41" s="11" t="n">
        <v>2.40471574486888</v>
      </c>
      <c r="AC41" s="11" t="n">
        <v>2.46004726992058</v>
      </c>
      <c r="AD41" s="11" t="n">
        <v>2.51385335535594</v>
      </c>
      <c r="AE41" s="11" t="n">
        <v>2.56624037240708</v>
      </c>
      <c r="AF41" s="11" t="n">
        <v>2.61729047067835</v>
      </c>
      <c r="AG41" s="11" t="n">
        <v>3.16218010398075</v>
      </c>
      <c r="AH41" s="11" t="n">
        <v>3.1941310382734</v>
      </c>
      <c r="AI41" s="11" t="n">
        <v>3.22454668037672</v>
      </c>
      <c r="AJ41" s="11" t="n">
        <v>3.25342356853187</v>
      </c>
      <c r="AK41" s="11" t="n">
        <v>3.2807644501374</v>
      </c>
    </row>
    <row r="42" customFormat="false" ht="15" hidden="false" customHeight="false" outlineLevel="0" collapsed="false">
      <c r="A42" s="10" t="n">
        <v>-83</v>
      </c>
      <c r="B42" s="8" t="n">
        <v>41073</v>
      </c>
      <c r="C42" s="11" t="n">
        <v>0.27678167612569</v>
      </c>
      <c r="D42" s="11" t="n">
        <v>0.33773368212935</v>
      </c>
      <c r="E42" s="11" t="n">
        <v>0.425862909473167</v>
      </c>
      <c r="F42" s="11" t="n">
        <v>0.529453057261196</v>
      </c>
      <c r="G42" s="11" t="n">
        <v>0.641397055557408</v>
      </c>
      <c r="H42" s="11" t="n">
        <v>0.757152081646693</v>
      </c>
      <c r="I42" s="11" t="n">
        <v>0.873781706830515</v>
      </c>
      <c r="J42" s="11" t="n">
        <v>0.98937339701815</v>
      </c>
      <c r="K42" s="11" t="n">
        <v>1.10268085322479</v>
      </c>
      <c r="L42" s="11" t="n">
        <v>1.21288552808963</v>
      </c>
      <c r="M42" s="11" t="n">
        <v>1.31944969237225</v>
      </c>
      <c r="N42" s="11" t="n">
        <v>1.42203268027599</v>
      </c>
      <c r="O42" s="11" t="n">
        <v>1.52044515411416</v>
      </c>
      <c r="P42" s="11" t="n">
        <v>1.6146182102906</v>
      </c>
      <c r="Q42" s="11" t="n">
        <v>1.70458851921282</v>
      </c>
      <c r="R42" s="11" t="n">
        <v>1.79047415962697</v>
      </c>
      <c r="S42" s="11" t="n">
        <v>1.87245939717081</v>
      </c>
      <c r="T42" s="11" t="n">
        <v>1.95078843434021</v>
      </c>
      <c r="U42" s="11" t="n">
        <v>2.0257172189839</v>
      </c>
      <c r="V42" s="11" t="n">
        <v>2.09749827865142</v>
      </c>
      <c r="W42" s="11" t="n">
        <v>2.16638130006033</v>
      </c>
      <c r="X42" s="11" t="n">
        <v>2.23261369726254</v>
      </c>
      <c r="Y42" s="11" t="n">
        <v>2.29644091306784</v>
      </c>
      <c r="Z42" s="11" t="n">
        <v>2.35809818643168</v>
      </c>
      <c r="AA42" s="11" t="n">
        <v>2.41778874636057</v>
      </c>
      <c r="AB42" s="11" t="n">
        <v>2.47568223530556</v>
      </c>
      <c r="AC42" s="11" t="n">
        <v>2.53192022944332</v>
      </c>
      <c r="AD42" s="11" t="n">
        <v>2.58662076549441</v>
      </c>
      <c r="AE42" s="11" t="n">
        <v>2.63988125492567</v>
      </c>
      <c r="AF42" s="11" t="n">
        <v>2.69177390113332</v>
      </c>
      <c r="AG42" s="11" t="n">
        <v>3.24262822507355</v>
      </c>
      <c r="AH42" s="11" t="n">
        <v>3.27467765458575</v>
      </c>
      <c r="AI42" s="11" t="n">
        <v>3.30516534476073</v>
      </c>
      <c r="AJ42" s="11" t="n">
        <v>3.33409481747311</v>
      </c>
      <c r="AK42" s="11" t="n">
        <v>3.36147534970737</v>
      </c>
    </row>
    <row r="43" customFormat="false" ht="15" hidden="false" customHeight="false" outlineLevel="0" collapsed="false">
      <c r="A43" s="10" t="n">
        <v>-82</v>
      </c>
      <c r="B43" s="8" t="n">
        <v>41074</v>
      </c>
      <c r="C43" s="11" t="n">
        <v>0.283136729163291</v>
      </c>
      <c r="D43" s="11" t="n">
        <v>0.344635076920253</v>
      </c>
      <c r="E43" s="11" t="n">
        <v>0.432692945585226</v>
      </c>
      <c r="F43" s="11" t="n">
        <v>0.535719918388905</v>
      </c>
      <c r="G43" s="11" t="n">
        <v>0.646676900679826</v>
      </c>
      <c r="H43" s="11" t="n">
        <v>0.761070985594091</v>
      </c>
      <c r="I43" s="11" t="n">
        <v>0.876020160428942</v>
      </c>
      <c r="J43" s="11" t="n">
        <v>0.989681423004358</v>
      </c>
      <c r="K43" s="11" t="n">
        <v>1.10088684971011</v>
      </c>
      <c r="L43" s="11" t="n">
        <v>1.20890556101544</v>
      </c>
      <c r="M43" s="11" t="n">
        <v>1.31329636146584</v>
      </c>
      <c r="N43" s="11" t="n">
        <v>1.4138173310956</v>
      </c>
      <c r="O43" s="11" t="n">
        <v>1.5103785236744</v>
      </c>
      <c r="P43" s="11" t="n">
        <v>1.60300660665564</v>
      </c>
      <c r="Q43" s="11" t="n">
        <v>1.69182039424537</v>
      </c>
      <c r="R43" s="11" t="n">
        <v>1.77699912576593</v>
      </c>
      <c r="S43" s="11" t="n">
        <v>1.85876201062122</v>
      </c>
      <c r="T43" s="11" t="n">
        <v>1.93736226564111</v>
      </c>
      <c r="U43" s="11" t="n">
        <v>2.01304577252861</v>
      </c>
      <c r="V43" s="11" t="n">
        <v>2.08604057162018</v>
      </c>
      <c r="W43" s="11" t="n">
        <v>2.15656045534035</v>
      </c>
      <c r="X43" s="11" t="n">
        <v>2.22480781778414</v>
      </c>
      <c r="Y43" s="11" t="n">
        <v>2.29097572579788</v>
      </c>
      <c r="Z43" s="11" t="n">
        <v>2.35524220243766</v>
      </c>
      <c r="AA43" s="11" t="n">
        <v>2.41775271183162</v>
      </c>
      <c r="AB43" s="11" t="n">
        <v>2.47861978349101</v>
      </c>
      <c r="AC43" s="11" t="n">
        <v>2.53792843816074</v>
      </c>
      <c r="AD43" s="11" t="n">
        <v>2.59574062471695</v>
      </c>
      <c r="AE43" s="11" t="n">
        <v>2.65209824026119</v>
      </c>
      <c r="AF43" s="11" t="n">
        <v>2.70702035840479</v>
      </c>
      <c r="AG43" s="11" t="n">
        <v>3.27749973766816</v>
      </c>
      <c r="AH43" s="11" t="n">
        <v>3.30934979387489</v>
      </c>
      <c r="AI43" s="11" t="n">
        <v>3.33945857950316</v>
      </c>
      <c r="AJ43" s="11" t="n">
        <v>3.36785144937506</v>
      </c>
      <c r="AK43" s="11" t="n">
        <v>3.39455888409656</v>
      </c>
    </row>
    <row r="44" customFormat="false" ht="15" hidden="false" customHeight="false" outlineLevel="0" collapsed="false">
      <c r="A44" s="10" t="n">
        <v>-81</v>
      </c>
      <c r="B44" s="8" t="n">
        <v>41075</v>
      </c>
      <c r="C44" s="11" t="n">
        <v>0.216468097014831</v>
      </c>
      <c r="D44" s="11" t="n">
        <v>0.267031434651818</v>
      </c>
      <c r="E44" s="11" t="n">
        <v>0.348308973476105</v>
      </c>
      <c r="F44" s="11" t="n">
        <v>0.447909756561475</v>
      </c>
      <c r="G44" s="11" t="n">
        <v>0.558003828605372</v>
      </c>
      <c r="H44" s="11" t="n">
        <v>0.673427828493072</v>
      </c>
      <c r="I44" s="11" t="n">
        <v>0.790738034681942</v>
      </c>
      <c r="J44" s="11" t="n">
        <v>0.907624744885569</v>
      </c>
      <c r="K44" s="11" t="n">
        <v>1.02251725361462</v>
      </c>
      <c r="L44" s="11" t="n">
        <v>1.13435144742303</v>
      </c>
      <c r="M44" s="11" t="n">
        <v>1.24242909478751</v>
      </c>
      <c r="N44" s="11" t="n">
        <v>1.34630952493751</v>
      </c>
      <c r="O44" s="11" t="n">
        <v>1.44576612653485</v>
      </c>
      <c r="P44" s="11" t="n">
        <v>1.54074374949279</v>
      </c>
      <c r="Q44" s="11" t="n">
        <v>1.63132115215014</v>
      </c>
      <c r="R44" s="11" t="n">
        <v>1.71767074708078</v>
      </c>
      <c r="S44" s="11" t="n">
        <v>1.8000293324561</v>
      </c>
      <c r="T44" s="11" t="n">
        <v>1.87868636921439</v>
      </c>
      <c r="U44" s="11" t="n">
        <v>1.95393422280001</v>
      </c>
      <c r="V44" s="11" t="n">
        <v>2.02605442302727</v>
      </c>
      <c r="W44" s="11" t="n">
        <v>2.09531980103324</v>
      </c>
      <c r="X44" s="11" t="n">
        <v>2.16199622901323</v>
      </c>
      <c r="Y44" s="11" t="n">
        <v>2.22634379140097</v>
      </c>
      <c r="Z44" s="11" t="n">
        <v>2.28860841399451</v>
      </c>
      <c r="AA44" s="11" t="n">
        <v>2.34899971192354</v>
      </c>
      <c r="AB44" s="11" t="n">
        <v>2.40769020990617</v>
      </c>
      <c r="AC44" s="11" t="n">
        <v>2.46482145690515</v>
      </c>
      <c r="AD44" s="11" t="n">
        <v>2.52050902221511</v>
      </c>
      <c r="AE44" s="11" t="n">
        <v>2.57484563357774</v>
      </c>
      <c r="AF44" s="11" t="n">
        <v>2.6278959070782</v>
      </c>
      <c r="AG44" s="11" t="n">
        <v>3.19583866370679</v>
      </c>
      <c r="AH44" s="11" t="n">
        <v>3.22900938550281</v>
      </c>
      <c r="AI44" s="11" t="n">
        <v>3.2605596120064</v>
      </c>
      <c r="AJ44" s="11" t="n">
        <v>3.29049012207082</v>
      </c>
      <c r="AK44" s="11" t="n">
        <v>3.31880818568718</v>
      </c>
    </row>
    <row r="45" customFormat="false" ht="15" hidden="false" customHeight="false" outlineLevel="0" collapsed="false">
      <c r="A45" s="10" t="n">
        <v>-80</v>
      </c>
      <c r="B45" s="8" t="n">
        <v>41078</v>
      </c>
      <c r="C45" s="11" t="n">
        <v>0.22675897447199</v>
      </c>
      <c r="D45" s="11" t="n">
        <v>0.270851594078988</v>
      </c>
      <c r="E45" s="11" t="n">
        <v>0.345572420320386</v>
      </c>
      <c r="F45" s="11" t="n">
        <v>0.439525677426554</v>
      </c>
      <c r="G45" s="11" t="n">
        <v>0.545213711372355</v>
      </c>
      <c r="H45" s="11" t="n">
        <v>0.657518154047226</v>
      </c>
      <c r="I45" s="11" t="n">
        <v>0.772906580358349</v>
      </c>
      <c r="J45" s="11" t="n">
        <v>0.888915833112484</v>
      </c>
      <c r="K45" s="11" t="n">
        <v>1.00379435277477</v>
      </c>
      <c r="L45" s="11" t="n">
        <v>1.11628935925433</v>
      </c>
      <c r="M45" s="11" t="n">
        <v>1.22551878046294</v>
      </c>
      <c r="N45" s="11" t="n">
        <v>1.33086806912121</v>
      </c>
      <c r="O45" s="11" t="n">
        <v>1.43195234686836</v>
      </c>
      <c r="P45" s="11" t="n">
        <v>1.52857878822534</v>
      </c>
      <c r="Q45" s="11" t="n">
        <v>1.62071096095399</v>
      </c>
      <c r="R45" s="11" t="n">
        <v>1.70843127603146</v>
      </c>
      <c r="S45" s="11" t="n">
        <v>1.7919109167845</v>
      </c>
      <c r="T45" s="11" t="n">
        <v>1.87139601937588</v>
      </c>
      <c r="U45" s="11" t="n">
        <v>1.94715359666102</v>
      </c>
      <c r="V45" s="11" t="n">
        <v>2.01945414211966</v>
      </c>
      <c r="W45" s="11" t="n">
        <v>2.08857079071196</v>
      </c>
      <c r="X45" s="11" t="n">
        <v>2.15477879058246</v>
      </c>
      <c r="Y45" s="11" t="n">
        <v>2.21835491705478</v>
      </c>
      <c r="Z45" s="11" t="n">
        <v>2.27956731725759</v>
      </c>
      <c r="AA45" s="11" t="n">
        <v>2.33865156739271</v>
      </c>
      <c r="AB45" s="11" t="n">
        <v>2.3958091123801</v>
      </c>
      <c r="AC45" s="11" t="n">
        <v>2.45121288840233</v>
      </c>
      <c r="AD45" s="11" t="n">
        <v>2.50501192108397</v>
      </c>
      <c r="AE45" s="11" t="n">
        <v>2.55733406293662</v>
      </c>
      <c r="AF45" s="11" t="n">
        <v>2.60827988329093</v>
      </c>
      <c r="AG45" s="11" t="n">
        <v>3.15297037559099</v>
      </c>
      <c r="AH45" s="11" t="n">
        <v>3.18512589120339</v>
      </c>
      <c r="AI45" s="11" t="n">
        <v>3.21577665097308</v>
      </c>
      <c r="AJ45" s="11" t="n">
        <v>3.24491736581912</v>
      </c>
      <c r="AK45" s="11" t="n">
        <v>3.27254891993437</v>
      </c>
    </row>
    <row r="46" customFormat="false" ht="15" hidden="false" customHeight="false" outlineLevel="0" collapsed="false">
      <c r="A46" s="10" t="n">
        <v>-79</v>
      </c>
      <c r="B46" s="8" t="n">
        <v>41079</v>
      </c>
      <c r="C46" s="11" t="n">
        <v>0.220573646334206</v>
      </c>
      <c r="D46" s="11" t="n">
        <v>0.26370936264834</v>
      </c>
      <c r="E46" s="11" t="n">
        <v>0.339239619488498</v>
      </c>
      <c r="F46" s="11" t="n">
        <v>0.435558127873276</v>
      </c>
      <c r="G46" s="11" t="n">
        <v>0.544871597687696</v>
      </c>
      <c r="H46" s="11" t="n">
        <v>0.661764880243584</v>
      </c>
      <c r="I46" s="11" t="n">
        <v>0.782434996860427</v>
      </c>
      <c r="J46" s="11" t="n">
        <v>0.904172566753829</v>
      </c>
      <c r="K46" s="11" t="n">
        <v>1.0249965555177</v>
      </c>
      <c r="L46" s="11" t="n">
        <v>1.14344412273872</v>
      </c>
      <c r="M46" s="11" t="n">
        <v>1.25845278254002</v>
      </c>
      <c r="N46" s="11" t="n">
        <v>1.36925761480546</v>
      </c>
      <c r="O46" s="11" t="n">
        <v>1.47535871896827</v>
      </c>
      <c r="P46" s="11" t="n">
        <v>1.57648367227576</v>
      </c>
      <c r="Q46" s="11" t="n">
        <v>1.67254809041396</v>
      </c>
      <c r="R46" s="11" t="n">
        <v>1.76361754480391</v>
      </c>
      <c r="S46" s="11" t="n">
        <v>1.84987459581391</v>
      </c>
      <c r="T46" s="11" t="n">
        <v>1.93160248071835</v>
      </c>
      <c r="U46" s="11" t="n">
        <v>2.00911432265887</v>
      </c>
      <c r="V46" s="11" t="n">
        <v>2.08273022517636</v>
      </c>
      <c r="W46" s="11" t="n">
        <v>2.15277567769501</v>
      </c>
      <c r="X46" s="11" t="n">
        <v>2.21958047834566</v>
      </c>
      <c r="Y46" s="11" t="n">
        <v>2.28347767125564</v>
      </c>
      <c r="Z46" s="11" t="n">
        <v>2.34479042797959</v>
      </c>
      <c r="AA46" s="11" t="n">
        <v>2.40380190052496</v>
      </c>
      <c r="AB46" s="11" t="n">
        <v>2.46075325110029</v>
      </c>
      <c r="AC46" s="11" t="n">
        <v>2.51585057169956</v>
      </c>
      <c r="AD46" s="11" t="n">
        <v>2.56927054058096</v>
      </c>
      <c r="AE46" s="11" t="n">
        <v>2.62116380627086</v>
      </c>
      <c r="AF46" s="11" t="n">
        <v>2.67164779697555</v>
      </c>
      <c r="AG46" s="11" t="n">
        <v>3.20899565551792</v>
      </c>
      <c r="AH46" s="11" t="n">
        <v>3.24050472960623</v>
      </c>
      <c r="AI46" s="11" t="n">
        <v>3.27050594107352</v>
      </c>
      <c r="AJ46" s="11" t="n">
        <v>3.29899769878118</v>
      </c>
      <c r="AK46" s="11" t="n">
        <v>3.32598465617842</v>
      </c>
    </row>
    <row r="47" customFormat="false" ht="15" hidden="false" customHeight="false" outlineLevel="0" collapsed="false">
      <c r="A47" s="10" t="n">
        <v>-78</v>
      </c>
      <c r="B47" s="8" t="n">
        <v>41080</v>
      </c>
      <c r="C47" s="11" t="n">
        <v>0.279199443224263</v>
      </c>
      <c r="D47" s="11" t="n">
        <v>0.328328390757661</v>
      </c>
      <c r="E47" s="11" t="n">
        <v>0.405871680582414</v>
      </c>
      <c r="F47" s="11" t="n">
        <v>0.501994825871075</v>
      </c>
      <c r="G47" s="11" t="n">
        <v>0.60996067654143</v>
      </c>
      <c r="H47" s="11" t="n">
        <v>0.724978458400286</v>
      </c>
      <c r="I47" s="11" t="n">
        <v>0.843616901959357</v>
      </c>
      <c r="J47" s="11" t="n">
        <v>0.96338661510956</v>
      </c>
      <c r="K47" s="11" t="n">
        <v>1.08243380186176</v>
      </c>
      <c r="L47" s="11" t="n">
        <v>1.19935830913649</v>
      </c>
      <c r="M47" s="11" t="n">
        <v>1.31311312488771</v>
      </c>
      <c r="N47" s="11" t="n">
        <v>1.42291714672399</v>
      </c>
      <c r="O47" s="11" t="n">
        <v>1.52823091207157</v>
      </c>
      <c r="P47" s="11" t="n">
        <v>1.62872787842103</v>
      </c>
      <c r="Q47" s="11" t="n">
        <v>1.72426122551668</v>
      </c>
      <c r="R47" s="11" t="n">
        <v>1.81483423949107</v>
      </c>
      <c r="S47" s="11" t="n">
        <v>1.90057130246622</v>
      </c>
      <c r="T47" s="11" t="n">
        <v>1.98170227934652</v>
      </c>
      <c r="U47" s="11" t="n">
        <v>2.05849752328528</v>
      </c>
      <c r="V47" s="11" t="n">
        <v>2.13124503557913</v>
      </c>
      <c r="W47" s="11" t="n">
        <v>2.20024667330393</v>
      </c>
      <c r="X47" s="11" t="n">
        <v>2.26581537815891</v>
      </c>
      <c r="Y47" s="11" t="n">
        <v>2.32827281759504</v>
      </c>
      <c r="Z47" s="11" t="n">
        <v>2.38793594719694</v>
      </c>
      <c r="AA47" s="11" t="n">
        <v>2.44508808885963</v>
      </c>
      <c r="AB47" s="11" t="n">
        <v>2.49997656283547</v>
      </c>
      <c r="AC47" s="11" t="n">
        <v>2.55281861811951</v>
      </c>
      <c r="AD47" s="11" t="n">
        <v>2.60380628264052</v>
      </c>
      <c r="AE47" s="11" t="n">
        <v>2.65310900695438</v>
      </c>
      <c r="AF47" s="11" t="n">
        <v>2.70086535071399</v>
      </c>
      <c r="AG47" s="11" t="n">
        <v>3.19990511653542</v>
      </c>
      <c r="AH47" s="11" t="n">
        <v>3.22881404058696</v>
      </c>
      <c r="AI47" s="11" t="n">
        <v>3.25631405644863</v>
      </c>
      <c r="AJ47" s="11" t="n">
        <v>3.2824082217774</v>
      </c>
      <c r="AK47" s="11" t="n">
        <v>3.30710481230261</v>
      </c>
    </row>
    <row r="48" customFormat="false" ht="15" hidden="false" customHeight="false" outlineLevel="0" collapsed="false">
      <c r="A48" s="10" t="n">
        <v>-77</v>
      </c>
      <c r="B48" s="8" t="n">
        <v>41081</v>
      </c>
      <c r="C48" s="11" t="n">
        <v>0.261401600679428</v>
      </c>
      <c r="D48" s="11" t="n">
        <v>0.305677920788705</v>
      </c>
      <c r="E48" s="11" t="n">
        <v>0.378519266547006</v>
      </c>
      <c r="F48" s="11" t="n">
        <v>0.469952755370615</v>
      </c>
      <c r="G48" s="11" t="n">
        <v>0.57320740194015</v>
      </c>
      <c r="H48" s="11" t="n">
        <v>0.683519301273423</v>
      </c>
      <c r="I48" s="11" t="n">
        <v>0.79751799259459</v>
      </c>
      <c r="J48" s="11" t="n">
        <v>0.912793299505892</v>
      </c>
      <c r="K48" s="11" t="n">
        <v>1.02758120109718</v>
      </c>
      <c r="L48" s="11" t="n">
        <v>1.14056698668908</v>
      </c>
      <c r="M48" s="11" t="n">
        <v>1.2507680208149</v>
      </c>
      <c r="N48" s="11" t="n">
        <v>1.35744543866083</v>
      </c>
      <c r="O48" s="11" t="n">
        <v>1.46007486862899</v>
      </c>
      <c r="P48" s="11" t="n">
        <v>1.55832385234056</v>
      </c>
      <c r="Q48" s="11" t="n">
        <v>1.65202402096093</v>
      </c>
      <c r="R48" s="11" t="n">
        <v>1.74114723342282</v>
      </c>
      <c r="S48" s="11" t="n">
        <v>1.82577972397286</v>
      </c>
      <c r="T48" s="11" t="n">
        <v>1.90610862148618</v>
      </c>
      <c r="U48" s="11" t="n">
        <v>1.98236199321302</v>
      </c>
      <c r="V48" s="11" t="n">
        <v>2.054787288429</v>
      </c>
      <c r="W48" s="11" t="n">
        <v>2.12364720004834</v>
      </c>
      <c r="X48" s="11" t="n">
        <v>2.18921661589613</v>
      </c>
      <c r="Y48" s="11" t="n">
        <v>2.25178005899866</v>
      </c>
      <c r="Z48" s="11" t="n">
        <v>2.31161903828723</v>
      </c>
      <c r="AA48" s="11" t="n">
        <v>2.36898557056696</v>
      </c>
      <c r="AB48" s="11" t="n">
        <v>2.42409994794375</v>
      </c>
      <c r="AC48" s="11" t="n">
        <v>2.47715596492178</v>
      </c>
      <c r="AD48" s="11" t="n">
        <v>2.52832519219479</v>
      </c>
      <c r="AE48" s="11" t="n">
        <v>2.57775923842917</v>
      </c>
      <c r="AF48" s="11" t="n">
        <v>2.62558198990948</v>
      </c>
      <c r="AG48" s="11" t="n">
        <v>3.11810087418325</v>
      </c>
      <c r="AH48" s="11" t="n">
        <v>3.14607937915814</v>
      </c>
      <c r="AI48" s="11" t="n">
        <v>3.17262347832504</v>
      </c>
      <c r="AJ48" s="11" t="n">
        <v>3.19774301495392</v>
      </c>
      <c r="AK48" s="11" t="n">
        <v>3.22145224306342</v>
      </c>
    </row>
    <row r="49" customFormat="false" ht="15" hidden="false" customHeight="false" outlineLevel="0" collapsed="false">
      <c r="A49" s="10" t="n">
        <v>-76</v>
      </c>
      <c r="B49" s="8" t="n">
        <v>41082</v>
      </c>
      <c r="C49" s="11" t="n">
        <v>0.288497844478982</v>
      </c>
      <c r="D49" s="11" t="n">
        <v>0.336782585561123</v>
      </c>
      <c r="E49" s="11" t="n">
        <v>0.411678051595911</v>
      </c>
      <c r="F49" s="11" t="n">
        <v>0.503883538215829</v>
      </c>
      <c r="G49" s="11" t="n">
        <v>0.607086736452556</v>
      </c>
      <c r="H49" s="11" t="n">
        <v>0.716835830059656</v>
      </c>
      <c r="I49" s="11" t="n">
        <v>0.8299759867279</v>
      </c>
      <c r="J49" s="11" t="n">
        <v>0.944245379205257</v>
      </c>
      <c r="K49" s="11" t="n">
        <v>1.05798706770528</v>
      </c>
      <c r="L49" s="11" t="n">
        <v>1.16995857485714</v>
      </c>
      <c r="M49" s="11" t="n">
        <v>1.27921934166033</v>
      </c>
      <c r="N49" s="11" t="n">
        <v>1.38505222364146</v>
      </c>
      <c r="O49" s="11" t="n">
        <v>1.48693455222263</v>
      </c>
      <c r="P49" s="11" t="n">
        <v>1.58451999009253</v>
      </c>
      <c r="Q49" s="11" t="n">
        <v>1.6776152771987</v>
      </c>
      <c r="R49" s="11" t="n">
        <v>1.76616114456463</v>
      </c>
      <c r="S49" s="11" t="n">
        <v>1.85020737034322</v>
      </c>
      <c r="T49" s="11" t="n">
        <v>1.92989998234938</v>
      </c>
      <c r="U49" s="11" t="n">
        <v>2.00542861093498</v>
      </c>
      <c r="V49" s="11" t="n">
        <v>2.0770067205794</v>
      </c>
      <c r="W49" s="11" t="n">
        <v>2.14486657171151</v>
      </c>
      <c r="X49" s="11" t="n">
        <v>2.20925546151979</v>
      </c>
      <c r="Y49" s="11" t="n">
        <v>2.27043262865804</v>
      </c>
      <c r="Z49" s="11" t="n">
        <v>2.32865751548265</v>
      </c>
      <c r="AA49" s="11" t="n">
        <v>2.38416690935585</v>
      </c>
      <c r="AB49" s="11" t="n">
        <v>2.43717290447229</v>
      </c>
      <c r="AC49" s="11" t="n">
        <v>2.48786697364445</v>
      </c>
      <c r="AD49" s="11" t="n">
        <v>2.53642329429823</v>
      </c>
      <c r="AE49" s="11" t="n">
        <v>2.58300033430405</v>
      </c>
      <c r="AF49" s="11" t="n">
        <v>2.62773373324024</v>
      </c>
      <c r="AG49" s="11" t="n">
        <v>3.07018818083036</v>
      </c>
      <c r="AH49" s="11" t="n">
        <v>3.09451859593251</v>
      </c>
      <c r="AI49" s="11" t="n">
        <v>3.11755792404043</v>
      </c>
      <c r="AJ49" s="11" t="n">
        <v>3.13932933621977</v>
      </c>
      <c r="AK49" s="11" t="n">
        <v>3.1598575361608</v>
      </c>
    </row>
    <row r="50" customFormat="false" ht="15" hidden="false" customHeight="false" outlineLevel="0" collapsed="false">
      <c r="A50" s="10" t="n">
        <v>-75</v>
      </c>
      <c r="B50" s="8" t="n">
        <v>41085</v>
      </c>
      <c r="C50" s="11" t="n">
        <v>0.260372453734308</v>
      </c>
      <c r="D50" s="11" t="n">
        <v>0.304711770463886</v>
      </c>
      <c r="E50" s="11" t="n">
        <v>0.37652329258725</v>
      </c>
      <c r="F50" s="11" t="n">
        <v>0.466122769852831</v>
      </c>
      <c r="G50" s="11" t="n">
        <v>0.567033230563642</v>
      </c>
      <c r="H50" s="11" t="n">
        <v>0.674736102324598</v>
      </c>
      <c r="I50" s="11" t="n">
        <v>0.786049221078978</v>
      </c>
      <c r="J50" s="11" t="n">
        <v>0.89869726564983</v>
      </c>
      <c r="K50" s="11" t="n">
        <v>1.01101607447233</v>
      </c>
      <c r="L50" s="11" t="n">
        <v>1.12175801113675</v>
      </c>
      <c r="M50" s="11" t="n">
        <v>1.22997910282551</v>
      </c>
      <c r="N50" s="11" t="n">
        <v>1.33496137806817</v>
      </c>
      <c r="O50" s="11" t="n">
        <v>1.43618285340345</v>
      </c>
      <c r="P50" s="11" t="n">
        <v>1.53329812235913</v>
      </c>
      <c r="Q50" s="11" t="n">
        <v>1.62611586301712</v>
      </c>
      <c r="R50" s="11" t="n">
        <v>1.71457845788956</v>
      </c>
      <c r="S50" s="11" t="n">
        <v>1.79873666121735</v>
      </c>
      <c r="T50" s="11" t="n">
        <v>1.8787372646871</v>
      </c>
      <c r="U50" s="11" t="n">
        <v>1.95476687616599</v>
      </c>
      <c r="V50" s="11" t="n">
        <v>2.02703201807741</v>
      </c>
      <c r="W50" s="11" t="n">
        <v>2.09575490217623</v>
      </c>
      <c r="X50" s="11" t="n">
        <v>2.16117029168251</v>
      </c>
      <c r="Y50" s="11" t="n">
        <v>2.22352286812512</v>
      </c>
      <c r="Z50" s="11" t="n">
        <v>2.2830553908854</v>
      </c>
      <c r="AA50" s="11" t="n">
        <v>2.33998536920811</v>
      </c>
      <c r="AB50" s="11" t="n">
        <v>2.39450333061958</v>
      </c>
      <c r="AC50" s="11" t="n">
        <v>2.44677727482366</v>
      </c>
      <c r="AD50" s="11" t="n">
        <v>2.4969563071794</v>
      </c>
      <c r="AE50" s="11" t="n">
        <v>2.54517250453205</v>
      </c>
      <c r="AF50" s="11" t="n">
        <v>2.59153439292445</v>
      </c>
      <c r="AG50" s="11" t="n">
        <v>3.0460101164441</v>
      </c>
      <c r="AH50" s="11" t="n">
        <v>3.07041324845016</v>
      </c>
      <c r="AI50" s="11" t="n">
        <v>3.09343952149904</v>
      </c>
      <c r="AJ50" s="11" t="n">
        <v>3.11512510324959</v>
      </c>
      <c r="AK50" s="11" t="n">
        <v>3.13550714511648</v>
      </c>
    </row>
    <row r="51" customFormat="false" ht="15" hidden="false" customHeight="false" outlineLevel="0" collapsed="false">
      <c r="A51" s="10" t="n">
        <v>-74</v>
      </c>
      <c r="B51" s="8" t="n">
        <v>41086</v>
      </c>
      <c r="C51" s="11" t="n">
        <v>0.265515747589305</v>
      </c>
      <c r="D51" s="11" t="n">
        <v>0.309339109327714</v>
      </c>
      <c r="E51" s="11" t="n">
        <v>0.381245996765361</v>
      </c>
      <c r="F51" s="11" t="n">
        <v>0.471360609595287</v>
      </c>
      <c r="G51" s="11" t="n">
        <v>0.572998560645808</v>
      </c>
      <c r="H51" s="11" t="n">
        <v>0.68149340423856</v>
      </c>
      <c r="I51" s="11" t="n">
        <v>0.793579592281427</v>
      </c>
      <c r="J51" s="11" t="n">
        <v>0.906948530692085</v>
      </c>
      <c r="K51" s="11" t="n">
        <v>1.0199364473493</v>
      </c>
      <c r="L51" s="11" t="n">
        <v>1.13131186581922</v>
      </c>
      <c r="M51" s="11" t="n">
        <v>1.24015046447234</v>
      </c>
      <c r="N51" s="11" t="n">
        <v>1.34575425692326</v>
      </c>
      <c r="O51" s="11" t="n">
        <v>1.44761722660322</v>
      </c>
      <c r="P51" s="11" t="n">
        <v>1.54540507254461</v>
      </c>
      <c r="Q51" s="11" t="n">
        <v>1.63893448907338</v>
      </c>
      <c r="R51" s="11" t="n">
        <v>1.72815338728569</v>
      </c>
      <c r="S51" s="11" t="n">
        <v>1.81311653341086</v>
      </c>
      <c r="T51" s="11" t="n">
        <v>1.89397421754008</v>
      </c>
      <c r="U51" s="11" t="n">
        <v>1.97091452255921</v>
      </c>
      <c r="V51" s="11" t="n">
        <v>2.04414351507224</v>
      </c>
      <c r="W51" s="11" t="n">
        <v>2.11388142321997</v>
      </c>
      <c r="X51" s="11" t="n">
        <v>2.18035980437258</v>
      </c>
      <c r="Y51" s="11" t="n">
        <v>2.24381914055703</v>
      </c>
      <c r="Z51" s="11" t="n">
        <v>2.30449714763587</v>
      </c>
      <c r="AA51" s="11" t="n">
        <v>2.3626058083732</v>
      </c>
      <c r="AB51" s="11" t="n">
        <v>2.41832985687015</v>
      </c>
      <c r="AC51" s="11" t="n">
        <v>2.47183127953589</v>
      </c>
      <c r="AD51" s="11" t="n">
        <v>2.52325298402157</v>
      </c>
      <c r="AE51" s="11" t="n">
        <v>2.57272078269106</v>
      </c>
      <c r="AF51" s="11" t="n">
        <v>2.62033775092677</v>
      </c>
      <c r="AG51" s="11" t="n">
        <v>3.09020535030734</v>
      </c>
      <c r="AH51" s="11" t="n">
        <v>3.11565492805843</v>
      </c>
      <c r="AI51" s="11" t="n">
        <v>3.13970152121508</v>
      </c>
      <c r="AJ51" s="11" t="n">
        <v>3.16238101725589</v>
      </c>
      <c r="AK51" s="11" t="n">
        <v>3.18373049097656</v>
      </c>
    </row>
    <row r="52" customFormat="false" ht="15" hidden="false" customHeight="false" outlineLevel="0" collapsed="false">
      <c r="A52" s="10" t="n">
        <v>-73</v>
      </c>
      <c r="B52" s="8" t="n">
        <v>41087</v>
      </c>
      <c r="C52" s="11" t="n">
        <v>0.268420705027607</v>
      </c>
      <c r="D52" s="11" t="n">
        <v>0.314113116795614</v>
      </c>
      <c r="E52" s="11" t="n">
        <v>0.38707367434432</v>
      </c>
      <c r="F52" s="11" t="n">
        <v>0.477559449865067</v>
      </c>
      <c r="G52" s="11" t="n">
        <v>0.579108116826818</v>
      </c>
      <c r="H52" s="11" t="n">
        <v>0.687242383149527</v>
      </c>
      <c r="I52" s="11" t="n">
        <v>0.798835206210715</v>
      </c>
      <c r="J52" s="11" t="n">
        <v>0.911668357316787</v>
      </c>
      <c r="K52" s="11" t="n">
        <v>1.02413112611587</v>
      </c>
      <c r="L52" s="11" t="n">
        <v>1.13502057856584</v>
      </c>
      <c r="M52" s="11" t="n">
        <v>1.24342955625064</v>
      </c>
      <c r="N52" s="11" t="n">
        <v>1.34867252215858</v>
      </c>
      <c r="O52" s="11" t="n">
        <v>1.45025340770535</v>
      </c>
      <c r="P52" s="11" t="n">
        <v>1.54784365340318</v>
      </c>
      <c r="Q52" s="11" t="n">
        <v>1.64126245193804</v>
      </c>
      <c r="R52" s="11" t="n">
        <v>1.7304573441715</v>
      </c>
      <c r="S52" s="11" t="n">
        <v>1.81548173977468</v>
      </c>
      <c r="T52" s="11" t="n">
        <v>1.89648405920889</v>
      </c>
      <c r="U52" s="11" t="n">
        <v>1.97364923505195</v>
      </c>
      <c r="V52" s="11" t="n">
        <v>2.04717915115829</v>
      </c>
      <c r="W52" s="11" t="n">
        <v>2.11728903845927</v>
      </c>
      <c r="X52" s="11" t="n">
        <v>2.18420480554772</v>
      </c>
      <c r="Y52" s="11" t="n">
        <v>2.24816075271543</v>
      </c>
      <c r="Z52" s="11" t="n">
        <v>2.3093879410292</v>
      </c>
      <c r="AA52" s="11" t="n">
        <v>2.3680915080276</v>
      </c>
      <c r="AB52" s="11" t="n">
        <v>2.42444931242704</v>
      </c>
      <c r="AC52" s="11" t="n">
        <v>2.47861644255743</v>
      </c>
      <c r="AD52" s="11" t="n">
        <v>2.53072888894792</v>
      </c>
      <c r="AE52" s="11" t="n">
        <v>2.58090558263818</v>
      </c>
      <c r="AF52" s="11" t="n">
        <v>2.62924329362014</v>
      </c>
      <c r="AG52" s="11" t="n">
        <v>3.10767931956731</v>
      </c>
      <c r="AH52" s="11" t="n">
        <v>3.13361445517465</v>
      </c>
      <c r="AI52" s="11" t="n">
        <v>3.15810995011359</v>
      </c>
      <c r="AJ52" s="11" t="n">
        <v>3.18120074992394</v>
      </c>
      <c r="AK52" s="11" t="n">
        <v>3.20292358220216</v>
      </c>
    </row>
    <row r="53" customFormat="false" ht="15" hidden="false" customHeight="false" outlineLevel="0" collapsed="false">
      <c r="A53" s="10" t="n">
        <v>-72</v>
      </c>
      <c r="B53" s="8" t="n">
        <v>41088</v>
      </c>
      <c r="C53" s="11" t="n">
        <v>0.253416541693452</v>
      </c>
      <c r="D53" s="11" t="n">
        <v>0.29420503539257</v>
      </c>
      <c r="E53" s="11" t="n">
        <v>0.363123932769053</v>
      </c>
      <c r="F53" s="11" t="n">
        <v>0.450183166031622</v>
      </c>
      <c r="G53" s="11" t="n">
        <v>0.548747402611073</v>
      </c>
      <c r="H53" s="11" t="n">
        <v>0.654232672860606</v>
      </c>
      <c r="I53" s="11" t="n">
        <v>0.763449899294071</v>
      </c>
      <c r="J53" s="11" t="n">
        <v>0.87414492465395</v>
      </c>
      <c r="K53" s="11" t="n">
        <v>0.984688101401669</v>
      </c>
      <c r="L53" s="11" t="n">
        <v>1.09386575300482</v>
      </c>
      <c r="M53" s="11" t="n">
        <v>1.2007644841133</v>
      </c>
      <c r="N53" s="11" t="n">
        <v>1.30469658807337</v>
      </c>
      <c r="O53" s="11" t="n">
        <v>1.405166813578</v>
      </c>
      <c r="P53" s="11" t="n">
        <v>1.50184873983116</v>
      </c>
      <c r="Q53" s="11" t="n">
        <v>1.59456424906785</v>
      </c>
      <c r="R53" s="11" t="n">
        <v>1.68326059231763</v>
      </c>
      <c r="S53" s="11" t="n">
        <v>1.7679884738343</v>
      </c>
      <c r="T53" s="11" t="n">
        <v>1.84889019826718</v>
      </c>
      <c r="U53" s="11" t="n">
        <v>1.92614136026605</v>
      </c>
      <c r="V53" s="11" t="n">
        <v>1.99993217254965</v>
      </c>
      <c r="W53" s="11" t="n">
        <v>2.07046435194372</v>
      </c>
      <c r="X53" s="11" t="n">
        <v>2.13794881855955</v>
      </c>
      <c r="Y53" s="11" t="n">
        <v>2.20260368503183</v>
      </c>
      <c r="Z53" s="11" t="n">
        <v>2.26464274515938</v>
      </c>
      <c r="AA53" s="11" t="n">
        <v>2.32425303358746</v>
      </c>
      <c r="AB53" s="11" t="n">
        <v>2.38159370356111</v>
      </c>
      <c r="AC53" s="11" t="n">
        <v>2.43680063788173</v>
      </c>
      <c r="AD53" s="11" t="n">
        <v>2.48999020213392</v>
      </c>
      <c r="AE53" s="11" t="n">
        <v>2.54126134282877</v>
      </c>
      <c r="AF53" s="11" t="n">
        <v>2.59069061019309</v>
      </c>
      <c r="AG53" s="11" t="n">
        <v>3.07700265923625</v>
      </c>
      <c r="AH53" s="11" t="n">
        <v>3.10294429001842</v>
      </c>
      <c r="AI53" s="11" t="n">
        <v>3.12738639639581</v>
      </c>
      <c r="AJ53" s="11" t="n">
        <v>3.15037359615833</v>
      </c>
      <c r="AK53" s="11" t="n">
        <v>3.17195191438967</v>
      </c>
    </row>
    <row r="54" customFormat="false" ht="15" hidden="false" customHeight="false" outlineLevel="0" collapsed="false">
      <c r="A54" s="10" t="n">
        <v>-71</v>
      </c>
      <c r="B54" s="8" t="n">
        <v>41089</v>
      </c>
      <c r="C54" s="11" t="n">
        <v>0.270315288775666</v>
      </c>
      <c r="D54" s="11" t="n">
        <v>0.321597013423292</v>
      </c>
      <c r="E54" s="11" t="n">
        <v>0.400142043588427</v>
      </c>
      <c r="F54" s="11" t="n">
        <v>0.495856403199394</v>
      </c>
      <c r="G54" s="11" t="n">
        <v>0.60213461477241</v>
      </c>
      <c r="H54" s="11" t="n">
        <v>0.714448097623539</v>
      </c>
      <c r="I54" s="11" t="n">
        <v>0.829687819424851</v>
      </c>
      <c r="J54" s="11" t="n">
        <v>0.945686473556875</v>
      </c>
      <c r="K54" s="11" t="n">
        <v>1.06090126272172</v>
      </c>
      <c r="L54" s="11" t="n">
        <v>1.17419243028795</v>
      </c>
      <c r="M54" s="11" t="n">
        <v>1.28470462513709</v>
      </c>
      <c r="N54" s="11" t="n">
        <v>1.39179601745279</v>
      </c>
      <c r="O54" s="11" t="n">
        <v>1.49500483910142</v>
      </c>
      <c r="P54" s="11" t="n">
        <v>1.59402906395996</v>
      </c>
      <c r="Q54" s="11" t="n">
        <v>1.68871448805896</v>
      </c>
      <c r="R54" s="11" t="n">
        <v>1.77903140673791</v>
      </c>
      <c r="S54" s="11" t="n">
        <v>1.86505925162048</v>
      </c>
      <c r="T54" s="11" t="n">
        <v>1.9469714464966</v>
      </c>
      <c r="U54" s="11" t="n">
        <v>2.02497297311026</v>
      </c>
      <c r="V54" s="11" t="n">
        <v>2.09928210515081</v>
      </c>
      <c r="W54" s="11" t="n">
        <v>2.17012757918013</v>
      </c>
      <c r="X54" s="11" t="n">
        <v>2.2377465020581</v>
      </c>
      <c r="Y54" s="11" t="n">
        <v>2.30238245161881</v>
      </c>
      <c r="Z54" s="11" t="n">
        <v>2.36427290962367</v>
      </c>
      <c r="AA54" s="11" t="n">
        <v>2.42362536559277</v>
      </c>
      <c r="AB54" s="11" t="n">
        <v>2.4806165543883</v>
      </c>
      <c r="AC54" s="11" t="n">
        <v>2.53539754926658</v>
      </c>
      <c r="AD54" s="11" t="n">
        <v>2.5880979007142</v>
      </c>
      <c r="AE54" s="11" t="n">
        <v>2.63882795897696</v>
      </c>
      <c r="AF54" s="11" t="n">
        <v>2.68767382231793</v>
      </c>
      <c r="AG54" s="11" t="n">
        <v>3.16511791270915</v>
      </c>
      <c r="AH54" s="11" t="n">
        <v>3.19041525816643</v>
      </c>
      <c r="AI54" s="11" t="n">
        <v>3.21423462450789</v>
      </c>
      <c r="AJ54" s="11" t="n">
        <v>3.23662334859036</v>
      </c>
      <c r="AK54" s="11" t="n">
        <v>3.25762987489892</v>
      </c>
    </row>
    <row r="55" customFormat="false" ht="15" hidden="false" customHeight="false" outlineLevel="0" collapsed="false">
      <c r="A55" s="10" t="n">
        <v>-70</v>
      </c>
      <c r="B55" s="8" t="n">
        <v>41092</v>
      </c>
      <c r="C55" s="11" t="n">
        <v>0.263018165503423</v>
      </c>
      <c r="D55" s="11" t="n">
        <v>0.312315133109567</v>
      </c>
      <c r="E55" s="11" t="n">
        <v>0.389060040992978</v>
      </c>
      <c r="F55" s="11" t="n">
        <v>0.482956834497027</v>
      </c>
      <c r="G55" s="11" t="n">
        <v>0.587320797360801</v>
      </c>
      <c r="H55" s="11" t="n">
        <v>0.697613444203742</v>
      </c>
      <c r="I55" s="11" t="n">
        <v>0.81075076652719</v>
      </c>
      <c r="J55" s="11" t="n">
        <v>0.924613060673265</v>
      </c>
      <c r="K55" s="11" t="n">
        <v>1.03770987592849</v>
      </c>
      <c r="L55" s="11" t="n">
        <v>1.14895289932583</v>
      </c>
      <c r="M55" s="11" t="n">
        <v>1.257529636874</v>
      </c>
      <c r="N55" s="11" t="n">
        <v>1.36283049387481</v>
      </c>
      <c r="O55" s="11" t="n">
        <v>1.46441637484911</v>
      </c>
      <c r="P55" s="11" t="n">
        <v>1.56199868841149</v>
      </c>
      <c r="Q55" s="11" t="n">
        <v>1.65542946114975</v>
      </c>
      <c r="R55" s="11" t="n">
        <v>1.7446780876763</v>
      </c>
      <c r="S55" s="11" t="n">
        <v>1.82981842332279</v>
      </c>
      <c r="T55" s="11" t="n">
        <v>1.91101323383211</v>
      </c>
      <c r="U55" s="11" t="n">
        <v>1.98845540524214</v>
      </c>
      <c r="V55" s="11" t="n">
        <v>2.06235099444295</v>
      </c>
      <c r="W55" s="11" t="n">
        <v>2.13291643302966</v>
      </c>
      <c r="X55" s="11" t="n">
        <v>2.20037645236142</v>
      </c>
      <c r="Y55" s="11" t="n">
        <v>2.26496219925516</v>
      </c>
      <c r="Z55" s="11" t="n">
        <v>2.32689900596722</v>
      </c>
      <c r="AA55" s="11" t="n">
        <v>2.3863834576577</v>
      </c>
      <c r="AB55" s="11" t="n">
        <v>2.44358273134522</v>
      </c>
      <c r="AC55" s="11" t="n">
        <v>2.49863946761788</v>
      </c>
      <c r="AD55" s="11" t="n">
        <v>2.55167572795883</v>
      </c>
      <c r="AE55" s="11" t="n">
        <v>2.60279512189691</v>
      </c>
      <c r="AF55" s="11" t="n">
        <v>2.65207739895253</v>
      </c>
      <c r="AG55" s="11" t="n">
        <v>3.13696266426352</v>
      </c>
      <c r="AH55" s="11" t="n">
        <v>3.16280153080204</v>
      </c>
      <c r="AI55" s="11" t="n">
        <v>3.18713774592341</v>
      </c>
      <c r="AJ55" s="11" t="n">
        <v>3.21001544864827</v>
      </c>
      <c r="AK55" s="11" t="n">
        <v>3.23148047482505</v>
      </c>
    </row>
    <row r="56" customFormat="false" ht="15" hidden="false" customHeight="false" outlineLevel="0" collapsed="false">
      <c r="A56" s="10" t="n">
        <v>-69</v>
      </c>
      <c r="B56" s="8" t="n">
        <v>41093</v>
      </c>
      <c r="C56" s="11" t="n">
        <v>0.299771521265539</v>
      </c>
      <c r="D56" s="11" t="n">
        <v>0.357831821571641</v>
      </c>
      <c r="E56" s="11" t="n">
        <v>0.440668422329318</v>
      </c>
      <c r="F56" s="11" t="n">
        <v>0.538838224649633</v>
      </c>
      <c r="G56" s="11" t="n">
        <v>0.64618010977919</v>
      </c>
      <c r="H56" s="11" t="n">
        <v>0.758478808241729</v>
      </c>
      <c r="I56" s="11" t="n">
        <v>0.872867107641753</v>
      </c>
      <c r="J56" s="11" t="n">
        <v>0.987391583303122</v>
      </c>
      <c r="K56" s="11" t="n">
        <v>1.10069647809072</v>
      </c>
      <c r="L56" s="11" t="n">
        <v>1.21181382561133</v>
      </c>
      <c r="M56" s="11" t="n">
        <v>1.3200377991678</v>
      </c>
      <c r="N56" s="11" t="n">
        <v>1.42485108665841</v>
      </c>
      <c r="O56" s="11" t="n">
        <v>1.52589216762625</v>
      </c>
      <c r="P56" s="11" t="n">
        <v>1.62293447995473</v>
      </c>
      <c r="Q56" s="11" t="n">
        <v>1.71587675331758</v>
      </c>
      <c r="R56" s="11" t="n">
        <v>1.80471992814488</v>
      </c>
      <c r="S56" s="11" t="n">
        <v>1.88955672185175</v>
      </c>
      <c r="T56" s="11" t="n">
        <v>1.97055731255091</v>
      </c>
      <c r="U56" s="11" t="n">
        <v>2.04791588601639</v>
      </c>
      <c r="V56" s="11" t="n">
        <v>2.12183599331372</v>
      </c>
      <c r="W56" s="11" t="n">
        <v>2.19252855451702</v>
      </c>
      <c r="X56" s="11" t="n">
        <v>2.26021038490722</v>
      </c>
      <c r="Y56" s="11" t="n">
        <v>2.32510278721457</v>
      </c>
      <c r="Z56" s="11" t="n">
        <v>2.38742046821769</v>
      </c>
      <c r="AA56" s="11" t="n">
        <v>2.44735073083882</v>
      </c>
      <c r="AB56" s="11" t="n">
        <v>2.50505311497887</v>
      </c>
      <c r="AC56" s="11" t="n">
        <v>2.5606639990334</v>
      </c>
      <c r="AD56" s="11" t="n">
        <v>2.61430033544769</v>
      </c>
      <c r="AE56" s="11" t="n">
        <v>2.66606170524665</v>
      </c>
      <c r="AF56" s="11" t="n">
        <v>2.71602566666346</v>
      </c>
      <c r="AG56" s="11" t="n">
        <v>3.21306444958574</v>
      </c>
      <c r="AH56" s="11" t="n">
        <v>3.23996026675241</v>
      </c>
      <c r="AI56" s="11" t="n">
        <v>3.26533743899212</v>
      </c>
      <c r="AJ56" s="11" t="n">
        <v>3.28923282591632</v>
      </c>
      <c r="AK56" s="11" t="n">
        <v>3.31168577748487</v>
      </c>
    </row>
    <row r="57" customFormat="false" ht="15" hidden="false" customHeight="false" outlineLevel="0" collapsed="false">
      <c r="A57" s="10" t="n">
        <v>-68</v>
      </c>
      <c r="B57" s="8" t="n">
        <v>41094</v>
      </c>
      <c r="C57" s="11" t="n">
        <v>0.273777911265767</v>
      </c>
      <c r="D57" s="11" t="n">
        <v>0.332898907805849</v>
      </c>
      <c r="E57" s="11" t="n">
        <v>0.418251247485415</v>
      </c>
      <c r="F57" s="11" t="n">
        <v>0.519142640280411</v>
      </c>
      <c r="G57" s="11" t="n">
        <v>0.628781015768165</v>
      </c>
      <c r="H57" s="11" t="n">
        <v>0.742644890548499</v>
      </c>
      <c r="I57" s="11" t="n">
        <v>0.857745669478061</v>
      </c>
      <c r="J57" s="11" t="n">
        <v>0.972130883996843</v>
      </c>
      <c r="K57" s="11" t="n">
        <v>1.0845238482519</v>
      </c>
      <c r="L57" s="11" t="n">
        <v>1.19408913911599</v>
      </c>
      <c r="M57" s="11" t="n">
        <v>1.30027804034187</v>
      </c>
      <c r="N57" s="11" t="n">
        <v>1.4027377364983</v>
      </c>
      <c r="O57" s="11" t="n">
        <v>1.50126472850894</v>
      </c>
      <c r="P57" s="11" t="n">
        <v>1.59577243511256</v>
      </c>
      <c r="Q57" s="11" t="n">
        <v>1.68627266660923</v>
      </c>
      <c r="R57" s="11" t="n">
        <v>1.77285042131244</v>
      </c>
      <c r="S57" s="11" t="n">
        <v>1.85565267996716</v>
      </c>
      <c r="T57" s="11" t="n">
        <v>1.93487817782091</v>
      </c>
      <c r="U57" s="11" t="n">
        <v>2.01073405755051</v>
      </c>
      <c r="V57" s="11" t="n">
        <v>2.08342578647494</v>
      </c>
      <c r="W57" s="11" t="n">
        <v>2.15315746779908</v>
      </c>
      <c r="X57" s="11" t="n">
        <v>2.22013211343653</v>
      </c>
      <c r="Y57" s="11" t="n">
        <v>2.28455160724909</v>
      </c>
      <c r="Z57" s="11" t="n">
        <v>2.34660790400198</v>
      </c>
      <c r="AA57" s="11" t="n">
        <v>2.4064657160447</v>
      </c>
      <c r="AB57" s="11" t="n">
        <v>2.46426285538476</v>
      </c>
      <c r="AC57" s="11" t="n">
        <v>2.52011469608327</v>
      </c>
      <c r="AD57" s="11" t="n">
        <v>2.57411779309685</v>
      </c>
      <c r="AE57" s="11" t="n">
        <v>2.62635192634149</v>
      </c>
      <c r="AF57" s="11" t="n">
        <v>2.67687608385589</v>
      </c>
      <c r="AG57" s="11" t="n">
        <v>3.18346599306551</v>
      </c>
      <c r="AH57" s="11" t="n">
        <v>3.21100854710823</v>
      </c>
      <c r="AI57" s="11" t="n">
        <v>3.23700084975518</v>
      </c>
      <c r="AJ57" s="11" t="n">
        <v>3.26147826694167</v>
      </c>
      <c r="AK57" s="11" t="n">
        <v>3.28447900623152</v>
      </c>
    </row>
    <row r="58" customFormat="false" ht="15" hidden="false" customHeight="false" outlineLevel="0" collapsed="false">
      <c r="A58" s="10" t="n">
        <v>-67</v>
      </c>
      <c r="B58" s="8" t="n">
        <v>41095</v>
      </c>
      <c r="C58" s="11" t="n">
        <v>0.202280265564348</v>
      </c>
      <c r="D58" s="11" t="n">
        <v>0.247852632328217</v>
      </c>
      <c r="E58" s="11" t="n">
        <v>0.325195111488339</v>
      </c>
      <c r="F58" s="11" t="n">
        <v>0.422096879299639</v>
      </c>
      <c r="G58" s="11" t="n">
        <v>0.530606957735486</v>
      </c>
      <c r="H58" s="11" t="n">
        <v>0.645360246181796</v>
      </c>
      <c r="I58" s="11" t="n">
        <v>0.762737163148887</v>
      </c>
      <c r="J58" s="11" t="n">
        <v>0.880307184630335</v>
      </c>
      <c r="K58" s="11" t="n">
        <v>0.996417831639498</v>
      </c>
      <c r="L58" s="11" t="n">
        <v>1.10994841599917</v>
      </c>
      <c r="M58" s="11" t="n">
        <v>1.22014323147584</v>
      </c>
      <c r="N58" s="11" t="n">
        <v>1.32650245220454</v>
      </c>
      <c r="O58" s="11" t="n">
        <v>1.42873114113225</v>
      </c>
      <c r="P58" s="11" t="n">
        <v>1.52669486292317</v>
      </c>
      <c r="Q58" s="11" t="n">
        <v>1.62038964221635</v>
      </c>
      <c r="R58" s="11" t="n">
        <v>1.70990657191607</v>
      </c>
      <c r="S58" s="11" t="n">
        <v>1.79541272648729</v>
      </c>
      <c r="T58" s="11" t="n">
        <v>1.87713644157767</v>
      </c>
      <c r="U58" s="11" t="n">
        <v>1.955314522059</v>
      </c>
      <c r="V58" s="11" t="n">
        <v>2.03018037384473</v>
      </c>
      <c r="W58" s="11" t="n">
        <v>2.10196466822929</v>
      </c>
      <c r="X58" s="11" t="n">
        <v>2.17089588881197</v>
      </c>
      <c r="Y58" s="11" t="n">
        <v>2.23720046688949</v>
      </c>
      <c r="Z58" s="11" t="n">
        <v>2.30109297977051</v>
      </c>
      <c r="AA58" s="11" t="n">
        <v>2.36275696095275</v>
      </c>
      <c r="AB58" s="11" t="n">
        <v>2.42234545574764</v>
      </c>
      <c r="AC58" s="11" t="n">
        <v>2.47998608057013</v>
      </c>
      <c r="AD58" s="11" t="n">
        <v>2.53578512417734</v>
      </c>
      <c r="AE58" s="11" t="n">
        <v>2.58983003935975</v>
      </c>
      <c r="AF58" s="11" t="n">
        <v>2.64218623636184</v>
      </c>
      <c r="AG58" s="11" t="n">
        <v>3.1750948230421</v>
      </c>
      <c r="AH58" s="11" t="n">
        <v>3.20472077506553</v>
      </c>
      <c r="AI58" s="11" t="n">
        <v>3.23277092812667</v>
      </c>
      <c r="AJ58" s="11" t="n">
        <v>3.25927355655982</v>
      </c>
      <c r="AK58" s="11" t="n">
        <v>3.28426076482334</v>
      </c>
    </row>
    <row r="59" customFormat="false" ht="15" hidden="false" customHeight="false" outlineLevel="0" collapsed="false">
      <c r="A59" s="10" t="n">
        <v>-66</v>
      </c>
      <c r="B59" s="8" t="n">
        <v>41096</v>
      </c>
      <c r="C59" s="11" t="n">
        <v>0.176121588524303</v>
      </c>
      <c r="D59" s="11" t="n">
        <v>0.213657811358662</v>
      </c>
      <c r="E59" s="11" t="n">
        <v>0.284316646488141</v>
      </c>
      <c r="F59" s="11" t="n">
        <v>0.375589958545823</v>
      </c>
      <c r="G59" s="11" t="n">
        <v>0.479340589534374</v>
      </c>
      <c r="H59" s="11" t="n">
        <v>0.590124907407068</v>
      </c>
      <c r="I59" s="11" t="n">
        <v>0.704274649622499</v>
      </c>
      <c r="J59" s="11" t="n">
        <v>0.819308314370237</v>
      </c>
      <c r="K59" s="11" t="n">
        <v>0.933512839489134</v>
      </c>
      <c r="L59" s="11" t="n">
        <v>1.04570074743464</v>
      </c>
      <c r="M59" s="11" t="n">
        <v>1.15504415196584</v>
      </c>
      <c r="N59" s="11" t="n">
        <v>1.26096708459345</v>
      </c>
      <c r="O59" s="11" t="n">
        <v>1.36309765049291</v>
      </c>
      <c r="P59" s="11" t="n">
        <v>1.4612309449921</v>
      </c>
      <c r="Q59" s="11" t="n">
        <v>1.55529917416912</v>
      </c>
      <c r="R59" s="11" t="n">
        <v>1.64534133552669</v>
      </c>
      <c r="S59" s="11" t="n">
        <v>1.73148392408281</v>
      </c>
      <c r="T59" s="11" t="n">
        <v>1.81392591840276</v>
      </c>
      <c r="U59" s="11" t="n">
        <v>1.89288230589959</v>
      </c>
      <c r="V59" s="11" t="n">
        <v>1.9685705512688</v>
      </c>
      <c r="W59" s="11" t="n">
        <v>2.04121004252803</v>
      </c>
      <c r="X59" s="11" t="n">
        <v>2.11102170635264</v>
      </c>
      <c r="Y59" s="11" t="n">
        <v>2.1782273765912</v>
      </c>
      <c r="Z59" s="11" t="n">
        <v>2.24303845089659</v>
      </c>
      <c r="AA59" s="11" t="n">
        <v>2.30563520884381</v>
      </c>
      <c r="AB59" s="11" t="n">
        <v>2.36616730242446</v>
      </c>
      <c r="AC59" s="11" t="n">
        <v>2.42475884123425</v>
      </c>
      <c r="AD59" s="11" t="n">
        <v>2.48151251185742</v>
      </c>
      <c r="AE59" s="11" t="n">
        <v>2.53651188821601</v>
      </c>
      <c r="AF59" s="11" t="n">
        <v>2.58981717660455</v>
      </c>
      <c r="AG59" s="11" t="n">
        <v>3.1318768148261</v>
      </c>
      <c r="AH59" s="11" t="n">
        <v>3.16185667345314</v>
      </c>
      <c r="AI59" s="11" t="n">
        <v>3.1902137514032</v>
      </c>
      <c r="AJ59" s="11" t="n">
        <v>3.21697972561433</v>
      </c>
      <c r="AK59" s="11" t="n">
        <v>3.24219020846699</v>
      </c>
    </row>
    <row r="60" customFormat="false" ht="15" hidden="false" customHeight="false" outlineLevel="0" collapsed="false">
      <c r="A60" s="10" t="n">
        <v>-65</v>
      </c>
      <c r="B60" s="8" t="n">
        <v>41099</v>
      </c>
      <c r="C60" s="11" t="n">
        <v>0.181749295893126</v>
      </c>
      <c r="D60" s="11" t="n">
        <v>0.216947198470898</v>
      </c>
      <c r="E60" s="11" t="n">
        <v>0.284734439385781</v>
      </c>
      <c r="F60" s="11" t="n">
        <v>0.373153542305472</v>
      </c>
      <c r="G60" s="11" t="n">
        <v>0.474333794577874</v>
      </c>
      <c r="H60" s="11" t="n">
        <v>0.582960882021532</v>
      </c>
      <c r="I60" s="11" t="n">
        <v>0.695413982218979</v>
      </c>
      <c r="J60" s="11" t="n">
        <v>0.809201896074553</v>
      </c>
      <c r="K60" s="11" t="n">
        <v>0.922564744310309</v>
      </c>
      <c r="L60" s="11" t="n">
        <v>1.03424512394659</v>
      </c>
      <c r="M60" s="11" t="n">
        <v>1.14333825194809</v>
      </c>
      <c r="N60" s="11" t="n">
        <v>1.24919215955469</v>
      </c>
      <c r="O60" s="11" t="n">
        <v>1.35136678541929</v>
      </c>
      <c r="P60" s="11" t="n">
        <v>1.4495996635699</v>
      </c>
      <c r="Q60" s="11" t="n">
        <v>1.543774855928</v>
      </c>
      <c r="R60" s="11" t="n">
        <v>1.63389283491284</v>
      </c>
      <c r="S60" s="11" t="n">
        <v>1.72004967618051</v>
      </c>
      <c r="T60" s="11" t="n">
        <v>1.80242085270938</v>
      </c>
      <c r="U60" s="11" t="n">
        <v>1.88120613105802</v>
      </c>
      <c r="V60" s="11" t="n">
        <v>1.95661505229937</v>
      </c>
      <c r="W60" s="11" t="n">
        <v>2.02886486260354</v>
      </c>
      <c r="X60" s="11" t="n">
        <v>2.09817897221838</v>
      </c>
      <c r="Y60" s="11" t="n">
        <v>2.16478542192477</v>
      </c>
      <c r="Z60" s="11" t="n">
        <v>2.22890469171092</v>
      </c>
      <c r="AA60" s="11" t="n">
        <v>2.29072846248159</v>
      </c>
      <c r="AB60" s="11" t="n">
        <v>2.35041976308545</v>
      </c>
      <c r="AC60" s="11" t="n">
        <v>2.40811772741072</v>
      </c>
      <c r="AD60" s="11" t="n">
        <v>2.46394144792721</v>
      </c>
      <c r="AE60" s="11" t="n">
        <v>2.5179918594731</v>
      </c>
      <c r="AF60" s="11" t="n">
        <v>2.57034601226397</v>
      </c>
      <c r="AG60" s="11" t="n">
        <v>3.10434426088376</v>
      </c>
      <c r="AH60" s="11" t="n">
        <v>3.13413627099731</v>
      </c>
      <c r="AI60" s="11" t="n">
        <v>3.16235579481924</v>
      </c>
      <c r="AJ60" s="11" t="n">
        <v>3.18902956576645</v>
      </c>
      <c r="AK60" s="11" t="n">
        <v>3.21418830772606</v>
      </c>
    </row>
    <row r="61" customFormat="false" ht="15" hidden="false" customHeight="false" outlineLevel="0" collapsed="false">
      <c r="A61" s="10" t="n">
        <v>-64</v>
      </c>
      <c r="B61" s="8" t="n">
        <v>41100</v>
      </c>
      <c r="C61" s="11" t="n">
        <v>0.194032750116599</v>
      </c>
      <c r="D61" s="11" t="n">
        <v>0.231861530132639</v>
      </c>
      <c r="E61" s="11" t="n">
        <v>0.300863201221206</v>
      </c>
      <c r="F61" s="11" t="n">
        <v>0.389508590024878</v>
      </c>
      <c r="G61" s="11" t="n">
        <v>0.490214777443258</v>
      </c>
      <c r="H61" s="11" t="n">
        <v>0.59787172672733</v>
      </c>
      <c r="I61" s="11" t="n">
        <v>0.709018541654904</v>
      </c>
      <c r="J61" s="11" t="n">
        <v>0.821296943682283</v>
      </c>
      <c r="K61" s="11" t="n">
        <v>0.933062910081068</v>
      </c>
      <c r="L61" s="11" t="n">
        <v>1.04315460039413</v>
      </c>
      <c r="M61" s="11" t="n">
        <v>1.15074085878171</v>
      </c>
      <c r="N61" s="11" t="n">
        <v>1.25522399575943</v>
      </c>
      <c r="O61" s="11" t="n">
        <v>1.35619757130433</v>
      </c>
      <c r="P61" s="11" t="n">
        <v>1.45341636314181</v>
      </c>
      <c r="Q61" s="11" t="n">
        <v>1.5467680153613</v>
      </c>
      <c r="R61" s="11" t="n">
        <v>1.63624747491227</v>
      </c>
      <c r="S61" s="11" t="n">
        <v>1.72193859607585</v>
      </c>
      <c r="T61" s="11" t="n">
        <v>1.80400019231626</v>
      </c>
      <c r="U61" s="11" t="n">
        <v>1.88261508756723</v>
      </c>
      <c r="V61" s="11" t="n">
        <v>1.95797648894331</v>
      </c>
      <c r="W61" s="11" t="n">
        <v>2.03028579501738</v>
      </c>
      <c r="X61" s="11" t="n">
        <v>2.09975095752903</v>
      </c>
      <c r="Y61" s="11" t="n">
        <v>2.16658487693437</v>
      </c>
      <c r="Z61" s="11" t="n">
        <v>2.23099352864837</v>
      </c>
      <c r="AA61" s="11" t="n">
        <v>2.29315562561064</v>
      </c>
      <c r="AB61" s="11" t="n">
        <v>2.35322277876234</v>
      </c>
      <c r="AC61" s="11" t="n">
        <v>2.41132399770996</v>
      </c>
      <c r="AD61" s="11" t="n">
        <v>2.46756933552064</v>
      </c>
      <c r="AE61" s="11" t="n">
        <v>2.52205151416331</v>
      </c>
      <c r="AF61" s="11" t="n">
        <v>2.57483960089962</v>
      </c>
      <c r="AG61" s="11" t="n">
        <v>3.11255399104248</v>
      </c>
      <c r="AH61" s="11" t="n">
        <v>3.1424698859211</v>
      </c>
      <c r="AI61" s="11" t="n">
        <v>3.17080306751703</v>
      </c>
      <c r="AJ61" s="11" t="n">
        <v>3.19758391194266</v>
      </c>
      <c r="AK61" s="11" t="n">
        <v>3.22284641580845</v>
      </c>
    </row>
    <row r="62" customFormat="false" ht="15" hidden="false" customHeight="false" outlineLevel="0" collapsed="false">
      <c r="A62" s="10" t="n">
        <v>-63</v>
      </c>
      <c r="B62" s="8" t="n">
        <v>41101</v>
      </c>
      <c r="C62" s="11" t="n">
        <v>0.192412879235944</v>
      </c>
      <c r="D62" s="11" t="n">
        <v>0.228703383945613</v>
      </c>
      <c r="E62" s="11" t="n">
        <v>0.29576604602774</v>
      </c>
      <c r="F62" s="11" t="n">
        <v>0.382203485262597</v>
      </c>
      <c r="G62" s="11" t="n">
        <v>0.480572291059589</v>
      </c>
      <c r="H62" s="11" t="n">
        <v>0.585891376841295</v>
      </c>
      <c r="I62" s="11" t="n">
        <v>0.694805464745295</v>
      </c>
      <c r="J62" s="11" t="n">
        <v>0.805036279942454</v>
      </c>
      <c r="K62" s="11" t="n">
        <v>0.914999618578973</v>
      </c>
      <c r="L62" s="11" t="n">
        <v>1.02357039341106</v>
      </c>
      <c r="M62" s="11" t="n">
        <v>1.12993231729953</v>
      </c>
      <c r="N62" s="11" t="n">
        <v>1.2334852064351</v>
      </c>
      <c r="O62" s="11" t="n">
        <v>1.33380461691455</v>
      </c>
      <c r="P62" s="11" t="n">
        <v>1.43061783700317</v>
      </c>
      <c r="Q62" s="11" t="n">
        <v>1.52378020982704</v>
      </c>
      <c r="R62" s="11" t="n">
        <v>1.61325469593377</v>
      </c>
      <c r="S62" s="11" t="n">
        <v>1.69909553772035</v>
      </c>
      <c r="T62" s="11" t="n">
        <v>1.78143528003166</v>
      </c>
      <c r="U62" s="11" t="n">
        <v>1.86043411700574</v>
      </c>
      <c r="V62" s="11" t="n">
        <v>1.93626578559265</v>
      </c>
      <c r="W62" s="11" t="n">
        <v>2.00911471806126</v>
      </c>
      <c r="X62" s="11" t="n">
        <v>2.07917390293551</v>
      </c>
      <c r="Y62" s="11" t="n">
        <v>2.14664288669744</v>
      </c>
      <c r="Z62" s="11" t="n">
        <v>2.21171557446814</v>
      </c>
      <c r="AA62" s="11" t="n">
        <v>2.27455987035455</v>
      </c>
      <c r="AB62" s="11" t="n">
        <v>2.33531772472426</v>
      </c>
      <c r="AC62" s="11" t="n">
        <v>2.39410944467938</v>
      </c>
      <c r="AD62" s="11" t="n">
        <v>2.45103718422445</v>
      </c>
      <c r="AE62" s="11" t="n">
        <v>2.5061863779539</v>
      </c>
      <c r="AF62" s="11" t="n">
        <v>2.55961901778724</v>
      </c>
      <c r="AG62" s="11" t="n">
        <v>3.10174072662666</v>
      </c>
      <c r="AH62" s="11" t="n">
        <v>3.13167543643727</v>
      </c>
      <c r="AI62" s="11" t="n">
        <v>3.1599954300258</v>
      </c>
      <c r="AJ62" s="11" t="n">
        <v>3.18673552076558</v>
      </c>
      <c r="AK62" s="11" t="n">
        <v>3.21193397027725</v>
      </c>
    </row>
    <row r="63" customFormat="false" ht="15" hidden="false" customHeight="false" outlineLevel="0" collapsed="false">
      <c r="A63" s="10" t="n">
        <v>-62</v>
      </c>
      <c r="B63" s="8" t="n">
        <v>41102</v>
      </c>
      <c r="C63" s="11" t="n">
        <v>0.184069978864538</v>
      </c>
      <c r="D63" s="11" t="n">
        <v>0.217788234939631</v>
      </c>
      <c r="E63" s="11" t="n">
        <v>0.282558427064953</v>
      </c>
      <c r="F63" s="11" t="n">
        <v>0.367004956359101</v>
      </c>
      <c r="G63" s="11" t="n">
        <v>0.463598371700343</v>
      </c>
      <c r="H63" s="11" t="n">
        <v>0.567266140578491</v>
      </c>
      <c r="I63" s="11" t="n">
        <v>0.674586831469893</v>
      </c>
      <c r="J63" s="11" t="n">
        <v>0.783250112663248</v>
      </c>
      <c r="K63" s="11" t="n">
        <v>0.891675083429158</v>
      </c>
      <c r="L63" s="11" t="n">
        <v>0.998759772132324</v>
      </c>
      <c r="M63" s="11" t="n">
        <v>1.10371424801966</v>
      </c>
      <c r="N63" s="11" t="n">
        <v>1.20596111319558</v>
      </c>
      <c r="O63" s="11" t="n">
        <v>1.3050883422817</v>
      </c>
      <c r="P63" s="11" t="n">
        <v>1.40082692012895</v>
      </c>
      <c r="Q63" s="11" t="n">
        <v>1.49302747812498</v>
      </c>
      <c r="R63" s="11" t="n">
        <v>1.58164079309252</v>
      </c>
      <c r="S63" s="11" t="n">
        <v>1.6667006361098</v>
      </c>
      <c r="T63" s="11" t="n">
        <v>1.74831192515068</v>
      </c>
      <c r="U63" s="11" t="n">
        <v>1.82660960148585</v>
      </c>
      <c r="V63" s="11" t="n">
        <v>1.90174593763312</v>
      </c>
      <c r="W63" s="11" t="n">
        <v>1.9738869078724</v>
      </c>
      <c r="X63" s="11" t="n">
        <v>2.04320944789326</v>
      </c>
      <c r="Y63" s="11" t="n">
        <v>2.10989903561829</v>
      </c>
      <c r="Z63" s="11" t="n">
        <v>2.17413863265161</v>
      </c>
      <c r="AA63" s="11" t="n">
        <v>2.23609092275083</v>
      </c>
      <c r="AB63" s="11" t="n">
        <v>2.29589807873377</v>
      </c>
      <c r="AC63" s="11" t="n">
        <v>2.35368516889191</v>
      </c>
      <c r="AD63" s="11" t="n">
        <v>2.4095629149921</v>
      </c>
      <c r="AE63" s="11" t="n">
        <v>2.46362846671682</v>
      </c>
      <c r="AF63" s="11" t="n">
        <v>2.51595791619276</v>
      </c>
      <c r="AG63" s="11" t="n">
        <v>3.04751816111892</v>
      </c>
      <c r="AH63" s="11" t="n">
        <v>3.07710992565934</v>
      </c>
      <c r="AI63" s="11" t="n">
        <v>3.1051463833197</v>
      </c>
      <c r="AJ63" s="11" t="n">
        <v>3.13165725276857</v>
      </c>
      <c r="AK63" s="11" t="n">
        <v>3.15667579738903</v>
      </c>
    </row>
    <row r="64" customFormat="false" ht="15" hidden="false" customHeight="false" outlineLevel="0" collapsed="false">
      <c r="A64" s="10" t="n">
        <v>-61</v>
      </c>
      <c r="B64" s="8" t="n">
        <v>41103</v>
      </c>
      <c r="C64" s="11" t="n">
        <v>0.194788167843458</v>
      </c>
      <c r="D64" s="11" t="n">
        <v>0.22734020739202</v>
      </c>
      <c r="E64" s="11" t="n">
        <v>0.291255110731616</v>
      </c>
      <c r="F64" s="11" t="n">
        <v>0.375369280553694</v>
      </c>
      <c r="G64" s="11" t="n">
        <v>0.472130721098542</v>
      </c>
      <c r="H64" s="11" t="n">
        <v>0.57638445562315</v>
      </c>
      <c r="I64" s="11" t="n">
        <v>0.684615414295702</v>
      </c>
      <c r="J64" s="11" t="n">
        <v>0.794418551751634</v>
      </c>
      <c r="K64" s="11" t="n">
        <v>0.904130423592632</v>
      </c>
      <c r="L64" s="11" t="n">
        <v>1.01257292880943</v>
      </c>
      <c r="M64" s="11" t="n">
        <v>1.11888816028768</v>
      </c>
      <c r="N64" s="11" t="n">
        <v>1.22243857906403</v>
      </c>
      <c r="O64" s="11" t="n">
        <v>1.32275775493999</v>
      </c>
      <c r="P64" s="11" t="n">
        <v>1.41952901091866</v>
      </c>
      <c r="Q64" s="11" t="n">
        <v>1.51256399865527</v>
      </c>
      <c r="R64" s="11" t="n">
        <v>1.60178572335867</v>
      </c>
      <c r="S64" s="11" t="n">
        <v>1.68721084030532</v>
      </c>
      <c r="T64" s="11" t="n">
        <v>1.76893638457047</v>
      </c>
      <c r="U64" s="11" t="n">
        <v>1.84709662646818</v>
      </c>
      <c r="V64" s="11" t="n">
        <v>1.92184906308474</v>
      </c>
      <c r="W64" s="11" t="n">
        <v>1.99336956415484</v>
      </c>
      <c r="X64" s="11" t="n">
        <v>2.06184869753189</v>
      </c>
      <c r="Y64" s="11" t="n">
        <v>2.12748856014372</v>
      </c>
      <c r="Z64" s="11" t="n">
        <v>2.1904908722594</v>
      </c>
      <c r="AA64" s="11" t="n">
        <v>2.25103893933182</v>
      </c>
      <c r="AB64" s="11" t="n">
        <v>2.309297268582</v>
      </c>
      <c r="AC64" s="11" t="n">
        <v>2.36541469228253</v>
      </c>
      <c r="AD64" s="11" t="n">
        <v>2.41952689486325</v>
      </c>
      <c r="AE64" s="11" t="n">
        <v>2.47175694098186</v>
      </c>
      <c r="AF64" s="11" t="n">
        <v>2.52220768418197</v>
      </c>
      <c r="AG64" s="11" t="n">
        <v>3.03469483920572</v>
      </c>
      <c r="AH64" s="11" t="n">
        <v>3.06355566827583</v>
      </c>
      <c r="AI64" s="11" t="n">
        <v>3.09096507573098</v>
      </c>
      <c r="AJ64" s="11" t="n">
        <v>3.11694697436102</v>
      </c>
      <c r="AK64" s="11" t="n">
        <v>3.14152856340304</v>
      </c>
    </row>
    <row r="65" customFormat="false" ht="15" hidden="false" customHeight="false" outlineLevel="0" collapsed="false">
      <c r="A65" s="10" t="n">
        <v>-60</v>
      </c>
      <c r="B65" s="8" t="n">
        <v>41106</v>
      </c>
      <c r="C65" s="11" t="n">
        <v>0.174366033107236</v>
      </c>
      <c r="D65" s="11" t="n">
        <v>0.200681514199896</v>
      </c>
      <c r="E65" s="11" t="n">
        <v>0.259678165397118</v>
      </c>
      <c r="F65" s="11" t="n">
        <v>0.339828880388372</v>
      </c>
      <c r="G65" s="11" t="n">
        <v>0.43331410146724</v>
      </c>
      <c r="H65" s="11" t="n">
        <v>0.534796535645673</v>
      </c>
      <c r="I65" s="11" t="n">
        <v>0.640641349223843</v>
      </c>
      <c r="J65" s="11" t="n">
        <v>0.748369083162307</v>
      </c>
      <c r="K65" s="11" t="n">
        <v>0.856275951939716</v>
      </c>
      <c r="L65" s="11" t="n">
        <v>0.963160109665965</v>
      </c>
      <c r="M65" s="11" t="n">
        <v>1.06814471659591</v>
      </c>
      <c r="N65" s="11" t="n">
        <v>1.17057398882047</v>
      </c>
      <c r="O65" s="11" t="n">
        <v>1.26996056325401</v>
      </c>
      <c r="P65" s="11" t="n">
        <v>1.36596619579632</v>
      </c>
      <c r="Q65" s="11" t="n">
        <v>1.45838330578325</v>
      </c>
      <c r="R65" s="11" t="n">
        <v>1.54711828289073</v>
      </c>
      <c r="S65" s="11" t="n">
        <v>1.63217407207495</v>
      </c>
      <c r="T65" s="11" t="n">
        <v>1.71363696430481</v>
      </c>
      <c r="U65" s="11" t="n">
        <v>1.79163180160196</v>
      </c>
      <c r="V65" s="11" t="n">
        <v>1.86630753255512</v>
      </c>
      <c r="W65" s="11" t="n">
        <v>1.93783217541913</v>
      </c>
      <c r="X65" s="11" t="n">
        <v>2.0063890041817</v>
      </c>
      <c r="Y65" s="11" t="n">
        <v>2.07217325387648</v>
      </c>
      <c r="Z65" s="11" t="n">
        <v>2.13537982747733</v>
      </c>
      <c r="AA65" s="11" t="n">
        <v>2.19618490485362</v>
      </c>
      <c r="AB65" s="11" t="n">
        <v>2.25474559430332</v>
      </c>
      <c r="AC65" s="11" t="n">
        <v>2.31120310189521</v>
      </c>
      <c r="AD65" s="11" t="n">
        <v>2.36568529511057</v>
      </c>
      <c r="AE65" s="11" t="n">
        <v>2.41830724371342</v>
      </c>
      <c r="AF65" s="11" t="n">
        <v>2.46916368722027</v>
      </c>
      <c r="AG65" s="11" t="n">
        <v>2.98542312561158</v>
      </c>
      <c r="AH65" s="11" t="n">
        <v>3.01435812766307</v>
      </c>
      <c r="AI65" s="11" t="n">
        <v>3.0418122985417</v>
      </c>
      <c r="AJ65" s="11" t="n">
        <v>3.06781219883616</v>
      </c>
      <c r="AK65" s="11" t="n">
        <v>3.09238779481872</v>
      </c>
    </row>
    <row r="66" customFormat="false" ht="15" hidden="false" customHeight="false" outlineLevel="0" collapsed="false">
      <c r="A66" s="10" t="n">
        <v>-59</v>
      </c>
      <c r="B66" s="8" t="n">
        <v>41107</v>
      </c>
      <c r="C66" s="11" t="n">
        <v>0.169501610023248</v>
      </c>
      <c r="D66" s="11" t="n">
        <v>0.193659279435703</v>
      </c>
      <c r="E66" s="11" t="n">
        <v>0.251556045100858</v>
      </c>
      <c r="F66" s="11" t="n">
        <v>0.331438950016167</v>
      </c>
      <c r="G66" s="11" t="n">
        <v>0.425307830341769</v>
      </c>
      <c r="H66" s="11" t="n">
        <v>0.527679823462252</v>
      </c>
      <c r="I66" s="11" t="n">
        <v>0.634802235247301</v>
      </c>
      <c r="J66" s="11" t="n">
        <v>0.744090611541645</v>
      </c>
      <c r="K66" s="11" t="n">
        <v>0.853744560102189</v>
      </c>
      <c r="L66" s="11" t="n">
        <v>0.962470146664129</v>
      </c>
      <c r="M66" s="11" t="n">
        <v>1.06930820465013</v>
      </c>
      <c r="N66" s="11" t="n">
        <v>1.17353277086959</v>
      </c>
      <c r="O66" s="11" t="n">
        <v>1.27460182662461</v>
      </c>
      <c r="P66" s="11" t="n">
        <v>1.37213780691653</v>
      </c>
      <c r="Q66" s="11" t="n">
        <v>1.46590979785269</v>
      </c>
      <c r="R66" s="11" t="n">
        <v>1.55581540483579</v>
      </c>
      <c r="S66" s="11" t="n">
        <v>1.641861608396</v>
      </c>
      <c r="T66" s="11" t="n">
        <v>1.72414883100127</v>
      </c>
      <c r="U66" s="11" t="n">
        <v>1.80281983411415</v>
      </c>
      <c r="V66" s="11" t="n">
        <v>1.87804368517563</v>
      </c>
      <c r="W66" s="11" t="n">
        <v>1.9500102616164</v>
      </c>
      <c r="X66" s="11" t="n">
        <v>2.01892608885891</v>
      </c>
      <c r="Y66" s="11" t="n">
        <v>2.08501070153842</v>
      </c>
      <c r="Z66" s="11" t="n">
        <v>2.148482280507</v>
      </c>
      <c r="AA66" s="11" t="n">
        <v>2.20953627323905</v>
      </c>
      <c r="AB66" s="11" t="n">
        <v>2.26834517955188</v>
      </c>
      <c r="AC66" s="11" t="n">
        <v>2.32506236613579</v>
      </c>
      <c r="AD66" s="11" t="n">
        <v>2.37982515089946</v>
      </c>
      <c r="AE66" s="11" t="n">
        <v>2.43275543333398</v>
      </c>
      <c r="AF66" s="11" t="n">
        <v>2.48395067415014</v>
      </c>
      <c r="AG66" s="11" t="n">
        <v>3.00528073335906</v>
      </c>
      <c r="AH66" s="11" t="n">
        <v>3.03449982837191</v>
      </c>
      <c r="AI66" s="11" t="n">
        <v>3.06221417578212</v>
      </c>
      <c r="AJ66" s="11" t="n">
        <v>3.08845142966388</v>
      </c>
      <c r="AK66" s="11" t="n">
        <v>3.11324289613533</v>
      </c>
    </row>
    <row r="67" customFormat="false" ht="15" hidden="false" customHeight="false" outlineLevel="0" collapsed="false">
      <c r="A67" s="10" t="n">
        <v>-58</v>
      </c>
      <c r="B67" s="8" t="n">
        <v>41108</v>
      </c>
      <c r="C67" s="11" t="n">
        <v>0.121119471061374</v>
      </c>
      <c r="D67" s="11" t="n">
        <v>0.141416821217489</v>
      </c>
      <c r="E67" s="11" t="n">
        <v>0.197036116436546</v>
      </c>
      <c r="F67" s="11" t="n">
        <v>0.275982345572656</v>
      </c>
      <c r="G67" s="11" t="n">
        <v>0.370026096180092</v>
      </c>
      <c r="H67" s="11" t="n">
        <v>0.473475843705938</v>
      </c>
      <c r="I67" s="11" t="n">
        <v>0.582385606863782</v>
      </c>
      <c r="J67" s="11" t="n">
        <v>0.693987498107087</v>
      </c>
      <c r="K67" s="11" t="n">
        <v>0.806309470524689</v>
      </c>
      <c r="L67" s="11" t="n">
        <v>0.917898512736458</v>
      </c>
      <c r="M67" s="11" t="n">
        <v>1.02765590821033</v>
      </c>
      <c r="N67" s="11" t="n">
        <v>1.13473639827469</v>
      </c>
      <c r="O67" s="11" t="n">
        <v>1.23850136705362</v>
      </c>
      <c r="P67" s="11" t="n">
        <v>1.33849814621772</v>
      </c>
      <c r="Q67" s="11" t="n">
        <v>1.43444379457891</v>
      </c>
      <c r="R67" s="11" t="n">
        <v>1.5262064345201</v>
      </c>
      <c r="S67" s="11" t="n">
        <v>1.6137846130419</v>
      </c>
      <c r="T67" s="11" t="n">
        <v>1.69728829283327</v>
      </c>
      <c r="U67" s="11" t="n">
        <v>1.77687811795505</v>
      </c>
      <c r="V67" s="11" t="n">
        <v>1.85274645317733</v>
      </c>
      <c r="W67" s="11" t="n">
        <v>1.92511075847317</v>
      </c>
      <c r="X67" s="11" t="n">
        <v>1.99420856997797</v>
      </c>
      <c r="Y67" s="11" t="n">
        <v>2.06029311741144</v>
      </c>
      <c r="Z67" s="11" t="n">
        <v>2.12361645001408</v>
      </c>
      <c r="AA67" s="11" t="n">
        <v>2.18440468676938</v>
      </c>
      <c r="AB67" s="11" t="n">
        <v>2.24285778046286</v>
      </c>
      <c r="AC67" s="11" t="n">
        <v>2.29915386791365</v>
      </c>
      <c r="AD67" s="11" t="n">
        <v>2.35345278666234</v>
      </c>
      <c r="AE67" s="11" t="n">
        <v>2.40589682314602</v>
      </c>
      <c r="AF67" s="11" t="n">
        <v>2.45660078289941</v>
      </c>
      <c r="AG67" s="11" t="n">
        <v>2.9742789131107</v>
      </c>
      <c r="AH67" s="11" t="n">
        <v>3.00343622079063</v>
      </c>
      <c r="AI67" s="11" t="n">
        <v>3.03110394665447</v>
      </c>
      <c r="AJ67" s="11" t="n">
        <v>3.05730582977414</v>
      </c>
      <c r="AK67" s="11" t="n">
        <v>3.08206966988403</v>
      </c>
    </row>
    <row r="68" customFormat="false" ht="15" hidden="false" customHeight="false" outlineLevel="0" collapsed="false">
      <c r="A68" s="10" t="n">
        <v>-57</v>
      </c>
      <c r="B68" s="8" t="n">
        <v>41109</v>
      </c>
      <c r="C68" s="11" t="n">
        <v>0.10745048951694</v>
      </c>
      <c r="D68" s="11" t="n">
        <v>0.137166013722897</v>
      </c>
      <c r="E68" s="11" t="n">
        <v>0.202438248362153</v>
      </c>
      <c r="F68" s="11" t="n">
        <v>0.290252700689349</v>
      </c>
      <c r="G68" s="11" t="n">
        <v>0.392009418910615</v>
      </c>
      <c r="H68" s="11" t="n">
        <v>0.50194146956662</v>
      </c>
      <c r="I68" s="11" t="n">
        <v>0.616176642196627</v>
      </c>
      <c r="J68" s="11" t="n">
        <v>0.732085501739159</v>
      </c>
      <c r="K68" s="11" t="n">
        <v>0.847856808787042</v>
      </c>
      <c r="L68" s="11" t="n">
        <v>0.962187456143051</v>
      </c>
      <c r="M68" s="11" t="n">
        <v>1.07410765425971</v>
      </c>
      <c r="N68" s="11" t="n">
        <v>1.182881802674</v>
      </c>
      <c r="O68" s="11" t="n">
        <v>1.28795962042748</v>
      </c>
      <c r="P68" s="11" t="n">
        <v>1.38895819179333</v>
      </c>
      <c r="Q68" s="11" t="n">
        <v>1.48565061998698</v>
      </c>
      <c r="R68" s="11" t="n">
        <v>1.57795060046669</v>
      </c>
      <c r="S68" s="11" t="n">
        <v>1.66589695865282</v>
      </c>
      <c r="T68" s="11" t="n">
        <v>1.74963469758908</v>
      </c>
      <c r="U68" s="11" t="n">
        <v>1.82935483694513</v>
      </c>
      <c r="V68" s="11" t="n">
        <v>1.90527658594321</v>
      </c>
      <c r="W68" s="11" t="n">
        <v>1.97764145480226</v>
      </c>
      <c r="X68" s="11" t="n">
        <v>2.04670879453865</v>
      </c>
      <c r="Y68" s="11" t="n">
        <v>2.11275180647513</v>
      </c>
      <c r="Z68" s="11" t="n">
        <v>2.17604030759378</v>
      </c>
      <c r="AA68" s="11" t="n">
        <v>2.23681543463076</v>
      </c>
      <c r="AB68" s="11" t="n">
        <v>2.29528977237416</v>
      </c>
      <c r="AC68" s="11" t="n">
        <v>2.35165210193303</v>
      </c>
      <c r="AD68" s="11" t="n">
        <v>2.40607123768082</v>
      </c>
      <c r="AE68" s="11" t="n">
        <v>2.45869687777284</v>
      </c>
      <c r="AF68" s="11" t="n">
        <v>2.50964916047066</v>
      </c>
      <c r="AG68" s="11" t="n">
        <v>3.03611310068681</v>
      </c>
      <c r="AH68" s="11" t="n">
        <v>3.06617550166352</v>
      </c>
      <c r="AI68" s="11" t="n">
        <v>3.09473846841727</v>
      </c>
      <c r="AJ68" s="11" t="n">
        <v>3.12181651915883</v>
      </c>
      <c r="AK68" s="11" t="n">
        <v>3.14742906599694</v>
      </c>
    </row>
    <row r="69" customFormat="false" ht="15" hidden="false" customHeight="false" outlineLevel="0" collapsed="false">
      <c r="A69" s="10" t="n">
        <v>-56</v>
      </c>
      <c r="B69" s="8" t="n">
        <v>41110</v>
      </c>
      <c r="C69" s="11" t="n">
        <v>0.0865905487473199</v>
      </c>
      <c r="D69" s="11" t="n">
        <v>0.111784003099139</v>
      </c>
      <c r="E69" s="11" t="n">
        <v>0.172952088316473</v>
      </c>
      <c r="F69" s="11" t="n">
        <v>0.257251584072725</v>
      </c>
      <c r="G69" s="11" t="n">
        <v>0.356099514621132</v>
      </c>
      <c r="H69" s="11" t="n">
        <v>0.463692396799646</v>
      </c>
      <c r="I69" s="11" t="n">
        <v>0.576100149907369</v>
      </c>
      <c r="J69" s="11" t="n">
        <v>0.690637500514718</v>
      </c>
      <c r="K69" s="11" t="n">
        <v>0.805426666006629</v>
      </c>
      <c r="L69" s="11" t="n">
        <v>0.919102043313996</v>
      </c>
      <c r="M69" s="11" t="n">
        <v>1.03063383932039</v>
      </c>
      <c r="N69" s="11" t="n">
        <v>1.13922981548582</v>
      </c>
      <c r="O69" s="11" t="n">
        <v>1.2442918229664</v>
      </c>
      <c r="P69" s="11" t="n">
        <v>1.34539923397071</v>
      </c>
      <c r="Q69" s="11" t="n">
        <v>1.44230166465337</v>
      </c>
      <c r="R69" s="11" t="n">
        <v>1.53489806549704</v>
      </c>
      <c r="S69" s="11" t="n">
        <v>1.62322546271683</v>
      </c>
      <c r="T69" s="11" t="n">
        <v>1.70743392911067</v>
      </c>
      <c r="U69" s="11" t="n">
        <v>1.78772033152698</v>
      </c>
      <c r="V69" s="11" t="n">
        <v>1.86431005603287</v>
      </c>
      <c r="W69" s="11" t="n">
        <v>1.93745105307899</v>
      </c>
      <c r="X69" s="11" t="n">
        <v>2.00740932462282</v>
      </c>
      <c r="Y69" s="11" t="n">
        <v>2.07446477326308</v>
      </c>
      <c r="Z69" s="11" t="n">
        <v>2.13889188279793</v>
      </c>
      <c r="AA69" s="11" t="n">
        <v>2.20093217184124</v>
      </c>
      <c r="AB69" s="11" t="n">
        <v>2.26079479210058</v>
      </c>
      <c r="AC69" s="11" t="n">
        <v>2.31866191383691</v>
      </c>
      <c r="AD69" s="11" t="n">
        <v>2.37469307437529</v>
      </c>
      <c r="AE69" s="11" t="n">
        <v>2.4290261922906</v>
      </c>
      <c r="AF69" s="11" t="n">
        <v>2.48176663655492</v>
      </c>
      <c r="AG69" s="11" t="n">
        <v>3.03123659247289</v>
      </c>
      <c r="AH69" s="11" t="n">
        <v>3.06260650335992</v>
      </c>
      <c r="AI69" s="11" t="n">
        <v>3.09237743210432</v>
      </c>
      <c r="AJ69" s="11" t="n">
        <v>3.12056324947728</v>
      </c>
      <c r="AK69" s="11" t="n">
        <v>3.1471837365062</v>
      </c>
    </row>
    <row r="70" customFormat="false" ht="15" hidden="false" customHeight="false" outlineLevel="0" collapsed="false">
      <c r="A70" s="10" t="n">
        <v>-55</v>
      </c>
      <c r="B70" s="8" t="n">
        <v>41113</v>
      </c>
      <c r="C70" s="11" t="n">
        <v>0.0691594409738377</v>
      </c>
      <c r="D70" s="11" t="n">
        <v>0.0945143196976223</v>
      </c>
      <c r="E70" s="11" t="n">
        <v>0.155553727577618</v>
      </c>
      <c r="F70" s="11" t="n">
        <v>0.239678982401384</v>
      </c>
      <c r="G70" s="11" t="n">
        <v>0.338435045281339</v>
      </c>
      <c r="H70" s="11" t="n">
        <v>0.446080246709039</v>
      </c>
      <c r="I70" s="11" t="n">
        <v>0.558699546004982</v>
      </c>
      <c r="J70" s="11" t="n">
        <v>0.673597655053164</v>
      </c>
      <c r="K70" s="11" t="n">
        <v>0.78886281651999</v>
      </c>
      <c r="L70" s="11" t="n">
        <v>0.903091279286513</v>
      </c>
      <c r="M70" s="11" t="n">
        <v>1.01521889182662</v>
      </c>
      <c r="N70" s="11" t="n">
        <v>1.12442712930416</v>
      </c>
      <c r="O70" s="11" t="n">
        <v>1.23010518859913</v>
      </c>
      <c r="P70" s="11" t="n">
        <v>1.3318297446312</v>
      </c>
      <c r="Q70" s="11" t="n">
        <v>1.4293549337922</v>
      </c>
      <c r="R70" s="11" t="n">
        <v>1.52258616088101</v>
      </c>
      <c r="S70" s="11" t="n">
        <v>1.611568109431</v>
      </c>
      <c r="T70" s="11" t="n">
        <v>1.69645735644691</v>
      </c>
      <c r="U70" s="11" t="n">
        <v>1.77745527783815</v>
      </c>
      <c r="V70" s="11" t="n">
        <v>1.85479020440114</v>
      </c>
      <c r="W70" s="11" t="n">
        <v>1.92871179378604</v>
      </c>
      <c r="X70" s="11" t="n">
        <v>1.99948676512601</v>
      </c>
      <c r="Y70" s="11" t="n">
        <v>2.06739489137957</v>
      </c>
      <c r="Z70" s="11" t="n">
        <v>2.13270903347321</v>
      </c>
      <c r="AA70" s="11" t="n">
        <v>2.19566685060121</v>
      </c>
      <c r="AB70" s="11" t="n">
        <v>2.25647167728879</v>
      </c>
      <c r="AC70" s="11" t="n">
        <v>2.31529823556423</v>
      </c>
      <c r="AD70" s="11" t="n">
        <v>2.37229724600967</v>
      </c>
      <c r="AE70" s="11" t="n">
        <v>2.42759646662546</v>
      </c>
      <c r="AF70" s="11" t="n">
        <v>2.48128911545929</v>
      </c>
      <c r="AG70" s="11" t="n">
        <v>3.03743576846696</v>
      </c>
      <c r="AH70" s="11" t="n">
        <v>3.06882515935676</v>
      </c>
      <c r="AI70" s="11" t="n">
        <v>3.09857721761619</v>
      </c>
      <c r="AJ70" s="11" t="n">
        <v>3.12671663194648</v>
      </c>
      <c r="AK70" s="11" t="n">
        <v>3.15327317761584</v>
      </c>
    </row>
    <row r="71" customFormat="false" ht="15" hidden="false" customHeight="false" outlineLevel="0" collapsed="false">
      <c r="A71" s="10" t="n">
        <v>-54</v>
      </c>
      <c r="B71" s="8" t="n">
        <v>41114</v>
      </c>
      <c r="C71" s="11" t="n">
        <v>0.0599311130230298</v>
      </c>
      <c r="D71" s="11" t="n">
        <v>0.0878309795156072</v>
      </c>
      <c r="E71" s="11" t="n">
        <v>0.151115815733713</v>
      </c>
      <c r="F71" s="11" t="n">
        <v>0.236856212936396</v>
      </c>
      <c r="G71" s="11" t="n">
        <v>0.336590644308945</v>
      </c>
      <c r="H71" s="11" t="n">
        <v>0.444680607949442</v>
      </c>
      <c r="I71" s="11" t="n">
        <v>0.557337836526966</v>
      </c>
      <c r="J71" s="11" t="n">
        <v>0.671990662816856</v>
      </c>
      <c r="K71" s="11" t="n">
        <v>0.786828897591475</v>
      </c>
      <c r="L71" s="11" t="n">
        <v>0.90053470888305</v>
      </c>
      <c r="M71" s="11" t="n">
        <v>1.01211091411665</v>
      </c>
      <c r="N71" s="11" t="n">
        <v>1.12078952957641</v>
      </c>
      <c r="O71" s="11" t="n">
        <v>1.22599537249513</v>
      </c>
      <c r="P71" s="11" t="n">
        <v>1.32732645550465</v>
      </c>
      <c r="Q71" s="11" t="n">
        <v>1.42454642769793</v>
      </c>
      <c r="R71" s="11" t="n">
        <v>1.51756014596173</v>
      </c>
      <c r="S71" s="11" t="n">
        <v>1.6064043592434</v>
      </c>
      <c r="T71" s="11" t="n">
        <v>1.69122097987483</v>
      </c>
      <c r="U71" s="11" t="n">
        <v>1.77219494629247</v>
      </c>
      <c r="V71" s="11" t="n">
        <v>1.84953761110062</v>
      </c>
      <c r="W71" s="11" t="n">
        <v>1.92348122776037</v>
      </c>
      <c r="X71" s="11" t="n">
        <v>1.99427477041819</v>
      </c>
      <c r="Y71" s="11" t="n">
        <v>2.06218001603062</v>
      </c>
      <c r="Z71" s="11" t="n">
        <v>2.12745254875859</v>
      </c>
      <c r="AA71" s="11" t="n">
        <v>2.19031523070856</v>
      </c>
      <c r="AB71" s="11" t="n">
        <v>2.25095905147772</v>
      </c>
      <c r="AC71" s="11" t="n">
        <v>2.30954843283298</v>
      </c>
      <c r="AD71" s="11" t="n">
        <v>2.3662255098297</v>
      </c>
      <c r="AE71" s="11" t="n">
        <v>2.42111099876384</v>
      </c>
      <c r="AF71" s="11" t="n">
        <v>2.47429312853005</v>
      </c>
      <c r="AG71" s="11" t="n">
        <v>3.01614943190407</v>
      </c>
      <c r="AH71" s="11" t="n">
        <v>3.0461331830024</v>
      </c>
      <c r="AI71" s="11" t="n">
        <v>3.07449362797397</v>
      </c>
      <c r="AJ71" s="11" t="n">
        <v>3.1012678206114</v>
      </c>
      <c r="AK71" s="11" t="n">
        <v>3.12649682540216</v>
      </c>
    </row>
    <row r="72" customFormat="false" ht="15" hidden="false" customHeight="false" outlineLevel="0" collapsed="false">
      <c r="A72" s="10" t="n">
        <v>-53</v>
      </c>
      <c r="B72" s="8" t="n">
        <v>41115</v>
      </c>
      <c r="C72" s="11" t="n">
        <v>0.0443812381024099</v>
      </c>
      <c r="D72" s="11" t="n">
        <v>0.0726167148784147</v>
      </c>
      <c r="E72" s="11" t="n">
        <v>0.13616518747994</v>
      </c>
      <c r="F72" s="11" t="n">
        <v>0.222171847206581</v>
      </c>
      <c r="G72" s="11" t="n">
        <v>0.322220180402465</v>
      </c>
      <c r="H72" s="11" t="n">
        <v>0.430695054364862</v>
      </c>
      <c r="I72" s="11" t="n">
        <v>0.543814934949483</v>
      </c>
      <c r="J72" s="11" t="n">
        <v>0.659009524376323</v>
      </c>
      <c r="K72" s="11" t="n">
        <v>0.774458463489692</v>
      </c>
      <c r="L72" s="11" t="n">
        <v>0.888834306065694</v>
      </c>
      <c r="M72" s="11" t="n">
        <v>1.00112891359396</v>
      </c>
      <c r="N72" s="11" t="n">
        <v>1.11056144808542</v>
      </c>
      <c r="O72" s="11" t="n">
        <v>1.21654466191509</v>
      </c>
      <c r="P72" s="11" t="n">
        <v>1.31866651489662</v>
      </c>
      <c r="Q72" s="11" t="n">
        <v>1.41668195973303</v>
      </c>
      <c r="R72" s="11" t="n">
        <v>1.51048967294012</v>
      </c>
      <c r="S72" s="11" t="n">
        <v>1.60012284309692</v>
      </c>
      <c r="T72" s="11" t="n">
        <v>1.68572143717234</v>
      </c>
      <c r="U72" s="11" t="n">
        <v>1.76746860490222</v>
      </c>
      <c r="V72" s="11" t="n">
        <v>1.84557394104566</v>
      </c>
      <c r="W72" s="11" t="n">
        <v>1.92026796626152</v>
      </c>
      <c r="X72" s="11" t="n">
        <v>1.99179794192847</v>
      </c>
      <c r="Y72" s="11" t="n">
        <v>2.0604239226607</v>
      </c>
      <c r="Z72" s="11" t="n">
        <v>2.12639949409336</v>
      </c>
      <c r="AA72" s="11" t="n">
        <v>2.18994518267141</v>
      </c>
      <c r="AB72" s="11" t="n">
        <v>2.25124941152172</v>
      </c>
      <c r="AC72" s="11" t="n">
        <v>2.3104738441831</v>
      </c>
      <c r="AD72" s="11" t="n">
        <v>2.36775769636989</v>
      </c>
      <c r="AE72" s="11" t="n">
        <v>2.42321863841498</v>
      </c>
      <c r="AF72" s="11" t="n">
        <v>2.47694199665158</v>
      </c>
      <c r="AG72" s="11" t="n">
        <v>3.02250502471368</v>
      </c>
      <c r="AH72" s="11" t="n">
        <v>3.05258611627414</v>
      </c>
      <c r="AI72" s="11" t="n">
        <v>3.08103476005411</v>
      </c>
      <c r="AJ72" s="11" t="n">
        <v>3.10789206784905</v>
      </c>
      <c r="AK72" s="11" t="n">
        <v>3.13320288329834</v>
      </c>
    </row>
    <row r="73" customFormat="false" ht="15" hidden="false" customHeight="false" outlineLevel="0" collapsed="false">
      <c r="A73" s="10" t="n">
        <v>-52</v>
      </c>
      <c r="B73" s="8" t="n">
        <v>41116</v>
      </c>
      <c r="C73" s="11" t="n">
        <v>0.0687188317383523</v>
      </c>
      <c r="D73" s="11" t="n">
        <v>0.100933257571642</v>
      </c>
      <c r="E73" s="11" t="n">
        <v>0.166074360278561</v>
      </c>
      <c r="F73" s="11" t="n">
        <v>0.252268709662773</v>
      </c>
      <c r="G73" s="11" t="n">
        <v>0.351705525731802</v>
      </c>
      <c r="H73" s="11" t="n">
        <v>0.459140677465763</v>
      </c>
      <c r="I73" s="11" t="n">
        <v>0.571027263394319</v>
      </c>
      <c r="J73" s="11" t="n">
        <v>0.684947821382136</v>
      </c>
      <c r="K73" s="11" t="n">
        <v>0.799185054723351</v>
      </c>
      <c r="L73" s="11" t="n">
        <v>0.912474279384377</v>
      </c>
      <c r="M73" s="11" t="n">
        <v>1.02383702392676</v>
      </c>
      <c r="N73" s="11" t="n">
        <v>1.13249604379463</v>
      </c>
      <c r="O73" s="11" t="n">
        <v>1.2378466433498</v>
      </c>
      <c r="P73" s="11" t="n">
        <v>1.33944762024491</v>
      </c>
      <c r="Q73" s="11" t="n">
        <v>1.4370188308298</v>
      </c>
      <c r="R73" s="11" t="n">
        <v>1.53042442282405</v>
      </c>
      <c r="S73" s="11" t="n">
        <v>1.61966628831864</v>
      </c>
      <c r="T73" s="11" t="n">
        <v>1.70485744090284</v>
      </c>
      <c r="U73" s="11" t="n">
        <v>1.78616030665876</v>
      </c>
      <c r="V73" s="11" t="n">
        <v>1.86376923728178</v>
      </c>
      <c r="W73" s="11" t="n">
        <v>1.93790385062253</v>
      </c>
      <c r="X73" s="11" t="n">
        <v>2.00880397745586</v>
      </c>
      <c r="Y73" s="11" t="n">
        <v>2.07672505030325</v>
      </c>
      <c r="Z73" s="11" t="n">
        <v>2.14191874518656</v>
      </c>
      <c r="AA73" s="11" t="n">
        <v>2.20460692687388</v>
      </c>
      <c r="AB73" s="11" t="n">
        <v>2.26498228324228</v>
      </c>
      <c r="AC73" s="11" t="n">
        <v>2.32321318207382</v>
      </c>
      <c r="AD73" s="11" t="n">
        <v>2.37944758894177</v>
      </c>
      <c r="AE73" s="11" t="n">
        <v>2.433813594116</v>
      </c>
      <c r="AF73" s="11" t="n">
        <v>2.48640825941739</v>
      </c>
      <c r="AG73" s="11" t="n">
        <v>3.01903517372552</v>
      </c>
      <c r="AH73" s="11" t="n">
        <v>3.0484580760413</v>
      </c>
      <c r="AI73" s="11" t="n">
        <v>3.07630003481252</v>
      </c>
      <c r="AJ73" s="11" t="n">
        <v>3.1025992981806</v>
      </c>
      <c r="AK73" s="11" t="n">
        <v>3.1273977251306</v>
      </c>
    </row>
    <row r="74" customFormat="false" ht="15" hidden="false" customHeight="false" outlineLevel="0" collapsed="false">
      <c r="A74" s="10" t="n">
        <v>-51</v>
      </c>
      <c r="B74" s="8" t="n">
        <v>41117</v>
      </c>
      <c r="C74" s="11" t="n">
        <v>0.101767698880587</v>
      </c>
      <c r="D74" s="11" t="n">
        <v>0.138882751536716</v>
      </c>
      <c r="E74" s="11" t="n">
        <v>0.208060641831295</v>
      </c>
      <c r="F74" s="11" t="n">
        <v>0.297617445086137</v>
      </c>
      <c r="G74" s="11" t="n">
        <v>0.399871011507259</v>
      </c>
      <c r="H74" s="11" t="n">
        <v>0.509665428506188</v>
      </c>
      <c r="I74" s="11" t="n">
        <v>0.623517367351122</v>
      </c>
      <c r="J74" s="11" t="n">
        <v>0.73905549031034</v>
      </c>
      <c r="K74" s="11" t="n">
        <v>0.854603656500414</v>
      </c>
      <c r="L74" s="11" t="n">
        <v>0.968931662493611</v>
      </c>
      <c r="M74" s="11" t="n">
        <v>1.08109212690626</v>
      </c>
      <c r="N74" s="11" t="n">
        <v>1.19033515157847</v>
      </c>
      <c r="O74" s="11" t="n">
        <v>1.29608026083899</v>
      </c>
      <c r="P74" s="11" t="n">
        <v>1.39790980609687</v>
      </c>
      <c r="Q74" s="11" t="n">
        <v>1.49556228012863</v>
      </c>
      <c r="R74" s="11" t="n">
        <v>1.58891835233206</v>
      </c>
      <c r="S74" s="11" t="n">
        <v>1.67799248458571</v>
      </c>
      <c r="T74" s="11" t="n">
        <v>1.76290766532064</v>
      </c>
      <c r="U74" s="11" t="n">
        <v>1.84383465379667</v>
      </c>
      <c r="V74" s="11" t="n">
        <v>1.92097510996575</v>
      </c>
      <c r="W74" s="11" t="n">
        <v>1.99455515056217</v>
      </c>
      <c r="X74" s="11" t="n">
        <v>2.06482045774613</v>
      </c>
      <c r="Y74" s="11" t="n">
        <v>2.13203175994186</v>
      </c>
      <c r="Z74" s="11" t="n">
        <v>2.19644581956665</v>
      </c>
      <c r="AA74" s="11" t="n">
        <v>2.25829074235652</v>
      </c>
      <c r="AB74" s="11" t="n">
        <v>2.31776681492874</v>
      </c>
      <c r="AC74" s="11" t="n">
        <v>2.37505113696275</v>
      </c>
      <c r="AD74" s="11" t="n">
        <v>2.43030135536437</v>
      </c>
      <c r="AE74" s="11" t="n">
        <v>2.48365608327861</v>
      </c>
      <c r="AF74" s="11" t="n">
        <v>2.53522440776085</v>
      </c>
      <c r="AG74" s="11" t="n">
        <v>3.05809291931656</v>
      </c>
      <c r="AH74" s="11" t="n">
        <v>3.08721888880574</v>
      </c>
      <c r="AI74" s="11" t="n">
        <v>3.11482657674768</v>
      </c>
      <c r="AJ74" s="11" t="n">
        <v>3.14095038100629</v>
      </c>
      <c r="AK74" s="11" t="n">
        <v>3.16562807260943</v>
      </c>
    </row>
    <row r="75" customFormat="false" ht="15" hidden="false" customHeight="false" outlineLevel="0" collapsed="false">
      <c r="A75" s="10" t="n">
        <v>-50</v>
      </c>
      <c r="B75" s="8" t="n">
        <v>41120</v>
      </c>
      <c r="C75" s="11" t="n">
        <v>0.0955059030534524</v>
      </c>
      <c r="D75" s="11" t="n">
        <v>0.134547557600704</v>
      </c>
      <c r="E75" s="11" t="n">
        <v>0.205580130304609</v>
      </c>
      <c r="F75" s="11" t="n">
        <v>0.296802474663637</v>
      </c>
      <c r="G75" s="11" t="n">
        <v>0.400495783448753</v>
      </c>
      <c r="H75" s="11" t="n">
        <v>0.511505946431984</v>
      </c>
      <c r="I75" s="11" t="n">
        <v>0.626369416935596</v>
      </c>
      <c r="J75" s="11" t="n">
        <v>0.742738877808554</v>
      </c>
      <c r="K75" s="11" t="n">
        <v>0.858962793564076</v>
      </c>
      <c r="L75" s="11" t="n">
        <v>0.973831556982048</v>
      </c>
      <c r="M75" s="11" t="n">
        <v>1.08641768857636</v>
      </c>
      <c r="N75" s="11" t="n">
        <v>1.19599054041609</v>
      </c>
      <c r="O75" s="11" t="n">
        <v>1.30198732500676</v>
      </c>
      <c r="P75" s="11" t="n">
        <v>1.40400601334763</v>
      </c>
      <c r="Q75" s="11" t="n">
        <v>1.50179789028684</v>
      </c>
      <c r="R75" s="11" t="n">
        <v>1.59525522615735</v>
      </c>
      <c r="S75" s="11" t="n">
        <v>1.68440282048604</v>
      </c>
      <c r="T75" s="11" t="n">
        <v>1.76937313431588</v>
      </c>
      <c r="U75" s="11" t="n">
        <v>1.85034496911129</v>
      </c>
      <c r="V75" s="11" t="n">
        <v>1.92752684293004</v>
      </c>
      <c r="W75" s="11" t="n">
        <v>2.00115079365369</v>
      </c>
      <c r="X75" s="11" t="n">
        <v>2.07146767502284</v>
      </c>
      <c r="Y75" s="11" t="n">
        <v>2.13874274522471</v>
      </c>
      <c r="Z75" s="11" t="n">
        <v>2.20323631854667</v>
      </c>
      <c r="AA75" s="11" t="n">
        <v>2.26517884876689</v>
      </c>
      <c r="AB75" s="11" t="n">
        <v>2.32477196864814</v>
      </c>
      <c r="AC75" s="11" t="n">
        <v>2.3821932894395</v>
      </c>
      <c r="AD75" s="11" t="n">
        <v>2.43760026901524</v>
      </c>
      <c r="AE75" s="11" t="n">
        <v>2.49113062614589</v>
      </c>
      <c r="AF75" s="11" t="n">
        <v>2.54289156511617</v>
      </c>
      <c r="AG75" s="11" t="n">
        <v>3.06841948263614</v>
      </c>
      <c r="AH75" s="11" t="n">
        <v>3.09767147907114</v>
      </c>
      <c r="AI75" s="11" t="n">
        <v>3.1253857939613</v>
      </c>
      <c r="AJ75" s="11" t="n">
        <v>3.1515963279812</v>
      </c>
      <c r="AK75" s="11" t="n">
        <v>3.17634076111281</v>
      </c>
    </row>
    <row r="76" customFormat="false" ht="15" hidden="false" customHeight="false" outlineLevel="0" collapsed="false">
      <c r="A76" s="10" t="n">
        <v>-49</v>
      </c>
      <c r="B76" s="8" t="n">
        <v>41121</v>
      </c>
      <c r="C76" s="11" t="n">
        <v>0.0661025460704905</v>
      </c>
      <c r="D76" s="11" t="n">
        <v>0.0993318897186236</v>
      </c>
      <c r="E76" s="11" t="n">
        <v>0.165564465043983</v>
      </c>
      <c r="F76" s="11" t="n">
        <v>0.252704270627976</v>
      </c>
      <c r="G76" s="11" t="n">
        <v>0.35276752446171</v>
      </c>
      <c r="H76" s="11" t="n">
        <v>0.46041985896761</v>
      </c>
      <c r="I76" s="11" t="n">
        <v>0.572102430092111</v>
      </c>
      <c r="J76" s="11" t="n">
        <v>0.685438594434276</v>
      </c>
      <c r="K76" s="11" t="n">
        <v>0.798794991619585</v>
      </c>
      <c r="L76" s="11" t="n">
        <v>0.911000583988566</v>
      </c>
      <c r="M76" s="11" t="n">
        <v>1.02117021579426</v>
      </c>
      <c r="N76" s="11" t="n">
        <v>1.12861157187082</v>
      </c>
      <c r="O76" s="11" t="n">
        <v>1.23278821003754</v>
      </c>
      <c r="P76" s="11" t="n">
        <v>1.33331094186829</v>
      </c>
      <c r="Q76" s="11" t="n">
        <v>1.42993002257378</v>
      </c>
      <c r="R76" s="11" t="n">
        <v>1.52252536616017</v>
      </c>
      <c r="S76" s="11" t="n">
        <v>1.61109839233048</v>
      </c>
      <c r="T76" s="11" t="n">
        <v>1.69575038410424</v>
      </c>
      <c r="U76" s="11" t="n">
        <v>1.77662938588618</v>
      </c>
      <c r="V76" s="11" t="n">
        <v>1.85391466556575</v>
      </c>
      <c r="W76" s="11" t="n">
        <v>1.92781020525624</v>
      </c>
      <c r="X76" s="11" t="n">
        <v>1.99853975845007</v>
      </c>
      <c r="Y76" s="11" t="n">
        <v>2.06634229812468</v>
      </c>
      <c r="Z76" s="11" t="n">
        <v>2.13145372780084</v>
      </c>
      <c r="AA76" s="11" t="n">
        <v>2.19408378756851</v>
      </c>
      <c r="AB76" s="11" t="n">
        <v>2.25441685325594</v>
      </c>
      <c r="AC76" s="11" t="n">
        <v>2.31261616048667</v>
      </c>
      <c r="AD76" s="11" t="n">
        <v>2.36882720720996</v>
      </c>
      <c r="AE76" s="11" t="n">
        <v>2.42317759535415</v>
      </c>
      <c r="AF76" s="11" t="n">
        <v>2.47576519730646</v>
      </c>
      <c r="AG76" s="11" t="n">
        <v>3.01009634908966</v>
      </c>
      <c r="AH76" s="11" t="n">
        <v>3.03980765029246</v>
      </c>
      <c r="AI76" s="11" t="n">
        <v>3.0679512659279</v>
      </c>
      <c r="AJ76" s="11" t="n">
        <v>3.09456218198305</v>
      </c>
      <c r="AK76" s="11" t="n">
        <v>3.11967922070532</v>
      </c>
    </row>
    <row r="77" customFormat="false" ht="15" hidden="false" customHeight="false" outlineLevel="0" collapsed="false">
      <c r="A77" s="10" t="n">
        <v>-48</v>
      </c>
      <c r="B77" s="8" t="n">
        <v>41122</v>
      </c>
      <c r="C77" s="11" t="n">
        <v>0.0704593980842553</v>
      </c>
      <c r="D77" s="11" t="n">
        <v>0.107135520285866</v>
      </c>
      <c r="E77" s="11" t="n">
        <v>0.17692916346328</v>
      </c>
      <c r="F77" s="11" t="n">
        <v>0.267910215447934</v>
      </c>
      <c r="G77" s="11" t="n">
        <v>0.372052959826327</v>
      </c>
      <c r="H77" s="11" t="n">
        <v>0.48390667017528</v>
      </c>
      <c r="I77" s="11" t="n">
        <v>0.59978045324157</v>
      </c>
      <c r="J77" s="11" t="n">
        <v>0.717173109115958</v>
      </c>
      <c r="K77" s="11" t="n">
        <v>0.834345775602512</v>
      </c>
      <c r="L77" s="11" t="n">
        <v>0.950042614341577</v>
      </c>
      <c r="M77" s="11" t="n">
        <v>1.06331707994971</v>
      </c>
      <c r="N77" s="11" t="n">
        <v>1.17343575474669</v>
      </c>
      <c r="O77" s="11" t="n">
        <v>1.2798409129916</v>
      </c>
      <c r="P77" s="11" t="n">
        <v>1.38213913497508</v>
      </c>
      <c r="Q77" s="11" t="n">
        <v>1.48008967233058</v>
      </c>
      <c r="R77" s="11" t="n">
        <v>1.57359218339639</v>
      </c>
      <c r="S77" s="11" t="n">
        <v>1.66267499874947</v>
      </c>
      <c r="T77" s="11" t="n">
        <v>1.7474710710439</v>
      </c>
      <c r="U77" s="11" t="n">
        <v>1.82816176466722</v>
      </c>
      <c r="V77" s="11" t="n">
        <v>1.90496068513815</v>
      </c>
      <c r="W77" s="11" t="n">
        <v>1.97810695800974</v>
      </c>
      <c r="X77" s="11" t="n">
        <v>2.04786012486254</v>
      </c>
      <c r="Y77" s="11" t="n">
        <v>2.11449542161276</v>
      </c>
      <c r="Z77" s="11" t="n">
        <v>2.17828476636837</v>
      </c>
      <c r="AA77" s="11" t="n">
        <v>2.23947303243807</v>
      </c>
      <c r="AB77" s="11" t="n">
        <v>2.29827894752689</v>
      </c>
      <c r="AC77" s="11" t="n">
        <v>2.35489944825244</v>
      </c>
      <c r="AD77" s="11" t="n">
        <v>2.40951318710184</v>
      </c>
      <c r="AE77" s="11" t="n">
        <v>2.46228041874771</v>
      </c>
      <c r="AF77" s="11" t="n">
        <v>2.51333124194539</v>
      </c>
      <c r="AG77" s="11" t="n">
        <v>3.04060373582139</v>
      </c>
      <c r="AH77" s="11" t="n">
        <v>3.07083690119426</v>
      </c>
      <c r="AI77" s="11" t="n">
        <v>3.09959888893225</v>
      </c>
      <c r="AJ77" s="11" t="n">
        <v>3.12690791320644</v>
      </c>
      <c r="AK77" s="11" t="n">
        <v>3.15278697025716</v>
      </c>
    </row>
    <row r="78" customFormat="false" ht="15" hidden="false" customHeight="false" outlineLevel="0" collapsed="false">
      <c r="A78" s="10" t="n">
        <v>-47</v>
      </c>
      <c r="B78" s="8" t="n">
        <v>41123</v>
      </c>
      <c r="C78" s="11" t="n">
        <v>0.03089128637716</v>
      </c>
      <c r="D78" s="11" t="n">
        <v>0.0587386371007327</v>
      </c>
      <c r="E78" s="11" t="n">
        <v>0.12220201706421</v>
      </c>
      <c r="F78" s="11" t="n">
        <v>0.208481881569812</v>
      </c>
      <c r="G78" s="11" t="n">
        <v>0.308977422033544</v>
      </c>
      <c r="H78" s="11" t="n">
        <v>0.417880668105893</v>
      </c>
      <c r="I78" s="11" t="n">
        <v>0.531284888209814</v>
      </c>
      <c r="J78" s="11" t="n">
        <v>0.646562333034731</v>
      </c>
      <c r="K78" s="11" t="n">
        <v>0.761905571748533</v>
      </c>
      <c r="L78" s="11" t="n">
        <v>0.876019706153703</v>
      </c>
      <c r="M78" s="11" t="n">
        <v>0.987935117225351</v>
      </c>
      <c r="N78" s="11" t="n">
        <v>1.09690418245909</v>
      </c>
      <c r="O78" s="11" t="n">
        <v>1.20235938354017</v>
      </c>
      <c r="P78" s="11" t="n">
        <v>1.30390078963124</v>
      </c>
      <c r="Q78" s="11" t="n">
        <v>1.40128262530702</v>
      </c>
      <c r="R78" s="11" t="n">
        <v>1.49440044959507</v>
      </c>
      <c r="S78" s="11" t="n">
        <v>1.58327806882552</v>
      </c>
      <c r="T78" s="11" t="n">
        <v>1.66804393226223</v>
      </c>
      <c r="U78" s="11" t="n">
        <v>1.74887476143825</v>
      </c>
      <c r="V78" s="11" t="n">
        <v>1.82597943092812</v>
      </c>
      <c r="W78" s="11" t="n">
        <v>1.89959226599053</v>
      </c>
      <c r="X78" s="11" t="n">
        <v>1.96996795243145</v>
      </c>
      <c r="Y78" s="11" t="n">
        <v>2.03737677131919</v>
      </c>
      <c r="Z78" s="11" t="n">
        <v>2.10208482990143</v>
      </c>
      <c r="AA78" s="11" t="n">
        <v>2.16432962060645</v>
      </c>
      <c r="AB78" s="11" t="n">
        <v>2.22432111246914</v>
      </c>
      <c r="AC78" s="11" t="n">
        <v>2.2822463354863</v>
      </c>
      <c r="AD78" s="11" t="n">
        <v>2.33827307139994</v>
      </c>
      <c r="AE78" s="11" t="n">
        <v>2.39254958122129</v>
      </c>
      <c r="AF78" s="11" t="n">
        <v>2.4451917230139</v>
      </c>
      <c r="AG78" s="11" t="n">
        <v>2.99369213970774</v>
      </c>
      <c r="AH78" s="11" t="n">
        <v>3.0252032514143</v>
      </c>
      <c r="AI78" s="11" t="n">
        <v>3.05516006760441</v>
      </c>
      <c r="AJ78" s="11" t="n">
        <v>3.08357884630327</v>
      </c>
      <c r="AK78" s="11" t="n">
        <v>3.11048158359042</v>
      </c>
    </row>
    <row r="79" customFormat="false" ht="15" hidden="false" customHeight="false" outlineLevel="0" collapsed="false">
      <c r="A79" s="10" t="n">
        <v>-46</v>
      </c>
      <c r="B79" s="8" t="n">
        <v>41124</v>
      </c>
      <c r="C79" s="11" t="n">
        <v>0.0876397815285779</v>
      </c>
      <c r="D79" s="11" t="n">
        <v>0.12794473115215</v>
      </c>
      <c r="E79" s="11" t="n">
        <v>0.200810511583608</v>
      </c>
      <c r="F79" s="11" t="n">
        <v>0.294407398300046</v>
      </c>
      <c r="G79" s="11" t="n">
        <v>0.400882031952315</v>
      </c>
      <c r="H79" s="11" t="n">
        <v>0.514923946933623</v>
      </c>
      <c r="I79" s="11" t="n">
        <v>0.632925668734425</v>
      </c>
      <c r="J79" s="11" t="n">
        <v>0.752401574156706</v>
      </c>
      <c r="K79" s="11" t="n">
        <v>0.87159065609886</v>
      </c>
      <c r="L79" s="11" t="n">
        <v>0.989182173467292</v>
      </c>
      <c r="M79" s="11" t="n">
        <v>1.10416843086251</v>
      </c>
      <c r="N79" s="11" t="n">
        <v>1.21575958145159</v>
      </c>
      <c r="O79" s="11" t="n">
        <v>1.323354331949</v>
      </c>
      <c r="P79" s="11" t="n">
        <v>1.42653132352975</v>
      </c>
      <c r="Q79" s="11" t="n">
        <v>1.5250390628068</v>
      </c>
      <c r="R79" s="11" t="n">
        <v>1.61878236312029</v>
      </c>
      <c r="S79" s="11" t="n">
        <v>1.70780675809441</v>
      </c>
      <c r="T79" s="11" t="n">
        <v>1.79227205820418</v>
      </c>
      <c r="U79" s="11" t="n">
        <v>1.872391164782</v>
      </c>
      <c r="V79" s="11" t="n">
        <v>1.94841271101534</v>
      </c>
      <c r="W79" s="11" t="n">
        <v>2.02061361489002</v>
      </c>
      <c r="X79" s="11" t="n">
        <v>2.08929342223052</v>
      </c>
      <c r="Y79" s="11" t="n">
        <v>2.15476895873852</v>
      </c>
      <c r="Z79" s="11" t="n">
        <v>2.21735241757883</v>
      </c>
      <c r="AA79" s="11" t="n">
        <v>2.27732525368172</v>
      </c>
      <c r="AB79" s="11" t="n">
        <v>2.33493954934775</v>
      </c>
      <c r="AC79" s="11" t="n">
        <v>2.39042290747936</v>
      </c>
      <c r="AD79" s="11" t="n">
        <v>2.44398238782497</v>
      </c>
      <c r="AE79" s="11" t="n">
        <v>2.49580403882544</v>
      </c>
      <c r="AF79" s="11" t="n">
        <v>2.54603903526604</v>
      </c>
      <c r="AG79" s="11" t="n">
        <v>3.07648679533501</v>
      </c>
      <c r="AH79" s="11" t="n">
        <v>3.10774733270449</v>
      </c>
      <c r="AI79" s="11" t="n">
        <v>3.13757561809751</v>
      </c>
      <c r="AJ79" s="11" t="n">
        <v>3.16597466795647</v>
      </c>
      <c r="AK79" s="11" t="n">
        <v>3.19295369298296</v>
      </c>
    </row>
    <row r="80" customFormat="false" ht="15" hidden="false" customHeight="false" outlineLevel="0" collapsed="false">
      <c r="A80" s="10" t="n">
        <v>-45</v>
      </c>
      <c r="B80" s="8" t="n">
        <v>41127</v>
      </c>
      <c r="C80" s="11" t="n">
        <v>0.0513089011848091</v>
      </c>
      <c r="D80" s="11" t="n">
        <v>0.0856664194626645</v>
      </c>
      <c r="E80" s="11" t="n">
        <v>0.154628075277964</v>
      </c>
      <c r="F80" s="11" t="n">
        <v>0.245583758831871</v>
      </c>
      <c r="G80" s="11" t="n">
        <v>0.350178279484791</v>
      </c>
      <c r="H80" s="11" t="n">
        <v>0.462793771202092</v>
      </c>
      <c r="I80" s="11" t="n">
        <v>0.579637626278156</v>
      </c>
      <c r="J80" s="11" t="n">
        <v>0.698111156136407</v>
      </c>
      <c r="K80" s="11" t="n">
        <v>0.816389166303431</v>
      </c>
      <c r="L80" s="11" t="n">
        <v>0.933124600353924</v>
      </c>
      <c r="M80" s="11" t="n">
        <v>1.04729217724225</v>
      </c>
      <c r="N80" s="11" t="n">
        <v>1.15809661079361</v>
      </c>
      <c r="O80" s="11" t="n">
        <v>1.26493613007336</v>
      </c>
      <c r="P80" s="11" t="n">
        <v>1.36738895077399</v>
      </c>
      <c r="Q80" s="11" t="n">
        <v>1.46520085015054</v>
      </c>
      <c r="R80" s="11" t="n">
        <v>1.55826866914695</v>
      </c>
      <c r="S80" s="11" t="n">
        <v>1.64662206239524</v>
      </c>
      <c r="T80" s="11" t="n">
        <v>1.73039869359498</v>
      </c>
      <c r="U80" s="11" t="n">
        <v>1.80979198150912</v>
      </c>
      <c r="V80" s="11" t="n">
        <v>1.88503443522473</v>
      </c>
      <c r="W80" s="11" t="n">
        <v>1.95638950828519</v>
      </c>
      <c r="X80" s="11" t="n">
        <v>2.02414540979894</v>
      </c>
      <c r="Y80" s="11" t="n">
        <v>2.08860943627379</v>
      </c>
      <c r="Z80" s="11" t="n">
        <v>2.15008770792363</v>
      </c>
      <c r="AA80" s="11" t="n">
        <v>2.20886158719581</v>
      </c>
      <c r="AB80" s="11" t="n">
        <v>2.26518852230896</v>
      </c>
      <c r="AC80" s="11" t="n">
        <v>2.31930603122451</v>
      </c>
      <c r="AD80" s="11" t="n">
        <v>2.3714349034467</v>
      </c>
      <c r="AE80" s="11" t="n">
        <v>2.42177812456691</v>
      </c>
      <c r="AF80" s="11" t="n">
        <v>2.47050670629741</v>
      </c>
      <c r="AG80" s="11" t="n">
        <v>2.98648890421553</v>
      </c>
      <c r="AH80" s="11" t="n">
        <v>3.01727598485378</v>
      </c>
      <c r="AI80" s="11" t="n">
        <v>3.04671193986355</v>
      </c>
      <c r="AJ80" s="11" t="n">
        <v>3.07479277594739</v>
      </c>
      <c r="AK80" s="11" t="n">
        <v>3.10152069125734</v>
      </c>
    </row>
    <row r="81" customFormat="false" ht="15" hidden="false" customHeight="false" outlineLevel="0" collapsed="false">
      <c r="A81" s="10" t="n">
        <v>-44</v>
      </c>
      <c r="B81" s="8" t="n">
        <v>41128</v>
      </c>
      <c r="C81" s="11" t="n">
        <v>0.0980257298189479</v>
      </c>
      <c r="D81" s="11" t="n">
        <v>0.143087854789442</v>
      </c>
      <c r="E81" s="11" t="n">
        <v>0.219595101280955</v>
      </c>
      <c r="F81" s="11" t="n">
        <v>0.316153342513933</v>
      </c>
      <c r="G81" s="11" t="n">
        <v>0.425181935295794</v>
      </c>
      <c r="H81" s="11" t="n">
        <v>0.541540859651311</v>
      </c>
      <c r="I81" s="11" t="n">
        <v>0.661727922318554</v>
      </c>
      <c r="J81" s="11" t="n">
        <v>0.783304491677397</v>
      </c>
      <c r="K81" s="11" t="n">
        <v>0.904519625084779</v>
      </c>
      <c r="L81" s="11" t="n">
        <v>1.02404166885815</v>
      </c>
      <c r="M81" s="11" t="n">
        <v>1.14082502208916</v>
      </c>
      <c r="N81" s="11" t="n">
        <v>1.25403265461496</v>
      </c>
      <c r="O81" s="11" t="n">
        <v>1.36301110120741</v>
      </c>
      <c r="P81" s="11" t="n">
        <v>1.46728760347026</v>
      </c>
      <c r="Q81" s="11" t="n">
        <v>1.56656946022337</v>
      </c>
      <c r="R81" s="11" t="n">
        <v>1.66073407538962</v>
      </c>
      <c r="S81" s="11" t="n">
        <v>1.74981423549348</v>
      </c>
      <c r="T81" s="11" t="n">
        <v>1.83396939998688</v>
      </c>
      <c r="U81" s="11" t="n">
        <v>1.9134226708617</v>
      </c>
      <c r="V81" s="11" t="n">
        <v>1.98844147033642</v>
      </c>
      <c r="W81" s="11" t="n">
        <v>2.05932830525908</v>
      </c>
      <c r="X81" s="11" t="n">
        <v>2.12641375018145</v>
      </c>
      <c r="Y81" s="11" t="n">
        <v>2.19004995191194</v>
      </c>
      <c r="Z81" s="11" t="n">
        <v>2.25058676606881</v>
      </c>
      <c r="AA81" s="11" t="n">
        <v>2.30834424592438</v>
      </c>
      <c r="AB81" s="11" t="n">
        <v>2.36361381951177</v>
      </c>
      <c r="AC81" s="11" t="n">
        <v>2.41666305869631</v>
      </c>
      <c r="AD81" s="11" t="n">
        <v>2.46773951174538</v>
      </c>
      <c r="AE81" s="11" t="n">
        <v>2.51706966456388</v>
      </c>
      <c r="AF81" s="11" t="n">
        <v>2.56484333628757</v>
      </c>
      <c r="AG81" s="11" t="n">
        <v>3.07602913500824</v>
      </c>
      <c r="AH81" s="11" t="n">
        <v>3.10693572858111</v>
      </c>
      <c r="AI81" s="11" t="n">
        <v>3.13652785915268</v>
      </c>
      <c r="AJ81" s="11" t="n">
        <v>3.16479363740715</v>
      </c>
      <c r="AK81" s="11" t="n">
        <v>3.19172760299043</v>
      </c>
    </row>
    <row r="82" customFormat="false" ht="15" hidden="false" customHeight="false" outlineLevel="0" collapsed="false">
      <c r="A82" s="10" t="n">
        <v>-43</v>
      </c>
      <c r="B82" s="8" t="n">
        <v>41129</v>
      </c>
      <c r="C82" s="11" t="n">
        <v>0.105641924807837</v>
      </c>
      <c r="D82" s="11" t="n">
        <v>0.142585836406676</v>
      </c>
      <c r="E82" s="11" t="n">
        <v>0.212177005118475</v>
      </c>
      <c r="F82" s="11" t="n">
        <v>0.303004175332035</v>
      </c>
      <c r="G82" s="11" t="n">
        <v>0.407307393102972</v>
      </c>
      <c r="H82" s="11" t="n">
        <v>0.51977056429577</v>
      </c>
      <c r="I82" s="11" t="n">
        <v>0.63675401034081</v>
      </c>
      <c r="J82" s="11" t="n">
        <v>0.755720017262258</v>
      </c>
      <c r="K82" s="11" t="n">
        <v>0.874844979409157</v>
      </c>
      <c r="L82" s="11" t="n">
        <v>0.992733234302771</v>
      </c>
      <c r="M82" s="11" t="n">
        <v>1.10827508305701</v>
      </c>
      <c r="N82" s="11" t="n">
        <v>1.22056757835743</v>
      </c>
      <c r="O82" s="11" t="n">
        <v>1.32888971430201</v>
      </c>
      <c r="P82" s="11" t="n">
        <v>1.43270390763529</v>
      </c>
      <c r="Q82" s="11" t="n">
        <v>1.53165939491031</v>
      </c>
      <c r="R82" s="11" t="n">
        <v>1.62558260274374</v>
      </c>
      <c r="S82" s="11" t="n">
        <v>1.71446156117094</v>
      </c>
      <c r="T82" s="11" t="n">
        <v>1.79841732872499</v>
      </c>
      <c r="U82" s="11" t="n">
        <v>1.87764414758312</v>
      </c>
      <c r="V82" s="11" t="n">
        <v>1.95238882000036</v>
      </c>
      <c r="W82" s="11" t="n">
        <v>2.02293975659565</v>
      </c>
      <c r="X82" s="11" t="n">
        <v>2.08961865467899</v>
      </c>
      <c r="Y82" s="11" t="n">
        <v>2.15277300431777</v>
      </c>
      <c r="Z82" s="11" t="n">
        <v>2.21275189538172</v>
      </c>
      <c r="AA82" s="11" t="n">
        <v>2.26987877147048</v>
      </c>
      <c r="AB82" s="11" t="n">
        <v>2.32445208216985</v>
      </c>
      <c r="AC82" s="11" t="n">
        <v>2.3767494471856</v>
      </c>
      <c r="AD82" s="11" t="n">
        <v>2.42703099895025</v>
      </c>
      <c r="AE82" s="11" t="n">
        <v>2.47553767734594</v>
      </c>
      <c r="AF82" s="11" t="n">
        <v>2.52247439264578</v>
      </c>
      <c r="AG82" s="11" t="n">
        <v>3.02610197111482</v>
      </c>
      <c r="AH82" s="11" t="n">
        <v>3.05677552116065</v>
      </c>
      <c r="AI82" s="11" t="n">
        <v>3.08616848452055</v>
      </c>
      <c r="AJ82" s="11" t="n">
        <v>3.11426302566971</v>
      </c>
      <c r="AK82" s="11" t="n">
        <v>3.14104798866252</v>
      </c>
    </row>
    <row r="83" customFormat="false" ht="15" hidden="false" customHeight="false" outlineLevel="0" collapsed="false">
      <c r="A83" s="10" t="n">
        <v>-42</v>
      </c>
      <c r="B83" s="8" t="n">
        <v>41130</v>
      </c>
      <c r="C83" s="11" t="n">
        <v>0.134955400808769</v>
      </c>
      <c r="D83" s="11" t="n">
        <v>0.174765150045778</v>
      </c>
      <c r="E83" s="11" t="n">
        <v>0.247287831332768</v>
      </c>
      <c r="F83" s="11" t="n">
        <v>0.340908206095571</v>
      </c>
      <c r="G83" s="11" t="n">
        <v>0.447806999935937</v>
      </c>
      <c r="H83" s="11" t="n">
        <v>0.562661310749577</v>
      </c>
      <c r="I83" s="11" t="n">
        <v>0.681828958882595</v>
      </c>
      <c r="J83" s="11" t="n">
        <v>0.802757056798191</v>
      </c>
      <c r="K83" s="11" t="n">
        <v>0.923593278942087</v>
      </c>
      <c r="L83" s="11" t="n">
        <v>1.04291316878118</v>
      </c>
      <c r="M83" s="11" t="n">
        <v>1.15958683183934</v>
      </c>
      <c r="N83" s="11" t="n">
        <v>1.2727027493695</v>
      </c>
      <c r="O83" s="11" t="n">
        <v>1.38154501953894</v>
      </c>
      <c r="P83" s="11" t="n">
        <v>1.48559255085918</v>
      </c>
      <c r="Q83" s="11" t="n">
        <v>1.58452135914395</v>
      </c>
      <c r="R83" s="11" t="n">
        <v>1.6781908713593</v>
      </c>
      <c r="S83" s="11" t="n">
        <v>1.7666288835455</v>
      </c>
      <c r="T83" s="11" t="n">
        <v>1.84999900616729</v>
      </c>
      <c r="U83" s="11" t="n">
        <v>1.92853344822064</v>
      </c>
      <c r="V83" s="11" t="n">
        <v>2.00251250426559</v>
      </c>
      <c r="W83" s="11" t="n">
        <v>2.07225453481036</v>
      </c>
      <c r="X83" s="11" t="n">
        <v>2.13810835312173</v>
      </c>
      <c r="Y83" s="11" t="n">
        <v>2.20044610478446</v>
      </c>
      <c r="Z83" s="11" t="n">
        <v>2.25963688797659</v>
      </c>
      <c r="AA83" s="11" t="n">
        <v>2.31601703254976</v>
      </c>
      <c r="AB83" s="11" t="n">
        <v>2.36989157976404</v>
      </c>
      <c r="AC83" s="11" t="n">
        <v>2.42153949553904</v>
      </c>
      <c r="AD83" s="11" t="n">
        <v>2.47121785707657</v>
      </c>
      <c r="AE83" s="11" t="n">
        <v>2.51916055550671</v>
      </c>
      <c r="AF83" s="11" t="n">
        <v>2.56556110378688</v>
      </c>
      <c r="AG83" s="11" t="n">
        <v>3.05916713863233</v>
      </c>
      <c r="AH83" s="11" t="n">
        <v>3.08868554840222</v>
      </c>
      <c r="AI83" s="11" t="n">
        <v>3.11689274008825</v>
      </c>
      <c r="AJ83" s="11" t="n">
        <v>3.14378134123469</v>
      </c>
      <c r="AK83" s="11" t="n">
        <v>3.16935017236868</v>
      </c>
    </row>
    <row r="84" customFormat="false" ht="15" hidden="false" customHeight="false" outlineLevel="0" collapsed="false">
      <c r="A84" s="10" t="n">
        <v>-41</v>
      </c>
      <c r="B84" s="8" t="n">
        <v>41131</v>
      </c>
      <c r="C84" s="11" t="n">
        <v>0.100154458822539</v>
      </c>
      <c r="D84" s="11" t="n">
        <v>0.130315409117903</v>
      </c>
      <c r="E84" s="11" t="n">
        <v>0.196231702585478</v>
      </c>
      <c r="F84" s="11" t="n">
        <v>0.285135464197671</v>
      </c>
      <c r="G84" s="11" t="n">
        <v>0.388442257287816</v>
      </c>
      <c r="H84" s="11" t="n">
        <v>0.500364223979769</v>
      </c>
      <c r="I84" s="11" t="n">
        <v>0.616980322632917</v>
      </c>
      <c r="J84" s="11" t="n">
        <v>0.735597275414342</v>
      </c>
      <c r="K84" s="11" t="n">
        <v>0.854278086931562</v>
      </c>
      <c r="L84" s="11" t="n">
        <v>0.971569451605968</v>
      </c>
      <c r="M84" s="11" t="n">
        <v>1.08633207479204</v>
      </c>
      <c r="N84" s="11" t="n">
        <v>1.19765693892818</v>
      </c>
      <c r="O84" s="11" t="n">
        <v>1.3048379336518</v>
      </c>
      <c r="P84" s="11" t="n">
        <v>1.40736623826983</v>
      </c>
      <c r="Q84" s="11" t="n">
        <v>1.50493278118315</v>
      </c>
      <c r="R84" s="11" t="n">
        <v>1.59740931916022</v>
      </c>
      <c r="S84" s="11" t="n">
        <v>1.68483948963494</v>
      </c>
      <c r="T84" s="11" t="n">
        <v>1.76739998827719</v>
      </c>
      <c r="U84" s="11" t="n">
        <v>1.845332694171</v>
      </c>
      <c r="V84" s="11" t="n">
        <v>1.91892516219892</v>
      </c>
      <c r="W84" s="11" t="n">
        <v>1.9885011060937</v>
      </c>
      <c r="X84" s="11" t="n">
        <v>2.05441316666826</v>
      </c>
      <c r="Y84" s="11" t="n">
        <v>2.11703587072244</v>
      </c>
      <c r="Z84" s="11" t="n">
        <v>2.17673713966248</v>
      </c>
      <c r="AA84" s="11" t="n">
        <v>2.23384712119106</v>
      </c>
      <c r="AB84" s="11" t="n">
        <v>2.28866043787244</v>
      </c>
      <c r="AC84" s="11" t="n">
        <v>2.34144210692212</v>
      </c>
      <c r="AD84" s="11" t="n">
        <v>2.39243228999896</v>
      </c>
      <c r="AE84" s="11" t="n">
        <v>2.44184478659169</v>
      </c>
      <c r="AF84" s="11" t="n">
        <v>2.48984831209624</v>
      </c>
      <c r="AG84" s="11" t="n">
        <v>3.00482812914138</v>
      </c>
      <c r="AH84" s="11" t="n">
        <v>3.03544589161799</v>
      </c>
      <c r="AI84" s="11" t="n">
        <v>3.06464035587511</v>
      </c>
      <c r="AJ84" s="11" t="n">
        <v>3.09240498526264</v>
      </c>
      <c r="AK84" s="11" t="n">
        <v>3.11874054623911</v>
      </c>
    </row>
    <row r="85" customFormat="false" ht="15" hidden="false" customHeight="false" outlineLevel="0" collapsed="false">
      <c r="A85" s="10" t="n">
        <v>-40</v>
      </c>
      <c r="B85" s="8" t="n">
        <v>41134</v>
      </c>
      <c r="C85" s="11" t="n">
        <v>0.11074992463579</v>
      </c>
      <c r="D85" s="11" t="n">
        <v>0.141504418026673</v>
      </c>
      <c r="E85" s="11" t="n">
        <v>0.208100730500391</v>
      </c>
      <c r="F85" s="11" t="n">
        <v>0.297878176304999</v>
      </c>
      <c r="G85" s="11" t="n">
        <v>0.402249144924428</v>
      </c>
      <c r="H85" s="11" t="n">
        <v>0.515382490238803</v>
      </c>
      <c r="I85" s="11" t="n">
        <v>0.633296785320558</v>
      </c>
      <c r="J85" s="11" t="n">
        <v>0.753240689214751</v>
      </c>
      <c r="K85" s="11" t="n">
        <v>0.873214300473483</v>
      </c>
      <c r="L85" s="11" t="n">
        <v>0.991716095601768</v>
      </c>
      <c r="M85" s="11" t="n">
        <v>1.1075707162611</v>
      </c>
      <c r="N85" s="11" t="n">
        <v>1.21984688738333</v>
      </c>
      <c r="O85" s="11" t="n">
        <v>1.32783182882543</v>
      </c>
      <c r="P85" s="11" t="n">
        <v>1.43102225482815</v>
      </c>
      <c r="Q85" s="11" t="n">
        <v>1.52912496133643</v>
      </c>
      <c r="R85" s="11" t="n">
        <v>1.62203355141259</v>
      </c>
      <c r="S85" s="11" t="n">
        <v>1.70981998798219</v>
      </c>
      <c r="T85" s="11" t="n">
        <v>1.79269088750514</v>
      </c>
      <c r="U85" s="11" t="n">
        <v>1.87091428714943</v>
      </c>
      <c r="V85" s="11" t="n">
        <v>1.94480040628192</v>
      </c>
      <c r="W85" s="11" t="n">
        <v>2.01469285740198</v>
      </c>
      <c r="X85" s="11" t="n">
        <v>2.08096196751504</v>
      </c>
      <c r="Y85" s="11" t="n">
        <v>2.14399800932861</v>
      </c>
      <c r="Z85" s="11" t="n">
        <v>2.20418101220857</v>
      </c>
      <c r="AA85" s="11" t="n">
        <v>2.26184793769031</v>
      </c>
      <c r="AB85" s="11" t="n">
        <v>2.31729560406581</v>
      </c>
      <c r="AC85" s="11" t="n">
        <v>2.37078737594023</v>
      </c>
      <c r="AD85" s="11" t="n">
        <v>2.42255853244736</v>
      </c>
      <c r="AE85" s="11" t="n">
        <v>2.47281505137798</v>
      </c>
      <c r="AF85" s="11" t="n">
        <v>2.52171474809643</v>
      </c>
      <c r="AG85" s="11" t="n">
        <v>3.04769679174096</v>
      </c>
      <c r="AH85" s="11" t="n">
        <v>3.07885016143267</v>
      </c>
      <c r="AI85" s="11" t="n">
        <v>3.10852241816472</v>
      </c>
      <c r="AJ85" s="11" t="n">
        <v>3.13670750897731</v>
      </c>
      <c r="AK85" s="11" t="n">
        <v>3.163407134096</v>
      </c>
    </row>
    <row r="86" customFormat="false" ht="15" hidden="false" customHeight="false" outlineLevel="0" collapsed="false">
      <c r="A86" s="10" t="n">
        <v>-39</v>
      </c>
      <c r="B86" s="8" t="n">
        <v>41135</v>
      </c>
      <c r="C86" s="11" t="n">
        <v>0.130558773960714</v>
      </c>
      <c r="D86" s="11" t="n">
        <v>0.166360653860971</v>
      </c>
      <c r="E86" s="11" t="n">
        <v>0.236696940817113</v>
      </c>
      <c r="F86" s="11" t="n">
        <v>0.329281453322888</v>
      </c>
      <c r="G86" s="11" t="n">
        <v>0.435805741133142</v>
      </c>
      <c r="H86" s="11" t="n">
        <v>0.550627396498185</v>
      </c>
      <c r="I86" s="11" t="n">
        <v>0.669885154749981</v>
      </c>
      <c r="J86" s="11" t="n">
        <v>0.79090303349034</v>
      </c>
      <c r="K86" s="11" t="n">
        <v>0.911727718258195</v>
      </c>
      <c r="L86" s="11" t="n">
        <v>1.03089152904278</v>
      </c>
      <c r="M86" s="11" t="n">
        <v>1.14724312137894</v>
      </c>
      <c r="N86" s="11" t="n">
        <v>1.25986806126122</v>
      </c>
      <c r="O86" s="11" t="n">
        <v>1.36806611489679</v>
      </c>
      <c r="P86" s="11" t="n">
        <v>1.47134546297744</v>
      </c>
      <c r="Q86" s="11" t="n">
        <v>1.56942469136607</v>
      </c>
      <c r="R86" s="11" t="n">
        <v>1.66221077414084</v>
      </c>
      <c r="S86" s="11" t="n">
        <v>1.74979321011687</v>
      </c>
      <c r="T86" s="11" t="n">
        <v>1.83239710547642</v>
      </c>
      <c r="U86" s="11" t="n">
        <v>1.91030618999495</v>
      </c>
      <c r="V86" s="11" t="n">
        <v>1.98384384040989</v>
      </c>
      <c r="W86" s="11" t="n">
        <v>2.05336481962436</v>
      </c>
      <c r="X86" s="11" t="n">
        <v>2.11924899947407</v>
      </c>
      <c r="Y86" s="11" t="n">
        <v>2.18189481594216</v>
      </c>
      <c r="Z86" s="11" t="n">
        <v>2.24168844887075</v>
      </c>
      <c r="AA86" s="11" t="n">
        <v>2.29897062234555</v>
      </c>
      <c r="AB86" s="11" t="n">
        <v>2.35403991337996</v>
      </c>
      <c r="AC86" s="11" t="n">
        <v>2.40715977556718</v>
      </c>
      <c r="AD86" s="11" t="n">
        <v>2.45856417595223</v>
      </c>
      <c r="AE86" s="11" t="n">
        <v>2.50845672533191</v>
      </c>
      <c r="AF86" s="11" t="n">
        <v>2.55699280984508</v>
      </c>
      <c r="AG86" s="11" t="n">
        <v>3.0779329567099</v>
      </c>
      <c r="AH86" s="11" t="n">
        <v>3.10870545542064</v>
      </c>
      <c r="AI86" s="11" t="n">
        <v>3.13800796287567</v>
      </c>
      <c r="AJ86" s="11" t="n">
        <v>3.1658365108579</v>
      </c>
      <c r="AK86" s="11" t="n">
        <v>3.19219458591549</v>
      </c>
    </row>
    <row r="87" customFormat="false" ht="15" hidden="false" customHeight="false" outlineLevel="0" collapsed="false">
      <c r="A87" s="10" t="n">
        <v>-38</v>
      </c>
      <c r="B87" s="8" t="n">
        <v>41136</v>
      </c>
      <c r="C87" s="11" t="n">
        <v>0.168289574276844</v>
      </c>
      <c r="D87" s="11" t="n">
        <v>0.210875770789901</v>
      </c>
      <c r="E87" s="11" t="n">
        <v>0.286089469586232</v>
      </c>
      <c r="F87" s="11" t="n">
        <v>0.382580483450952</v>
      </c>
      <c r="G87" s="11" t="n">
        <v>0.492525378264554</v>
      </c>
      <c r="H87" s="11" t="n">
        <v>0.610519902508534</v>
      </c>
      <c r="I87" s="11" t="n">
        <v>0.732810722012349</v>
      </c>
      <c r="J87" s="11" t="n">
        <v>0.856757111895714</v>
      </c>
      <c r="K87" s="11" t="n">
        <v>0.980402016399085</v>
      </c>
      <c r="L87" s="11" t="n">
        <v>1.10225224057171</v>
      </c>
      <c r="M87" s="11" t="n">
        <v>1.2211206181759</v>
      </c>
      <c r="N87" s="11" t="n">
        <v>1.33605248542795</v>
      </c>
      <c r="O87" s="11" t="n">
        <v>1.44631038620882</v>
      </c>
      <c r="P87" s="11" t="n">
        <v>1.55137387573155</v>
      </c>
      <c r="Q87" s="11" t="n">
        <v>1.65094347815581</v>
      </c>
      <c r="R87" s="11" t="n">
        <v>1.74492109668923</v>
      </c>
      <c r="S87" s="11" t="n">
        <v>1.83340488506643</v>
      </c>
      <c r="T87" s="11" t="n">
        <v>1.91663698047096</v>
      </c>
      <c r="U87" s="11" t="n">
        <v>1.99492187300004</v>
      </c>
      <c r="V87" s="11" t="n">
        <v>2.0686063960213</v>
      </c>
      <c r="W87" s="11" t="n">
        <v>2.13807090375977</v>
      </c>
      <c r="X87" s="11" t="n">
        <v>2.2037225671264</v>
      </c>
      <c r="Y87" s="11" t="n">
        <v>2.26598837035853</v>
      </c>
      <c r="Z87" s="11" t="n">
        <v>2.32528249706524</v>
      </c>
      <c r="AA87" s="11" t="n">
        <v>2.38197165329783</v>
      </c>
      <c r="AB87" s="11" t="n">
        <v>2.43637859327954</v>
      </c>
      <c r="AC87" s="11" t="n">
        <v>2.48878944394661</v>
      </c>
      <c r="AD87" s="11" t="n">
        <v>2.53945958202195</v>
      </c>
      <c r="AE87" s="11" t="n">
        <v>2.588612768634</v>
      </c>
      <c r="AF87" s="11" t="n">
        <v>2.63642298768981</v>
      </c>
      <c r="AG87" s="11" t="n">
        <v>3.15400053243839</v>
      </c>
      <c r="AH87" s="11" t="n">
        <v>3.1850652064133</v>
      </c>
      <c r="AI87" s="11" t="n">
        <v>3.21471598854961</v>
      </c>
      <c r="AJ87" s="11" t="n">
        <v>3.24294019282446</v>
      </c>
      <c r="AK87" s="11" t="n">
        <v>3.26973282523873</v>
      </c>
    </row>
    <row r="88" customFormat="false" ht="15" hidden="false" customHeight="false" outlineLevel="0" collapsed="false">
      <c r="A88" s="10" t="n">
        <v>-37</v>
      </c>
      <c r="B88" s="8" t="n">
        <v>41137</v>
      </c>
      <c r="C88" s="11" t="n">
        <v>0.175070826503773</v>
      </c>
      <c r="D88" s="11" t="n">
        <v>0.219798528644376</v>
      </c>
      <c r="E88" s="11" t="n">
        <v>0.296985821982524</v>
      </c>
      <c r="F88" s="11" t="n">
        <v>0.395013109529996</v>
      </c>
      <c r="G88" s="11" t="n">
        <v>0.50603541940826</v>
      </c>
      <c r="H88" s="11" t="n">
        <v>0.624704961491585</v>
      </c>
      <c r="I88" s="11" t="n">
        <v>0.747340066959641</v>
      </c>
      <c r="J88" s="11" t="n">
        <v>0.871365714333196</v>
      </c>
      <c r="K88" s="11" t="n">
        <v>0.994885184078583</v>
      </c>
      <c r="L88" s="11" t="n">
        <v>1.11645770861279</v>
      </c>
      <c r="M88" s="11" t="n">
        <v>1.23494204006186</v>
      </c>
      <c r="N88" s="11" t="n">
        <v>1.34942223959158</v>
      </c>
      <c r="O88" s="11" t="n">
        <v>1.4591913952937</v>
      </c>
      <c r="P88" s="11" t="n">
        <v>1.56375119766755</v>
      </c>
      <c r="Q88" s="11" t="n">
        <v>1.66281550182934</v>
      </c>
      <c r="R88" s="11" t="n">
        <v>1.75629393283601</v>
      </c>
      <c r="S88" s="11" t="n">
        <v>1.84428701901479</v>
      </c>
      <c r="T88" s="11" t="n">
        <v>1.92703598579456</v>
      </c>
      <c r="U88" s="11" t="n">
        <v>2.00484431419591</v>
      </c>
      <c r="V88" s="11" t="n">
        <v>2.07805815189698</v>
      </c>
      <c r="W88" s="11" t="n">
        <v>2.14705742363003</v>
      </c>
      <c r="X88" s="11" t="n">
        <v>2.21224907577064</v>
      </c>
      <c r="Y88" s="11" t="n">
        <v>2.27406004118213</v>
      </c>
      <c r="Z88" s="11" t="n">
        <v>2.33290521350755</v>
      </c>
      <c r="AA88" s="11" t="n">
        <v>2.3891538562487</v>
      </c>
      <c r="AB88" s="11" t="n">
        <v>2.443133030848</v>
      </c>
      <c r="AC88" s="11" t="n">
        <v>2.49513462974186</v>
      </c>
      <c r="AD88" s="11" t="n">
        <v>2.54542101653047</v>
      </c>
      <c r="AE88" s="11" t="n">
        <v>2.59422391720374</v>
      </c>
      <c r="AF88" s="11" t="n">
        <v>2.64172620296355</v>
      </c>
      <c r="AG88" s="11" t="n">
        <v>3.16140281703087</v>
      </c>
      <c r="AH88" s="11" t="n">
        <v>3.19303490348525</v>
      </c>
      <c r="AI88" s="11" t="n">
        <v>3.22327804507938</v>
      </c>
      <c r="AJ88" s="11" t="n">
        <v>3.25211168967074</v>
      </c>
      <c r="AK88" s="11" t="n">
        <v>3.27952346922479</v>
      </c>
    </row>
    <row r="89" customFormat="false" ht="15" hidden="false" customHeight="false" outlineLevel="0" collapsed="false">
      <c r="A89" s="10" t="n">
        <v>-36</v>
      </c>
      <c r="B89" s="8" t="n">
        <v>41138</v>
      </c>
      <c r="C89" s="11" t="n">
        <v>0.149067308789106</v>
      </c>
      <c r="D89" s="11" t="n">
        <v>0.191340821020489</v>
      </c>
      <c r="E89" s="11" t="n">
        <v>0.268158437697114</v>
      </c>
      <c r="F89" s="11" t="n">
        <v>0.36683101509925</v>
      </c>
      <c r="G89" s="11" t="n">
        <v>0.47893969076185</v>
      </c>
      <c r="H89" s="11" t="n">
        <v>0.598841282030373</v>
      </c>
      <c r="I89" s="11" t="n">
        <v>0.722704981623983</v>
      </c>
      <c r="J89" s="11" t="n">
        <v>0.847874483212143</v>
      </c>
      <c r="K89" s="11" t="n">
        <v>0.972414634048593</v>
      </c>
      <c r="L89" s="11" t="n">
        <v>1.09486132888076</v>
      </c>
      <c r="M89" s="11" t="n">
        <v>1.2140651150867</v>
      </c>
      <c r="N89" s="11" t="n">
        <v>1.3291087007626</v>
      </c>
      <c r="O89" s="11" t="n">
        <v>1.43928887689923</v>
      </c>
      <c r="P89" s="11" t="n">
        <v>1.54411633827232</v>
      </c>
      <c r="Q89" s="11" t="n">
        <v>1.64331424271189</v>
      </c>
      <c r="R89" s="11" t="n">
        <v>1.73680364711747</v>
      </c>
      <c r="S89" s="11" t="n">
        <v>1.82469531397226</v>
      </c>
      <c r="T89" s="11" t="n">
        <v>1.90724029318366</v>
      </c>
      <c r="U89" s="11" t="n">
        <v>1.98475158937418</v>
      </c>
      <c r="V89" s="11" t="n">
        <v>2.05758484949274</v>
      </c>
      <c r="W89" s="11" t="n">
        <v>2.12612947859453</v>
      </c>
      <c r="X89" s="11" t="n">
        <v>2.19080188821985</v>
      </c>
      <c r="Y89" s="11" t="n">
        <v>2.25203833391533</v>
      </c>
      <c r="Z89" s="11" t="n">
        <v>2.31026244849804</v>
      </c>
      <c r="AA89" s="11" t="n">
        <v>2.36585244520903</v>
      </c>
      <c r="AB89" s="11" t="n">
        <v>2.41914478697531</v>
      </c>
      <c r="AC89" s="11" t="n">
        <v>2.47044114444599</v>
      </c>
      <c r="AD89" s="11" t="n">
        <v>2.5200139693694</v>
      </c>
      <c r="AE89" s="11" t="n">
        <v>2.56810509488544</v>
      </c>
      <c r="AF89" s="11" t="n">
        <v>2.61490747667658</v>
      </c>
      <c r="AG89" s="11" t="n">
        <v>3.12965261563659</v>
      </c>
      <c r="AH89" s="11" t="n">
        <v>3.16127388328042</v>
      </c>
      <c r="AI89" s="11" t="n">
        <v>3.19154190040896</v>
      </c>
      <c r="AJ89" s="11" t="n">
        <v>3.22043030756179</v>
      </c>
      <c r="AK89" s="11" t="n">
        <v>3.24792127366463</v>
      </c>
    </row>
    <row r="90" customFormat="false" ht="15" hidden="false" customHeight="false" outlineLevel="0" collapsed="false">
      <c r="A90" s="10" t="n">
        <v>-35</v>
      </c>
      <c r="B90" s="8" t="n">
        <v>41141</v>
      </c>
      <c r="C90" s="11" t="n">
        <v>0.154687466958073</v>
      </c>
      <c r="D90" s="11" t="n">
        <v>0.197429666120975</v>
      </c>
      <c r="E90" s="11" t="n">
        <v>0.274280241224593</v>
      </c>
      <c r="F90" s="11" t="n">
        <v>0.372614410426022</v>
      </c>
      <c r="G90" s="11" t="n">
        <v>0.484044478350982</v>
      </c>
      <c r="H90" s="11" t="n">
        <v>0.602969680687615</v>
      </c>
      <c r="I90" s="11" t="n">
        <v>0.725621632176686</v>
      </c>
      <c r="J90" s="11" t="n">
        <v>0.849422048059436</v>
      </c>
      <c r="K90" s="11" t="n">
        <v>0.97252769591798</v>
      </c>
      <c r="L90" s="11" t="n">
        <v>1.09355976428332</v>
      </c>
      <c r="M90" s="11" t="n">
        <v>1.2114384658999</v>
      </c>
      <c r="N90" s="11" t="n">
        <v>1.32529637733173</v>
      </c>
      <c r="O90" s="11" t="n">
        <v>1.43445710595823</v>
      </c>
      <c r="P90" s="11" t="n">
        <v>1.53843923780661</v>
      </c>
      <c r="Q90" s="11" t="n">
        <v>1.63695997640999</v>
      </c>
      <c r="R90" s="11" t="n">
        <v>1.72992697472627</v>
      </c>
      <c r="S90" s="11" t="n">
        <v>1.81743235606149</v>
      </c>
      <c r="T90" s="11" t="n">
        <v>1.89970608762446</v>
      </c>
      <c r="U90" s="11" t="n">
        <v>1.97704118544239</v>
      </c>
      <c r="V90" s="11" t="n">
        <v>2.04977460668714</v>
      </c>
      <c r="W90" s="11" t="n">
        <v>2.1182780949666</v>
      </c>
      <c r="X90" s="11" t="n">
        <v>2.18295122303742</v>
      </c>
      <c r="Y90" s="11" t="n">
        <v>2.24421413344466</v>
      </c>
      <c r="Z90" s="11" t="n">
        <v>2.30247630952912</v>
      </c>
      <c r="AA90" s="11" t="n">
        <v>2.35810549495935</v>
      </c>
      <c r="AB90" s="11" t="n">
        <v>2.41143103263856</v>
      </c>
      <c r="AC90" s="11" t="n">
        <v>2.46275026456449</v>
      </c>
      <c r="AD90" s="11" t="n">
        <v>2.51233365439732</v>
      </c>
      <c r="AE90" s="11" t="n">
        <v>2.56042317867051</v>
      </c>
      <c r="AF90" s="11" t="n">
        <v>2.60721463716505</v>
      </c>
      <c r="AG90" s="11" t="n">
        <v>3.12329538603125</v>
      </c>
      <c r="AH90" s="11" t="n">
        <v>3.15521166987192</v>
      </c>
      <c r="AI90" s="11" t="n">
        <v>3.1857936195898</v>
      </c>
      <c r="AJ90" s="11" t="n">
        <v>3.21501041441215</v>
      </c>
      <c r="AK90" s="11" t="n">
        <v>3.24283985858699</v>
      </c>
    </row>
    <row r="91" customFormat="false" ht="15" hidden="false" customHeight="false" outlineLevel="0" collapsed="false">
      <c r="A91" s="10" t="n">
        <v>-34</v>
      </c>
      <c r="B91" s="8" t="n">
        <v>41142</v>
      </c>
      <c r="C91" s="11" t="n">
        <v>0.197485623155536</v>
      </c>
      <c r="D91" s="11" t="n">
        <v>0.248209994663303</v>
      </c>
      <c r="E91" s="11" t="n">
        <v>0.329904533242537</v>
      </c>
      <c r="F91" s="11" t="n">
        <v>0.430903211533032</v>
      </c>
      <c r="G91" s="11" t="n">
        <v>0.54349965346371</v>
      </c>
      <c r="H91" s="11" t="n">
        <v>0.662550930654092</v>
      </c>
      <c r="I91" s="11" t="n">
        <v>0.784599700707414</v>
      </c>
      <c r="J91" s="11" t="n">
        <v>0.907286206066412</v>
      </c>
      <c r="K91" s="11" t="n">
        <v>1.02893607022804</v>
      </c>
      <c r="L91" s="11" t="n">
        <v>1.14830502902519</v>
      </c>
      <c r="M91" s="11" t="n">
        <v>1.26442802549116</v>
      </c>
      <c r="N91" s="11" t="n">
        <v>1.37653754811958</v>
      </c>
      <c r="O91" s="11" t="n">
        <v>1.4840417069664</v>
      </c>
      <c r="P91" s="11" t="n">
        <v>1.58652567755398</v>
      </c>
      <c r="Q91" s="11" t="n">
        <v>1.68375532415373</v>
      </c>
      <c r="R91" s="11" t="n">
        <v>1.77567147543416</v>
      </c>
      <c r="S91" s="11" t="n">
        <v>1.86238475319317</v>
      </c>
      <c r="T91" s="11" t="n">
        <v>1.94413206346066</v>
      </c>
      <c r="U91" s="11" t="n">
        <v>2.02120520322652</v>
      </c>
      <c r="V91" s="11" t="n">
        <v>2.09393368993535</v>
      </c>
      <c r="W91" s="11" t="n">
        <v>2.16267690282106</v>
      </c>
      <c r="X91" s="11" t="n">
        <v>2.22781811054906</v>
      </c>
      <c r="Y91" s="11" t="n">
        <v>2.28975796311118</v>
      </c>
      <c r="Z91" s="11" t="n">
        <v>2.34888422824971</v>
      </c>
      <c r="AA91" s="11" t="n">
        <v>2.40554194550237</v>
      </c>
      <c r="AB91" s="11" t="n">
        <v>2.46003708999131</v>
      </c>
      <c r="AC91" s="11" t="n">
        <v>2.51264308294914</v>
      </c>
      <c r="AD91" s="11" t="n">
        <v>2.56360600154855</v>
      </c>
      <c r="AE91" s="11" t="n">
        <v>2.61314300040392</v>
      </c>
      <c r="AF91" s="11" t="n">
        <v>2.66142482120668</v>
      </c>
      <c r="AG91" s="11" t="n">
        <v>3.19354971289895</v>
      </c>
      <c r="AH91" s="11" t="n">
        <v>3.2262783308865</v>
      </c>
      <c r="AI91" s="11" t="n">
        <v>3.25762721468922</v>
      </c>
      <c r="AJ91" s="11" t="n">
        <v>3.28757121875671</v>
      </c>
      <c r="AK91" s="11" t="n">
        <v>3.31609320468245</v>
      </c>
    </row>
    <row r="92" customFormat="false" ht="15" hidden="false" customHeight="false" outlineLevel="0" collapsed="false">
      <c r="A92" s="10" t="n">
        <v>-33</v>
      </c>
      <c r="B92" s="8" t="n">
        <v>41143</v>
      </c>
      <c r="C92" s="11" t="n">
        <v>0.168482597782302</v>
      </c>
      <c r="D92" s="11" t="n">
        <v>0.21271522987167</v>
      </c>
      <c r="E92" s="11" t="n">
        <v>0.289558602425954</v>
      </c>
      <c r="F92" s="11" t="n">
        <v>0.386614807901579</v>
      </c>
      <c r="G92" s="11" t="n">
        <v>0.495695758679748</v>
      </c>
      <c r="H92" s="11" t="n">
        <v>0.611386872079404</v>
      </c>
      <c r="I92" s="11" t="n">
        <v>0.730106392726449</v>
      </c>
      <c r="J92" s="11" t="n">
        <v>0.849471940841142</v>
      </c>
      <c r="K92" s="11" t="n">
        <v>0.967857064468308</v>
      </c>
      <c r="L92" s="11" t="n">
        <v>1.08409519569602</v>
      </c>
      <c r="M92" s="11" t="n">
        <v>1.19730538650666</v>
      </c>
      <c r="N92" s="11" t="n">
        <v>1.30679762606953</v>
      </c>
      <c r="O92" s="11" t="n">
        <v>1.41204207519746</v>
      </c>
      <c r="P92" s="11" t="n">
        <v>1.51267129423385</v>
      </c>
      <c r="Q92" s="11" t="n">
        <v>1.60848254305742</v>
      </c>
      <c r="R92" s="11" t="n">
        <v>1.69943160374045</v>
      </c>
      <c r="S92" s="11" t="n">
        <v>1.78562700607578</v>
      </c>
      <c r="T92" s="11" t="n">
        <v>1.86729064810055</v>
      </c>
      <c r="U92" s="11" t="n">
        <v>1.9446913478518</v>
      </c>
      <c r="V92" s="11" t="n">
        <v>2.01812970601644</v>
      </c>
      <c r="W92" s="11" t="n">
        <v>2.08793148436812</v>
      </c>
      <c r="X92" s="11" t="n">
        <v>2.15444257354988</v>
      </c>
      <c r="Y92" s="11" t="n">
        <v>2.21802327230017</v>
      </c>
      <c r="Z92" s="11" t="n">
        <v>2.27901992225863</v>
      </c>
      <c r="AA92" s="11" t="n">
        <v>2.3377372188287</v>
      </c>
      <c r="AB92" s="11" t="n">
        <v>2.39444196714916</v>
      </c>
      <c r="AC92" s="11" t="n">
        <v>2.44936939698178</v>
      </c>
      <c r="AD92" s="11" t="n">
        <v>2.50272821449104</v>
      </c>
      <c r="AE92" s="11" t="n">
        <v>2.55469909668638</v>
      </c>
      <c r="AF92" s="11" t="n">
        <v>2.60541809746481</v>
      </c>
      <c r="AG92" s="11" t="n">
        <v>3.16022260927863</v>
      </c>
      <c r="AH92" s="11" t="n">
        <v>3.19380720580752</v>
      </c>
      <c r="AI92" s="11" t="n">
        <v>3.22591290976419</v>
      </c>
      <c r="AJ92" s="11" t="n">
        <v>3.2565255686659</v>
      </c>
      <c r="AK92" s="11" t="n">
        <v>3.2856385962851</v>
      </c>
    </row>
    <row r="93" customFormat="false" ht="15" hidden="false" customHeight="false" outlineLevel="0" collapsed="false">
      <c r="A93" s="10" t="n">
        <v>-32</v>
      </c>
      <c r="B93" s="8" t="n">
        <v>41144</v>
      </c>
      <c r="C93" s="11" t="n">
        <v>0.148346458442164</v>
      </c>
      <c r="D93" s="11" t="n">
        <v>0.188884907958586</v>
      </c>
      <c r="E93" s="11" t="n">
        <v>0.262623666652377</v>
      </c>
      <c r="F93" s="11" t="n">
        <v>0.356848036973627</v>
      </c>
      <c r="G93" s="11" t="n">
        <v>0.463173702038401</v>
      </c>
      <c r="H93" s="11" t="n">
        <v>0.576079262954048</v>
      </c>
      <c r="I93" s="11" t="n">
        <v>0.691935143667216</v>
      </c>
      <c r="J93" s="11" t="n">
        <v>0.808349495071319</v>
      </c>
      <c r="K93" s="11" t="n">
        <v>0.923719461371414</v>
      </c>
      <c r="L93" s="11" t="n">
        <v>1.03692087817669</v>
      </c>
      <c r="M93" s="11" t="n">
        <v>1.14713017027737</v>
      </c>
      <c r="N93" s="11" t="n">
        <v>1.25372449222097</v>
      </c>
      <c r="O93" s="11" t="n">
        <v>1.35624497761417</v>
      </c>
      <c r="P93" s="11" t="n">
        <v>1.45439118432574</v>
      </c>
      <c r="Q93" s="11" t="n">
        <v>1.54801463464077</v>
      </c>
      <c r="R93" s="11" t="n">
        <v>1.63710714565164</v>
      </c>
      <c r="S93" s="11" t="n">
        <v>1.7217915251955</v>
      </c>
      <c r="T93" s="11" t="n">
        <v>1.80228676759317</v>
      </c>
      <c r="U93" s="11" t="n">
        <v>1.87884898507601</v>
      </c>
      <c r="V93" s="11" t="n">
        <v>1.95175887359217</v>
      </c>
      <c r="W93" s="11" t="n">
        <v>2.0213165910733</v>
      </c>
      <c r="X93" s="11" t="n">
        <v>2.08783786503782</v>
      </c>
      <c r="Y93" s="11" t="n">
        <v>2.15164927285788</v>
      </c>
      <c r="Z93" s="11" t="n">
        <v>2.21306266457919</v>
      </c>
      <c r="AA93" s="11" t="n">
        <v>2.27235044079455</v>
      </c>
      <c r="AB93" s="11" t="n">
        <v>2.32974929777489</v>
      </c>
      <c r="AC93" s="11" t="n">
        <v>2.38546617807864</v>
      </c>
      <c r="AD93" s="11" t="n">
        <v>2.43968302957721</v>
      </c>
      <c r="AE93" s="11" t="n">
        <v>2.49255542231406</v>
      </c>
      <c r="AF93" s="11" t="n">
        <v>2.54419729299835</v>
      </c>
      <c r="AG93" s="11" t="n">
        <v>3.10769752342743</v>
      </c>
      <c r="AH93" s="11" t="n">
        <v>3.14155723162565</v>
      </c>
      <c r="AI93" s="11" t="n">
        <v>3.17388604974112</v>
      </c>
      <c r="AJ93" s="11" t="n">
        <v>3.20467314164794</v>
      </c>
      <c r="AK93" s="11" t="n">
        <v>3.23391533330284</v>
      </c>
    </row>
    <row r="94" customFormat="false" ht="15" hidden="false" customHeight="false" outlineLevel="0" collapsed="false">
      <c r="A94" s="10" t="n">
        <v>-31</v>
      </c>
      <c r="B94" s="8" t="n">
        <v>41145</v>
      </c>
      <c r="C94" s="11" t="n">
        <v>0.11678017310279</v>
      </c>
      <c r="D94" s="11" t="n">
        <v>0.152957295417882</v>
      </c>
      <c r="E94" s="11" t="n">
        <v>0.224211766394585</v>
      </c>
      <c r="F94" s="11" t="n">
        <v>0.317069099821247</v>
      </c>
      <c r="G94" s="11" t="n">
        <v>0.422696778137768</v>
      </c>
      <c r="H94" s="11" t="n">
        <v>0.535310745712208</v>
      </c>
      <c r="I94" s="11" t="n">
        <v>0.651128091142985</v>
      </c>
      <c r="J94" s="11" t="n">
        <v>0.767650560509829</v>
      </c>
      <c r="K94" s="11" t="n">
        <v>0.883211523152087</v>
      </c>
      <c r="L94" s="11" t="n">
        <v>0.996636222996453</v>
      </c>
      <c r="M94" s="11" t="n">
        <v>1.10706919540959</v>
      </c>
      <c r="N94" s="11" t="n">
        <v>1.21387181233455</v>
      </c>
      <c r="O94" s="11" t="n">
        <v>1.31658032031573</v>
      </c>
      <c r="P94" s="11" t="n">
        <v>1.41489621396595</v>
      </c>
      <c r="Q94" s="11" t="n">
        <v>1.50867844006957</v>
      </c>
      <c r="R94" s="11" t="n">
        <v>1.59792628851835</v>
      </c>
      <c r="S94" s="11" t="n">
        <v>1.682768234401</v>
      </c>
      <c r="T94" s="11" t="n">
        <v>1.7634271060701</v>
      </c>
      <c r="U94" s="11" t="n">
        <v>1.84016133680697</v>
      </c>
      <c r="V94" s="11" t="n">
        <v>1.91325300485994</v>
      </c>
      <c r="W94" s="11" t="n">
        <v>1.9830029073741</v>
      </c>
      <c r="X94" s="11" t="n">
        <v>2.04972681661194</v>
      </c>
      <c r="Y94" s="11" t="n">
        <v>2.11375070879249</v>
      </c>
      <c r="Z94" s="11" t="n">
        <v>2.17538471873002</v>
      </c>
      <c r="AA94" s="11" t="n">
        <v>2.23489924309775</v>
      </c>
      <c r="AB94" s="11" t="n">
        <v>2.29252898291725</v>
      </c>
      <c r="AC94" s="11" t="n">
        <v>2.34847889280022</v>
      </c>
      <c r="AD94" s="11" t="n">
        <v>2.40292892982599</v>
      </c>
      <c r="AE94" s="11" t="n">
        <v>2.45603240379564</v>
      </c>
      <c r="AF94" s="11" t="n">
        <v>2.50790082251265</v>
      </c>
      <c r="AG94" s="11" t="n">
        <v>3.07362089044245</v>
      </c>
      <c r="AH94" s="11" t="n">
        <v>3.10762422825933</v>
      </c>
      <c r="AI94" s="11" t="n">
        <v>3.14009989489291</v>
      </c>
      <c r="AJ94" s="11" t="n">
        <v>3.17103796505346</v>
      </c>
      <c r="AK94" s="11" t="n">
        <v>3.20043585334498</v>
      </c>
    </row>
    <row r="95" customFormat="false" ht="15" hidden="false" customHeight="false" outlineLevel="0" collapsed="false">
      <c r="A95" s="10" t="n">
        <v>-30</v>
      </c>
      <c r="B95" s="8" t="n">
        <v>41149</v>
      </c>
      <c r="C95" s="11" t="n">
        <v>0.101448458213908</v>
      </c>
      <c r="D95" s="11" t="n">
        <v>0.131961919058241</v>
      </c>
      <c r="E95" s="11" t="n">
        <v>0.198130714213294</v>
      </c>
      <c r="F95" s="11" t="n">
        <v>0.286739251374605</v>
      </c>
      <c r="G95" s="11" t="n">
        <v>0.388974841826917</v>
      </c>
      <c r="H95" s="11" t="n">
        <v>0.498976403451639</v>
      </c>
      <c r="I95" s="11" t="n">
        <v>0.612845672377026</v>
      </c>
      <c r="J95" s="11" t="n">
        <v>0.727965273496128</v>
      </c>
      <c r="K95" s="11" t="n">
        <v>0.84256054332133</v>
      </c>
      <c r="L95" s="11" t="n">
        <v>0.955365849284563</v>
      </c>
      <c r="M95" s="11" t="n">
        <v>1.06545501253251</v>
      </c>
      <c r="N95" s="11" t="n">
        <v>1.17213788121741</v>
      </c>
      <c r="O95" s="11" t="n">
        <v>1.27491562896311</v>
      </c>
      <c r="P95" s="11" t="n">
        <v>1.37346506216577</v>
      </c>
      <c r="Q95" s="11" t="n">
        <v>1.46762621929697</v>
      </c>
      <c r="R95" s="11" t="n">
        <v>1.55738053058662</v>
      </c>
      <c r="S95" s="11" t="n">
        <v>1.6428371695853</v>
      </c>
      <c r="T95" s="11" t="n">
        <v>1.72419900073515</v>
      </c>
      <c r="U95" s="11" t="n">
        <v>1.80170632862027</v>
      </c>
      <c r="V95" s="11" t="n">
        <v>1.87562485732109</v>
      </c>
      <c r="W95" s="11" t="n">
        <v>1.94624039883019</v>
      </c>
      <c r="X95" s="11" t="n">
        <v>2.01385485146992</v>
      </c>
      <c r="Y95" s="11" t="n">
        <v>2.07878121792398</v>
      </c>
      <c r="Z95" s="11" t="n">
        <v>2.14131782695922</v>
      </c>
      <c r="AA95" s="11" t="n">
        <v>2.20172501999544</v>
      </c>
      <c r="AB95" s="11" t="n">
        <v>2.26022901668964</v>
      </c>
      <c r="AC95" s="11" t="n">
        <v>2.31702760187382</v>
      </c>
      <c r="AD95" s="11" t="n">
        <v>2.37229465977685</v>
      </c>
      <c r="AE95" s="11" t="n">
        <v>2.42617821371001</v>
      </c>
      <c r="AF95" s="11" t="n">
        <v>2.47878492712049</v>
      </c>
      <c r="AG95" s="11" t="n">
        <v>3.0496192719962</v>
      </c>
      <c r="AH95" s="11" t="n">
        <v>3.08373194422769</v>
      </c>
      <c r="AI95" s="11" t="n">
        <v>3.11629510367827</v>
      </c>
      <c r="AJ95" s="11" t="n">
        <v>3.14730297109576</v>
      </c>
      <c r="AK95" s="11" t="n">
        <v>3.17675668477678</v>
      </c>
    </row>
    <row r="96" customFormat="false" ht="15" hidden="false" customHeight="false" outlineLevel="0" collapsed="false">
      <c r="A96" s="10" t="n">
        <v>-29</v>
      </c>
      <c r="B96" s="8" t="n">
        <v>41150</v>
      </c>
      <c r="C96" s="11" t="n">
        <v>0.122132877390496</v>
      </c>
      <c r="D96" s="11" t="n">
        <v>0.155099063762735</v>
      </c>
      <c r="E96" s="11" t="n">
        <v>0.222317180306337</v>
      </c>
      <c r="F96" s="11" t="n">
        <v>0.311098826879628</v>
      </c>
      <c r="G96" s="11" t="n">
        <v>0.412957873498232</v>
      </c>
      <c r="H96" s="11" t="n">
        <v>0.522242235503453</v>
      </c>
      <c r="I96" s="11" t="n">
        <v>0.635194382364073</v>
      </c>
      <c r="J96" s="11" t="n">
        <v>0.749307053255546</v>
      </c>
      <c r="K96" s="11" t="n">
        <v>0.862885454851616</v>
      </c>
      <c r="L96" s="11" t="n">
        <v>0.974729596481829</v>
      </c>
      <c r="M96" s="11" t="n">
        <v>1.08395904116507</v>
      </c>
      <c r="N96" s="11" t="n">
        <v>1.18991262653193</v>
      </c>
      <c r="O96" s="11" t="n">
        <v>1.29210490473427</v>
      </c>
      <c r="P96" s="11" t="n">
        <v>1.39021237296187</v>
      </c>
      <c r="Q96" s="11" t="n">
        <v>1.48406366922584</v>
      </c>
      <c r="R96" s="11" t="n">
        <v>1.57361940235689</v>
      </c>
      <c r="S96" s="11" t="n">
        <v>1.65895838867777</v>
      </c>
      <c r="T96" s="11" t="n">
        <v>1.74024810851</v>
      </c>
      <c r="U96" s="11" t="n">
        <v>1.81769733393055</v>
      </c>
      <c r="V96" s="11" t="n">
        <v>1.8915441467779</v>
      </c>
      <c r="W96" s="11" t="n">
        <v>1.96204983244051</v>
      </c>
      <c r="X96" s="11" t="n">
        <v>2.02949423914677</v>
      </c>
      <c r="Y96" s="11" t="n">
        <v>2.09417050987421</v>
      </c>
      <c r="Z96" s="11" t="n">
        <v>2.15636163648362</v>
      </c>
      <c r="AA96" s="11" t="n">
        <v>2.21631960453361</v>
      </c>
      <c r="AB96" s="11" t="n">
        <v>2.27426842925431</v>
      </c>
      <c r="AC96" s="11" t="n">
        <v>2.33040881725533</v>
      </c>
      <c r="AD96" s="11" t="n">
        <v>2.3849218726401</v>
      </c>
      <c r="AE96" s="11" t="n">
        <v>2.43796653105744</v>
      </c>
      <c r="AF96" s="11" t="n">
        <v>2.48966396927324</v>
      </c>
      <c r="AG96" s="11" t="n">
        <v>3.04927748209719</v>
      </c>
      <c r="AH96" s="11" t="n">
        <v>3.08290374161507</v>
      </c>
      <c r="AI96" s="11" t="n">
        <v>3.11504698033272</v>
      </c>
      <c r="AJ96" s="11" t="n">
        <v>3.14569880923594</v>
      </c>
      <c r="AK96" s="11" t="n">
        <v>3.17485727210908</v>
      </c>
    </row>
    <row r="97" customFormat="false" ht="15" hidden="false" customHeight="false" outlineLevel="0" collapsed="false">
      <c r="A97" s="10" t="n">
        <v>-28</v>
      </c>
      <c r="B97" s="8" t="n">
        <v>41151</v>
      </c>
      <c r="C97" s="11" t="n">
        <v>0.0901110234291793</v>
      </c>
      <c r="D97" s="11" t="n">
        <v>0.117511601739994</v>
      </c>
      <c r="E97" s="11" t="n">
        <v>0.180899727278766</v>
      </c>
      <c r="F97" s="11" t="n">
        <v>0.26686454631087</v>
      </c>
      <c r="G97" s="11" t="n">
        <v>0.366562512479274</v>
      </c>
      <c r="H97" s="11" t="n">
        <v>0.474158693618356</v>
      </c>
      <c r="I97" s="11" t="n">
        <v>0.585783687547262</v>
      </c>
      <c r="J97" s="11" t="n">
        <v>0.698858372232395</v>
      </c>
      <c r="K97" s="11" t="n">
        <v>0.811629360059945</v>
      </c>
      <c r="L97" s="11" t="n">
        <v>0.922858039156089</v>
      </c>
      <c r="M97" s="11" t="n">
        <v>1.03163473960393</v>
      </c>
      <c r="N97" s="11" t="n">
        <v>1.13727633379776</v>
      </c>
      <c r="O97" s="11" t="n">
        <v>1.23928048718778</v>
      </c>
      <c r="P97" s="11" t="n">
        <v>1.33730997278129</v>
      </c>
      <c r="Q97" s="11" t="n">
        <v>1.43118282776493</v>
      </c>
      <c r="R97" s="11" t="n">
        <v>1.52085066696043</v>
      </c>
      <c r="S97" s="11" t="n">
        <v>1.60638571402468</v>
      </c>
      <c r="T97" s="11" t="n">
        <v>1.68794983679884</v>
      </c>
      <c r="U97" s="11" t="n">
        <v>1.76574555761988</v>
      </c>
      <c r="V97" s="11" t="n">
        <v>1.84000411806054</v>
      </c>
      <c r="W97" s="11" t="n">
        <v>1.91097949574801</v>
      </c>
      <c r="X97" s="11" t="n">
        <v>1.97894385715305</v>
      </c>
      <c r="Y97" s="11" t="n">
        <v>2.04418232548038</v>
      </c>
      <c r="Z97" s="11" t="n">
        <v>2.10696950319046</v>
      </c>
      <c r="AA97" s="11" t="n">
        <v>2.16754885158105</v>
      </c>
      <c r="AB97" s="11" t="n">
        <v>2.22613580251279</v>
      </c>
      <c r="AC97" s="11" t="n">
        <v>2.28292242997356</v>
      </c>
      <c r="AD97" s="11" t="n">
        <v>2.33808116428286</v>
      </c>
      <c r="AE97" s="11" t="n">
        <v>2.39176244541795</v>
      </c>
      <c r="AF97" s="11" t="n">
        <v>2.44408005721879</v>
      </c>
      <c r="AG97" s="11" t="n">
        <v>3.00868126222624</v>
      </c>
      <c r="AH97" s="11" t="n">
        <v>3.04242875930779</v>
      </c>
      <c r="AI97" s="11" t="n">
        <v>3.07466114274373</v>
      </c>
      <c r="AJ97" s="11" t="n">
        <v>3.10537210278236</v>
      </c>
      <c r="AK97" s="11" t="n">
        <v>3.1345618150295</v>
      </c>
    </row>
    <row r="98" customFormat="false" ht="15" hidden="false" customHeight="false" outlineLevel="0" collapsed="false">
      <c r="A98" s="10" t="n">
        <v>-27</v>
      </c>
      <c r="B98" s="8" t="n">
        <v>41152</v>
      </c>
      <c r="C98" s="11" t="n">
        <v>0.0700217046427066</v>
      </c>
      <c r="D98" s="11" t="n">
        <v>0.0968861138418427</v>
      </c>
      <c r="E98" s="11" t="n">
        <v>0.161503878379679</v>
      </c>
      <c r="F98" s="11" t="n">
        <v>0.249812003072149</v>
      </c>
      <c r="G98" s="11" t="n">
        <v>0.352505809381674</v>
      </c>
      <c r="H98" s="11" t="n">
        <v>0.463443078676568</v>
      </c>
      <c r="I98" s="11" t="n">
        <v>0.57853846492372</v>
      </c>
      <c r="J98" s="11" t="n">
        <v>0.695072782267121</v>
      </c>
      <c r="K98" s="11" t="n">
        <v>0.811170760249018</v>
      </c>
      <c r="L98" s="11" t="n">
        <v>0.925519336700174</v>
      </c>
      <c r="M98" s="11" t="n">
        <v>1.03715866924422</v>
      </c>
      <c r="N98" s="11" t="n">
        <v>1.14538183342033</v>
      </c>
      <c r="O98" s="11" t="n">
        <v>1.24968575845296</v>
      </c>
      <c r="P98" s="11" t="n">
        <v>1.34974731824515</v>
      </c>
      <c r="Q98" s="11" t="n">
        <v>1.44540920613587</v>
      </c>
      <c r="R98" s="11" t="n">
        <v>1.5366520127013</v>
      </c>
      <c r="S98" s="11" t="n">
        <v>1.62358419099111</v>
      </c>
      <c r="T98" s="11" t="n">
        <v>1.70640276236834</v>
      </c>
      <c r="U98" s="11" t="n">
        <v>1.78534002274996</v>
      </c>
      <c r="V98" s="11" t="n">
        <v>1.86065254300863</v>
      </c>
      <c r="W98" s="11" t="n">
        <v>1.93261611168918</v>
      </c>
      <c r="X98" s="11" t="n">
        <v>2.00152189147421</v>
      </c>
      <c r="Y98" s="11" t="n">
        <v>2.06767145719915</v>
      </c>
      <c r="Z98" s="11" t="n">
        <v>2.13135165962824</v>
      </c>
      <c r="AA98" s="11" t="n">
        <v>2.19281335466495</v>
      </c>
      <c r="AB98" s="11" t="n">
        <v>2.25227532103888</v>
      </c>
      <c r="AC98" s="11" t="n">
        <v>2.30992960649988</v>
      </c>
      <c r="AD98" s="11" t="n">
        <v>2.36594578052576</v>
      </c>
      <c r="AE98" s="11" t="n">
        <v>2.42046905865985</v>
      </c>
      <c r="AF98" s="11" t="n">
        <v>2.47360677199513</v>
      </c>
      <c r="AG98" s="11" t="n">
        <v>3.04505853768085</v>
      </c>
      <c r="AH98" s="11" t="n">
        <v>3.07902707489022</v>
      </c>
      <c r="AI98" s="11" t="n">
        <v>3.11144571946002</v>
      </c>
      <c r="AJ98" s="11" t="n">
        <v>3.14231021838913</v>
      </c>
      <c r="AK98" s="11" t="n">
        <v>3.17162272150235</v>
      </c>
    </row>
    <row r="99" customFormat="false" ht="15" hidden="false" customHeight="false" outlineLevel="0" collapsed="false">
      <c r="A99" s="10" t="n">
        <v>-26</v>
      </c>
      <c r="B99" s="8" t="n">
        <v>41155</v>
      </c>
      <c r="C99" s="11" t="n">
        <v>0.0742531299608492</v>
      </c>
      <c r="D99" s="11" t="n">
        <v>0.0996524245752793</v>
      </c>
      <c r="E99" s="11" t="n">
        <v>0.163473307874202</v>
      </c>
      <c r="F99" s="11" t="n">
        <v>0.25161036839845</v>
      </c>
      <c r="G99" s="11" t="n">
        <v>0.35470960318485</v>
      </c>
      <c r="H99" s="11" t="n">
        <v>0.466569701709383</v>
      </c>
      <c r="I99" s="11" t="n">
        <v>0.583025401299477</v>
      </c>
      <c r="J99" s="11" t="n">
        <v>0.701253310602059</v>
      </c>
      <c r="K99" s="11" t="n">
        <v>0.819261827521005</v>
      </c>
      <c r="L99" s="11" t="n">
        <v>0.935625716646378</v>
      </c>
      <c r="M99" s="11" t="n">
        <v>1.04928825521008</v>
      </c>
      <c r="N99" s="11" t="n">
        <v>1.15946477940586</v>
      </c>
      <c r="O99" s="11" t="n">
        <v>1.26559563433047</v>
      </c>
      <c r="P99" s="11" t="n">
        <v>1.36732070008898</v>
      </c>
      <c r="Q99" s="11" t="n">
        <v>1.46446221973039</v>
      </c>
      <c r="R99" s="11" t="n">
        <v>1.55699256641096</v>
      </c>
      <c r="S99" s="11" t="n">
        <v>1.64502312277252</v>
      </c>
      <c r="T99" s="11" t="n">
        <v>1.72875960479379</v>
      </c>
      <c r="U99" s="11" t="n">
        <v>1.80844528584934</v>
      </c>
      <c r="V99" s="11" t="n">
        <v>1.88434936770662</v>
      </c>
      <c r="W99" s="11" t="n">
        <v>1.95676157877702</v>
      </c>
      <c r="X99" s="11" t="n">
        <v>2.02598806878706</v>
      </c>
      <c r="Y99" s="11" t="n">
        <v>2.09234609386113</v>
      </c>
      <c r="Z99" s="11" t="n">
        <v>2.15613739938732</v>
      </c>
      <c r="AA99" s="11" t="n">
        <v>2.21762599758161</v>
      </c>
      <c r="AB99" s="11" t="n">
        <v>2.27704231758541</v>
      </c>
      <c r="AC99" s="11" t="n">
        <v>2.33458880264389</v>
      </c>
      <c r="AD99" s="11" t="n">
        <v>2.39044436167874</v>
      </c>
      <c r="AE99" s="11" t="n">
        <v>2.4447625238778</v>
      </c>
      <c r="AF99" s="11" t="n">
        <v>2.4976578586203</v>
      </c>
      <c r="AG99" s="11" t="n">
        <v>3.06471489280647</v>
      </c>
      <c r="AH99" s="11" t="n">
        <v>3.09836718666772</v>
      </c>
      <c r="AI99" s="11" t="n">
        <v>3.13048584083826</v>
      </c>
      <c r="AJ99" s="11" t="n">
        <v>3.16106841373482</v>
      </c>
      <c r="AK99" s="11" t="n">
        <v>3.19011850853709</v>
      </c>
    </row>
    <row r="100" customFormat="false" ht="15" hidden="false" customHeight="false" outlineLevel="0" collapsed="false">
      <c r="A100" s="10" t="n">
        <v>-25</v>
      </c>
      <c r="B100" s="8" t="n">
        <v>41156</v>
      </c>
      <c r="C100" s="11" t="n">
        <v>0.0700051218151645</v>
      </c>
      <c r="D100" s="11" t="n">
        <v>0.0919739847533298</v>
      </c>
      <c r="E100" s="11" t="n">
        <v>0.152747757088752</v>
      </c>
      <c r="F100" s="11" t="n">
        <v>0.238218538597764</v>
      </c>
      <c r="G100" s="11" t="n">
        <v>0.338983360174087</v>
      </c>
      <c r="H100" s="11" t="n">
        <v>0.448797968606023</v>
      </c>
      <c r="I100" s="11" t="n">
        <v>0.563469626683206</v>
      </c>
      <c r="J100" s="11" t="n">
        <v>0.680160848972148</v>
      </c>
      <c r="K100" s="11" t="n">
        <v>0.796880163040997</v>
      </c>
      <c r="L100" s="11" t="n">
        <v>0.912203557839427</v>
      </c>
      <c r="M100" s="11" t="n">
        <v>1.02507175906448</v>
      </c>
      <c r="N100" s="11" t="n">
        <v>1.13468962477369</v>
      </c>
      <c r="O100" s="11" t="n">
        <v>1.24047856749117</v>
      </c>
      <c r="P100" s="11" t="n">
        <v>1.34205438326872</v>
      </c>
      <c r="Q100" s="11" t="n">
        <v>1.43921148496318</v>
      </c>
      <c r="R100" s="11" t="n">
        <v>1.53189400894229</v>
      </c>
      <c r="S100" s="11" t="n">
        <v>1.62018651912538</v>
      </c>
      <c r="T100" s="11" t="n">
        <v>1.70426880174168</v>
      </c>
      <c r="U100" s="11" t="n">
        <v>1.78436058825763</v>
      </c>
      <c r="V100" s="11" t="n">
        <v>1.86070964403866</v>
      </c>
      <c r="W100" s="11" t="n">
        <v>1.93358592795345</v>
      </c>
      <c r="X100" s="11" t="n">
        <v>2.00327715367328</v>
      </c>
      <c r="Y100" s="11" t="n">
        <v>2.07008327040216</v>
      </c>
      <c r="Z100" s="11" t="n">
        <v>2.13429061388664</v>
      </c>
      <c r="AA100" s="11" t="n">
        <v>2.19615062477539</v>
      </c>
      <c r="AB100" s="11" t="n">
        <v>2.25588366491222</v>
      </c>
      <c r="AC100" s="11" t="n">
        <v>2.3136841971366</v>
      </c>
      <c r="AD100" s="11" t="n">
        <v>2.3697249016207</v>
      </c>
      <c r="AE100" s="11" t="n">
        <v>2.42415485463155</v>
      </c>
      <c r="AF100" s="11" t="n">
        <v>2.47708682904144</v>
      </c>
      <c r="AG100" s="11" t="n">
        <v>3.03963949917599</v>
      </c>
      <c r="AH100" s="11" t="n">
        <v>3.07277566795696</v>
      </c>
      <c r="AI100" s="11" t="n">
        <v>3.10438360963155</v>
      </c>
      <c r="AJ100" s="11" t="n">
        <v>3.13446541836166</v>
      </c>
      <c r="AK100" s="11" t="n">
        <v>3.16302869259565</v>
      </c>
    </row>
    <row r="101" customFormat="false" ht="15" hidden="false" customHeight="false" outlineLevel="0" collapsed="false">
      <c r="A101" s="10" t="n">
        <v>-24</v>
      </c>
      <c r="B101" s="8" t="n">
        <v>41157</v>
      </c>
      <c r="C101" s="11" t="n">
        <v>0.0949546079558992</v>
      </c>
      <c r="D101" s="11" t="n">
        <v>0.119368222524363</v>
      </c>
      <c r="E101" s="11" t="n">
        <v>0.180540555951656</v>
      </c>
      <c r="F101" s="11" t="n">
        <v>0.26533540623675</v>
      </c>
      <c r="G101" s="11" t="n">
        <v>0.364891491874051</v>
      </c>
      <c r="H101" s="11" t="n">
        <v>0.473274193390726</v>
      </c>
      <c r="I101" s="11" t="n">
        <v>0.586472813442252</v>
      </c>
      <c r="J101" s="11" t="n">
        <v>0.701760462114847</v>
      </c>
      <c r="K101" s="11" t="n">
        <v>0.817223120519168</v>
      </c>
      <c r="L101" s="11" t="n">
        <v>0.931489379692137</v>
      </c>
      <c r="M101" s="11" t="n">
        <v>1.04353523052897</v>
      </c>
      <c r="N101" s="11" t="n">
        <v>1.15258478969847</v>
      </c>
      <c r="O101" s="11" t="n">
        <v>1.25806465329918</v>
      </c>
      <c r="P101" s="11" t="n">
        <v>1.35958461440223</v>
      </c>
      <c r="Q101" s="11" t="n">
        <v>1.45692283174797</v>
      </c>
      <c r="R101" s="11" t="n">
        <v>1.55000039863103</v>
      </c>
      <c r="S101" s="11" t="n">
        <v>1.63887326804503</v>
      </c>
      <c r="T101" s="11" t="n">
        <v>1.723688972114</v>
      </c>
      <c r="U101" s="11" t="n">
        <v>1.80463560415439</v>
      </c>
      <c r="V101" s="11" t="n">
        <v>1.88193016169878</v>
      </c>
      <c r="W101" s="11" t="n">
        <v>1.95581252478416</v>
      </c>
      <c r="X101" s="11" t="n">
        <v>2.02654087945105</v>
      </c>
      <c r="Y101" s="11" t="n">
        <v>2.09438628270695</v>
      </c>
      <c r="Z101" s="11" t="n">
        <v>2.15960916987857</v>
      </c>
      <c r="AA101" s="11" t="n">
        <v>2.22244027855053</v>
      </c>
      <c r="AB101" s="11" t="n">
        <v>2.28308385345527</v>
      </c>
      <c r="AC101" s="11" t="n">
        <v>2.34172206194831</v>
      </c>
      <c r="AD101" s="11" t="n">
        <v>2.39851850144482</v>
      </c>
      <c r="AE101" s="11" t="n">
        <v>2.45361666704497</v>
      </c>
      <c r="AF101" s="11" t="n">
        <v>2.50712935749758</v>
      </c>
      <c r="AG101" s="11" t="n">
        <v>3.0736151309468</v>
      </c>
      <c r="AH101" s="11" t="n">
        <v>3.10712306912155</v>
      </c>
      <c r="AI101" s="11" t="n">
        <v>3.13914380054984</v>
      </c>
      <c r="AJ101" s="11" t="n">
        <v>3.16968069101807</v>
      </c>
      <c r="AK101" s="11" t="n">
        <v>3.1987414624735</v>
      </c>
    </row>
    <row r="102" customFormat="false" ht="15" hidden="false" customHeight="false" outlineLevel="0" collapsed="false">
      <c r="A102" s="10" t="n">
        <v>-23</v>
      </c>
      <c r="B102" s="8" t="n">
        <v>41158</v>
      </c>
      <c r="C102" s="11" t="n">
        <v>0.125902233578476</v>
      </c>
      <c r="D102" s="11" t="n">
        <v>0.155974124123945</v>
      </c>
      <c r="E102" s="11" t="n">
        <v>0.221227799374291</v>
      </c>
      <c r="F102" s="11" t="n">
        <v>0.309284474069033</v>
      </c>
      <c r="G102" s="11" t="n">
        <v>0.411697572646173</v>
      </c>
      <c r="H102" s="11" t="n">
        <v>0.522741201475797</v>
      </c>
      <c r="I102" s="11" t="n">
        <v>0.638501091415071</v>
      </c>
      <c r="J102" s="11" t="n">
        <v>0.756283637202381</v>
      </c>
      <c r="K102" s="11" t="n">
        <v>0.874178715303902</v>
      </c>
      <c r="L102" s="11" t="n">
        <v>0.990803237592233</v>
      </c>
      <c r="M102" s="11" t="n">
        <v>1.10511646754943</v>
      </c>
      <c r="N102" s="11" t="n">
        <v>1.21632353762675</v>
      </c>
      <c r="O102" s="11" t="n">
        <v>1.32383234632943</v>
      </c>
      <c r="P102" s="11" t="n">
        <v>1.42723483372156</v>
      </c>
      <c r="Q102" s="11" t="n">
        <v>1.52629491958332</v>
      </c>
      <c r="R102" s="11" t="n">
        <v>1.62092706955976</v>
      </c>
      <c r="S102" s="11" t="n">
        <v>1.71119059130651</v>
      </c>
      <c r="T102" s="11" t="n">
        <v>1.79724286205075</v>
      </c>
      <c r="U102" s="11" t="n">
        <v>1.8792836074677</v>
      </c>
      <c r="V102" s="11" t="n">
        <v>1.95754260146751</v>
      </c>
      <c r="W102" s="11" t="n">
        <v>2.03227340614625</v>
      </c>
      <c r="X102" s="11" t="n">
        <v>2.10374861414877</v>
      </c>
      <c r="Y102" s="11" t="n">
        <v>2.17225407746502</v>
      </c>
      <c r="Z102" s="11" t="n">
        <v>2.23806354334603</v>
      </c>
      <c r="AA102" s="11" t="n">
        <v>2.30141832566586</v>
      </c>
      <c r="AB102" s="11" t="n">
        <v>2.36253087516844</v>
      </c>
      <c r="AC102" s="11" t="n">
        <v>2.42158958998918</v>
      </c>
      <c r="AD102" s="11" t="n">
        <v>2.47876263731662</v>
      </c>
      <c r="AE102" s="11" t="n">
        <v>2.53419647198004</v>
      </c>
      <c r="AF102" s="11" t="n">
        <v>2.58800502934784</v>
      </c>
      <c r="AG102" s="11" t="n">
        <v>3.15484608781794</v>
      </c>
      <c r="AH102" s="11" t="n">
        <v>3.18820004743059</v>
      </c>
      <c r="AI102" s="11" t="n">
        <v>3.22006608806475</v>
      </c>
      <c r="AJ102" s="11" t="n">
        <v>3.25045369063377</v>
      </c>
      <c r="AK102" s="11" t="n">
        <v>3.2793761378116</v>
      </c>
    </row>
    <row r="103" customFormat="false" ht="15" hidden="false" customHeight="false" outlineLevel="0" collapsed="false">
      <c r="A103" s="10" t="n">
        <v>-22</v>
      </c>
      <c r="B103" s="8" t="n">
        <v>41159</v>
      </c>
      <c r="C103" s="11" t="n">
        <v>0.106808015466883</v>
      </c>
      <c r="D103" s="11" t="n">
        <v>0.133509799114687</v>
      </c>
      <c r="E103" s="11" t="n">
        <v>0.196821584487924</v>
      </c>
      <c r="F103" s="11" t="n">
        <v>0.283563562297299</v>
      </c>
      <c r="G103" s="11" t="n">
        <v>0.384930476474315</v>
      </c>
      <c r="H103" s="11" t="n">
        <v>0.495050316349111</v>
      </c>
      <c r="I103" s="11" t="n">
        <v>0.609962453238698</v>
      </c>
      <c r="J103" s="11" t="n">
        <v>0.726969487034316</v>
      </c>
      <c r="K103" s="11" t="n">
        <v>0.844188117789401</v>
      </c>
      <c r="L103" s="11" t="n">
        <v>0.960260373156529</v>
      </c>
      <c r="M103" s="11" t="n">
        <v>1.07416967720524</v>
      </c>
      <c r="N103" s="11" t="n">
        <v>1.1851358461236</v>
      </c>
      <c r="O103" s="11" t="n">
        <v>1.29257100688504</v>
      </c>
      <c r="P103" s="11" t="n">
        <v>1.39606251816523</v>
      </c>
      <c r="Q103" s="11" t="n">
        <v>1.49536197046358</v>
      </c>
      <c r="R103" s="11" t="n">
        <v>1.59036801148986</v>
      </c>
      <c r="S103" s="11" t="n">
        <v>1.68112044234775</v>
      </c>
      <c r="T103" s="11" t="n">
        <v>1.76775579791846</v>
      </c>
      <c r="U103" s="11" t="n">
        <v>1.8504530836129</v>
      </c>
      <c r="V103" s="11" t="n">
        <v>1.92942167240475</v>
      </c>
      <c r="W103" s="11" t="n">
        <v>2.00489497825493</v>
      </c>
      <c r="X103" s="11" t="n">
        <v>2.07712564791408</v>
      </c>
      <c r="Y103" s="11" t="n">
        <v>2.14637978058145</v>
      </c>
      <c r="Z103" s="11" t="n">
        <v>2.21291290557383</v>
      </c>
      <c r="AA103" s="11" t="n">
        <v>2.27695147663969</v>
      </c>
      <c r="AB103" s="11" t="n">
        <v>2.33869613738722</v>
      </c>
      <c r="AC103" s="11" t="n">
        <v>2.39832602297433</v>
      </c>
      <c r="AD103" s="11" t="n">
        <v>2.45600217200689</v>
      </c>
      <c r="AE103" s="11" t="n">
        <v>2.51186617490055</v>
      </c>
      <c r="AF103" s="11" t="n">
        <v>2.56603090456277</v>
      </c>
      <c r="AG103" s="11" t="n">
        <v>3.13365033652412</v>
      </c>
      <c r="AH103" s="11" t="n">
        <v>3.16702934582476</v>
      </c>
      <c r="AI103" s="11" t="n">
        <v>3.19894408825398</v>
      </c>
      <c r="AJ103" s="11" t="n">
        <v>3.22940703589144</v>
      </c>
      <c r="AK103" s="11" t="n">
        <v>3.25843377659619</v>
      </c>
    </row>
    <row r="104" customFormat="false" ht="15" hidden="false" customHeight="false" outlineLevel="0" collapsed="false">
      <c r="A104" s="10" t="n">
        <v>-21</v>
      </c>
      <c r="B104" s="8" t="n">
        <v>41162</v>
      </c>
      <c r="C104" s="11" t="n">
        <v>0.144855014425758</v>
      </c>
      <c r="D104" s="11" t="n">
        <v>0.175252238488521</v>
      </c>
      <c r="E104" s="11" t="n">
        <v>0.240549261122115</v>
      </c>
      <c r="F104" s="11" t="n">
        <v>0.328382011980073</v>
      </c>
      <c r="G104" s="11" t="n">
        <v>0.430387386157424</v>
      </c>
      <c r="H104" s="11" t="n">
        <v>0.5409360117452</v>
      </c>
      <c r="I104" s="11" t="n">
        <v>0.656198442724078</v>
      </c>
      <c r="J104" s="11" t="n">
        <v>0.773539748766936</v>
      </c>
      <c r="K104" s="11" t="n">
        <v>0.891102796679836</v>
      </c>
      <c r="L104" s="11" t="n">
        <v>1.00753472323226</v>
      </c>
      <c r="M104" s="11" t="n">
        <v>1.12181748134296</v>
      </c>
      <c r="N104" s="11" t="n">
        <v>1.23316840575614</v>
      </c>
      <c r="O104" s="11" t="n">
        <v>1.34099952989809</v>
      </c>
      <c r="P104" s="11" t="n">
        <v>1.44489939425664</v>
      </c>
      <c r="Q104" s="11" t="n">
        <v>1.54462141964078</v>
      </c>
      <c r="R104" s="11" t="n">
        <v>1.64006648541417</v>
      </c>
      <c r="S104" s="11" t="n">
        <v>1.73127638147284</v>
      </c>
      <c r="T104" s="11" t="n">
        <v>1.81838892233677</v>
      </c>
      <c r="U104" s="11" t="n">
        <v>1.9015826593743</v>
      </c>
      <c r="V104" s="11" t="n">
        <v>1.98106509024021</v>
      </c>
      <c r="W104" s="11" t="n">
        <v>2.05706662839937</v>
      </c>
      <c r="X104" s="11" t="n">
        <v>2.12983601996465</v>
      </c>
      <c r="Y104" s="11" t="n">
        <v>2.19963470295967</v>
      </c>
      <c r="Z104" s="11" t="n">
        <v>2.26671292314064</v>
      </c>
      <c r="AA104" s="11" t="n">
        <v>2.33129157928318</v>
      </c>
      <c r="AB104" s="11" t="n">
        <v>2.39356558344961</v>
      </c>
      <c r="AC104" s="11" t="n">
        <v>2.45370819210786</v>
      </c>
      <c r="AD104" s="11" t="n">
        <v>2.51187444394971</v>
      </c>
      <c r="AE104" s="11" t="n">
        <v>2.56820010909499</v>
      </c>
      <c r="AF104" s="11" t="n">
        <v>2.62279336177257</v>
      </c>
      <c r="AG104" s="11" t="n">
        <v>3.19280413044227</v>
      </c>
      <c r="AH104" s="11" t="n">
        <v>3.22620402325707</v>
      </c>
      <c r="AI104" s="11" t="n">
        <v>3.25813451735609</v>
      </c>
      <c r="AJ104" s="11" t="n">
        <v>3.28861190404205</v>
      </c>
      <c r="AK104" s="11" t="n">
        <v>3.31765523341752</v>
      </c>
    </row>
    <row r="105" customFormat="false" ht="15" hidden="false" customHeight="false" outlineLevel="0" collapsed="false">
      <c r="A105" s="10" t="n">
        <v>-20</v>
      </c>
      <c r="B105" s="8" t="n">
        <v>41163</v>
      </c>
      <c r="C105" s="11" t="n">
        <v>0.166513668157827</v>
      </c>
      <c r="D105" s="11" t="n">
        <v>0.199406538036457</v>
      </c>
      <c r="E105" s="11" t="n">
        <v>0.265613968179715</v>
      </c>
      <c r="F105" s="11" t="n">
        <v>0.353174456279068</v>
      </c>
      <c r="G105" s="11" t="n">
        <v>0.454009027267383</v>
      </c>
      <c r="H105" s="11" t="n">
        <v>0.562717406797964</v>
      </c>
      <c r="I105" s="11" t="n">
        <v>0.675679945119308</v>
      </c>
      <c r="J105" s="11" t="n">
        <v>0.790459305299506</v>
      </c>
      <c r="K105" s="11" t="n">
        <v>0.905386336993021</v>
      </c>
      <c r="L105" s="11" t="n">
        <v>1.01926876603656</v>
      </c>
      <c r="M105" s="11" t="n">
        <v>1.13121783129552</v>
      </c>
      <c r="N105" s="11" t="n">
        <v>1.24054724056545</v>
      </c>
      <c r="O105" s="11" t="n">
        <v>1.34673185664072</v>
      </c>
      <c r="P105" s="11" t="n">
        <v>1.44939424076961</v>
      </c>
      <c r="Q105" s="11" t="n">
        <v>1.54829710797003</v>
      </c>
      <c r="R105" s="11" t="n">
        <v>1.64333078752101</v>
      </c>
      <c r="S105" s="11" t="n">
        <v>1.73450838670727</v>
      </c>
      <c r="T105" s="11" t="n">
        <v>1.82192812990017</v>
      </c>
      <c r="U105" s="11" t="n">
        <v>1.90572606752617</v>
      </c>
      <c r="V105" s="11" t="n">
        <v>1.9860654325722</v>
      </c>
      <c r="W105" s="11" t="n">
        <v>2.0631309775522</v>
      </c>
      <c r="X105" s="11" t="n">
        <v>2.13712467060153</v>
      </c>
      <c r="Y105" s="11" t="n">
        <v>2.20826057465995</v>
      </c>
      <c r="Z105" s="11" t="n">
        <v>2.27674446868583</v>
      </c>
      <c r="AA105" s="11" t="n">
        <v>2.34275855252452</v>
      </c>
      <c r="AB105" s="11" t="n">
        <v>2.40646412025905</v>
      </c>
      <c r="AC105" s="11" t="n">
        <v>2.46800504450391</v>
      </c>
      <c r="AD105" s="11" t="n">
        <v>2.52751053762749</v>
      </c>
      <c r="AE105" s="11" t="n">
        <v>2.58509409682925</v>
      </c>
      <c r="AF105" s="11" t="n">
        <v>2.64084635512327</v>
      </c>
      <c r="AG105" s="11" t="n">
        <v>3.2156286571126</v>
      </c>
      <c r="AH105" s="11" t="n">
        <v>3.24883470241797</v>
      </c>
      <c r="AI105" s="11" t="n">
        <v>3.28054704802148</v>
      </c>
      <c r="AJ105" s="11" t="n">
        <v>3.31079320025545</v>
      </c>
      <c r="AK105" s="11" t="n">
        <v>3.33960222380244</v>
      </c>
    </row>
    <row r="106" customFormat="false" ht="15" hidden="false" customHeight="false" outlineLevel="0" collapsed="false">
      <c r="A106" s="10" t="n">
        <v>-19</v>
      </c>
      <c r="B106" s="8" t="n">
        <v>41164</v>
      </c>
      <c r="C106" s="11" t="n">
        <v>0.21323608087003</v>
      </c>
      <c r="D106" s="11" t="n">
        <v>0.258175413220298</v>
      </c>
      <c r="E106" s="11" t="n">
        <v>0.333203166182374</v>
      </c>
      <c r="F106" s="11" t="n">
        <v>0.427444428850362</v>
      </c>
      <c r="G106" s="11" t="n">
        <v>0.533551374750457</v>
      </c>
      <c r="H106" s="11" t="n">
        <v>0.646570195349513</v>
      </c>
      <c r="I106" s="11" t="n">
        <v>0.763139679108675</v>
      </c>
      <c r="J106" s="11" t="n">
        <v>0.880956433993067</v>
      </c>
      <c r="K106" s="11" t="n">
        <v>0.998414429925178</v>
      </c>
      <c r="L106" s="11" t="n">
        <v>1.11434682970975</v>
      </c>
      <c r="M106" s="11" t="n">
        <v>1.22787781189015</v>
      </c>
      <c r="N106" s="11" t="n">
        <v>1.33833280472497</v>
      </c>
      <c r="O106" s="11" t="n">
        <v>1.44520392194714</v>
      </c>
      <c r="P106" s="11" t="n">
        <v>1.54813511469111</v>
      </c>
      <c r="Q106" s="11" t="n">
        <v>1.64691288142193</v>
      </c>
      <c r="R106" s="11" t="n">
        <v>1.74145255936084</v>
      </c>
      <c r="S106" s="11" t="n">
        <v>1.83179007359729</v>
      </c>
      <c r="T106" s="11" t="n">
        <v>1.91804541575045</v>
      </c>
      <c r="U106" s="11" t="n">
        <v>2.00037846942789</v>
      </c>
      <c r="V106" s="11" t="n">
        <v>2.07897820123406</v>
      </c>
      <c r="W106" s="11" t="n">
        <v>2.15405660181259</v>
      </c>
      <c r="X106" s="11" t="n">
        <v>2.22584408103785</v>
      </c>
      <c r="Y106" s="11" t="n">
        <v>2.29458409726686</v>
      </c>
      <c r="Z106" s="11" t="n">
        <v>2.3605127031083</v>
      </c>
      <c r="AA106" s="11" t="n">
        <v>2.42384338523702</v>
      </c>
      <c r="AB106" s="11" t="n">
        <v>2.48476960919464</v>
      </c>
      <c r="AC106" s="11" t="n">
        <v>2.54346815624507</v>
      </c>
      <c r="AD106" s="11" t="n">
        <v>2.60010175643615</v>
      </c>
      <c r="AE106" s="11" t="n">
        <v>2.65481742038548</v>
      </c>
      <c r="AF106" s="11" t="n">
        <v>2.70773794135111</v>
      </c>
      <c r="AG106" s="11" t="n">
        <v>3.2570124897975</v>
      </c>
      <c r="AH106" s="11" t="n">
        <v>3.28919129297149</v>
      </c>
      <c r="AI106" s="11" t="n">
        <v>3.31996224423153</v>
      </c>
      <c r="AJ106" s="11" t="n">
        <v>3.34933853289616</v>
      </c>
      <c r="AK106" s="11" t="n">
        <v>3.37733559035713</v>
      </c>
    </row>
    <row r="107" customFormat="false" ht="15" hidden="false" customHeight="false" outlineLevel="0" collapsed="false">
      <c r="A107" s="10" t="n">
        <v>-18</v>
      </c>
      <c r="B107" s="8" t="n">
        <v>41165</v>
      </c>
      <c r="C107" s="11" t="n">
        <v>0.20840893240186</v>
      </c>
      <c r="D107" s="11" t="n">
        <v>0.254120293984856</v>
      </c>
      <c r="E107" s="11" t="n">
        <v>0.32927071899361</v>
      </c>
      <c r="F107" s="11" t="n">
        <v>0.423004627580054</v>
      </c>
      <c r="G107" s="11" t="n">
        <v>0.528088844910773</v>
      </c>
      <c r="H107" s="11" t="n">
        <v>0.639693362437874</v>
      </c>
      <c r="I107" s="11" t="n">
        <v>0.754570439721363</v>
      </c>
      <c r="J107" s="11" t="n">
        <v>0.8705151432933</v>
      </c>
      <c r="K107" s="11" t="n">
        <v>0.986010930825154</v>
      </c>
      <c r="L107" s="11" t="n">
        <v>1.09996661845976</v>
      </c>
      <c r="M107" s="11" t="n">
        <v>1.21157075403988</v>
      </c>
      <c r="N107" s="11" t="n">
        <v>1.32020207705536</v>
      </c>
      <c r="O107" s="11" t="n">
        <v>1.42539403508485</v>
      </c>
      <c r="P107" s="11" t="n">
        <v>1.52681879147474</v>
      </c>
      <c r="Q107" s="11" t="n">
        <v>1.62427742420887</v>
      </c>
      <c r="R107" s="11" t="n">
        <v>1.71768748009865</v>
      </c>
      <c r="S107" s="11" t="n">
        <v>1.80707439809485</v>
      </c>
      <c r="T107" s="11" t="n">
        <v>1.89254037055515</v>
      </c>
      <c r="U107" s="11" t="n">
        <v>1.97422630212581</v>
      </c>
      <c r="V107" s="11" t="n">
        <v>2.05230165730398</v>
      </c>
      <c r="W107" s="11" t="n">
        <v>2.12695851046874</v>
      </c>
      <c r="X107" s="11" t="n">
        <v>2.19840702390349</v>
      </c>
      <c r="Y107" s="11" t="n">
        <v>2.26687028073583</v>
      </c>
      <c r="Z107" s="11" t="n">
        <v>2.33256549449262</v>
      </c>
      <c r="AA107" s="11" t="n">
        <v>2.39569025139093</v>
      </c>
      <c r="AB107" s="11" t="n">
        <v>2.45642470484252</v>
      </c>
      <c r="AC107" s="11" t="n">
        <v>2.5149344809213</v>
      </c>
      <c r="AD107" s="11" t="n">
        <v>2.5713729595763</v>
      </c>
      <c r="AE107" s="11" t="n">
        <v>2.62587918157932</v>
      </c>
      <c r="AF107" s="11" t="n">
        <v>2.67856888292914</v>
      </c>
      <c r="AG107" s="11" t="n">
        <v>3.2214472127747</v>
      </c>
      <c r="AH107" s="11" t="n">
        <v>3.25286856328319</v>
      </c>
      <c r="AI107" s="11" t="n">
        <v>3.28285301126122</v>
      </c>
      <c r="AJ107" s="11" t="n">
        <v>3.31141641217513</v>
      </c>
      <c r="AK107" s="11" t="n">
        <v>3.33857682497784</v>
      </c>
    </row>
    <row r="108" customFormat="false" ht="15" hidden="false" customHeight="false" outlineLevel="0" collapsed="false">
      <c r="A108" s="10" t="n">
        <v>-17</v>
      </c>
      <c r="B108" s="8" t="n">
        <v>41166</v>
      </c>
      <c r="C108" s="11" t="n">
        <v>0.281820196023274</v>
      </c>
      <c r="D108" s="11" t="n">
        <v>0.343811592204145</v>
      </c>
      <c r="E108" s="11" t="n">
        <v>0.431487382510941</v>
      </c>
      <c r="F108" s="11" t="n">
        <v>0.535266691406206</v>
      </c>
      <c r="G108" s="11" t="n">
        <v>0.648695173121987</v>
      </c>
      <c r="H108" s="11" t="n">
        <v>0.767402264372856</v>
      </c>
      <c r="I108" s="11" t="n">
        <v>0.888408560965741</v>
      </c>
      <c r="J108" s="11" t="n">
        <v>1.00965102453235</v>
      </c>
      <c r="K108" s="11" t="n">
        <v>1.12968634700425</v>
      </c>
      <c r="L108" s="11" t="n">
        <v>1.24745479033222</v>
      </c>
      <c r="M108" s="11" t="n">
        <v>1.36216610677994</v>
      </c>
      <c r="N108" s="11" t="n">
        <v>1.47322369622655</v>
      </c>
      <c r="O108" s="11" t="n">
        <v>1.5801950459064</v>
      </c>
      <c r="P108" s="11" t="n">
        <v>1.68279682878707</v>
      </c>
      <c r="Q108" s="11" t="n">
        <v>1.7808856825498</v>
      </c>
      <c r="R108" s="11" t="n">
        <v>1.87444070132354</v>
      </c>
      <c r="S108" s="11" t="n">
        <v>1.9635548369339</v>
      </c>
      <c r="T108" s="11" t="n">
        <v>2.04839895292654</v>
      </c>
      <c r="U108" s="11" t="n">
        <v>2.12917682427998</v>
      </c>
      <c r="V108" s="11" t="n">
        <v>2.20611579147402</v>
      </c>
      <c r="W108" s="11" t="n">
        <v>2.27946185101026</v>
      </c>
      <c r="X108" s="11" t="n">
        <v>2.34947592419898</v>
      </c>
      <c r="Y108" s="11" t="n">
        <v>2.41642883164629</v>
      </c>
      <c r="Z108" s="11" t="n">
        <v>2.48057948728565</v>
      </c>
      <c r="AA108" s="11" t="n">
        <v>2.54215962593374</v>
      </c>
      <c r="AB108" s="11" t="n">
        <v>2.60137715837996</v>
      </c>
      <c r="AC108" s="11" t="n">
        <v>2.65842014205766</v>
      </c>
      <c r="AD108" s="11" t="n">
        <v>2.71345990797476</v>
      </c>
      <c r="AE108" s="11" t="n">
        <v>2.76664921193068</v>
      </c>
      <c r="AF108" s="11" t="n">
        <v>2.81811310238226</v>
      </c>
      <c r="AG108" s="11" t="n">
        <v>3.35232784213843</v>
      </c>
      <c r="AH108" s="11" t="n">
        <v>3.38333503925297</v>
      </c>
      <c r="AI108" s="11" t="n">
        <v>3.41288578332706</v>
      </c>
      <c r="AJ108" s="11" t="n">
        <v>3.44098586989797</v>
      </c>
      <c r="AK108" s="11" t="n">
        <v>3.46764456556477</v>
      </c>
    </row>
    <row r="109" customFormat="false" ht="15" hidden="false" customHeight="false" outlineLevel="0" collapsed="false">
      <c r="A109" s="10" t="n">
        <v>-16</v>
      </c>
      <c r="B109" s="8" t="n">
        <v>41169</v>
      </c>
      <c r="C109" s="11" t="n">
        <v>0.260090108586578</v>
      </c>
      <c r="D109" s="11" t="n">
        <v>0.321261381684548</v>
      </c>
      <c r="E109" s="11" t="n">
        <v>0.408647993397013</v>
      </c>
      <c r="F109" s="11" t="n">
        <v>0.511906351287419</v>
      </c>
      <c r="G109" s="11" t="n">
        <v>0.624360794755773</v>
      </c>
      <c r="H109" s="11" t="n">
        <v>0.741635057465234</v>
      </c>
      <c r="I109" s="11" t="n">
        <v>0.860830651741329</v>
      </c>
      <c r="J109" s="11" t="n">
        <v>0.980008012083497</v>
      </c>
      <c r="K109" s="11" t="n">
        <v>1.09785746281099</v>
      </c>
      <c r="L109" s="11" t="n">
        <v>1.21344528985505</v>
      </c>
      <c r="M109" s="11" t="n">
        <v>1.32608169761347</v>
      </c>
      <c r="N109" s="11" t="n">
        <v>1.43524054098363</v>
      </c>
      <c r="O109" s="11" t="n">
        <v>1.54052852029539</v>
      </c>
      <c r="P109" s="11" t="n">
        <v>1.64167802254858</v>
      </c>
      <c r="Q109" s="11" t="n">
        <v>1.7385444287329</v>
      </c>
      <c r="R109" s="11" t="n">
        <v>1.8310932416516</v>
      </c>
      <c r="S109" s="11" t="n">
        <v>1.91939400434615</v>
      </c>
      <c r="T109" s="11" t="n">
        <v>2.00359005083073</v>
      </c>
      <c r="U109" s="11" t="n">
        <v>2.08385978173568</v>
      </c>
      <c r="V109" s="11" t="n">
        <v>2.16040729987309</v>
      </c>
      <c r="W109" s="11" t="n">
        <v>2.23345705561562</v>
      </c>
      <c r="X109" s="11" t="n">
        <v>2.30324977737193</v>
      </c>
      <c r="Y109" s="11" t="n">
        <v>2.3700373455332</v>
      </c>
      <c r="Z109" s="11" t="n">
        <v>2.4340625191004</v>
      </c>
      <c r="AA109" s="11" t="n">
        <v>2.49554489147422</v>
      </c>
      <c r="AB109" s="11" t="n">
        <v>2.55468370514107</v>
      </c>
      <c r="AC109" s="11" t="n">
        <v>2.61166124349216</v>
      </c>
      <c r="AD109" s="11" t="n">
        <v>2.66664548521182</v>
      </c>
      <c r="AE109" s="11" t="n">
        <v>2.71978767171816</v>
      </c>
      <c r="AF109" s="11" t="n">
        <v>2.77121249999282</v>
      </c>
      <c r="AG109" s="11" t="n">
        <v>3.30585719457408</v>
      </c>
      <c r="AH109" s="11" t="n">
        <v>3.33694784562128</v>
      </c>
      <c r="AI109" s="11" t="n">
        <v>3.36657924522406</v>
      </c>
      <c r="AJ109" s="11" t="n">
        <v>3.39475460231989</v>
      </c>
      <c r="AK109" s="11" t="n">
        <v>3.42148084730785</v>
      </c>
    </row>
    <row r="110" customFormat="false" ht="15" hidden="false" customHeight="false" outlineLevel="0" collapsed="false">
      <c r="A110" s="10" t="n">
        <v>-15</v>
      </c>
      <c r="B110" s="8" t="n">
        <v>41170</v>
      </c>
      <c r="C110" s="11" t="n">
        <v>0.244435783903713</v>
      </c>
      <c r="D110" s="11" t="n">
        <v>0.301392432141499</v>
      </c>
      <c r="E110" s="11" t="n">
        <v>0.38514128396315</v>
      </c>
      <c r="F110" s="11" t="n">
        <v>0.485081640393875</v>
      </c>
      <c r="G110" s="11" t="n">
        <v>0.594433901562471</v>
      </c>
      <c r="H110" s="11" t="n">
        <v>0.708793219593378</v>
      </c>
      <c r="I110" s="11" t="n">
        <v>0.825260285512159</v>
      </c>
      <c r="J110" s="11" t="n">
        <v>0.941909350105939</v>
      </c>
      <c r="K110" s="11" t="n">
        <v>1.05743808178385</v>
      </c>
      <c r="L110" s="11" t="n">
        <v>1.17092191942919</v>
      </c>
      <c r="M110" s="11" t="n">
        <v>1.28167485401795</v>
      </c>
      <c r="N110" s="11" t="n">
        <v>1.38917151853586</v>
      </c>
      <c r="O110" s="11" t="n">
        <v>1.49301708708614</v>
      </c>
      <c r="P110" s="11" t="n">
        <v>1.59294075653206</v>
      </c>
      <c r="Q110" s="11" t="n">
        <v>1.68879342464304</v>
      </c>
      <c r="R110" s="11" t="n">
        <v>1.78053389312926</v>
      </c>
      <c r="S110" s="11" t="n">
        <v>1.86822250231798</v>
      </c>
      <c r="T110" s="11" t="n">
        <v>1.95199199676087</v>
      </c>
      <c r="U110" s="11" t="n">
        <v>2.03201041692249</v>
      </c>
      <c r="V110" s="11" t="n">
        <v>2.10847181347851</v>
      </c>
      <c r="W110" s="11" t="n">
        <v>2.18159082852183</v>
      </c>
      <c r="X110" s="11" t="n">
        <v>2.25159857726026</v>
      </c>
      <c r="Y110" s="11" t="n">
        <v>2.31873741752449</v>
      </c>
      <c r="Z110" s="11" t="n">
        <v>2.3832403379687</v>
      </c>
      <c r="AA110" s="11" t="n">
        <v>2.44531687074634</v>
      </c>
      <c r="AB110" s="11" t="n">
        <v>2.50515596921805</v>
      </c>
      <c r="AC110" s="11" t="n">
        <v>2.56292943775039</v>
      </c>
      <c r="AD110" s="11" t="n">
        <v>2.61879460549216</v>
      </c>
      <c r="AE110" s="11" t="n">
        <v>2.67289141929014</v>
      </c>
      <c r="AF110" s="11" t="n">
        <v>2.72533158712603</v>
      </c>
      <c r="AG110" s="11" t="n">
        <v>3.27322829798534</v>
      </c>
      <c r="AH110" s="11" t="n">
        <v>3.30508228389283</v>
      </c>
      <c r="AI110" s="11" t="n">
        <v>3.33542763200417</v>
      </c>
      <c r="AJ110" s="11" t="n">
        <v>3.3642686084067</v>
      </c>
      <c r="AK110" s="11" t="n">
        <v>3.39161361994189</v>
      </c>
    </row>
    <row r="111" customFormat="false" ht="15" hidden="false" customHeight="false" outlineLevel="0" collapsed="false">
      <c r="A111" s="10" t="n">
        <v>-14</v>
      </c>
      <c r="B111" s="8" t="n">
        <v>41171</v>
      </c>
      <c r="C111" s="11" t="n">
        <v>0.241218679238105</v>
      </c>
      <c r="D111" s="11" t="n">
        <v>0.293274599413264</v>
      </c>
      <c r="E111" s="11" t="n">
        <v>0.372313174231652</v>
      </c>
      <c r="F111" s="11" t="n">
        <v>0.467954468226647</v>
      </c>
      <c r="G111" s="11" t="n">
        <v>0.573477620412404</v>
      </c>
      <c r="H111" s="11" t="n">
        <v>0.684480391060158</v>
      </c>
      <c r="I111" s="11" t="n">
        <v>0.798039738197254</v>
      </c>
      <c r="J111" s="11" t="n">
        <v>0.912200593825444</v>
      </c>
      <c r="K111" s="11" t="n">
        <v>1.02562188660572</v>
      </c>
      <c r="L111" s="11" t="n">
        <v>1.13734685293941</v>
      </c>
      <c r="M111" s="11" t="n">
        <v>1.24665931795056</v>
      </c>
      <c r="N111" s="11" t="n">
        <v>1.353008419606</v>
      </c>
      <c r="O111" s="11" t="n">
        <v>1.45597855383176</v>
      </c>
      <c r="P111" s="11" t="n">
        <v>1.55528166262427</v>
      </c>
      <c r="Q111" s="11" t="n">
        <v>1.65075436935996</v>
      </c>
      <c r="R111" s="11" t="n">
        <v>1.74234241599704</v>
      </c>
      <c r="S111" s="11" t="n">
        <v>1.83009414061414</v>
      </c>
      <c r="T111" s="11" t="n">
        <v>1.91413032338373</v>
      </c>
      <c r="U111" s="11" t="n">
        <v>1.99460615011659</v>
      </c>
      <c r="V111" s="11" t="n">
        <v>2.07170207851543</v>
      </c>
      <c r="W111" s="11" t="n">
        <v>2.14561857319742</v>
      </c>
      <c r="X111" s="11" t="n">
        <v>2.21657210428339</v>
      </c>
      <c r="Y111" s="11" t="n">
        <v>2.28478989804207</v>
      </c>
      <c r="Z111" s="11" t="n">
        <v>2.35048873654719</v>
      </c>
      <c r="AA111" s="11" t="n">
        <v>2.41386067921426</v>
      </c>
      <c r="AB111" s="11" t="n">
        <v>2.47507615012084</v>
      </c>
      <c r="AC111" s="11" t="n">
        <v>2.53428754389619</v>
      </c>
      <c r="AD111" s="11" t="n">
        <v>2.59163203510505</v>
      </c>
      <c r="AE111" s="11" t="n">
        <v>2.64722857981746</v>
      </c>
      <c r="AF111" s="11" t="n">
        <v>2.70116683083923</v>
      </c>
      <c r="AG111" s="11" t="n">
        <v>3.26121164731005</v>
      </c>
      <c r="AH111" s="11" t="n">
        <v>3.2932265200648</v>
      </c>
      <c r="AI111" s="11" t="n">
        <v>3.32363366019101</v>
      </c>
      <c r="AJ111" s="11" t="n">
        <v>3.35244432446835</v>
      </c>
      <c r="AK111" s="11" t="n">
        <v>3.37967400267351</v>
      </c>
    </row>
    <row r="112" customFormat="false" ht="15" hidden="false" customHeight="false" outlineLevel="0" collapsed="false">
      <c r="A112" s="10" t="n">
        <v>-13</v>
      </c>
      <c r="B112" s="8" t="n">
        <v>41172</v>
      </c>
      <c r="C112" s="11" t="n">
        <v>0.229357919593718</v>
      </c>
      <c r="D112" s="11" t="n">
        <v>0.277978819304539</v>
      </c>
      <c r="E112" s="11" t="n">
        <v>0.353916275029526</v>
      </c>
      <c r="F112" s="11" t="n">
        <v>0.446663528299031</v>
      </c>
      <c r="G112" s="11" t="n">
        <v>0.549426865997471</v>
      </c>
      <c r="H112" s="11" t="n">
        <v>0.657773972977825</v>
      </c>
      <c r="I112" s="11" t="n">
        <v>0.768774886664382</v>
      </c>
      <c r="J112" s="11" t="n">
        <v>0.880486660923223</v>
      </c>
      <c r="K112" s="11" t="n">
        <v>0.991584413728359</v>
      </c>
      <c r="L112" s="11" t="n">
        <v>1.10113699468475</v>
      </c>
      <c r="M112" s="11" t="n">
        <v>1.20845427802099</v>
      </c>
      <c r="N112" s="11" t="n">
        <v>1.31301109650364</v>
      </c>
      <c r="O112" s="11" t="n">
        <v>1.41441339056055</v>
      </c>
      <c r="P112" s="11" t="n">
        <v>1.51238709728106</v>
      </c>
      <c r="Q112" s="11" t="n">
        <v>1.6067724805396</v>
      </c>
      <c r="R112" s="11" t="n">
        <v>1.6975074819919</v>
      </c>
      <c r="S112" s="11" t="n">
        <v>1.78462009000738</v>
      </c>
      <c r="T112" s="11" t="n">
        <v>1.86820326138266</v>
      </c>
      <c r="U112" s="11" t="n">
        <v>1.94838367396903</v>
      </c>
      <c r="V112" s="11" t="n">
        <v>2.02531314834504</v>
      </c>
      <c r="W112" s="11" t="n">
        <v>2.09916340974841</v>
      </c>
      <c r="X112" s="11" t="n">
        <v>2.1701221071116</v>
      </c>
      <c r="Y112" s="11" t="n">
        <v>2.23838789614589</v>
      </c>
      <c r="Z112" s="11" t="n">
        <v>2.30415224479394</v>
      </c>
      <c r="AA112" s="11" t="n">
        <v>2.36758729976191</v>
      </c>
      <c r="AB112" s="11" t="n">
        <v>2.42884825718358</v>
      </c>
      <c r="AC112" s="11" t="n">
        <v>2.48807618771572</v>
      </c>
      <c r="AD112" s="11" t="n">
        <v>2.54540022154904</v>
      </c>
      <c r="AE112" s="11" t="n">
        <v>2.60093446418159</v>
      </c>
      <c r="AF112" s="11" t="n">
        <v>2.65476767922113</v>
      </c>
      <c r="AG112" s="11" t="n">
        <v>3.21177174662875</v>
      </c>
      <c r="AH112" s="11" t="n">
        <v>3.24360168509696</v>
      </c>
      <c r="AI112" s="11" t="n">
        <v>3.27384833377308</v>
      </c>
      <c r="AJ112" s="11" t="n">
        <v>3.30252465170748</v>
      </c>
      <c r="AK112" s="11" t="n">
        <v>3.32964738903352</v>
      </c>
    </row>
    <row r="113" customFormat="false" ht="15" hidden="false" customHeight="false" outlineLevel="0" collapsed="false">
      <c r="A113" s="10" t="n">
        <v>-12</v>
      </c>
      <c r="B113" s="8" t="n">
        <v>41173</v>
      </c>
      <c r="C113" s="11" t="n">
        <v>0.237602612804816</v>
      </c>
      <c r="D113" s="11" t="n">
        <v>0.28916113960345</v>
      </c>
      <c r="E113" s="11" t="n">
        <v>0.368119046906115</v>
      </c>
      <c r="F113" s="11" t="n">
        <v>0.46384244628731</v>
      </c>
      <c r="G113" s="11" t="n">
        <v>0.56950455652295</v>
      </c>
      <c r="H113" s="11" t="n">
        <v>0.680665880883735</v>
      </c>
      <c r="I113" s="11" t="n">
        <v>0.794385065148193</v>
      </c>
      <c r="J113" s="11" t="n">
        <v>0.908698265606017</v>
      </c>
      <c r="K113" s="11" t="n">
        <v>1.02224561701333</v>
      </c>
      <c r="L113" s="11" t="n">
        <v>1.13406005306318</v>
      </c>
      <c r="M113" s="11" t="n">
        <v>1.24341551862296</v>
      </c>
      <c r="N113" s="11" t="n">
        <v>1.34975971511699</v>
      </c>
      <c r="O113" s="11" t="n">
        <v>1.45268244116108</v>
      </c>
      <c r="P113" s="11" t="n">
        <v>1.55190716728474</v>
      </c>
      <c r="Q113" s="11" t="n">
        <v>1.64728447376587</v>
      </c>
      <c r="R113" s="11" t="n">
        <v>1.73877285251176</v>
      </c>
      <c r="S113" s="11" t="n">
        <v>1.82643391427979</v>
      </c>
      <c r="T113" s="11" t="n">
        <v>1.91039677340517</v>
      </c>
      <c r="U113" s="11" t="n">
        <v>1.99082088228628</v>
      </c>
      <c r="V113" s="11" t="n">
        <v>2.0678879100894</v>
      </c>
      <c r="W113" s="11" t="n">
        <v>2.14179711425541</v>
      </c>
      <c r="X113" s="11" t="n">
        <v>2.21276182275462</v>
      </c>
      <c r="Y113" s="11" t="n">
        <v>2.28100441755731</v>
      </c>
      <c r="Z113" s="11" t="n">
        <v>2.34673543279067</v>
      </c>
      <c r="AA113" s="11" t="n">
        <v>2.41014026710361</v>
      </c>
      <c r="AB113" s="11" t="n">
        <v>2.471382468799</v>
      </c>
      <c r="AC113" s="11" t="n">
        <v>2.53060737755803</v>
      </c>
      <c r="AD113" s="11" t="n">
        <v>2.58794495969432</v>
      </c>
      <c r="AE113" s="11" t="n">
        <v>2.64350723542239</v>
      </c>
      <c r="AF113" s="11" t="n">
        <v>2.6973788128495</v>
      </c>
      <c r="AG113" s="11" t="n">
        <v>3.25366093524159</v>
      </c>
      <c r="AH113" s="11" t="n">
        <v>3.28526687475875</v>
      </c>
      <c r="AI113" s="11" t="n">
        <v>3.31527083670873</v>
      </c>
      <c r="AJ113" s="11" t="n">
        <v>3.34368897858366</v>
      </c>
      <c r="AK113" s="11" t="n">
        <v>3.37054123790954</v>
      </c>
    </row>
    <row r="114" customFormat="false" ht="15" hidden="false" customHeight="false" outlineLevel="0" collapsed="false">
      <c r="A114" s="10" t="n">
        <v>-11</v>
      </c>
      <c r="B114" s="8" t="n">
        <v>41176</v>
      </c>
      <c r="C114" s="11" t="n">
        <v>0.229804163000708</v>
      </c>
      <c r="D114" s="11" t="n">
        <v>0.279492724015801</v>
      </c>
      <c r="E114" s="11" t="n">
        <v>0.357246438567995</v>
      </c>
      <c r="F114" s="11" t="n">
        <v>0.452030535080394</v>
      </c>
      <c r="G114" s="11" t="n">
        <v>0.556819615754201</v>
      </c>
      <c r="H114" s="11" t="n">
        <v>0.667086867228864</v>
      </c>
      <c r="I114" s="11" t="n">
        <v>0.779863558270228</v>
      </c>
      <c r="J114" s="11" t="n">
        <v>0.893190527096429</v>
      </c>
      <c r="K114" s="11" t="n">
        <v>1.00573382222497</v>
      </c>
      <c r="L114" s="11" t="n">
        <v>1.11655915438026</v>
      </c>
      <c r="M114" s="11" t="n">
        <v>1.22497513858683</v>
      </c>
      <c r="N114" s="11" t="n">
        <v>1.33046095085411</v>
      </c>
      <c r="O114" s="11" t="n">
        <v>1.43263253861797</v>
      </c>
      <c r="P114" s="11" t="n">
        <v>1.53123424585154</v>
      </c>
      <c r="Q114" s="11" t="n">
        <v>1.62613036214702</v>
      </c>
      <c r="R114" s="11" t="n">
        <v>1.71728663475891</v>
      </c>
      <c r="S114" s="11" t="n">
        <v>1.8047663189912</v>
      </c>
      <c r="T114" s="11" t="n">
        <v>1.88869533553772</v>
      </c>
      <c r="U114" s="11" t="n">
        <v>1.96922747381188</v>
      </c>
      <c r="V114" s="11" t="n">
        <v>2.04653692874029</v>
      </c>
      <c r="W114" s="11" t="n">
        <v>2.12081404961412</v>
      </c>
      <c r="X114" s="11" t="n">
        <v>2.19226210910412</v>
      </c>
      <c r="Y114" s="11" t="n">
        <v>2.26109253851585</v>
      </c>
      <c r="Z114" s="11" t="n">
        <v>2.32750473767706</v>
      </c>
      <c r="AA114" s="11" t="n">
        <v>2.39167343528041</v>
      </c>
      <c r="AB114" s="11" t="n">
        <v>2.45375195275866</v>
      </c>
      <c r="AC114" s="11" t="n">
        <v>2.5138757721614</v>
      </c>
      <c r="AD114" s="11" t="n">
        <v>2.572165310357</v>
      </c>
      <c r="AE114" s="11" t="n">
        <v>2.62872335569872</v>
      </c>
      <c r="AF114" s="11" t="n">
        <v>2.68362584484105</v>
      </c>
      <c r="AG114" s="11" t="n">
        <v>3.25347514175319</v>
      </c>
      <c r="AH114" s="11" t="n">
        <v>3.28596588281282</v>
      </c>
      <c r="AI114" s="11" t="n">
        <v>3.31681515905992</v>
      </c>
      <c r="AJ114" s="11" t="n">
        <v>3.34603713371075</v>
      </c>
      <c r="AK114" s="11" t="n">
        <v>3.37365016794346</v>
      </c>
    </row>
    <row r="115" customFormat="false" ht="15" hidden="false" customHeight="false" outlineLevel="0" collapsed="false">
      <c r="A115" s="10" t="n">
        <v>-10</v>
      </c>
      <c r="B115" s="8" t="n">
        <v>41177</v>
      </c>
      <c r="C115" s="11" t="n">
        <v>0.224989180691357</v>
      </c>
      <c r="D115" s="11" t="n">
        <v>0.273937499437669</v>
      </c>
      <c r="E115" s="11" t="n">
        <v>0.351184084116499</v>
      </c>
      <c r="F115" s="11" t="n">
        <v>0.445817316990132</v>
      </c>
      <c r="G115" s="11" t="n">
        <v>0.550834966214498</v>
      </c>
      <c r="H115" s="11" t="n">
        <v>0.661677188447619</v>
      </c>
      <c r="I115" s="11" t="n">
        <v>0.775308939085714</v>
      </c>
      <c r="J115" s="11" t="n">
        <v>0.889687881344627</v>
      </c>
      <c r="K115" s="11" t="n">
        <v>1.00339674579667</v>
      </c>
      <c r="L115" s="11" t="n">
        <v>1.11542476176103</v>
      </c>
      <c r="M115" s="11" t="n">
        <v>1.22501469723303</v>
      </c>
      <c r="N115" s="11" t="n">
        <v>1.33159058947084</v>
      </c>
      <c r="O115" s="11" t="n">
        <v>1.43472574972238</v>
      </c>
      <c r="P115" s="11" t="n">
        <v>1.53413349959424</v>
      </c>
      <c r="Q115" s="11" t="n">
        <v>1.62965576991665</v>
      </c>
      <c r="R115" s="11" t="n">
        <v>1.72124332542902</v>
      </c>
      <c r="S115" s="11" t="n">
        <v>1.80894930661773</v>
      </c>
      <c r="T115" s="11" t="n">
        <v>1.89289386565483</v>
      </c>
      <c r="U115" s="11" t="n">
        <v>1.97323112747103</v>
      </c>
      <c r="V115" s="11" t="n">
        <v>2.05014061631094</v>
      </c>
      <c r="W115" s="11" t="n">
        <v>2.12382196420937</v>
      </c>
      <c r="X115" s="11" t="n">
        <v>2.19449088929753</v>
      </c>
      <c r="Y115" s="11" t="n">
        <v>2.26237387646248</v>
      </c>
      <c r="Z115" s="11" t="n">
        <v>2.32768821843584</v>
      </c>
      <c r="AA115" s="11" t="n">
        <v>2.3906296034903</v>
      </c>
      <c r="AB115" s="11" t="n">
        <v>2.45137491561332</v>
      </c>
      <c r="AC115" s="11" t="n">
        <v>2.51008536855462</v>
      </c>
      <c r="AD115" s="11" t="n">
        <v>2.56690892622589</v>
      </c>
      <c r="AE115" s="11" t="n">
        <v>2.62197739881021</v>
      </c>
      <c r="AF115" s="11" t="n">
        <v>2.67539698215165</v>
      </c>
      <c r="AG115" s="11" t="n">
        <v>3.23541852287671</v>
      </c>
      <c r="AH115" s="11" t="n">
        <v>3.26803047663771</v>
      </c>
      <c r="AI115" s="11" t="n">
        <v>3.2990892003225</v>
      </c>
      <c r="AJ115" s="11" t="n">
        <v>3.32859623342796</v>
      </c>
      <c r="AK115" s="11" t="n">
        <v>3.35655783312591</v>
      </c>
    </row>
    <row r="116" customFormat="false" ht="15" hidden="false" customHeight="false" outlineLevel="0" collapsed="false">
      <c r="A116" s="10" t="n">
        <v>-9</v>
      </c>
      <c r="B116" s="8" t="n">
        <v>41178</v>
      </c>
      <c r="C116" s="11" t="n">
        <v>0.195969596686805</v>
      </c>
      <c r="D116" s="11" t="n">
        <v>0.23194206833559</v>
      </c>
      <c r="E116" s="11" t="n">
        <v>0.297159464679694</v>
      </c>
      <c r="F116" s="11" t="n">
        <v>0.380681145567912</v>
      </c>
      <c r="G116" s="11" t="n">
        <v>0.475373364956966</v>
      </c>
      <c r="H116" s="11" t="n">
        <v>0.576583666622107</v>
      </c>
      <c r="I116" s="11" t="n">
        <v>0.681247389842832</v>
      </c>
      <c r="J116" s="11" t="n">
        <v>0.787344071632235</v>
      </c>
      <c r="K116" s="11" t="n">
        <v>0.893514008193452</v>
      </c>
      <c r="L116" s="11" t="n">
        <v>0.998805784122906</v>
      </c>
      <c r="M116" s="11" t="n">
        <v>1.10251137649797</v>
      </c>
      <c r="N116" s="11" t="n">
        <v>1.20408206208763</v>
      </c>
      <c r="O116" s="11" t="n">
        <v>1.30309331688234</v>
      </c>
      <c r="P116" s="11" t="n">
        <v>1.39923870413337</v>
      </c>
      <c r="Q116" s="11" t="n">
        <v>1.49232079351621</v>
      </c>
      <c r="R116" s="11" t="n">
        <v>1.58223672880468</v>
      </c>
      <c r="S116" s="11" t="n">
        <v>1.66897308706133</v>
      </c>
      <c r="T116" s="11" t="n">
        <v>1.75257815040569</v>
      </c>
      <c r="U116" s="11" t="n">
        <v>1.83313659732224</v>
      </c>
      <c r="V116" s="11" t="n">
        <v>1.91076085394982</v>
      </c>
      <c r="W116" s="11" t="n">
        <v>1.98558531332022</v>
      </c>
      <c r="X116" s="11" t="n">
        <v>2.05776194183736</v>
      </c>
      <c r="Y116" s="11" t="n">
        <v>2.12745499371017</v>
      </c>
      <c r="Z116" s="11" t="n">
        <v>2.19482358255582</v>
      </c>
      <c r="AA116" s="11" t="n">
        <v>2.26001088635418</v>
      </c>
      <c r="AB116" s="11" t="n">
        <v>2.3231461373335</v>
      </c>
      <c r="AC116" s="11" t="n">
        <v>2.38434694626229</v>
      </c>
      <c r="AD116" s="11" t="n">
        <v>2.4437210647869</v>
      </c>
      <c r="AE116" s="11" t="n">
        <v>2.50136285014437</v>
      </c>
      <c r="AF116" s="11" t="n">
        <v>2.55734331031266</v>
      </c>
      <c r="AG116" s="11" t="n">
        <v>3.14035001048702</v>
      </c>
      <c r="AH116" s="11" t="n">
        <v>3.17373734289689</v>
      </c>
      <c r="AI116" s="11" t="n">
        <v>3.20545118788656</v>
      </c>
      <c r="AJ116" s="11" t="n">
        <v>3.23550224871515</v>
      </c>
      <c r="AK116" s="11" t="n">
        <v>3.26390595221832</v>
      </c>
    </row>
    <row r="117" customFormat="false" ht="15" hidden="false" customHeight="false" outlineLevel="0" collapsed="false">
      <c r="A117" s="10" t="n">
        <v>-8</v>
      </c>
      <c r="B117" s="8" t="n">
        <v>41179</v>
      </c>
      <c r="C117" s="11" t="n">
        <v>0.201235418220916</v>
      </c>
      <c r="D117" s="11" t="n">
        <v>0.240382839314794</v>
      </c>
      <c r="E117" s="11" t="n">
        <v>0.309335512023474</v>
      </c>
      <c r="F117" s="11" t="n">
        <v>0.396807877836311</v>
      </c>
      <c r="G117" s="11" t="n">
        <v>0.495449852492204</v>
      </c>
      <c r="H117" s="11" t="n">
        <v>0.600466410277169</v>
      </c>
      <c r="I117" s="11" t="n">
        <v>0.708694371917465</v>
      </c>
      <c r="J117" s="11" t="n">
        <v>0.818046149005655</v>
      </c>
      <c r="K117" s="11" t="n">
        <v>0.927120644026795</v>
      </c>
      <c r="L117" s="11" t="n">
        <v>1.03494545196217</v>
      </c>
      <c r="M117" s="11" t="n">
        <v>1.14081065603074</v>
      </c>
      <c r="N117" s="11" t="n">
        <v>1.24418037024274</v>
      </c>
      <c r="O117" s="11" t="n">
        <v>1.34465548059538</v>
      </c>
      <c r="P117" s="11" t="n">
        <v>1.44196302972415</v>
      </c>
      <c r="Q117" s="11" t="n">
        <v>1.53594336633047</v>
      </c>
      <c r="R117" s="11" t="n">
        <v>1.62653402922325</v>
      </c>
      <c r="S117" s="11" t="n">
        <v>1.71376412552804</v>
      </c>
      <c r="T117" s="11" t="n">
        <v>1.79772232645976</v>
      </c>
      <c r="U117" s="11" t="n">
        <v>1.87852827111823</v>
      </c>
      <c r="V117" s="11" t="n">
        <v>1.95632486894816</v>
      </c>
      <c r="W117" s="11" t="n">
        <v>2.03127345175064</v>
      </c>
      <c r="X117" s="11" t="n">
        <v>2.1035500890091</v>
      </c>
      <c r="Y117" s="11" t="n">
        <v>2.17334050990807</v>
      </c>
      <c r="Z117" s="11" t="n">
        <v>2.2408207439832</v>
      </c>
      <c r="AA117" s="11" t="n">
        <v>2.30614543274203</v>
      </c>
      <c r="AB117" s="11" t="n">
        <v>2.3694506639678</v>
      </c>
      <c r="AC117" s="11" t="n">
        <v>2.43085706400676</v>
      </c>
      <c r="AD117" s="11" t="n">
        <v>2.49047216863373</v>
      </c>
      <c r="AE117" s="11" t="n">
        <v>2.5483870425213</v>
      </c>
      <c r="AF117" s="11" t="n">
        <v>2.60466613530216</v>
      </c>
      <c r="AG117" s="11" t="n">
        <v>3.19044289509199</v>
      </c>
      <c r="AH117" s="11" t="n">
        <v>3.22383672965282</v>
      </c>
      <c r="AI117" s="11" t="n">
        <v>3.25553231490507</v>
      </c>
      <c r="AJ117" s="11" t="n">
        <v>3.28554368231535</v>
      </c>
      <c r="AK117" s="11" t="n">
        <v>3.31388950823788</v>
      </c>
    </row>
    <row r="118" customFormat="false" ht="15" hidden="false" customHeight="false" outlineLevel="0" collapsed="false">
      <c r="A118" s="10" t="n">
        <v>-7</v>
      </c>
      <c r="B118" s="8" t="n">
        <v>41180</v>
      </c>
      <c r="C118" s="11" t="n">
        <v>0.191643228466981</v>
      </c>
      <c r="D118" s="11" t="n">
        <v>0.228414730521555</v>
      </c>
      <c r="E118" s="11" t="n">
        <v>0.296411036016123</v>
      </c>
      <c r="F118" s="11" t="n">
        <v>0.383904620508691</v>
      </c>
      <c r="G118" s="11" t="n">
        <v>0.483173017826395</v>
      </c>
      <c r="H118" s="11" t="n">
        <v>0.589158832271258</v>
      </c>
      <c r="I118" s="11" t="n">
        <v>0.698520954913836</v>
      </c>
      <c r="J118" s="11" t="n">
        <v>0.809043199489307</v>
      </c>
      <c r="K118" s="11" t="n">
        <v>0.919237936472386</v>
      </c>
      <c r="L118" s="11" t="n">
        <v>1.02807228386904</v>
      </c>
      <c r="M118" s="11" t="n">
        <v>1.13480577044644</v>
      </c>
      <c r="N118" s="11" t="n">
        <v>1.23889552175546</v>
      </c>
      <c r="O118" s="11" t="n">
        <v>1.33995508509343</v>
      </c>
      <c r="P118" s="11" t="n">
        <v>1.43773424370771</v>
      </c>
      <c r="Q118" s="11" t="n">
        <v>1.53210041782782</v>
      </c>
      <c r="R118" s="11" t="n">
        <v>1.6230190719674</v>
      </c>
      <c r="S118" s="11" t="n">
        <v>1.71054713661712</v>
      </c>
      <c r="T118" s="11" t="n">
        <v>1.7947984288377</v>
      </c>
      <c r="U118" s="11" t="n">
        <v>1.87591128694699</v>
      </c>
      <c r="V118" s="11" t="n">
        <v>1.95404204346338</v>
      </c>
      <c r="W118" s="11" t="n">
        <v>2.02936127631408</v>
      </c>
      <c r="X118" s="11" t="n">
        <v>2.10205095937479</v>
      </c>
      <c r="Y118" s="11" t="n">
        <v>2.17229976457752</v>
      </c>
      <c r="Z118" s="11" t="n">
        <v>2.24028305972518</v>
      </c>
      <c r="AA118" s="11" t="n">
        <v>2.30615145861638</v>
      </c>
      <c r="AB118" s="11" t="n">
        <v>2.37003425452952</v>
      </c>
      <c r="AC118" s="11" t="n">
        <v>2.43204297364276</v>
      </c>
      <c r="AD118" s="11" t="n">
        <v>2.49227411565854</v>
      </c>
      <c r="AE118" s="11" t="n">
        <v>2.55080638032995</v>
      </c>
      <c r="AF118" s="11" t="n">
        <v>2.60769187999162</v>
      </c>
      <c r="AG118" s="11" t="n">
        <v>3.19687414085884</v>
      </c>
      <c r="AH118" s="11" t="n">
        <v>3.23013020969114</v>
      </c>
      <c r="AI118" s="11" t="n">
        <v>3.26164957235854</v>
      </c>
      <c r="AJ118" s="11" t="n">
        <v>3.29145280722707</v>
      </c>
      <c r="AK118" s="11" t="n">
        <v>3.31956496314407</v>
      </c>
    </row>
    <row r="119" customFormat="false" ht="15" hidden="false" customHeight="false" outlineLevel="0" collapsed="false">
      <c r="A119" s="10" t="n">
        <v>-6</v>
      </c>
      <c r="B119" s="8" t="n">
        <v>41183</v>
      </c>
      <c r="C119" s="11" t="n">
        <v>0.194078528299505</v>
      </c>
      <c r="D119" s="11" t="n">
        <v>0.230644228344784</v>
      </c>
      <c r="E119" s="11" t="n">
        <v>0.298834120002713</v>
      </c>
      <c r="F119" s="11" t="n">
        <v>0.387016789795947</v>
      </c>
      <c r="G119" s="11" t="n">
        <v>0.48738725912321</v>
      </c>
      <c r="H119" s="11" t="n">
        <v>0.594768154846586</v>
      </c>
      <c r="I119" s="11" t="n">
        <v>0.705701103622733</v>
      </c>
      <c r="J119" s="11" t="n">
        <v>0.81786273941077</v>
      </c>
      <c r="K119" s="11" t="n">
        <v>0.929674395325828</v>
      </c>
      <c r="L119" s="11" t="n">
        <v>1.04002794692644</v>
      </c>
      <c r="M119" s="11" t="n">
        <v>1.14812578156356</v>
      </c>
      <c r="N119" s="11" t="n">
        <v>1.25338442298762</v>
      </c>
      <c r="O119" s="11" t="n">
        <v>1.35539271197779</v>
      </c>
      <c r="P119" s="11" t="n">
        <v>1.45388816181892</v>
      </c>
      <c r="Q119" s="11" t="n">
        <v>1.54873644078965</v>
      </c>
      <c r="R119" s="11" t="n">
        <v>1.63990984871467</v>
      </c>
      <c r="S119" s="11" t="n">
        <v>1.72747931278643</v>
      </c>
      <c r="T119" s="11" t="n">
        <v>1.81157691769107</v>
      </c>
      <c r="U119" s="11" t="n">
        <v>1.89236096021553</v>
      </c>
      <c r="V119" s="11" t="n">
        <v>1.97000897682944</v>
      </c>
      <c r="W119" s="11" t="n">
        <v>2.04471373541801</v>
      </c>
      <c r="X119" s="11" t="n">
        <v>2.11668018850788</v>
      </c>
      <c r="Y119" s="11" t="n">
        <v>2.18612034511174</v>
      </c>
      <c r="Z119" s="11" t="n">
        <v>2.25323142583611</v>
      </c>
      <c r="AA119" s="11" t="n">
        <v>2.31818354892383</v>
      </c>
      <c r="AB119" s="11" t="n">
        <v>2.38112351616223</v>
      </c>
      <c r="AC119" s="11" t="n">
        <v>2.44217869895907</v>
      </c>
      <c r="AD119" s="11" t="n">
        <v>2.50146003088189</v>
      </c>
      <c r="AE119" s="11" t="n">
        <v>2.55905892483449</v>
      </c>
      <c r="AF119" s="11" t="n">
        <v>2.61503771021804</v>
      </c>
      <c r="AG119" s="11" t="n">
        <v>3.19634940321507</v>
      </c>
      <c r="AH119" s="11" t="n">
        <v>3.22927719857644</v>
      </c>
      <c r="AI119" s="11" t="n">
        <v>3.26049761978072</v>
      </c>
      <c r="AJ119" s="11" t="n">
        <v>3.29002953869148</v>
      </c>
      <c r="AK119" s="11" t="n">
        <v>3.31789647848304</v>
      </c>
    </row>
    <row r="120" customFormat="false" ht="15" hidden="false" customHeight="false" outlineLevel="0" collapsed="false">
      <c r="A120" s="10" t="n">
        <v>-5</v>
      </c>
      <c r="B120" s="8" t="n">
        <v>41184</v>
      </c>
      <c r="C120" s="11" t="n">
        <v>0.180344915564228</v>
      </c>
      <c r="D120" s="11" t="n">
        <v>0.212254300649126</v>
      </c>
      <c r="E120" s="11" t="n">
        <v>0.276531674081838</v>
      </c>
      <c r="F120" s="11" t="n">
        <v>0.361728013261658</v>
      </c>
      <c r="G120" s="11" t="n">
        <v>0.45999259591893</v>
      </c>
      <c r="H120" s="11" t="n">
        <v>0.566033205108618</v>
      </c>
      <c r="I120" s="11" t="n">
        <v>0.676265174382249</v>
      </c>
      <c r="J120" s="11" t="n">
        <v>0.788243517217385</v>
      </c>
      <c r="K120" s="11" t="n">
        <v>0.900278413832334</v>
      </c>
      <c r="L120" s="11" t="n">
        <v>1.01116140881082</v>
      </c>
      <c r="M120" s="11" t="n">
        <v>1.12000794849524</v>
      </c>
      <c r="N120" s="11" t="n">
        <v>1.22616050321601</v>
      </c>
      <c r="O120" s="11" t="n">
        <v>1.32914702745058</v>
      </c>
      <c r="P120" s="11" t="n">
        <v>1.42865514383796</v>
      </c>
      <c r="Q120" s="11" t="n">
        <v>1.52451196089817</v>
      </c>
      <c r="R120" s="11" t="n">
        <v>1.6166623911961</v>
      </c>
      <c r="S120" s="11" t="n">
        <v>1.70516055486418</v>
      </c>
      <c r="T120" s="11" t="n">
        <v>1.79012951545894</v>
      </c>
      <c r="U120" s="11" t="n">
        <v>1.87172366198313</v>
      </c>
      <c r="V120" s="11" t="n">
        <v>1.95012059221263</v>
      </c>
      <c r="W120" s="11" t="n">
        <v>2.0255162775354</v>
      </c>
      <c r="X120" s="11" t="n">
        <v>2.09812138761577</v>
      </c>
      <c r="Y120" s="11" t="n">
        <v>2.16815546164838</v>
      </c>
      <c r="Z120" s="11" t="n">
        <v>2.23582345335364</v>
      </c>
      <c r="AA120" s="11" t="n">
        <v>2.30130264161872</v>
      </c>
      <c r="AB120" s="11" t="n">
        <v>2.36474648752483</v>
      </c>
      <c r="AC120" s="11" t="n">
        <v>2.42628860398151</v>
      </c>
      <c r="AD120" s="11" t="n">
        <v>2.48604580002377</v>
      </c>
      <c r="AE120" s="11" t="n">
        <v>2.54411458089318</v>
      </c>
      <c r="AF120" s="11" t="n">
        <v>2.60056082089069</v>
      </c>
      <c r="AG120" s="11" t="n">
        <v>3.18807545184355</v>
      </c>
      <c r="AH120" s="11" t="n">
        <v>3.22148141079027</v>
      </c>
      <c r="AI120" s="11" t="n">
        <v>3.25317644259019</v>
      </c>
      <c r="AJ120" s="11" t="n">
        <v>3.28317827662689</v>
      </c>
      <c r="AK120" s="11" t="n">
        <v>3.31150931527707</v>
      </c>
    </row>
    <row r="121" customFormat="false" ht="15" hidden="false" customHeight="false" outlineLevel="0" collapsed="false">
      <c r="A121" s="10" t="n">
        <v>-4</v>
      </c>
      <c r="B121" s="8" t="n">
        <v>41185</v>
      </c>
      <c r="C121" s="11" t="n">
        <v>0.165914004716879</v>
      </c>
      <c r="D121" s="11" t="n">
        <v>0.194782871249543</v>
      </c>
      <c r="E121" s="11" t="n">
        <v>0.256633201040331</v>
      </c>
      <c r="F121" s="11" t="n">
        <v>0.339844604861929</v>
      </c>
      <c r="G121" s="11" t="n">
        <v>0.436476860343566</v>
      </c>
      <c r="H121" s="11" t="n">
        <v>0.541196773875215</v>
      </c>
      <c r="I121" s="11" t="n">
        <v>0.650401665500084</v>
      </c>
      <c r="J121" s="11" t="n">
        <v>0.761633576131538</v>
      </c>
      <c r="K121" s="11" t="n">
        <v>0.873189179132604</v>
      </c>
      <c r="L121" s="11" t="n">
        <v>0.983838044645311</v>
      </c>
      <c r="M121" s="11" t="n">
        <v>1.09266572216506</v>
      </c>
      <c r="N121" s="11" t="n">
        <v>1.19897705776778</v>
      </c>
      <c r="O121" s="11" t="n">
        <v>1.30225900555772</v>
      </c>
      <c r="P121" s="11" t="n">
        <v>1.40215960831651</v>
      </c>
      <c r="Q121" s="11" t="n">
        <v>1.49847275913133</v>
      </c>
      <c r="R121" s="11" t="n">
        <v>1.59111858303773</v>
      </c>
      <c r="S121" s="11" t="n">
        <v>1.68013645601264</v>
      </c>
      <c r="T121" s="11" t="n">
        <v>1.76564135322605</v>
      </c>
      <c r="U121" s="11" t="n">
        <v>1.84778239008056</v>
      </c>
      <c r="V121" s="11" t="n">
        <v>1.92673397828098</v>
      </c>
      <c r="W121" s="11" t="n">
        <v>2.00269055577141</v>
      </c>
      <c r="X121" s="11" t="n">
        <v>2.07586258072944</v>
      </c>
      <c r="Y121" s="11" t="n">
        <v>2.14647022822628</v>
      </c>
      <c r="Z121" s="11" t="n">
        <v>2.21471852250028</v>
      </c>
      <c r="AA121" s="11" t="n">
        <v>2.28078364229017</v>
      </c>
      <c r="AB121" s="11" t="n">
        <v>2.34481695532199</v>
      </c>
      <c r="AC121" s="11" t="n">
        <v>2.40694915347789</v>
      </c>
      <c r="AD121" s="11" t="n">
        <v>2.46729342453597</v>
      </c>
      <c r="AE121" s="11" t="n">
        <v>2.52594197651599</v>
      </c>
      <c r="AF121" s="11" t="n">
        <v>2.58295580034247</v>
      </c>
      <c r="AG121" s="11" t="n">
        <v>3.17518739839165</v>
      </c>
      <c r="AH121" s="11" t="n">
        <v>3.20872627256947</v>
      </c>
      <c r="AI121" s="11" t="n">
        <v>3.24052876646114</v>
      </c>
      <c r="AJ121" s="11" t="n">
        <v>3.27061507656802</v>
      </c>
      <c r="AK121" s="11" t="n">
        <v>3.29901000716761</v>
      </c>
    </row>
    <row r="122" customFormat="false" ht="15" hidden="false" customHeight="false" outlineLevel="0" collapsed="false">
      <c r="A122" s="10" t="n">
        <v>-3</v>
      </c>
      <c r="B122" s="8" t="n">
        <v>41186</v>
      </c>
      <c r="C122" s="11" t="n">
        <v>0.171129380405037</v>
      </c>
      <c r="D122" s="11" t="n">
        <v>0.201041743536271</v>
      </c>
      <c r="E122" s="11" t="n">
        <v>0.2638656262529</v>
      </c>
      <c r="F122" s="11" t="n">
        <v>0.348057346444986</v>
      </c>
      <c r="G122" s="11" t="n">
        <v>0.445700109659295</v>
      </c>
      <c r="H122" s="11" t="n">
        <v>0.551462512331232</v>
      </c>
      <c r="I122" s="11" t="n">
        <v>0.661731391747274</v>
      </c>
      <c r="J122" s="11" t="n">
        <v>0.774030237425126</v>
      </c>
      <c r="K122" s="11" t="n">
        <v>0.886633659340965</v>
      </c>
      <c r="L122" s="11" t="n">
        <v>0.998287303805544</v>
      </c>
      <c r="M122" s="11" t="n">
        <v>1.10805529497838</v>
      </c>
      <c r="N122" s="11" t="n">
        <v>1.21522393299356</v>
      </c>
      <c r="O122" s="11" t="n">
        <v>1.3192645748073</v>
      </c>
      <c r="P122" s="11" t="n">
        <v>1.41981170393692</v>
      </c>
      <c r="Q122" s="11" t="n">
        <v>1.51664909821285</v>
      </c>
      <c r="R122" s="11" t="n">
        <v>1.60969092816778</v>
      </c>
      <c r="S122" s="11" t="n">
        <v>1.69897424828205</v>
      </c>
      <c r="T122" s="11" t="n">
        <v>1.78461549817043</v>
      </c>
      <c r="U122" s="11" t="n">
        <v>1.86676917401901</v>
      </c>
      <c r="V122" s="11" t="n">
        <v>1.94561821402301</v>
      </c>
      <c r="W122" s="11" t="n">
        <v>2.02136807296825</v>
      </c>
      <c r="X122" s="11" t="n">
        <v>2.09424221800495</v>
      </c>
      <c r="Y122" s="11" t="n">
        <v>2.16447529097292</v>
      </c>
      <c r="Z122" s="11" t="n">
        <v>2.23228724338073</v>
      </c>
      <c r="AA122" s="11" t="n">
        <v>2.29786924351913</v>
      </c>
      <c r="AB122" s="11" t="n">
        <v>2.36138769900613</v>
      </c>
      <c r="AC122" s="11" t="n">
        <v>2.42298838356573</v>
      </c>
      <c r="AD122" s="11" t="n">
        <v>2.48279957867917</v>
      </c>
      <c r="AE122" s="11" t="n">
        <v>2.54092787476768</v>
      </c>
      <c r="AF122" s="11" t="n">
        <v>2.5974466606094</v>
      </c>
      <c r="AG122" s="11" t="n">
        <v>3.18812162786828</v>
      </c>
      <c r="AH122" s="11" t="n">
        <v>3.22192068512339</v>
      </c>
      <c r="AI122" s="11" t="n">
        <v>3.25401869772405</v>
      </c>
      <c r="AJ122" s="11" t="n">
        <v>3.28443040945629</v>
      </c>
      <c r="AK122" s="11" t="n">
        <v>3.3131753580807</v>
      </c>
    </row>
    <row r="123" customFormat="false" ht="15" hidden="false" customHeight="false" outlineLevel="0" collapsed="false">
      <c r="A123" s="10" t="n">
        <v>-2</v>
      </c>
      <c r="B123" s="8" t="n">
        <v>41187</v>
      </c>
      <c r="C123" s="11" t="n">
        <v>0.199833021041183</v>
      </c>
      <c r="D123" s="11" t="n">
        <v>0.236999164569162</v>
      </c>
      <c r="E123" s="11" t="n">
        <v>0.305343758509841</v>
      </c>
      <c r="F123" s="11" t="n">
        <v>0.393905970846684</v>
      </c>
      <c r="G123" s="11" t="n">
        <v>0.495166120589798</v>
      </c>
      <c r="H123" s="11" t="n">
        <v>0.60404828130704</v>
      </c>
      <c r="I123" s="11" t="n">
        <v>0.717094406986446</v>
      </c>
      <c r="J123" s="11" t="n">
        <v>0.831918602961144</v>
      </c>
      <c r="K123" s="11" t="n">
        <v>0.946834568531587</v>
      </c>
      <c r="L123" s="11" t="n">
        <v>1.0606070057576</v>
      </c>
      <c r="M123" s="11" t="n">
        <v>1.1723061051635</v>
      </c>
      <c r="N123" s="11" t="n">
        <v>1.28122163511959</v>
      </c>
      <c r="O123" s="11" t="n">
        <v>1.38682624380741</v>
      </c>
      <c r="P123" s="11" t="n">
        <v>1.48875509043967</v>
      </c>
      <c r="Q123" s="11" t="n">
        <v>1.58679580473872</v>
      </c>
      <c r="R123" s="11" t="n">
        <v>1.6808686697044</v>
      </c>
      <c r="S123" s="11" t="n">
        <v>1.77102125798906</v>
      </c>
      <c r="T123" s="11" t="n">
        <v>1.85738285737932</v>
      </c>
      <c r="U123" s="11" t="n">
        <v>1.94012097608913</v>
      </c>
      <c r="V123" s="11" t="n">
        <v>2.01943167243466</v>
      </c>
      <c r="W123" s="11" t="n">
        <v>2.09553360689638</v>
      </c>
      <c r="X123" s="11" t="n">
        <v>2.16866352024466</v>
      </c>
      <c r="Y123" s="11" t="n">
        <v>2.23906906655873</v>
      </c>
      <c r="Z123" s="11" t="n">
        <v>2.30698189193578</v>
      </c>
      <c r="AA123" s="11" t="n">
        <v>2.37260361749006</v>
      </c>
      <c r="AB123" s="11" t="n">
        <v>2.43611011690968</v>
      </c>
      <c r="AC123" s="11" t="n">
        <v>2.49765580769422</v>
      </c>
      <c r="AD123" s="11" t="n">
        <v>2.5573769044676</v>
      </c>
      <c r="AE123" s="11" t="n">
        <v>2.61538707354187</v>
      </c>
      <c r="AF123" s="11" t="n">
        <v>2.67176605951445</v>
      </c>
      <c r="AG123" s="11" t="n">
        <v>3.26061923619461</v>
      </c>
      <c r="AH123" s="11" t="n">
        <v>3.29435656154634</v>
      </c>
      <c r="AI123" s="11" t="n">
        <v>3.32640546497826</v>
      </c>
      <c r="AJ123" s="11" t="n">
        <v>3.35677927291793</v>
      </c>
      <c r="AK123" s="11" t="n">
        <v>3.3854959441265</v>
      </c>
    </row>
    <row r="124" customFormat="false" ht="15" hidden="false" customHeight="false" outlineLevel="0" collapsed="false">
      <c r="A124" s="10" t="n">
        <v>-1</v>
      </c>
      <c r="B124" s="8" t="n">
        <v>41190</v>
      </c>
      <c r="C124" s="11" t="n">
        <v>0.181145712160865</v>
      </c>
      <c r="D124" s="11" t="n">
        <v>0.212796488980728</v>
      </c>
      <c r="E124" s="11" t="n">
        <v>0.276798825355662</v>
      </c>
      <c r="F124" s="11" t="n">
        <v>0.362009759251071</v>
      </c>
      <c r="G124" s="11" t="n">
        <v>0.460723109759586</v>
      </c>
      <c r="H124" s="11" t="n">
        <v>0.567698422794521</v>
      </c>
      <c r="I124" s="11" t="n">
        <v>0.679336761293335</v>
      </c>
      <c r="J124" s="11" t="n">
        <v>0.793141749779315</v>
      </c>
      <c r="K124" s="11" t="n">
        <v>0.907336593004423</v>
      </c>
      <c r="L124" s="11" t="n">
        <v>1.02062116348913</v>
      </c>
      <c r="M124" s="11" t="n">
        <v>1.13201504146226</v>
      </c>
      <c r="N124" s="11" t="n">
        <v>1.24076991686022</v>
      </c>
      <c r="O124" s="11" t="n">
        <v>1.34632980015573</v>
      </c>
      <c r="P124" s="11" t="n">
        <v>1.44830910030806</v>
      </c>
      <c r="Q124" s="11" t="n">
        <v>1.54648120153772</v>
      </c>
      <c r="R124" s="11" t="n">
        <v>1.64075600945815</v>
      </c>
      <c r="S124" s="11" t="n">
        <v>1.7311738015818</v>
      </c>
      <c r="T124" s="11" t="n">
        <v>1.81785804027759</v>
      </c>
      <c r="U124" s="11" t="n">
        <v>1.90097081970673</v>
      </c>
      <c r="V124" s="11" t="n">
        <v>1.98070309241309</v>
      </c>
      <c r="W124" s="11" t="n">
        <v>2.05726865716015</v>
      </c>
      <c r="X124" s="11" t="n">
        <v>2.13089958804062</v>
      </c>
      <c r="Y124" s="11" t="n">
        <v>2.20183896219987</v>
      </c>
      <c r="Z124" s="11" t="n">
        <v>2.27031383357432</v>
      </c>
      <c r="AA124" s="11" t="n">
        <v>2.33652136018689</v>
      </c>
      <c r="AB124" s="11" t="n">
        <v>2.4006330830714</v>
      </c>
      <c r="AC124" s="11" t="n">
        <v>2.46279919577073</v>
      </c>
      <c r="AD124" s="11" t="n">
        <v>2.52315178039546</v>
      </c>
      <c r="AE124" s="11" t="n">
        <v>2.58180062044586</v>
      </c>
      <c r="AF124" s="11" t="n">
        <v>2.63882232045935</v>
      </c>
      <c r="AG124" s="11" t="n">
        <v>3.23555294027974</v>
      </c>
      <c r="AH124" s="11" t="n">
        <v>3.26980783767792</v>
      </c>
      <c r="AI124" s="11" t="n">
        <v>3.30235486672378</v>
      </c>
      <c r="AJ124" s="11" t="n">
        <v>3.33320620425287</v>
      </c>
      <c r="AK124" s="11" t="n">
        <v>3.36237883368499</v>
      </c>
    </row>
    <row r="125" customFormat="false" ht="15" hidden="false" customHeight="false" outlineLevel="0" collapsed="false">
      <c r="A125" s="10" t="n">
        <v>0</v>
      </c>
      <c r="B125" s="8" t="n">
        <v>41191</v>
      </c>
      <c r="C125" s="11" t="n">
        <v>0.181359674087034</v>
      </c>
      <c r="D125" s="11" t="n">
        <v>0.213381237323385</v>
      </c>
      <c r="E125" s="11" t="n">
        <v>0.277603109437817</v>
      </c>
      <c r="F125" s="11" t="n">
        <v>0.362838376311636</v>
      </c>
      <c r="G125" s="11" t="n">
        <v>0.461400492092175</v>
      </c>
      <c r="H125" s="11" t="n">
        <v>0.568086693586098</v>
      </c>
      <c r="I125" s="11" t="n">
        <v>0.679337354356493</v>
      </c>
      <c r="J125" s="11" t="n">
        <v>0.792695772804326</v>
      </c>
      <c r="K125" s="11" t="n">
        <v>0.906415457074245</v>
      </c>
      <c r="L125" s="11" t="n">
        <v>1.01922233780018</v>
      </c>
      <c r="M125" s="11" t="n">
        <v>1.13015130246061</v>
      </c>
      <c r="N125" s="11" t="n">
        <v>1.23846080512969</v>
      </c>
      <c r="O125" s="11" t="n">
        <v>1.34359358354787</v>
      </c>
      <c r="P125" s="11" t="n">
        <v>1.44515754223814</v>
      </c>
      <c r="Q125" s="11" t="n">
        <v>1.54291668480746</v>
      </c>
      <c r="R125" s="11" t="n">
        <v>1.63676949860457</v>
      </c>
      <c r="S125" s="11" t="n">
        <v>1.72674259415613</v>
      </c>
      <c r="T125" s="11" t="n">
        <v>1.81294644944215</v>
      </c>
      <c r="U125" s="11" t="n">
        <v>1.89553354112844</v>
      </c>
      <c r="V125" s="11" t="n">
        <v>1.97468801240837</v>
      </c>
      <c r="W125" s="11" t="n">
        <v>2.05061907580969</v>
      </c>
      <c r="X125" s="11" t="n">
        <v>2.12355599757844</v>
      </c>
      <c r="Y125" s="11" t="n">
        <v>2.19374066688339</v>
      </c>
      <c r="Z125" s="11" t="n">
        <v>2.26140183472098</v>
      </c>
      <c r="AA125" s="11" t="n">
        <v>2.3267419607754</v>
      </c>
      <c r="AB125" s="11" t="n">
        <v>2.38994095016899</v>
      </c>
      <c r="AC125" s="11" t="n">
        <v>2.45115991255585</v>
      </c>
      <c r="AD125" s="11" t="n">
        <v>2.51054398300149</v>
      </c>
      <c r="AE125" s="11" t="n">
        <v>2.56821784078189</v>
      </c>
      <c r="AF125" s="11" t="n">
        <v>2.62427478036347</v>
      </c>
      <c r="AG125" s="11" t="n">
        <v>3.21504789081839</v>
      </c>
      <c r="AH125" s="11" t="n">
        <v>3.24947485658237</v>
      </c>
      <c r="AI125" s="11" t="n">
        <v>3.28225814330448</v>
      </c>
      <c r="AJ125" s="11" t="n">
        <v>3.31339943604011</v>
      </c>
      <c r="AK125" s="11" t="n">
        <v>3.34290544634486</v>
      </c>
    </row>
    <row r="126" customFormat="false" ht="15" hidden="false" customHeight="false" outlineLevel="0" collapsed="false">
      <c r="A126" s="10" t="n">
        <v>1</v>
      </c>
      <c r="B126" s="8" t="n">
        <v>41192</v>
      </c>
      <c r="C126" s="11" t="n">
        <v>0.211960036439147</v>
      </c>
      <c r="D126" s="11" t="n">
        <v>0.249214084018722</v>
      </c>
      <c r="E126" s="11" t="n">
        <v>0.316740058166771</v>
      </c>
      <c r="F126" s="11" t="n">
        <v>0.404053703557181</v>
      </c>
      <c r="G126" s="11" t="n">
        <v>0.503913211048846</v>
      </c>
      <c r="H126" s="11" t="n">
        <v>0.611384053348974</v>
      </c>
      <c r="I126" s="11" t="n">
        <v>0.723065079134484</v>
      </c>
      <c r="J126" s="11" t="n">
        <v>0.836592808100783</v>
      </c>
      <c r="K126" s="11" t="n">
        <v>0.95026798371225</v>
      </c>
      <c r="L126" s="11" t="n">
        <v>1.06284766036826</v>
      </c>
      <c r="M126" s="11" t="n">
        <v>1.17338738216418</v>
      </c>
      <c r="N126" s="11" t="n">
        <v>1.28116551713407</v>
      </c>
      <c r="O126" s="11" t="n">
        <v>1.38564547118888</v>
      </c>
      <c r="P126" s="11" t="n">
        <v>1.48645571299801</v>
      </c>
      <c r="Q126" s="11" t="n">
        <v>1.58337900681333</v>
      </c>
      <c r="R126" s="11" t="n">
        <v>1.6763286876987</v>
      </c>
      <c r="S126" s="11" t="n">
        <v>1.76534104621198</v>
      </c>
      <c r="T126" s="11" t="n">
        <v>1.85053303226206</v>
      </c>
      <c r="U126" s="11" t="n">
        <v>1.93206258905625</v>
      </c>
      <c r="V126" s="11" t="n">
        <v>2.01011863744065</v>
      </c>
      <c r="W126" s="11" t="n">
        <v>2.08491462222542</v>
      </c>
      <c r="X126" s="11" t="n">
        <v>2.1566836054998</v>
      </c>
      <c r="Y126" s="11" t="n">
        <v>2.22567101866991</v>
      </c>
      <c r="Z126" s="11" t="n">
        <v>2.29210992621521</v>
      </c>
      <c r="AA126" s="11" t="n">
        <v>2.35620855864351</v>
      </c>
      <c r="AB126" s="11" t="n">
        <v>2.41815385404662</v>
      </c>
      <c r="AC126" s="11" t="n">
        <v>2.47811500683635</v>
      </c>
      <c r="AD126" s="11" t="n">
        <v>2.53624611805844</v>
      </c>
      <c r="AE126" s="11" t="n">
        <v>2.59268170225029</v>
      </c>
      <c r="AF126" s="11" t="n">
        <v>2.64752603010573</v>
      </c>
      <c r="AG126" s="11" t="n">
        <v>3.22851130752593</v>
      </c>
      <c r="AH126" s="11" t="n">
        <v>3.26273033589807</v>
      </c>
      <c r="AI126" s="11" t="n">
        <v>3.29537121087703</v>
      </c>
      <c r="AJ126" s="11" t="n">
        <v>3.32643034480248</v>
      </c>
      <c r="AK126" s="11" t="n">
        <v>3.3559091683176</v>
      </c>
    </row>
    <row r="127" customFormat="false" ht="15" hidden="false" customHeight="false" outlineLevel="0" collapsed="false">
      <c r="A127" s="10" t="n">
        <v>2</v>
      </c>
      <c r="B127" s="8" t="n">
        <v>41193</v>
      </c>
      <c r="C127" s="11" t="n">
        <v>0.218844938170815</v>
      </c>
      <c r="D127" s="11" t="n">
        <v>0.257175009633198</v>
      </c>
      <c r="E127" s="11" t="n">
        <v>0.326284325612887</v>
      </c>
      <c r="F127" s="11" t="n">
        <v>0.415413674341383</v>
      </c>
      <c r="G127" s="11" t="n">
        <v>0.51710219981105</v>
      </c>
      <c r="H127" s="11" t="n">
        <v>0.626273028365989</v>
      </c>
      <c r="I127" s="11" t="n">
        <v>0.739441515255541</v>
      </c>
      <c r="J127" s="11" t="n">
        <v>0.854201863864571</v>
      </c>
      <c r="K127" s="11" t="n">
        <v>0.968839144785267</v>
      </c>
      <c r="L127" s="11" t="n">
        <v>1.08211694729333</v>
      </c>
      <c r="M127" s="11" t="n">
        <v>1.19311154905639</v>
      </c>
      <c r="N127" s="11" t="n">
        <v>1.30113378078082</v>
      </c>
      <c r="O127" s="11" t="n">
        <v>1.40568504131691</v>
      </c>
      <c r="P127" s="11" t="n">
        <v>1.50643223344961</v>
      </c>
      <c r="Q127" s="11" t="n">
        <v>1.60319271368996</v>
      </c>
      <c r="R127" s="11" t="n">
        <v>1.69590791719877</v>
      </c>
      <c r="S127" s="11" t="n">
        <v>1.78463461243134</v>
      </c>
      <c r="T127" s="11" t="n">
        <v>1.86950460480601</v>
      </c>
      <c r="U127" s="11" t="n">
        <v>1.95068741871038</v>
      </c>
      <c r="V127" s="11" t="n">
        <v>2.02838106856691</v>
      </c>
      <c r="W127" s="11" t="n">
        <v>2.10280612340901</v>
      </c>
      <c r="X127" s="11" t="n">
        <v>2.17420119382076</v>
      </c>
      <c r="Y127" s="11" t="n">
        <v>2.24281591945881</v>
      </c>
      <c r="Z127" s="11" t="n">
        <v>2.30888637521312</v>
      </c>
      <c r="AA127" s="11" t="n">
        <v>2.37262292441197</v>
      </c>
      <c r="AB127" s="11" t="n">
        <v>2.43421393052901</v>
      </c>
      <c r="AC127" s="11" t="n">
        <v>2.49382942382561</v>
      </c>
      <c r="AD127" s="11" t="n">
        <v>2.55162382840624</v>
      </c>
      <c r="AE127" s="11" t="n">
        <v>2.60773111981017</v>
      </c>
      <c r="AF127" s="11" t="n">
        <v>2.66225363014712</v>
      </c>
      <c r="AG127" s="11" t="n">
        <v>3.23863432483278</v>
      </c>
      <c r="AH127" s="11" t="n">
        <v>3.27245439902981</v>
      </c>
      <c r="AI127" s="11" t="n">
        <v>3.3046985822434</v>
      </c>
      <c r="AJ127" s="11" t="n">
        <v>3.33536602538624</v>
      </c>
      <c r="AK127" s="11" t="n">
        <v>3.36446059191003</v>
      </c>
    </row>
    <row r="128" customFormat="false" ht="15" hidden="false" customHeight="false" outlineLevel="0" collapsed="false">
      <c r="A128" s="10" t="n">
        <v>3</v>
      </c>
      <c r="B128" s="8" t="n">
        <v>41194</v>
      </c>
      <c r="C128" s="11" t="n">
        <v>0.187626201824788</v>
      </c>
      <c r="D128" s="11" t="n">
        <v>0.218841575830865</v>
      </c>
      <c r="E128" s="11" t="n">
        <v>0.283309743408167</v>
      </c>
      <c r="F128" s="11" t="n">
        <v>0.369277203383898</v>
      </c>
      <c r="G128" s="11" t="n">
        <v>0.468661167318708</v>
      </c>
      <c r="H128" s="11" t="n">
        <v>0.576021080612304</v>
      </c>
      <c r="I128" s="11" t="n">
        <v>0.68766843496464</v>
      </c>
      <c r="J128" s="11" t="n">
        <v>0.801085133361475</v>
      </c>
      <c r="K128" s="11" t="n">
        <v>0.914505362501885</v>
      </c>
      <c r="L128" s="11" t="n">
        <v>1.02666774504862</v>
      </c>
      <c r="M128" s="11" t="n">
        <v>1.13663961536211</v>
      </c>
      <c r="N128" s="11" t="n">
        <v>1.24373198576678</v>
      </c>
      <c r="O128" s="11" t="n">
        <v>1.34745096941203</v>
      </c>
      <c r="P128" s="11" t="n">
        <v>1.44747450657375</v>
      </c>
      <c r="Q128" s="11" t="n">
        <v>1.54363095533061</v>
      </c>
      <c r="R128" s="11" t="n">
        <v>1.63587102085859</v>
      </c>
      <c r="S128" s="11" t="n">
        <v>1.72425853188639</v>
      </c>
      <c r="T128" s="11" t="n">
        <v>1.80892646846004</v>
      </c>
      <c r="U128" s="11" t="n">
        <v>1.89004165941698</v>
      </c>
      <c r="V128" s="11" t="n">
        <v>1.9677964982901</v>
      </c>
      <c r="W128" s="11" t="n">
        <v>2.04240361732953</v>
      </c>
      <c r="X128" s="11" t="n">
        <v>2.11409183673939</v>
      </c>
      <c r="Y128" s="11" t="n">
        <v>2.18309930299896</v>
      </c>
      <c r="Z128" s="11" t="n">
        <v>2.2496489147896</v>
      </c>
      <c r="AA128" s="11" t="n">
        <v>2.31393680694368</v>
      </c>
      <c r="AB128" s="11" t="n">
        <v>2.37613629846382</v>
      </c>
      <c r="AC128" s="11" t="n">
        <v>2.43640169516123</v>
      </c>
      <c r="AD128" s="11" t="n">
        <v>2.49487110993468</v>
      </c>
      <c r="AE128" s="11" t="n">
        <v>2.55166168931182</v>
      </c>
      <c r="AF128" s="11" t="n">
        <v>2.60685898854271</v>
      </c>
      <c r="AG128" s="11" t="n">
        <v>3.18668076396929</v>
      </c>
      <c r="AH128" s="11" t="n">
        <v>3.22029884640401</v>
      </c>
      <c r="AI128" s="11" t="n">
        <v>3.2523010053744</v>
      </c>
      <c r="AJ128" s="11" t="n">
        <v>3.28269508406645</v>
      </c>
      <c r="AK128" s="11" t="n">
        <v>3.31149329474546</v>
      </c>
    </row>
    <row r="129" customFormat="false" ht="15" hidden="false" customHeight="false" outlineLevel="0" collapsed="false">
      <c r="A129" s="10" t="n">
        <v>4</v>
      </c>
      <c r="B129" s="8" t="n">
        <v>41197</v>
      </c>
      <c r="C129" s="11" t="n">
        <v>0.213722015264344</v>
      </c>
      <c r="D129" s="11" t="n">
        <v>0.248514448225886</v>
      </c>
      <c r="E129" s="11" t="n">
        <v>0.315220653166824</v>
      </c>
      <c r="F129" s="11" t="n">
        <v>0.402644844416242</v>
      </c>
      <c r="G129" s="11" t="n">
        <v>0.503034004007891</v>
      </c>
      <c r="H129" s="11" t="n">
        <v>0.611133948917113</v>
      </c>
      <c r="I129" s="11" t="n">
        <v>0.723359751995019</v>
      </c>
      <c r="J129" s="11" t="n">
        <v>0.837244999674655</v>
      </c>
      <c r="K129" s="11" t="n">
        <v>0.951048222489368</v>
      </c>
      <c r="L129" s="11" t="n">
        <v>1.06351785869281</v>
      </c>
      <c r="M129" s="11" t="n">
        <v>1.17372567738753</v>
      </c>
      <c r="N129" s="11" t="n">
        <v>1.28098450903421</v>
      </c>
      <c r="O129" s="11" t="n">
        <v>1.38480217257157</v>
      </c>
      <c r="P129" s="11" t="n">
        <v>1.4848588243765</v>
      </c>
      <c r="Q129" s="11" t="n">
        <v>1.58098404891904</v>
      </c>
      <c r="R129" s="11" t="n">
        <v>1.67312962966794</v>
      </c>
      <c r="S129" s="11" t="n">
        <v>1.76136038479311</v>
      </c>
      <c r="T129" s="11" t="n">
        <v>1.8458098988151</v>
      </c>
      <c r="U129" s="11" t="n">
        <v>1.92664629141547</v>
      </c>
      <c r="V129" s="11" t="n">
        <v>2.00406385108518</v>
      </c>
      <c r="W129" s="11" t="n">
        <v>2.07827758328924</v>
      </c>
      <c r="X129" s="11" t="n">
        <v>2.14951906379168</v>
      </c>
      <c r="Y129" s="11" t="n">
        <v>2.21802953153729</v>
      </c>
      <c r="Z129" s="11" t="n">
        <v>2.28403574738415</v>
      </c>
      <c r="AA129" s="11" t="n">
        <v>2.34773881524988</v>
      </c>
      <c r="AB129" s="11" t="n">
        <v>2.40931797360496</v>
      </c>
      <c r="AC129" s="11" t="n">
        <v>2.46893423971397</v>
      </c>
      <c r="AD129" s="11" t="n">
        <v>2.52673310432843</v>
      </c>
      <c r="AE129" s="11" t="n">
        <v>2.58283987292651</v>
      </c>
      <c r="AF129" s="11" t="n">
        <v>2.63734948311149</v>
      </c>
      <c r="AG129" s="11" t="n">
        <v>3.21133595390432</v>
      </c>
      <c r="AH129" s="11" t="n">
        <v>3.24485889053404</v>
      </c>
      <c r="AI129" s="11" t="n">
        <v>3.27681337613292</v>
      </c>
      <c r="AJ129" s="11" t="n">
        <v>3.30720442135822</v>
      </c>
      <c r="AK129" s="11" t="n">
        <v>3.33604131595559</v>
      </c>
    </row>
    <row r="130" customFormat="false" ht="15" hidden="false" customHeight="false" outlineLevel="0" collapsed="false">
      <c r="A130" s="10" t="n">
        <v>5</v>
      </c>
      <c r="B130" s="8" t="n">
        <v>41198</v>
      </c>
      <c r="C130" s="11" t="n">
        <v>0.247234400115909</v>
      </c>
      <c r="D130" s="11" t="n">
        <v>0.289627977257112</v>
      </c>
      <c r="E130" s="11" t="n">
        <v>0.361658722963267</v>
      </c>
      <c r="F130" s="11" t="n">
        <v>0.452887180423696</v>
      </c>
      <c r="G130" s="11" t="n">
        <v>0.556087555805027</v>
      </c>
      <c r="H130" s="11" t="n">
        <v>0.666347538439193</v>
      </c>
      <c r="I130" s="11" t="n">
        <v>0.780300500597992</v>
      </c>
      <c r="J130" s="11" t="n">
        <v>0.895617030398387</v>
      </c>
      <c r="K130" s="11" t="n">
        <v>1.01064340607796</v>
      </c>
      <c r="L130" s="11" t="n">
        <v>1.1241826129732</v>
      </c>
      <c r="M130" s="11" t="n">
        <v>1.23534217102584</v>
      </c>
      <c r="N130" s="11" t="n">
        <v>1.34345615546906</v>
      </c>
      <c r="O130" s="11" t="n">
        <v>1.44804479986209</v>
      </c>
      <c r="P130" s="11" t="n">
        <v>1.54879474316737</v>
      </c>
      <c r="Q130" s="11" t="n">
        <v>1.64553873387452</v>
      </c>
      <c r="R130" s="11" t="n">
        <v>1.7382317340202</v>
      </c>
      <c r="S130" s="11" t="n">
        <v>1.82694251766766</v>
      </c>
      <c r="T130" s="11" t="n">
        <v>1.91180745444177</v>
      </c>
      <c r="U130" s="11" t="n">
        <v>1.99299609897631</v>
      </c>
      <c r="V130" s="11" t="n">
        <v>2.07070311785289</v>
      </c>
      <c r="W130" s="11" t="n">
        <v>2.14514305794512</v>
      </c>
      <c r="X130" s="11" t="n">
        <v>2.21654636685404</v>
      </c>
      <c r="Y130" s="11" t="n">
        <v>2.28515269150685</v>
      </c>
      <c r="Z130" s="11" t="n">
        <v>2.3511875970452</v>
      </c>
      <c r="AA130" s="11" t="n">
        <v>2.4148519524123</v>
      </c>
      <c r="AB130" s="11" t="n">
        <v>2.47632559677303</v>
      </c>
      <c r="AC130" s="11" t="n">
        <v>2.53577084447702</v>
      </c>
      <c r="AD130" s="11" t="n">
        <v>2.59333509145486</v>
      </c>
      <c r="AE130" s="11" t="n">
        <v>2.64914689407974</v>
      </c>
      <c r="AF130" s="11" t="n">
        <v>2.70330726257264</v>
      </c>
      <c r="AG130" s="11" t="n">
        <v>3.27148824235215</v>
      </c>
      <c r="AH130" s="11" t="n">
        <v>3.30467935109754</v>
      </c>
      <c r="AI130" s="11" t="n">
        <v>3.33633404504639</v>
      </c>
      <c r="AJ130" s="11" t="n">
        <v>3.36645783026702</v>
      </c>
      <c r="AK130" s="11" t="n">
        <v>3.39506008457601</v>
      </c>
    </row>
    <row r="131" customFormat="false" ht="15" hidden="false" customHeight="false" outlineLevel="0" collapsed="false">
      <c r="A131" s="10" t="n">
        <v>6</v>
      </c>
      <c r="B131" s="8" t="n">
        <v>41199</v>
      </c>
      <c r="C131" s="11" t="n">
        <v>0.273542520945721</v>
      </c>
      <c r="D131" s="11" t="n">
        <v>0.330293321186166</v>
      </c>
      <c r="E131" s="11" t="n">
        <v>0.414808216623022</v>
      </c>
      <c r="F131" s="11" t="n">
        <v>0.516513290530801</v>
      </c>
      <c r="G131" s="11" t="n">
        <v>0.628295458336528</v>
      </c>
      <c r="H131" s="11" t="n">
        <v>0.745449161306493</v>
      </c>
      <c r="I131" s="11" t="n">
        <v>0.864848456461698</v>
      </c>
      <c r="J131" s="11" t="n">
        <v>0.984404429009259</v>
      </c>
      <c r="K131" s="11" t="n">
        <v>1.10268951696415</v>
      </c>
      <c r="L131" s="11" t="n">
        <v>1.21870059931905</v>
      </c>
      <c r="M131" s="11" t="n">
        <v>1.33170836797116</v>
      </c>
      <c r="N131" s="11" t="n">
        <v>1.4411759563646</v>
      </c>
      <c r="O131" s="11" t="n">
        <v>1.54672196717491</v>
      </c>
      <c r="P131" s="11" t="n">
        <v>1.64810608677058</v>
      </c>
      <c r="Q131" s="11" t="n">
        <v>1.7452153907254</v>
      </c>
      <c r="R131" s="11" t="n">
        <v>1.83804803561596</v>
      </c>
      <c r="S131" s="11" t="n">
        <v>1.92670784444027</v>
      </c>
      <c r="T131" s="11" t="n">
        <v>2.01135867477676</v>
      </c>
      <c r="U131" s="11" t="n">
        <v>2.09219192427381</v>
      </c>
      <c r="V131" s="11" t="n">
        <v>2.16941971406057</v>
      </c>
      <c r="W131" s="11" t="n">
        <v>2.24327057135506</v>
      </c>
      <c r="X131" s="11" t="n">
        <v>2.3139861444558</v>
      </c>
      <c r="Y131" s="11" t="n">
        <v>2.38181506100162</v>
      </c>
      <c r="Z131" s="11" t="n">
        <v>2.44699051127141</v>
      </c>
      <c r="AA131" s="11" t="n">
        <v>2.50972030495644</v>
      </c>
      <c r="AB131" s="11" t="n">
        <v>2.57019068580101</v>
      </c>
      <c r="AC131" s="11" t="n">
        <v>2.6285699259269</v>
      </c>
      <c r="AD131" s="11" t="n">
        <v>2.68501101522814</v>
      </c>
      <c r="AE131" s="11" t="n">
        <v>2.73964823272715</v>
      </c>
      <c r="AF131" s="11" t="n">
        <v>2.79258934404496</v>
      </c>
      <c r="AG131" s="11" t="n">
        <v>3.34383742288783</v>
      </c>
      <c r="AH131" s="11" t="n">
        <v>3.37581454441476</v>
      </c>
      <c r="AI131" s="11" t="n">
        <v>3.40628589114955</v>
      </c>
      <c r="AJ131" s="11" t="n">
        <v>3.43525975649517</v>
      </c>
      <c r="AK131" s="11" t="n">
        <v>3.46274805480164</v>
      </c>
    </row>
    <row r="132" customFormat="false" ht="15" hidden="false" customHeight="false" outlineLevel="0" collapsed="false">
      <c r="A132" s="10" t="n">
        <v>7</v>
      </c>
      <c r="B132" s="8" t="n">
        <v>41200</v>
      </c>
      <c r="C132" s="11" t="n">
        <v>0.27733676547298</v>
      </c>
      <c r="D132" s="11" t="n">
        <v>0.333775969179843</v>
      </c>
      <c r="E132" s="11" t="n">
        <v>0.418285915331309</v>
      </c>
      <c r="F132" s="11" t="n">
        <v>0.520230863882529</v>
      </c>
      <c r="G132" s="11" t="n">
        <v>0.632392960457173</v>
      </c>
      <c r="H132" s="11" t="n">
        <v>0.74997347974141</v>
      </c>
      <c r="I132" s="11" t="n">
        <v>0.869776115412125</v>
      </c>
      <c r="J132" s="11" t="n">
        <v>0.989660946804943</v>
      </c>
      <c r="K132" s="11" t="n">
        <v>1.10816735273105</v>
      </c>
      <c r="L132" s="11" t="n">
        <v>1.22427293115656</v>
      </c>
      <c r="M132" s="11" t="n">
        <v>1.33724367739903</v>
      </c>
      <c r="N132" s="11" t="n">
        <v>1.44654841274867</v>
      </c>
      <c r="O132" s="11" t="n">
        <v>1.5518182904291</v>
      </c>
      <c r="P132" s="11" t="n">
        <v>1.6528267347192</v>
      </c>
      <c r="Q132" s="11" t="n">
        <v>1.74947249691103</v>
      </c>
      <c r="R132" s="11" t="n">
        <v>1.84176353375468</v>
      </c>
      <c r="S132" s="11" t="n">
        <v>1.92981013042643</v>
      </c>
      <c r="T132" s="11" t="n">
        <v>2.0137803934905</v>
      </c>
      <c r="U132" s="11" t="n">
        <v>2.09386975283463</v>
      </c>
      <c r="V132" s="11" t="n">
        <v>2.17029427555734</v>
      </c>
      <c r="W132" s="11" t="n">
        <v>2.24328636654906</v>
      </c>
      <c r="X132" s="11" t="n">
        <v>2.31309149681759</v>
      </c>
      <c r="Y132" s="11" t="n">
        <v>2.37996207263044</v>
      </c>
      <c r="Z132" s="11" t="n">
        <v>2.44413532823852</v>
      </c>
      <c r="AA132" s="11" t="n">
        <v>2.50582366575825</v>
      </c>
      <c r="AB132" s="11" t="n">
        <v>2.5652184003283</v>
      </c>
      <c r="AC132" s="11" t="n">
        <v>2.6224932746059</v>
      </c>
      <c r="AD132" s="11" t="n">
        <v>2.67780707185617</v>
      </c>
      <c r="AE132" s="11" t="n">
        <v>2.73129993388431</v>
      </c>
      <c r="AF132" s="11" t="n">
        <v>2.78308530405571</v>
      </c>
      <c r="AG132" s="11" t="n">
        <v>3.32003302605005</v>
      </c>
      <c r="AH132" s="11" t="n">
        <v>3.35104451271839</v>
      </c>
      <c r="AI132" s="11" t="n">
        <v>3.38057729948538</v>
      </c>
      <c r="AJ132" s="11" t="n">
        <v>3.4086413031972</v>
      </c>
      <c r="AK132" s="11" t="n">
        <v>3.43524992605238</v>
      </c>
    </row>
    <row r="133" customFormat="false" ht="15" hidden="false" customHeight="false" outlineLevel="0" collapsed="false">
      <c r="A133" s="10" t="n">
        <v>8</v>
      </c>
      <c r="B133" s="8" t="n">
        <v>41201</v>
      </c>
      <c r="C133" s="11" t="n">
        <v>0.256528397724909</v>
      </c>
      <c r="D133" s="11" t="n">
        <v>0.308183965090269</v>
      </c>
      <c r="E133" s="11" t="n">
        <v>0.389204232173593</v>
      </c>
      <c r="F133" s="11" t="n">
        <v>0.488674293349687</v>
      </c>
      <c r="G133" s="11" t="n">
        <v>0.599159979112118</v>
      </c>
      <c r="H133" s="11" t="n">
        <v>0.715689111082016</v>
      </c>
      <c r="I133" s="11" t="n">
        <v>0.834919599421506</v>
      </c>
      <c r="J133" s="11" t="n">
        <v>0.954585473863086</v>
      </c>
      <c r="K133" s="11" t="n">
        <v>1.0731285874079</v>
      </c>
      <c r="L133" s="11" t="n">
        <v>1.18944505883854</v>
      </c>
      <c r="M133" s="11" t="n">
        <v>1.30273952056088</v>
      </c>
      <c r="N133" s="11" t="n">
        <v>1.41243494411441</v>
      </c>
      <c r="O133" s="11" t="n">
        <v>1.51813221051419</v>
      </c>
      <c r="P133" s="11" t="n">
        <v>1.6195856316211</v>
      </c>
      <c r="Q133" s="11" t="n">
        <v>1.71668634297919</v>
      </c>
      <c r="R133" s="11" t="n">
        <v>1.80944399898673</v>
      </c>
      <c r="S133" s="11" t="n">
        <v>1.89797913550929</v>
      </c>
      <c r="T133" s="11" t="n">
        <v>1.98247349693569</v>
      </c>
      <c r="U133" s="11" t="n">
        <v>2.06313545574831</v>
      </c>
      <c r="V133" s="11" t="n">
        <v>2.14019338068851</v>
      </c>
      <c r="W133" s="11" t="n">
        <v>2.21389147086938</v>
      </c>
      <c r="X133" s="11" t="n">
        <v>2.28448658341334</v>
      </c>
      <c r="Y133" s="11" t="n">
        <v>2.35224142433418</v>
      </c>
      <c r="Z133" s="11" t="n">
        <v>2.41739933752364</v>
      </c>
      <c r="AA133" s="11" t="n">
        <v>2.48017393705256</v>
      </c>
      <c r="AB133" s="11" t="n">
        <v>2.54075366785928</v>
      </c>
      <c r="AC133" s="11" t="n">
        <v>2.59930600060506</v>
      </c>
      <c r="AD133" s="11" t="n">
        <v>2.65598053573783</v>
      </c>
      <c r="AE133" s="11" t="n">
        <v>2.71090466532843</v>
      </c>
      <c r="AF133" s="11" t="n">
        <v>2.76417455650529</v>
      </c>
      <c r="AG133" s="11" t="n">
        <v>3.31743846897417</v>
      </c>
      <c r="AH133" s="11" t="n">
        <v>3.34912997082024</v>
      </c>
      <c r="AI133" s="11" t="n">
        <v>3.37925190519894</v>
      </c>
      <c r="AJ133" s="11" t="n">
        <v>3.40781825577782</v>
      </c>
      <c r="AK133" s="11" t="n">
        <v>3.43484703469814</v>
      </c>
    </row>
    <row r="134" customFormat="false" ht="15" hidden="false" customHeight="false" outlineLevel="0" collapsed="false">
      <c r="A134" s="10" t="n">
        <v>9</v>
      </c>
      <c r="B134" s="8" t="n">
        <v>41204</v>
      </c>
      <c r="C134" s="11" t="n">
        <v>0.266778569541717</v>
      </c>
      <c r="D134" s="11" t="n">
        <v>0.322990232794261</v>
      </c>
      <c r="E134" s="11" t="n">
        <v>0.407170660590096</v>
      </c>
      <c r="F134" s="11" t="n">
        <v>0.508824378188463</v>
      </c>
      <c r="G134" s="11" t="n">
        <v>0.620830249571146</v>
      </c>
      <c r="H134" s="11" t="n">
        <v>0.738424815578474</v>
      </c>
      <c r="I134" s="11" t="n">
        <v>0.858402506421419</v>
      </c>
      <c r="J134" s="11" t="n">
        <v>0.978582943154793</v>
      </c>
      <c r="K134" s="11" t="n">
        <v>1.09746386905846</v>
      </c>
      <c r="L134" s="11" t="n">
        <v>1.21397868882375</v>
      </c>
      <c r="M134" s="11" t="n">
        <v>1.32736056805504</v>
      </c>
      <c r="N134" s="11" t="n">
        <v>1.43705590995486</v>
      </c>
      <c r="O134" s="11" t="n">
        <v>1.54268664810099</v>
      </c>
      <c r="P134" s="11" t="n">
        <v>1.64402567553722</v>
      </c>
      <c r="Q134" s="11" t="n">
        <v>1.74098141848785</v>
      </c>
      <c r="R134" s="11" t="n">
        <v>1.83357971222125</v>
      </c>
      <c r="S134" s="11" t="n">
        <v>1.92195685040925</v>
      </c>
      <c r="T134" s="11" t="n">
        <v>2.00630859505368</v>
      </c>
      <c r="U134" s="11" t="n">
        <v>2.08685470304538</v>
      </c>
      <c r="V134" s="11" t="n">
        <v>2.16383283069784</v>
      </c>
      <c r="W134" s="11" t="n">
        <v>2.23749480470077</v>
      </c>
      <c r="X134" s="11" t="n">
        <v>2.30810378079576</v>
      </c>
      <c r="Y134" s="11" t="n">
        <v>2.37592738023857</v>
      </c>
      <c r="Z134" s="11" t="n">
        <v>2.44121138782342</v>
      </c>
      <c r="AA134" s="11" t="n">
        <v>2.50416922861488</v>
      </c>
      <c r="AB134" s="11" t="n">
        <v>2.56498696924199</v>
      </c>
      <c r="AC134" s="11" t="n">
        <v>2.62382787763749</v>
      </c>
      <c r="AD134" s="11" t="n">
        <v>2.68083579269062</v>
      </c>
      <c r="AE134" s="11" t="n">
        <v>2.73613045618852</v>
      </c>
      <c r="AF134" s="11" t="n">
        <v>2.78979797330099</v>
      </c>
      <c r="AG134" s="11" t="n">
        <v>3.34633839671514</v>
      </c>
      <c r="AH134" s="11" t="n">
        <v>3.37797149809848</v>
      </c>
      <c r="AI134" s="11" t="n">
        <v>3.40799392356628</v>
      </c>
      <c r="AJ134" s="11" t="n">
        <v>3.43642393730087</v>
      </c>
      <c r="AK134" s="11" t="n">
        <v>3.46328400318926</v>
      </c>
    </row>
    <row r="135" customFormat="false" ht="15" hidden="false" customHeight="false" outlineLevel="0" collapsed="false">
      <c r="A135" s="10" t="n">
        <v>10</v>
      </c>
      <c r="B135" s="8" t="n">
        <v>41205</v>
      </c>
      <c r="C135" s="11" t="n">
        <v>0.236427657784858</v>
      </c>
      <c r="D135" s="11" t="n">
        <v>0.283938317425797</v>
      </c>
      <c r="E135" s="11" t="n">
        <v>0.361012310320369</v>
      </c>
      <c r="F135" s="11" t="n">
        <v>0.456825801078758</v>
      </c>
      <c r="G135" s="11" t="n">
        <v>0.563946840575704</v>
      </c>
      <c r="H135" s="11" t="n">
        <v>0.677382089444526</v>
      </c>
      <c r="I135" s="11" t="n">
        <v>0.793766230784696</v>
      </c>
      <c r="J135" s="11" t="n">
        <v>0.910816170131353</v>
      </c>
      <c r="K135" s="11" t="n">
        <v>1.02696750662193</v>
      </c>
      <c r="L135" s="11" t="n">
        <v>1.14111358250718</v>
      </c>
      <c r="M135" s="11" t="n">
        <v>1.25246093548227</v>
      </c>
      <c r="N135" s="11" t="n">
        <v>1.36043555042836</v>
      </c>
      <c r="O135" s="11" t="n">
        <v>1.46464229053396</v>
      </c>
      <c r="P135" s="11" t="n">
        <v>1.56483781276827</v>
      </c>
      <c r="Q135" s="11" t="n">
        <v>1.66091338017996</v>
      </c>
      <c r="R135" s="11" t="n">
        <v>1.75287509186054</v>
      </c>
      <c r="S135" s="11" t="n">
        <v>1.84083590986031</v>
      </c>
      <c r="T135" s="11" t="n">
        <v>1.92496683190619</v>
      </c>
      <c r="U135" s="11" t="n">
        <v>2.00546275582465</v>
      </c>
      <c r="V135" s="11" t="n">
        <v>2.08253646061616</v>
      </c>
      <c r="W135" s="11" t="n">
        <v>2.1564148812106</v>
      </c>
      <c r="X135" s="11" t="n">
        <v>2.22733626988672</v>
      </c>
      <c r="Y135" s="11" t="n">
        <v>2.29554357231983</v>
      </c>
      <c r="Z135" s="11" t="n">
        <v>2.36125971236556</v>
      </c>
      <c r="AA135" s="11" t="n">
        <v>2.42467782844901</v>
      </c>
      <c r="AB135" s="11" t="n">
        <v>2.48596588502674</v>
      </c>
      <c r="AC135" s="11" t="n">
        <v>2.54527086824815</v>
      </c>
      <c r="AD135" s="11" t="n">
        <v>2.60272187612771</v>
      </c>
      <c r="AE135" s="11" t="n">
        <v>2.65842571179046</v>
      </c>
      <c r="AF135" s="11" t="n">
        <v>2.71245808708058</v>
      </c>
      <c r="AG135" s="11" t="n">
        <v>3.26833111077017</v>
      </c>
      <c r="AH135" s="11" t="n">
        <v>3.29956587348202</v>
      </c>
      <c r="AI135" s="11" t="n">
        <v>3.32916439093566</v>
      </c>
      <c r="AJ135" s="11" t="n">
        <v>3.35715034095319</v>
      </c>
      <c r="AK135" s="11" t="n">
        <v>3.38355120211108</v>
      </c>
    </row>
    <row r="138" customFormat="false" ht="52.2" hidden="false" customHeight="false" outlineLevel="0" collapsed="false">
      <c r="A138" s="3" t="s">
        <v>85</v>
      </c>
      <c r="B138" s="3" t="s">
        <v>72</v>
      </c>
      <c r="C138" s="3" t="s">
        <v>194</v>
      </c>
      <c r="D138" s="3" t="s">
        <v>195</v>
      </c>
      <c r="E138" s="3" t="s">
        <v>196</v>
      </c>
      <c r="F138" s="3" t="s">
        <v>197</v>
      </c>
      <c r="G138" s="3" t="s">
        <v>198</v>
      </c>
      <c r="H138" s="3" t="s">
        <v>199</v>
      </c>
      <c r="I138" s="3" t="s">
        <v>200</v>
      </c>
      <c r="J138" s="3" t="s">
        <v>201</v>
      </c>
      <c r="K138" s="3" t="s">
        <v>202</v>
      </c>
      <c r="L138" s="3" t="s">
        <v>203</v>
      </c>
      <c r="M138" s="3" t="s">
        <v>210</v>
      </c>
      <c r="N138" s="3" t="s">
        <v>211</v>
      </c>
      <c r="O138" s="3" t="s">
        <v>121</v>
      </c>
      <c r="P138" s="3" t="s">
        <v>122</v>
      </c>
      <c r="Q138" s="3" t="s">
        <v>123</v>
      </c>
      <c r="R138" s="3" t="s">
        <v>124</v>
      </c>
      <c r="S138" s="3" t="s">
        <v>125</v>
      </c>
      <c r="T138" s="3" t="s">
        <v>126</v>
      </c>
      <c r="U138" s="3" t="s">
        <v>127</v>
      </c>
      <c r="V138" s="3" t="s">
        <v>128</v>
      </c>
      <c r="W138" s="3" t="s">
        <v>129</v>
      </c>
      <c r="X138" s="3" t="s">
        <v>130</v>
      </c>
      <c r="Y138" s="3" t="s">
        <v>131</v>
      </c>
      <c r="Z138" s="3" t="s">
        <v>132</v>
      </c>
      <c r="AA138" s="3" t="s">
        <v>133</v>
      </c>
      <c r="AB138" s="3" t="s">
        <v>134</v>
      </c>
      <c r="AC138" s="3" t="s">
        <v>135</v>
      </c>
      <c r="AD138" s="3" t="s">
        <v>136</v>
      </c>
      <c r="AE138" s="3" t="s">
        <v>137</v>
      </c>
      <c r="AF138" s="3" t="s">
        <v>138</v>
      </c>
      <c r="AG138" s="3" t="s">
        <v>151</v>
      </c>
      <c r="AH138" s="3" t="s">
        <v>152</v>
      </c>
      <c r="AI138" s="3" t="s">
        <v>153</v>
      </c>
      <c r="AJ138" s="3" t="s">
        <v>154</v>
      </c>
      <c r="AK138" s="3" t="s">
        <v>155</v>
      </c>
      <c r="AL138" s="3" t="s">
        <v>156</v>
      </c>
    </row>
    <row r="139" customFormat="false" ht="15" hidden="false" customHeight="false" outlineLevel="0" collapsed="false">
      <c r="A139" s="20" t="n">
        <f aca="false">A5</f>
        <v>-120</v>
      </c>
      <c r="B139" s="21" t="n">
        <f aca="false">B5</f>
        <v>41017</v>
      </c>
      <c r="C139" s="22" t="n">
        <f aca="false">100*(C5-C4)</f>
        <v>3.28029770167925</v>
      </c>
      <c r="D139" s="22" t="n">
        <f aca="false">100*(D5-D4)</f>
        <v>4.33661447866797</v>
      </c>
      <c r="E139" s="22" t="n">
        <f aca="false">100*(E5-E4)</f>
        <v>5.05137384356527</v>
      </c>
      <c r="F139" s="22" t="n">
        <f aca="false">100*(F5-F4)</f>
        <v>5.49323843983073</v>
      </c>
      <c r="G139" s="22" t="n">
        <f aca="false">100*(G5-G4)</f>
        <v>5.72376359494966</v>
      </c>
      <c r="H139" s="22" t="n">
        <f aca="false">100*(H5-H4)</f>
        <v>5.79298673129366</v>
      </c>
      <c r="I139" s="22" t="n">
        <f aca="false">100*(I5-I4)</f>
        <v>5.7411800399205</v>
      </c>
      <c r="J139" s="22" t="n">
        <f aca="false">100*(J5-J4)</f>
        <v>5.6013980559666</v>
      </c>
      <c r="K139" s="22" t="n">
        <f aca="false">100*(K5-K4)</f>
        <v>5.40100783088748</v>
      </c>
      <c r="L139" s="22" t="n">
        <f aca="false">100*(L5-L4)</f>
        <v>5.16199381146771</v>
      </c>
      <c r="M139" s="22" t="n">
        <f aca="false">100*(M5-M4)</f>
        <v>4.90197234875118</v>
      </c>
      <c r="N139" s="22" t="n">
        <f aca="false">100*(N5-N4)</f>
        <v>4.6342199907524</v>
      </c>
      <c r="O139" s="22" t="n">
        <f aca="false">100*(O5-O4)</f>
        <v>4.3681572800333</v>
      </c>
      <c r="P139" s="22" t="n">
        <f aca="false">100*(P5-P4)</f>
        <v>4.10996108659991</v>
      </c>
      <c r="Q139" s="22" t="n">
        <f aca="false">100*(Q5-Q4)</f>
        <v>3.86311230165091</v>
      </c>
      <c r="R139" s="22" t="n">
        <f aca="false">100*(R5-R4)</f>
        <v>3.62907183016792</v>
      </c>
      <c r="S139" s="22" t="n">
        <f aca="false">100*(S5-S4)</f>
        <v>3.40789912774242</v>
      </c>
      <c r="T139" s="22" t="n">
        <f aca="false">100*(T5-T4)</f>
        <v>3.19839618799231</v>
      </c>
      <c r="U139" s="22" t="n">
        <f aca="false">100*(U5-U4)</f>
        <v>2.99888705571929</v>
      </c>
      <c r="V139" s="22" t="n">
        <f aca="false">100*(V5-V4)</f>
        <v>2.8078058675074</v>
      </c>
      <c r="W139" s="22" t="n">
        <f aca="false">100*(W5-W4)</f>
        <v>2.62369784186727</v>
      </c>
      <c r="X139" s="22" t="n">
        <f aca="false">100*(X5-X4)</f>
        <v>2.44519706285127</v>
      </c>
      <c r="Y139" s="22" t="n">
        <f aca="false">100*(Y5-Y4)</f>
        <v>2.2710093905042</v>
      </c>
      <c r="Z139" s="22" t="n">
        <f aca="false">100*(Z5-Z4)</f>
        <v>2.09993446381618</v>
      </c>
      <c r="AA139" s="22" t="n">
        <f aca="false">100*(AA5-AA4)</f>
        <v>1.9310905871067</v>
      </c>
      <c r="AB139" s="22" t="n">
        <f aca="false">100*(AB5-AB4)</f>
        <v>1.76402308681709</v>
      </c>
      <c r="AC139" s="22" t="n">
        <f aca="false">100*(AC5-AC4)</f>
        <v>1.59864163589667</v>
      </c>
      <c r="AD139" s="22" t="n">
        <f aca="false">100*(AD5-AD4)</f>
        <v>1.4351614882373</v>
      </c>
      <c r="AE139" s="22" t="n">
        <f aca="false">100*(AE5-AE4)</f>
        <v>1.2740546039574</v>
      </c>
      <c r="AF139" s="22" t="n">
        <f aca="false">100*(AF5-AF4)</f>
        <v>1.11599107368789</v>
      </c>
      <c r="AG139" s="22" t="n">
        <f aca="false">100*(AG5-AG4)</f>
        <v>-0.344397281880093</v>
      </c>
      <c r="AH139" s="22" t="n">
        <f aca="false">100*(AH5-AH4)</f>
        <v>-0.400082903920396</v>
      </c>
      <c r="AI139" s="22" t="n">
        <f aca="false">100*(AI5-AI4)</f>
        <v>-0.448192164353189</v>
      </c>
      <c r="AJ139" s="22" t="n">
        <f aca="false">100*(AJ5-AJ4)</f>
        <v>-0.489090828444105</v>
      </c>
      <c r="AK139" s="22" t="n">
        <f aca="false">100*(AK5-AK4)</f>
        <v>-0.523167070157227</v>
      </c>
      <c r="AL139" s="22" t="n">
        <f aca="false">AVERAGE(C139:AK139)</f>
        <v>3.02449167403237</v>
      </c>
    </row>
    <row r="140" customFormat="false" ht="15" hidden="false" customHeight="false" outlineLevel="0" collapsed="false">
      <c r="A140" s="20" t="n">
        <f aca="false">A6</f>
        <v>-119</v>
      </c>
      <c r="B140" s="21" t="n">
        <f aca="false">B6</f>
        <v>41018</v>
      </c>
      <c r="C140" s="22" t="n">
        <f aca="false">100*(C6-C5)</f>
        <v>0.74166228814348</v>
      </c>
      <c r="D140" s="22" t="n">
        <f aca="false">100*(D6-D5)</f>
        <v>1.37851750463784</v>
      </c>
      <c r="E140" s="22" t="n">
        <f aca="false">100*(E6-E5)</f>
        <v>1.91988148740602</v>
      </c>
      <c r="F140" s="22" t="n">
        <f aca="false">100*(F6-F5)</f>
        <v>2.32239688651962</v>
      </c>
      <c r="G140" s="22" t="n">
        <f aca="false">100*(G6-G5)</f>
        <v>2.58693583028578</v>
      </c>
      <c r="H140" s="22" t="n">
        <f aca="false">100*(H6-H5)</f>
        <v>2.73243726827063</v>
      </c>
      <c r="I140" s="22" t="n">
        <f aca="false">100*(I6-I5)</f>
        <v>2.78330170489569</v>
      </c>
      <c r="J140" s="22" t="n">
        <f aca="false">100*(J6-J5)</f>
        <v>2.7639372274102</v>
      </c>
      <c r="K140" s="22" t="n">
        <f aca="false">100*(K6-K5)</f>
        <v>2.69563106853461</v>
      </c>
      <c r="L140" s="22" t="n">
        <f aca="false">100*(L6-L5)</f>
        <v>2.595874528267</v>
      </c>
      <c r="M140" s="22" t="n">
        <f aca="false">100*(M6-M5)</f>
        <v>2.47851312957721</v>
      </c>
      <c r="N140" s="22" t="n">
        <f aca="false">100*(N6-N5)</f>
        <v>2.3543231069711</v>
      </c>
      <c r="O140" s="22" t="n">
        <f aca="false">100*(O6-O5)</f>
        <v>2.23135358115969</v>
      </c>
      <c r="P140" s="22" t="n">
        <f aca="false">100*(P6-P5)</f>
        <v>2.11544727844519</v>
      </c>
      <c r="Q140" s="22" t="n">
        <f aca="false">100*(Q6-Q5)</f>
        <v>2.01061410972732</v>
      </c>
      <c r="R140" s="22" t="n">
        <f aca="false">100*(R6-R5)</f>
        <v>1.91942993539898</v>
      </c>
      <c r="S140" s="22" t="n">
        <f aca="false">100*(S6-S5)</f>
        <v>1.8433763353864</v>
      </c>
      <c r="T140" s="22" t="n">
        <f aca="false">100*(T6-T5)</f>
        <v>1.78310600182408</v>
      </c>
      <c r="U140" s="22" t="n">
        <f aca="false">100*(U6-U5)</f>
        <v>1.73860616013779</v>
      </c>
      <c r="V140" s="22" t="n">
        <f aca="false">100*(V6-V5)</f>
        <v>1.70932705482847</v>
      </c>
      <c r="W140" s="22" t="n">
        <f aca="false">100*(W6-W5)</f>
        <v>1.69429519821751</v>
      </c>
      <c r="X140" s="22" t="n">
        <f aca="false">100*(X6-X5)</f>
        <v>1.6921981168815</v>
      </c>
      <c r="Y140" s="22" t="n">
        <f aca="false">100*(Y6-Y5)</f>
        <v>1.70144951935831</v>
      </c>
      <c r="Z140" s="22" t="n">
        <f aca="false">100*(Z6-Z5)</f>
        <v>1.72025310665092</v>
      </c>
      <c r="AA140" s="22" t="n">
        <f aca="false">100*(AA6-AA5)</f>
        <v>1.74674830648991</v>
      </c>
      <c r="AB140" s="22" t="n">
        <f aca="false">100*(AB6-AB5)</f>
        <v>1.77910211803032</v>
      </c>
      <c r="AC140" s="22" t="n">
        <f aca="false">100*(AC6-AC5)</f>
        <v>1.8155091715514</v>
      </c>
      <c r="AD140" s="22" t="n">
        <f aca="false">100*(AD6-AD5)</f>
        <v>1.85418727182296</v>
      </c>
      <c r="AE140" s="22" t="n">
        <f aca="false">100*(AE6-AE5)</f>
        <v>1.89337638861589</v>
      </c>
      <c r="AF140" s="22" t="n">
        <f aca="false">100*(AF6-AF5)</f>
        <v>1.93141738554821</v>
      </c>
      <c r="AG140" s="22" t="n">
        <f aca="false">100*(AG6-AG5)</f>
        <v>1.9871144124707</v>
      </c>
      <c r="AH140" s="22" t="n">
        <f aca="false">100*(AH6-AH5)</f>
        <v>1.95720873848964</v>
      </c>
      <c r="AI140" s="22" t="n">
        <f aca="false">100*(AI6-AI5)</f>
        <v>1.92461636931829</v>
      </c>
      <c r="AJ140" s="22" t="n">
        <f aca="false">100*(AJ6-AJ5)</f>
        <v>1.88996288937493</v>
      </c>
      <c r="AK140" s="22" t="n">
        <f aca="false">100*(AK6-AK5)</f>
        <v>1.85384969609252</v>
      </c>
      <c r="AL140" s="22" t="n">
        <f aca="false">AVERAGE(C140:AK140)</f>
        <v>2.00417031933543</v>
      </c>
    </row>
    <row r="141" customFormat="false" ht="15" hidden="false" customHeight="false" outlineLevel="0" collapsed="false">
      <c r="A141" s="20" t="n">
        <f aca="false">A7</f>
        <v>-118</v>
      </c>
      <c r="B141" s="21" t="n">
        <f aca="false">B7</f>
        <v>41019</v>
      </c>
      <c r="C141" s="22" t="n">
        <f aca="false">100*(C7-C6)</f>
        <v>3.10500160758624</v>
      </c>
      <c r="D141" s="22" t="n">
        <f aca="false">100*(D7-D6)</f>
        <v>3.91453206326394</v>
      </c>
      <c r="E141" s="22" t="n">
        <f aca="false">100*(E7-E6)</f>
        <v>4.50271156371924</v>
      </c>
      <c r="F141" s="22" t="n">
        <f aca="false">100*(F7-F6)</f>
        <v>4.88183872621852</v>
      </c>
      <c r="G141" s="22" t="n">
        <f aca="false">100*(G7-G6)</f>
        <v>5.0804169393003</v>
      </c>
      <c r="H141" s="22" t="n">
        <f aca="false">100*(H7-H6)</f>
        <v>5.13180466942533</v>
      </c>
      <c r="I141" s="22" t="n">
        <f aca="false">100*(I7-I6)</f>
        <v>5.0680372176233</v>
      </c>
      <c r="J141" s="22" t="n">
        <f aca="false">100*(J7-J6)</f>
        <v>4.91790840955129</v>
      </c>
      <c r="K141" s="22" t="n">
        <f aca="false">100*(K7-K6)</f>
        <v>4.70599674837531</v>
      </c>
      <c r="L141" s="22" t="n">
        <f aca="false">100*(L7-L6)</f>
        <v>4.45357049481141</v>
      </c>
      <c r="M141" s="22" t="n">
        <f aca="false">100*(M7-M6)</f>
        <v>4.17770865677061</v>
      </c>
      <c r="N141" s="22" t="n">
        <f aca="false">100*(N7-N6)</f>
        <v>3.8924589254254</v>
      </c>
      <c r="O141" s="22" t="n">
        <f aca="false">100*(O7-O6)</f>
        <v>3.60917879478981</v>
      </c>
      <c r="P141" s="22" t="n">
        <f aca="false">100*(P7-P6)</f>
        <v>3.33664870228361</v>
      </c>
      <c r="Q141" s="22" t="n">
        <f aca="false">100*(Q7-Q6)</f>
        <v>3.08109088168598</v>
      </c>
      <c r="R141" s="22" t="n">
        <f aca="false">100*(R7-R6)</f>
        <v>2.84654378313243</v>
      </c>
      <c r="S141" s="22" t="n">
        <f aca="false">100*(S7-S6)</f>
        <v>2.63518721518259</v>
      </c>
      <c r="T141" s="22" t="n">
        <f aca="false">100*(T7-T6)</f>
        <v>2.44740734894822</v>
      </c>
      <c r="U141" s="22" t="n">
        <f aca="false">100*(U7-U6)</f>
        <v>2.28244321526621</v>
      </c>
      <c r="V141" s="22" t="n">
        <f aca="false">100*(V7-V6)</f>
        <v>2.13897138804562</v>
      </c>
      <c r="W141" s="22" t="n">
        <f aca="false">100*(W7-W6)</f>
        <v>2.01524315912471</v>
      </c>
      <c r="X141" s="22" t="n">
        <f aca="false">100*(X7-X6)</f>
        <v>1.9091695946849</v>
      </c>
      <c r="Y141" s="22" t="n">
        <f aca="false">100*(Y7-Y6)</f>
        <v>1.81838689206297</v>
      </c>
      <c r="Z141" s="22" t="n">
        <f aca="false">100*(Z7-Z6)</f>
        <v>1.74034011843189</v>
      </c>
      <c r="AA141" s="22" t="n">
        <f aca="false">100*(AA7-AA6)</f>
        <v>1.67259075079587</v>
      </c>
      <c r="AB141" s="22" t="n">
        <f aca="false">100*(AB7-AB6)</f>
        <v>1.6129994339062</v>
      </c>
      <c r="AC141" s="22" t="n">
        <f aca="false">100*(AC7-AC6)</f>
        <v>1.55968759933742</v>
      </c>
      <c r="AD141" s="22" t="n">
        <f aca="false">100*(AD7-AD6)</f>
        <v>1.51099540309834</v>
      </c>
      <c r="AE141" s="22" t="n">
        <f aca="false">100*(AE7-AE6)</f>
        <v>1.46544863450839</v>
      </c>
      <c r="AF141" s="22" t="n">
        <f aca="false">100*(AF7-AF6)</f>
        <v>1.42178695335229</v>
      </c>
      <c r="AG141" s="22" t="n">
        <f aca="false">100*(AG7-AG6)</f>
        <v>0.836405141253405</v>
      </c>
      <c r="AH141" s="22" t="n">
        <f aca="false">100*(AH7-AH6)</f>
        <v>0.790288767411473</v>
      </c>
      <c r="AI141" s="22" t="n">
        <f aca="false">100*(AI7-AI6)</f>
        <v>0.744963175052016</v>
      </c>
      <c r="AJ141" s="22" t="n">
        <f aca="false">100*(AJ7-AJ6)</f>
        <v>0.700632181177596</v>
      </c>
      <c r="AK141" s="22" t="n">
        <f aca="false">100*(AK7-AK6)</f>
        <v>0.657465022260606</v>
      </c>
      <c r="AL141" s="22" t="n">
        <f aca="false">AVERAGE(C141:AK141)</f>
        <v>2.76188171936753</v>
      </c>
    </row>
    <row r="142" customFormat="false" ht="15" hidden="false" customHeight="false" outlineLevel="0" collapsed="false">
      <c r="A142" s="20" t="n">
        <f aca="false">A8</f>
        <v>-117</v>
      </c>
      <c r="B142" s="21" t="n">
        <f aca="false">B8</f>
        <v>41022</v>
      </c>
      <c r="C142" s="22" t="n">
        <f aca="false">100*(C8-C7)</f>
        <v>-2.2508019358531</v>
      </c>
      <c r="D142" s="22" t="n">
        <f aca="false">100*(D8-D7)</f>
        <v>-2.9221708681439</v>
      </c>
      <c r="E142" s="22" t="n">
        <f aca="false">100*(E8-E7)</f>
        <v>-3.45883946898602</v>
      </c>
      <c r="F142" s="22" t="n">
        <f aca="false">100*(F8-F7)</f>
        <v>-3.88241908988932</v>
      </c>
      <c r="G142" s="22" t="n">
        <f aca="false">100*(G8-G7)</f>
        <v>-4.21613520286678</v>
      </c>
      <c r="H142" s="22" t="n">
        <f aca="false">100*(H8-H7)</f>
        <v>-4.48016518269895</v>
      </c>
      <c r="I142" s="22" t="n">
        <f aca="false">100*(I8-I7)</f>
        <v>-4.69040446204581</v>
      </c>
      <c r="J142" s="22" t="n">
        <f aca="false">100*(J8-J7)</f>
        <v>-4.85896566341999</v>
      </c>
      <c r="K142" s="22" t="n">
        <f aca="false">100*(K8-K7)</f>
        <v>-4.99483846234861</v>
      </c>
      <c r="L142" s="22" t="n">
        <f aca="false">100*(L8-L7)</f>
        <v>-5.10424596946681</v>
      </c>
      <c r="M142" s="22" t="n">
        <f aca="false">100*(M8-M7)</f>
        <v>-5.19129644744421</v>
      </c>
      <c r="N142" s="22" t="n">
        <f aca="false">100*(N8-N7)</f>
        <v>-5.2582096032231</v>
      </c>
      <c r="O142" s="22" t="n">
        <f aca="false">100*(O8-O7)</f>
        <v>-5.3057373161832</v>
      </c>
      <c r="P142" s="22" t="n">
        <f aca="false">100*(P8-P7)</f>
        <v>-5.33376744659331</v>
      </c>
      <c r="Q142" s="22" t="n">
        <f aca="false">100*(Q8-Q7)</f>
        <v>-5.34166245417369</v>
      </c>
      <c r="R142" s="22" t="n">
        <f aca="false">100*(R8-R7)</f>
        <v>-5.32856244828901</v>
      </c>
      <c r="S142" s="22" t="n">
        <f aca="false">100*(S8-S7)</f>
        <v>-5.29366280140269</v>
      </c>
      <c r="T142" s="22" t="n">
        <f aca="false">100*(T8-T7)</f>
        <v>-5.23609164773782</v>
      </c>
      <c r="U142" s="22" t="n">
        <f aca="false">100*(U8-U7)</f>
        <v>-5.15533680458158</v>
      </c>
      <c r="V142" s="22" t="n">
        <f aca="false">100*(V8-V7)</f>
        <v>-5.0514928292873</v>
      </c>
      <c r="W142" s="22" t="n">
        <f aca="false">100*(W8-W7)</f>
        <v>-4.92514579487828</v>
      </c>
      <c r="X142" s="22" t="n">
        <f aca="false">100*(X8-X7)</f>
        <v>-4.77727498691341</v>
      </c>
      <c r="Y142" s="22" t="n">
        <f aca="false">100*(Y8-Y7)</f>
        <v>-4.60917736470399</v>
      </c>
      <c r="Z142" s="22" t="n">
        <f aca="false">100*(Z8-Z7)</f>
        <v>-4.42243286506523</v>
      </c>
      <c r="AA142" s="22" t="n">
        <f aca="false">100*(AA8-AA7)</f>
        <v>-4.21895679131987</v>
      </c>
      <c r="AB142" s="22" t="n">
        <f aca="false">100*(AB8-AB7)</f>
        <v>-4.00098657051031</v>
      </c>
      <c r="AC142" s="22" t="n">
        <f aca="false">100*(AC8-AC7)</f>
        <v>-3.77102893986772</v>
      </c>
      <c r="AD142" s="22" t="n">
        <f aca="false">100*(AD8-AD7)</f>
        <v>-3.53181650968581</v>
      </c>
      <c r="AE142" s="22" t="n">
        <f aca="false">100*(AE8-AE7)</f>
        <v>-3.28627004532298</v>
      </c>
      <c r="AF142" s="22" t="n">
        <f aca="false">100*(AF8-AF7)</f>
        <v>-3.03740121788372</v>
      </c>
      <c r="AG142" s="22" t="n">
        <f aca="false">100*(AG8-AG7)</f>
        <v>-0.475801238421214</v>
      </c>
      <c r="AH142" s="22" t="n">
        <f aca="false">100*(AH8-AH7)</f>
        <v>-0.362752924778897</v>
      </c>
      <c r="AI142" s="22" t="n">
        <f aca="false">100*(AI8-AI7)</f>
        <v>-0.261117251406295</v>
      </c>
      <c r="AJ142" s="22" t="n">
        <f aca="false">100*(AJ8-AJ7)</f>
        <v>-0.170175138033013</v>
      </c>
      <c r="AK142" s="22" t="n">
        <f aca="false">100*(AK8-AK7)</f>
        <v>-0.0891731464001122</v>
      </c>
      <c r="AL142" s="22" t="n">
        <f aca="false">AVERAGE(C142:AK142)</f>
        <v>-3.86555191113789</v>
      </c>
    </row>
    <row r="143" customFormat="false" ht="15" hidden="false" customHeight="false" outlineLevel="0" collapsed="false">
      <c r="A143" s="20" t="n">
        <f aca="false">A9</f>
        <v>-116</v>
      </c>
      <c r="B143" s="21" t="n">
        <f aca="false">B9</f>
        <v>41023</v>
      </c>
      <c r="C143" s="22" t="n">
        <f aca="false">100*(C9-C8)</f>
        <v>-2.68268349948049</v>
      </c>
      <c r="D143" s="22" t="n">
        <f aca="false">100*(D9-D8)</f>
        <v>-3.04300897278917</v>
      </c>
      <c r="E143" s="22" t="n">
        <f aca="false">100*(E9-E8)</f>
        <v>-3.2652770441511</v>
      </c>
      <c r="F143" s="22" t="n">
        <f aca="false">100*(F9-F8)</f>
        <v>-3.39743213778122</v>
      </c>
      <c r="G143" s="22" t="n">
        <f aca="false">100*(G9-G8)</f>
        <v>-3.46771433608916</v>
      </c>
      <c r="H143" s="22" t="n">
        <f aca="false">100*(H9-H8)</f>
        <v>-3.49320791866485</v>
      </c>
      <c r="I143" s="22" t="n">
        <f aca="false">100*(I9-I8)</f>
        <v>-3.4848122856149</v>
      </c>
      <c r="J143" s="22" t="n">
        <f aca="false">100*(J9-J8)</f>
        <v>-3.4502525858275</v>
      </c>
      <c r="K143" s="22" t="n">
        <f aca="false">100*(K9-K8)</f>
        <v>-3.3959383131813</v>
      </c>
      <c r="L143" s="22" t="n">
        <f aca="false">100*(L9-L8)</f>
        <v>-3.3275354120341</v>
      </c>
      <c r="M143" s="22" t="n">
        <f aca="false">100*(M9-M8)</f>
        <v>-3.2502183715446</v>
      </c>
      <c r="N143" s="22" t="n">
        <f aca="false">100*(N9-N8)</f>
        <v>-3.16837258088261</v>
      </c>
      <c r="O143" s="22" t="n">
        <f aca="false">100*(O9-O8)</f>
        <v>-3.0855075483186</v>
      </c>
      <c r="P143" s="22" t="n">
        <f aca="false">100*(P9-P8)</f>
        <v>-3.00435114146049</v>
      </c>
      <c r="Q143" s="22" t="n">
        <f aca="false">100*(Q9-Q8)</f>
        <v>-2.92681061559108</v>
      </c>
      <c r="R143" s="22" t="n">
        <f aca="false">100*(R9-R8)</f>
        <v>-2.85411647155649</v>
      </c>
      <c r="S143" s="22" t="n">
        <f aca="false">100*(S9-S8)</f>
        <v>-2.78690660231602</v>
      </c>
      <c r="T143" s="22" t="n">
        <f aca="false">100*(T9-T8)</f>
        <v>-2.7252831290931</v>
      </c>
      <c r="U143" s="22" t="n">
        <f aca="false">100*(U9-U8)</f>
        <v>-2.66904176137892</v>
      </c>
      <c r="V143" s="22" t="n">
        <f aca="false">100*(V9-V8)</f>
        <v>-2.6177264831889</v>
      </c>
      <c r="W143" s="22" t="n">
        <f aca="false">100*(W9-W8)</f>
        <v>-2.57067926654071</v>
      </c>
      <c r="X143" s="22" t="n">
        <f aca="false">100*(X9-X8)</f>
        <v>-2.52708047385579</v>
      </c>
      <c r="Y143" s="22" t="n">
        <f aca="false">100*(Y9-Y8)</f>
        <v>-2.4859800482909</v>
      </c>
      <c r="Z143" s="22" t="n">
        <f aca="false">100*(Z9-Z8)</f>
        <v>-2.44636032306378</v>
      </c>
      <c r="AA143" s="22" t="n">
        <f aca="false">100*(AA9-AA8)</f>
        <v>-2.40732526538512</v>
      </c>
      <c r="AB143" s="22" t="n">
        <f aca="false">100*(AB9-AB8)</f>
        <v>-2.36816418709118</v>
      </c>
      <c r="AC143" s="22" t="n">
        <f aca="false">100*(AC9-AC8)</f>
        <v>-2.3283232302111</v>
      </c>
      <c r="AD143" s="22" t="n">
        <f aca="false">100*(AD9-AD8)</f>
        <v>-2.28738007177332</v>
      </c>
      <c r="AE143" s="22" t="n">
        <f aca="false">100*(AE9-AE8)</f>
        <v>-2.2450277150039</v>
      </c>
      <c r="AF143" s="22" t="n">
        <f aca="false">100*(AF9-AF8)</f>
        <v>-2.20115554570639</v>
      </c>
      <c r="AG143" s="22" t="n">
        <f aca="false">100*(AG9-AG8)</f>
        <v>-1.7110946353164</v>
      </c>
      <c r="AH143" s="22" t="n">
        <f aca="false">100*(AH9-AH8)</f>
        <v>-1.69525976106502</v>
      </c>
      <c r="AI143" s="22" t="n">
        <f aca="false">100*(AI9-AI8)</f>
        <v>-1.6833956695737</v>
      </c>
      <c r="AJ143" s="22" t="n">
        <f aca="false">100*(AJ9-AJ8)</f>
        <v>-1.67537964946369</v>
      </c>
      <c r="AK143" s="22" t="n">
        <f aca="false">100*(AK9-AK8)</f>
        <v>-1.67104814239432</v>
      </c>
      <c r="AL143" s="22" t="n">
        <f aca="false">AVERAGE(C143:AK143)</f>
        <v>-2.69713860559085</v>
      </c>
    </row>
    <row r="144" customFormat="false" ht="15" hidden="false" customHeight="false" outlineLevel="0" collapsed="false">
      <c r="A144" s="20" t="n">
        <f aca="false">A10</f>
        <v>-115</v>
      </c>
      <c r="B144" s="21" t="n">
        <f aca="false">B10</f>
        <v>41024</v>
      </c>
      <c r="C144" s="22" t="n">
        <f aca="false">100*(C10-C9)</f>
        <v>-0.621566728568523</v>
      </c>
      <c r="D144" s="22" t="n">
        <f aca="false">100*(D10-D9)</f>
        <v>-0.576531837331196</v>
      </c>
      <c r="E144" s="22" t="n">
        <f aca="false">100*(E10-E9)</f>
        <v>-0.40797329202884</v>
      </c>
      <c r="F144" s="22" t="n">
        <f aca="false">100*(F10-F9)</f>
        <v>-0.118375159288442</v>
      </c>
      <c r="G144" s="22" t="n">
        <f aca="false">100*(G10-G9)</f>
        <v>0.267970103834614</v>
      </c>
      <c r="H144" s="22" t="n">
        <f aca="false">100*(H10-H9)</f>
        <v>0.720839859972056</v>
      </c>
      <c r="I144" s="22" t="n">
        <f aca="false">100*(I10-I9)</f>
        <v>1.2122299739578</v>
      </c>
      <c r="J144" s="22" t="n">
        <f aca="false">100*(J10-J9)</f>
        <v>1.71814315648848</v>
      </c>
      <c r="K144" s="22" t="n">
        <f aca="false">100*(K10-K9)</f>
        <v>2.218380565292</v>
      </c>
      <c r="L144" s="22" t="n">
        <f aca="false">100*(L10-L9)</f>
        <v>2.69624165304629</v>
      </c>
      <c r="M144" s="22" t="n">
        <f aca="false">100*(M10-M9)</f>
        <v>3.13825221040569</v>
      </c>
      <c r="N144" s="22" t="n">
        <f aca="false">100*(N10-N9)</f>
        <v>3.5339505887894</v>
      </c>
      <c r="O144" s="22" t="n">
        <f aca="false">100*(O10-O9)</f>
        <v>3.8757108402572</v>
      </c>
      <c r="P144" s="22" t="n">
        <f aca="false">100*(P10-P9)</f>
        <v>4.15842305196259</v>
      </c>
      <c r="Q144" s="22" t="n">
        <f aca="false">100*(Q10-Q9)</f>
        <v>4.37926071863148</v>
      </c>
      <c r="R144" s="22" t="n">
        <f aca="false">100*(R10-R9)</f>
        <v>4.5373238029137</v>
      </c>
      <c r="S144" s="22" t="n">
        <f aca="false">100*(S10-S9)</f>
        <v>4.6333931102732</v>
      </c>
      <c r="T144" s="22" t="n">
        <f aca="false">100*(T10-T9)</f>
        <v>4.6696150350217</v>
      </c>
      <c r="U144" s="22" t="n">
        <f aca="false">100*(U10-U9)</f>
        <v>4.64917653405532</v>
      </c>
      <c r="V144" s="22" t="n">
        <f aca="false">100*(V10-V9)</f>
        <v>4.5761918938164</v>
      </c>
      <c r="W144" s="22" t="n">
        <f aca="false">100*(W10-W9)</f>
        <v>4.4555161431413</v>
      </c>
      <c r="X144" s="22" t="n">
        <f aca="false">100*(X10-X9)</f>
        <v>4.29259690478423</v>
      </c>
      <c r="Y144" s="22" t="n">
        <f aca="false">100*(Y10-Y9)</f>
        <v>4.09336024984031</v>
      </c>
      <c r="Z144" s="22" t="n">
        <f aca="false">100*(Z10-Z9)</f>
        <v>3.86404975662829</v>
      </c>
      <c r="AA144" s="22" t="n">
        <f aca="false">100*(AA10-AA9)</f>
        <v>3.61082084130522</v>
      </c>
      <c r="AB144" s="22" t="n">
        <f aca="false">100*(AB10-AB9)</f>
        <v>3.33957897645552</v>
      </c>
      <c r="AC144" s="22" t="n">
        <f aca="false">100*(AC10-AC9)</f>
        <v>3.05601557035611</v>
      </c>
      <c r="AD144" s="22" t="n">
        <f aca="false">100*(AD10-AD9)</f>
        <v>2.76564249347691</v>
      </c>
      <c r="AE144" s="22" t="n">
        <f aca="false">100*(AE10-AE9)</f>
        <v>2.47380988561279</v>
      </c>
      <c r="AF144" s="22" t="n">
        <f aca="false">100*(AF10-AF9)</f>
        <v>2.18549547262401</v>
      </c>
      <c r="AG144" s="22" t="n">
        <f aca="false">100*(AG10-AG9)</f>
        <v>-0.135995369073694</v>
      </c>
      <c r="AH144" s="22" t="n">
        <f aca="false">100*(AH10-AH9)</f>
        <v>-0.190402904217368</v>
      </c>
      <c r="AI144" s="22" t="n">
        <f aca="false">100*(AI10-AI9)</f>
        <v>-0.231704883266426</v>
      </c>
      <c r="AJ144" s="22" t="n">
        <f aca="false">100*(AJ10-AJ9)</f>
        <v>-0.261437942417286</v>
      </c>
      <c r="AK144" s="22" t="n">
        <f aca="false">100*(AK10-AK9)</f>
        <v>-0.281102151502477</v>
      </c>
      <c r="AL144" s="22" t="n">
        <f aca="false">AVERAGE(C144:AK144)</f>
        <v>2.3513399750071</v>
      </c>
    </row>
    <row r="145" customFormat="false" ht="15" hidden="false" customHeight="false" outlineLevel="0" collapsed="false">
      <c r="A145" s="20" t="n">
        <f aca="false">A11</f>
        <v>-114</v>
      </c>
      <c r="B145" s="21" t="n">
        <f aca="false">B11</f>
        <v>41025</v>
      </c>
      <c r="C145" s="22" t="n">
        <f aca="false">100*(C11-C10)</f>
        <v>-2.2432607878072</v>
      </c>
      <c r="D145" s="22" t="n">
        <f aca="false">100*(D11-D10)</f>
        <v>-2.69901574968145</v>
      </c>
      <c r="E145" s="22" t="n">
        <f aca="false">100*(E11-E10)</f>
        <v>-3.01292433562684</v>
      </c>
      <c r="F145" s="22" t="n">
        <f aca="false">100*(F11-F10)</f>
        <v>-3.23611330853947</v>
      </c>
      <c r="G145" s="22" t="n">
        <f aca="false">100*(G11-G10)</f>
        <v>-3.39797602804616</v>
      </c>
      <c r="H145" s="22" t="n">
        <f aca="false">100*(H11-H10)</f>
        <v>-3.51718749417731</v>
      </c>
      <c r="I145" s="22" t="n">
        <f aca="false">100*(I11-I10)</f>
        <v>-3.60677379111969</v>
      </c>
      <c r="J145" s="22" t="n">
        <f aca="false">100*(J11-J10)</f>
        <v>-3.6762131173818</v>
      </c>
      <c r="K145" s="22" t="n">
        <f aca="false">100*(K11-K10)</f>
        <v>-3.73253996572329</v>
      </c>
      <c r="L145" s="22" t="n">
        <f aca="false">100*(L11-L10)</f>
        <v>-3.7807187805589</v>
      </c>
      <c r="M145" s="22" t="n">
        <f aca="false">100*(M11-M10)</f>
        <v>-3.82408556695599</v>
      </c>
      <c r="N145" s="22" t="n">
        <f aca="false">100*(N11-N10)</f>
        <v>-3.86429458295339</v>
      </c>
      <c r="O145" s="22" t="n">
        <f aca="false">100*(O11-O10)</f>
        <v>-3.90143720398459</v>
      </c>
      <c r="P145" s="22" t="n">
        <f aca="false">100*(P11-P10)</f>
        <v>-3.9345118383918</v>
      </c>
      <c r="Q145" s="22" t="n">
        <f aca="false">100*(Q11-Q10)</f>
        <v>-3.96179551145162</v>
      </c>
      <c r="R145" s="22" t="n">
        <f aca="false">100*(R11-R10)</f>
        <v>-3.98135870065373</v>
      </c>
      <c r="S145" s="22" t="n">
        <f aca="false">100*(S11-S10)</f>
        <v>-3.99124378476028</v>
      </c>
      <c r="T145" s="22" t="n">
        <f aca="false">100*(T11-T10)</f>
        <v>-3.98942438612768</v>
      </c>
      <c r="U145" s="22" t="n">
        <f aca="false">100*(U11-U10)</f>
        <v>-3.97433945573753</v>
      </c>
      <c r="V145" s="22" t="n">
        <f aca="false">100*(V11-V10)</f>
        <v>-3.94505136345682</v>
      </c>
      <c r="W145" s="22" t="n">
        <f aca="false">100*(W11-W10)</f>
        <v>-3.90112353400323</v>
      </c>
      <c r="X145" s="22" t="n">
        <f aca="false">100*(X11-X10)</f>
        <v>-3.84252023597513</v>
      </c>
      <c r="Y145" s="22" t="n">
        <f aca="false">100*(Y11-Y10)</f>
        <v>-3.76952961841441</v>
      </c>
      <c r="Z145" s="22" t="n">
        <f aca="false">100*(Z11-Z10)</f>
        <v>-3.68273337499008</v>
      </c>
      <c r="AA145" s="22" t="n">
        <f aca="false">100*(AA11-AA10)</f>
        <v>-3.58307189600833</v>
      </c>
      <c r="AB145" s="22" t="n">
        <f aca="false">100*(AB11-AB10)</f>
        <v>-3.47182921710103</v>
      </c>
      <c r="AC145" s="22" t="n">
        <f aca="false">100*(AC11-AC10)</f>
        <v>-3.35057639632108</v>
      </c>
      <c r="AD145" s="22" t="n">
        <f aca="false">100*(AD11-AD10)</f>
        <v>-3.22112522020359</v>
      </c>
      <c r="AE145" s="22" t="n">
        <f aca="false">100*(AE11-AE10)</f>
        <v>-3.08548923328571</v>
      </c>
      <c r="AF145" s="22" t="n">
        <f aca="false">100*(AF11-AF10)</f>
        <v>-2.94580785751579</v>
      </c>
      <c r="AG145" s="22" t="n">
        <f aca="false">100*(AG11-AG10)</f>
        <v>-1.5014807298829</v>
      </c>
      <c r="AH145" s="22" t="n">
        <f aca="false">100*(AH11-AH10)</f>
        <v>-1.44523421874991</v>
      </c>
      <c r="AI145" s="22" t="n">
        <f aca="false">100*(AI11-AI10)</f>
        <v>-1.3966402189221</v>
      </c>
      <c r="AJ145" s="22" t="n">
        <f aca="false">100*(AJ11-AJ10)</f>
        <v>-1.35519173570362</v>
      </c>
      <c r="AK145" s="22" t="n">
        <f aca="false">100*(AK11-AK10)</f>
        <v>-1.32035659529191</v>
      </c>
      <c r="AL145" s="22" t="n">
        <f aca="false">AVERAGE(C145:AK145)</f>
        <v>-3.26122788101441</v>
      </c>
    </row>
    <row r="146" customFormat="false" ht="15" hidden="false" customHeight="false" outlineLevel="0" collapsed="false">
      <c r="A146" s="20" t="n">
        <f aca="false">A12</f>
        <v>-113</v>
      </c>
      <c r="B146" s="21" t="n">
        <f aca="false">B12</f>
        <v>41026</v>
      </c>
      <c r="C146" s="22" t="n">
        <f aca="false">100*(C12-C11)</f>
        <v>1.91405783177585</v>
      </c>
      <c r="D146" s="22" t="n">
        <f aca="false">100*(D12-D11)</f>
        <v>2.36644431598687</v>
      </c>
      <c r="E146" s="22" t="n">
        <f aca="false">100*(E12-E11)</f>
        <v>2.65136145452588</v>
      </c>
      <c r="F146" s="22" t="n">
        <f aca="false">100*(F12-F11)</f>
        <v>2.82222497724384</v>
      </c>
      <c r="G146" s="22" t="n">
        <f aca="false">100*(G12-G11)</f>
        <v>2.91307286999734</v>
      </c>
      <c r="H146" s="22" t="n">
        <f aca="false">100*(H12-H11)</f>
        <v>2.94659961833239</v>
      </c>
      <c r="I146" s="22" t="n">
        <f aca="false">100*(I12-I11)</f>
        <v>2.93921760437199</v>
      </c>
      <c r="J146" s="22" t="n">
        <f aca="false">100*(J12-J11)</f>
        <v>2.90374103325461</v>
      </c>
      <c r="K146" s="22" t="n">
        <f aca="false">100*(K12-K11)</f>
        <v>2.8505143265243</v>
      </c>
      <c r="L146" s="22" t="n">
        <f aca="false">100*(L12-L11)</f>
        <v>2.78871900738542</v>
      </c>
      <c r="M146" s="22" t="n">
        <f aca="false">100*(M12-M11)</f>
        <v>2.72540093669289</v>
      </c>
      <c r="N146" s="22" t="n">
        <f aca="false">100*(N12-N11)</f>
        <v>2.66641300364079</v>
      </c>
      <c r="O146" s="22" t="n">
        <f aca="false">100*(O12-O11)</f>
        <v>2.6162196164556</v>
      </c>
      <c r="P146" s="22" t="n">
        <f aca="false">100*(P12-P11)</f>
        <v>2.57742449253151</v>
      </c>
      <c r="Q146" s="22" t="n">
        <f aca="false">100*(Q12-Q11)</f>
        <v>2.55131517338021</v>
      </c>
      <c r="R146" s="22" t="n">
        <f aca="false">100*(R12-R11)</f>
        <v>2.53782045861919</v>
      </c>
      <c r="S146" s="22" t="n">
        <f aca="false">100*(S12-S11)</f>
        <v>2.5360825702069</v>
      </c>
      <c r="T146" s="22" t="n">
        <f aca="false">100*(T12-T11)</f>
        <v>2.54457856568799</v>
      </c>
      <c r="U146" s="22" t="n">
        <f aca="false">100*(U12-U11)</f>
        <v>2.56135280661982</v>
      </c>
      <c r="V146" s="22" t="n">
        <f aca="false">100*(V12-V11)</f>
        <v>2.5845559524265</v>
      </c>
      <c r="W146" s="22" t="n">
        <f aca="false">100*(W12-W11)</f>
        <v>2.61244515423993</v>
      </c>
      <c r="X146" s="22" t="n">
        <f aca="false">100*(X12-X11)</f>
        <v>2.64336275655692</v>
      </c>
      <c r="Y146" s="22" t="n">
        <f aca="false">100*(Y12-Y11)</f>
        <v>2.67571972826439</v>
      </c>
      <c r="Z146" s="22" t="n">
        <f aca="false">100*(Z12-Z11)</f>
        <v>2.7079970824488</v>
      </c>
      <c r="AA146" s="22" t="n">
        <f aca="false">100*(AA12-AA11)</f>
        <v>2.73891466453242</v>
      </c>
      <c r="AB146" s="22" t="n">
        <f aca="false">100*(AB12-AB11)</f>
        <v>2.7675374283552</v>
      </c>
      <c r="AC146" s="22" t="n">
        <f aca="false">100*(AC12-AC11)</f>
        <v>2.79322641324908</v>
      </c>
      <c r="AD146" s="22" t="n">
        <f aca="false">100*(AD12-AD11)</f>
        <v>2.81559098831452</v>
      </c>
      <c r="AE146" s="22" t="n">
        <f aca="false">100*(AE12-AE11)</f>
        <v>2.83444885084041</v>
      </c>
      <c r="AF146" s="22" t="n">
        <f aca="false">100*(AF12-AF11)</f>
        <v>2.84980494308678</v>
      </c>
      <c r="AG146" s="22" t="n">
        <f aca="false">100*(AG12-AG11)</f>
        <v>2.90603778746688</v>
      </c>
      <c r="AH146" s="22" t="n">
        <f aca="false">100*(AH12-AH11)</f>
        <v>2.91116699154941</v>
      </c>
      <c r="AI146" s="22" t="n">
        <f aca="false">100*(AI12-AI11)</f>
        <v>2.91719370684489</v>
      </c>
      <c r="AJ146" s="22" t="n">
        <f aca="false">100*(AJ12-AJ11)</f>
        <v>2.92412079906561</v>
      </c>
      <c r="AK146" s="22" t="n">
        <f aca="false">100*(AK12-AK11)</f>
        <v>2.93192892054091</v>
      </c>
      <c r="AL146" s="22" t="n">
        <f aca="false">AVERAGE(C146:AK146)</f>
        <v>2.71504608088617</v>
      </c>
    </row>
    <row r="147" customFormat="false" ht="15" hidden="false" customHeight="false" outlineLevel="0" collapsed="false">
      <c r="A147" s="20" t="n">
        <f aca="false">A13</f>
        <v>-112</v>
      </c>
      <c r="B147" s="21" t="n">
        <f aca="false">B13</f>
        <v>41029</v>
      </c>
      <c r="C147" s="22" t="n">
        <f aca="false">100*(C13-C12)</f>
        <v>2.59634260354514</v>
      </c>
      <c r="D147" s="22" t="n">
        <f aca="false">100*(D13-D12)</f>
        <v>2.99245743579888</v>
      </c>
      <c r="E147" s="22" t="n">
        <f aca="false">100*(E13-E12)</f>
        <v>3.17076572446525</v>
      </c>
      <c r="F147" s="22" t="n">
        <f aca="false">100*(F13-F12)</f>
        <v>3.17994604943358</v>
      </c>
      <c r="G147" s="22" t="n">
        <f aca="false">100*(G13-G12)</f>
        <v>3.05739166901986</v>
      </c>
      <c r="H147" s="22" t="n">
        <f aca="false">100*(H13-H12)</f>
        <v>2.83125917343804</v>
      </c>
      <c r="I147" s="22" t="n">
        <f aca="false">100*(I13-I12)</f>
        <v>2.52432939113931</v>
      </c>
      <c r="J147" s="22" t="n">
        <f aca="false">100*(J13-J12)</f>
        <v>2.15692585043199</v>
      </c>
      <c r="K147" s="22" t="n">
        <f aca="false">100*(K13-K12)</f>
        <v>1.74850816645349</v>
      </c>
      <c r="L147" s="22" t="n">
        <f aca="false">100*(L13-L12)</f>
        <v>1.3182470089159</v>
      </c>
      <c r="M147" s="22" t="n">
        <f aca="false">100*(M13-M12)</f>
        <v>0.883735224896909</v>
      </c>
      <c r="N147" s="22" t="n">
        <f aca="false">100*(N13-N12)</f>
        <v>0.460763308119594</v>
      </c>
      <c r="O147" s="22" t="n">
        <f aca="false">100*(O13-O12)</f>
        <v>0.0626124469468969</v>
      </c>
      <c r="P147" s="22" t="n">
        <f aca="false">100*(P13-P12)</f>
        <v>-0.300350203889299</v>
      </c>
      <c r="Q147" s="22" t="n">
        <f aca="false">100*(Q13-Q12)</f>
        <v>-0.620608033333481</v>
      </c>
      <c r="R147" s="22" t="n">
        <f aca="false">100*(R13-R12)</f>
        <v>-0.893493203781093</v>
      </c>
      <c r="S147" s="22" t="n">
        <f aca="false">100*(S13-S12)</f>
        <v>-1.11697728814288</v>
      </c>
      <c r="T147" s="22" t="n">
        <f aca="false">100*(T13-T12)</f>
        <v>-1.29143864811159</v>
      </c>
      <c r="U147" s="22" t="n">
        <f aca="false">100*(U13-U12)</f>
        <v>-1.41880401449992</v>
      </c>
      <c r="V147" s="22" t="n">
        <f aca="false">100*(V13-V12)</f>
        <v>-1.50195308177619</v>
      </c>
      <c r="W147" s="22" t="n">
        <f aca="false">100*(W13-W12)</f>
        <v>-1.54450959113013</v>
      </c>
      <c r="X147" s="22" t="n">
        <f aca="false">100*(X13-X12)</f>
        <v>-1.55069252112781</v>
      </c>
      <c r="Y147" s="22" t="n">
        <f aca="false">100*(Y13-Y12)</f>
        <v>-1.5252014724735</v>
      </c>
      <c r="Z147" s="22" t="n">
        <f aca="false">100*(Z13-Z12)</f>
        <v>-1.47303973429849</v>
      </c>
      <c r="AA147" s="22" t="n">
        <f aca="false">100*(AA13-AA12)</f>
        <v>-1.39899404915238</v>
      </c>
      <c r="AB147" s="22" t="n">
        <f aca="false">100*(AB13-AB12)</f>
        <v>-1.30741468133979</v>
      </c>
      <c r="AC147" s="22" t="n">
        <f aca="false">100*(AC13-AC12)</f>
        <v>-1.20227834278501</v>
      </c>
      <c r="AD147" s="22" t="n">
        <f aca="false">100*(AD13-AD12)</f>
        <v>-1.08724844341732</v>
      </c>
      <c r="AE147" s="22" t="n">
        <f aca="false">100*(AE13-AE12)</f>
        <v>-0.965716492748303</v>
      </c>
      <c r="AF147" s="22" t="n">
        <f aca="false">100*(AF13-AF12)</f>
        <v>-0.840668026123792</v>
      </c>
      <c r="AG147" s="22" t="n">
        <f aca="false">100*(AG13-AG12)</f>
        <v>0.543599366699032</v>
      </c>
      <c r="AH147" s="22" t="n">
        <f aca="false">100*(AH13-AH12)</f>
        <v>0.621660286723014</v>
      </c>
      <c r="AI147" s="22" t="n">
        <f aca="false">100*(AI13-AI12)</f>
        <v>0.696550065606916</v>
      </c>
      <c r="AJ147" s="22" t="n">
        <f aca="false">100*(AJ13-AJ12)</f>
        <v>0.768591941748387</v>
      </c>
      <c r="AK147" s="22" t="n">
        <f aca="false">100*(AK13-AK12)</f>
        <v>0.838091368752991</v>
      </c>
      <c r="AL147" s="22" t="n">
        <f aca="false">AVERAGE(C147:AK147)</f>
        <v>0.297496835828692</v>
      </c>
    </row>
    <row r="148" customFormat="false" ht="15" hidden="false" customHeight="false" outlineLevel="0" collapsed="false">
      <c r="A148" s="20" t="n">
        <f aca="false">A14</f>
        <v>-111</v>
      </c>
      <c r="B148" s="21" t="n">
        <f aca="false">B14</f>
        <v>41030</v>
      </c>
      <c r="C148" s="22" t="n">
        <f aca="false">100*(C14-C13)</f>
        <v>-0.724070360010443</v>
      </c>
      <c r="D148" s="22" t="n">
        <f aca="false">100*(D14-D13)</f>
        <v>-0.755679719983016</v>
      </c>
      <c r="E148" s="22" t="n">
        <f aca="false">100*(E14-E13)</f>
        <v>-0.825211580971641</v>
      </c>
      <c r="F148" s="22" t="n">
        <f aca="false">100*(F14-F13)</f>
        <v>-0.917902106272117</v>
      </c>
      <c r="G148" s="22" t="n">
        <f aca="false">100*(G14-G13)</f>
        <v>-1.02079900757668</v>
      </c>
      <c r="H148" s="22" t="n">
        <f aca="false">100*(H14-H13)</f>
        <v>-1.12412123936139</v>
      </c>
      <c r="I148" s="22" t="n">
        <f aca="false">100*(I14-I13)</f>
        <v>-1.22065730897072</v>
      </c>
      <c r="J148" s="22" t="n">
        <f aca="false">100*(J14-J13)</f>
        <v>-1.30535958810809</v>
      </c>
      <c r="K148" s="22" t="n">
        <f aca="false">100*(K14-K13)</f>
        <v>-1.37514607167759</v>
      </c>
      <c r="L148" s="22" t="n">
        <f aca="false">100*(L14-L13)</f>
        <v>-1.4285850898343</v>
      </c>
      <c r="M148" s="22" t="n">
        <f aca="false">100*(M14-M13)</f>
        <v>-1.46600719696519</v>
      </c>
      <c r="N148" s="22" t="n">
        <f aca="false">100*(N14-N13)</f>
        <v>-1.48904414184499</v>
      </c>
      <c r="O148" s="22" t="n">
        <f aca="false">100*(O14-O13)</f>
        <v>-1.50038990473049</v>
      </c>
      <c r="P148" s="22" t="n">
        <f aca="false">100*(P14-P13)</f>
        <v>-1.5034193549337</v>
      </c>
      <c r="Q148" s="22" t="n">
        <f aca="false">100*(Q14-Q13)</f>
        <v>-1.5015622290512</v>
      </c>
      <c r="R148" s="22" t="n">
        <f aca="false">100*(R14-R13)</f>
        <v>-1.49785377499718</v>
      </c>
      <c r="S148" s="22" t="n">
        <f aca="false">100*(S14-S13)</f>
        <v>-1.49477429499711</v>
      </c>
      <c r="T148" s="22" t="n">
        <f aca="false">100*(T14-T13)</f>
        <v>-1.4942253663</v>
      </c>
      <c r="U148" s="22" t="n">
        <f aca="false">100*(U14-U13)</f>
        <v>-1.49756113626749</v>
      </c>
      <c r="V148" s="22" t="n">
        <f aca="false">100*(V14-V13)</f>
        <v>-1.50563064424341</v>
      </c>
      <c r="W148" s="22" t="n">
        <f aca="false">100*(W14-W13)</f>
        <v>-1.5188791023502</v>
      </c>
      <c r="X148" s="22" t="n">
        <f aca="false">100*(X14-X13)</f>
        <v>-1.53742866093318</v>
      </c>
      <c r="Y148" s="22" t="n">
        <f aca="false">100*(Y14-Y13)</f>
        <v>-1.56114061392119</v>
      </c>
      <c r="Z148" s="22" t="n">
        <f aca="false">100*(Z14-Z13)</f>
        <v>-1.58966813581434</v>
      </c>
      <c r="AA148" s="22" t="n">
        <f aca="false">100*(AA14-AA13)</f>
        <v>-1.62248650657602</v>
      </c>
      <c r="AB148" s="22" t="n">
        <f aca="false">100*(AB14-AB13)</f>
        <v>-1.6589073733142</v>
      </c>
      <c r="AC148" s="22" t="n">
        <f aca="false">100*(AC14-AC13)</f>
        <v>-1.69810469951899</v>
      </c>
      <c r="AD148" s="22" t="n">
        <f aca="false">100*(AD14-AD13)</f>
        <v>-1.73913697209822</v>
      </c>
      <c r="AE148" s="22" t="n">
        <f aca="false">100*(AE14-AE13)</f>
        <v>-1.78096709583278</v>
      </c>
      <c r="AF148" s="22" t="n">
        <f aca="false">100*(AF14-AF13)</f>
        <v>-1.8225073474178</v>
      </c>
      <c r="AG148" s="22" t="n">
        <f aca="false">100*(AG14-AG13)</f>
        <v>-1.98787776778531</v>
      </c>
      <c r="AH148" s="22" t="n">
        <f aca="false">100*(AH14-AH13)</f>
        <v>-1.96340676196973</v>
      </c>
      <c r="AI148" s="22" t="n">
        <f aca="false">100*(AI14-AI13)</f>
        <v>-1.93482435927299</v>
      </c>
      <c r="AJ148" s="22" t="n">
        <f aca="false">100*(AJ14-AJ13)</f>
        <v>-1.9026828189519</v>
      </c>
      <c r="AK148" s="22" t="n">
        <f aca="false">100*(AK14-AK13)</f>
        <v>-1.86753995901792</v>
      </c>
      <c r="AL148" s="22" t="n">
        <f aca="false">AVERAGE(C148:AK148)</f>
        <v>-1.48095880833919</v>
      </c>
    </row>
    <row r="149" customFormat="false" ht="15" hidden="false" customHeight="false" outlineLevel="0" collapsed="false">
      <c r="A149" s="20" t="n">
        <f aca="false">A15</f>
        <v>-110</v>
      </c>
      <c r="B149" s="21" t="n">
        <f aca="false">B15</f>
        <v>41031</v>
      </c>
      <c r="C149" s="22" t="n">
        <f aca="false">100*(C15-C14)</f>
        <v>-1.88099359121312</v>
      </c>
      <c r="D149" s="22" t="n">
        <f aca="false">100*(D15-D14)</f>
        <v>-2.21648326980117</v>
      </c>
      <c r="E149" s="22" t="n">
        <f aca="false">100*(E15-E14)</f>
        <v>-2.51166179922043</v>
      </c>
      <c r="F149" s="22" t="n">
        <f aca="false">100*(F15-F14)</f>
        <v>-2.79090558647568</v>
      </c>
      <c r="G149" s="22" t="n">
        <f aca="false">100*(G15-G14)</f>
        <v>-3.06190477886307</v>
      </c>
      <c r="H149" s="22" t="n">
        <f aca="false">100*(H15-H14)</f>
        <v>-3.32551031822473</v>
      </c>
      <c r="I149" s="22" t="n">
        <f aca="false">100*(I15-I14)</f>
        <v>-3.57986309097329</v>
      </c>
      <c r="J149" s="22" t="n">
        <f aca="false">100*(J15-J14)</f>
        <v>-3.8220381653485</v>
      </c>
      <c r="K149" s="22" t="n">
        <f aca="false">100*(K15-K14)</f>
        <v>-4.04903539268231</v>
      </c>
      <c r="L149" s="22" t="n">
        <f aca="false">100*(L15-L14)</f>
        <v>-4.25830189051171</v>
      </c>
      <c r="M149" s="22" t="n">
        <f aca="false">100*(M15-M14)</f>
        <v>-4.4481698368759</v>
      </c>
      <c r="N149" s="22" t="n">
        <f aca="false">100*(N15-N14)</f>
        <v>-4.61766148673881</v>
      </c>
      <c r="O149" s="22" t="n">
        <f aca="false">100*(O15-O14)</f>
        <v>-4.76639802755001</v>
      </c>
      <c r="P149" s="22" t="n">
        <f aca="false">100*(P15-P14)</f>
        <v>-4.89452027819051</v>
      </c>
      <c r="Q149" s="22" t="n">
        <f aca="false">100*(Q15-Q14)</f>
        <v>-5.0026352907341</v>
      </c>
      <c r="R149" s="22" t="n">
        <f aca="false">100*(R15-R14)</f>
        <v>-5.09178089618012</v>
      </c>
      <c r="S149" s="22" t="n">
        <f aca="false">100*(S15-S14)</f>
        <v>-5.1634574556584</v>
      </c>
      <c r="T149" s="22" t="n">
        <f aca="false">100*(T15-T14)</f>
        <v>-5.21970578374953</v>
      </c>
      <c r="U149" s="22" t="n">
        <f aca="false">100*(U15-U14)</f>
        <v>-5.26262221103391</v>
      </c>
      <c r="V149" s="22" t="n">
        <f aca="false">100*(V15-V14)</f>
        <v>-5.2940972215155</v>
      </c>
      <c r="W149" s="22" t="n">
        <f aca="false">100*(W15-W14)</f>
        <v>-5.31584894774158</v>
      </c>
      <c r="X149" s="22" t="n">
        <f aca="false">100*(X15-X14)</f>
        <v>-5.32945764109414</v>
      </c>
      <c r="Y149" s="22" t="n">
        <f aca="false">100*(Y15-Y14)</f>
        <v>-5.33639217485091</v>
      </c>
      <c r="Z149" s="22" t="n">
        <f aca="false">100*(Z15-Z14)</f>
        <v>-5.3380020488115</v>
      </c>
      <c r="AA149" s="22" t="n">
        <f aca="false">100*(AA15-AA14)</f>
        <v>-5.335373988795</v>
      </c>
      <c r="AB149" s="22" t="n">
        <f aca="false">100*(AB15-AB14)</f>
        <v>-5.32928131818822</v>
      </c>
      <c r="AC149" s="22" t="n">
        <f aca="false">100*(AC15-AC14)</f>
        <v>-5.3202322796384</v>
      </c>
      <c r="AD149" s="22" t="n">
        <f aca="false">100*(AD15-AD14)</f>
        <v>-5.3085127900113</v>
      </c>
      <c r="AE149" s="22" t="n">
        <f aca="false">100*(AE15-AE14)</f>
        <v>-5.29422232422272</v>
      </c>
      <c r="AF149" s="22" t="n">
        <f aca="false">100*(AF15-AF14)</f>
        <v>-5.27731669926941</v>
      </c>
      <c r="AG149" s="22" t="n">
        <f aca="false">100*(AG15-AG14)</f>
        <v>-4.74246752212699</v>
      </c>
      <c r="AH149" s="22" t="n">
        <f aca="false">100*(AH15-AH14)</f>
        <v>-4.67602072988109</v>
      </c>
      <c r="AI149" s="22" t="n">
        <f aca="false">100*(AI15-AI14)</f>
        <v>-4.60698665553889</v>
      </c>
      <c r="AJ149" s="22" t="n">
        <f aca="false">100*(AJ15-AJ14)</f>
        <v>-4.5358050987506</v>
      </c>
      <c r="AK149" s="22" t="n">
        <f aca="false">100*(AK15-AK14)</f>
        <v>-4.4629391320139</v>
      </c>
      <c r="AL149" s="22" t="n">
        <f aca="false">AVERAGE(C149:AK149)</f>
        <v>-4.49904587778501</v>
      </c>
    </row>
    <row r="150" customFormat="false" ht="15" hidden="false" customHeight="false" outlineLevel="0" collapsed="false">
      <c r="A150" s="20" t="n">
        <f aca="false">A16</f>
        <v>-109</v>
      </c>
      <c r="B150" s="21" t="n">
        <f aca="false">B16</f>
        <v>41032</v>
      </c>
      <c r="C150" s="22" t="n">
        <f aca="false">100*(C16-C15)</f>
        <v>-0.354854973701879</v>
      </c>
      <c r="D150" s="22" t="n">
        <f aca="false">100*(D16-D15)</f>
        <v>-0.329840541249027</v>
      </c>
      <c r="E150" s="22" t="n">
        <f aca="false">100*(E16-E15)</f>
        <v>-0.310139214010463</v>
      </c>
      <c r="F150" s="22" t="n">
        <f aca="false">100*(F16-F15)</f>
        <v>-0.297858014836139</v>
      </c>
      <c r="G150" s="22" t="n">
        <f aca="false">100*(G16-G15)</f>
        <v>-0.292946730382593</v>
      </c>
      <c r="H150" s="22" t="n">
        <f aca="false">100*(H16-H15)</f>
        <v>-0.294833770606351</v>
      </c>
      <c r="I150" s="22" t="n">
        <f aca="false">100*(I16-I15)</f>
        <v>-0.302857011938795</v>
      </c>
      <c r="J150" s="22" t="n">
        <f aca="false">100*(J16-J15)</f>
        <v>-0.316749969570207</v>
      </c>
      <c r="K150" s="22" t="n">
        <f aca="false">100*(K16-K15)</f>
        <v>-0.336449908890302</v>
      </c>
      <c r="L150" s="22" t="n">
        <f aca="false">100*(L16-L15)</f>
        <v>-0.361817028526801</v>
      </c>
      <c r="M150" s="22" t="n">
        <f aca="false">100*(M16-M15)</f>
        <v>-0.392461916358999</v>
      </c>
      <c r="N150" s="22" t="n">
        <f aca="false">100*(N16-N15)</f>
        <v>-0.427553522778301</v>
      </c>
      <c r="O150" s="22" t="n">
        <f aca="false">100*(O16-O15)</f>
        <v>-0.465731756410492</v>
      </c>
      <c r="P150" s="22" t="n">
        <f aca="false">100*(P16-P15)</f>
        <v>-0.505104424600611</v>
      </c>
      <c r="Q150" s="22" t="n">
        <f aca="false">100*(Q16-Q15)</f>
        <v>-0.543423011965816</v>
      </c>
      <c r="R150" s="22" t="n">
        <f aca="false">100*(R16-R15)</f>
        <v>-0.578381581430465</v>
      </c>
      <c r="S150" s="22" t="n">
        <f aca="false">100*(S16-S15)</f>
        <v>-0.607948760395605</v>
      </c>
      <c r="T150" s="22" t="n">
        <f aca="false">100*(T16-T15)</f>
        <v>-0.63044804199528</v>
      </c>
      <c r="U150" s="22" t="n">
        <f aca="false">100*(U16-U15)</f>
        <v>-0.644655855772314</v>
      </c>
      <c r="V150" s="22" t="n">
        <f aca="false">100*(V16-V15)</f>
        <v>-0.649823521690696</v>
      </c>
      <c r="W150" s="22" t="n">
        <f aca="false">100*(W16-W15)</f>
        <v>-0.645581143979834</v>
      </c>
      <c r="X150" s="22" t="n">
        <f aca="false">100*(X16-X15)</f>
        <v>-0.63186185428088</v>
      </c>
      <c r="Y150" s="22" t="n">
        <f aca="false">100*(Y16-Y15)</f>
        <v>-0.608843617659582</v>
      </c>
      <c r="Z150" s="22" t="n">
        <f aca="false">100*(Z16-Z15)</f>
        <v>-0.576908333829884</v>
      </c>
      <c r="AA150" s="22" t="n">
        <f aca="false">100*(AA16-AA15)</f>
        <v>-0.536600435035117</v>
      </c>
      <c r="AB150" s="22" t="n">
        <f aca="false">100*(AB16-AB15)</f>
        <v>-0.488584846972184</v>
      </c>
      <c r="AC150" s="22" t="n">
        <f aca="false">100*(AC16-AC15)</f>
        <v>-0.433625783213909</v>
      </c>
      <c r="AD150" s="22" t="n">
        <f aca="false">100*(AD16-AD15)</f>
        <v>-0.372570731035671</v>
      </c>
      <c r="AE150" s="22" t="n">
        <f aca="false">100*(AE16-AE15)</f>
        <v>-0.306335598762297</v>
      </c>
      <c r="AF150" s="22" t="n">
        <f aca="false">100*(AF16-AF15)</f>
        <v>-0.235847331061878</v>
      </c>
      <c r="AG150" s="22" t="n">
        <f aca="false">100*(AG16-AG15)</f>
        <v>0.780577559101481</v>
      </c>
      <c r="AH150" s="22" t="n">
        <f aca="false">100*(AH16-AH15)</f>
        <v>0.853847769215888</v>
      </c>
      <c r="AI150" s="22" t="n">
        <f aca="false">100*(AI16-AI15)</f>
        <v>0.925646675416703</v>
      </c>
      <c r="AJ150" s="22" t="n">
        <f aca="false">100*(AJ16-AJ15)</f>
        <v>0.99594277619568</v>
      </c>
      <c r="AK150" s="22" t="n">
        <f aca="false">100*(AK16-AK15)</f>
        <v>1.06470982276292</v>
      </c>
      <c r="AL150" s="22" t="n">
        <f aca="false">AVERAGE(C150:AK150)</f>
        <v>-0.253140418007134</v>
      </c>
    </row>
    <row r="151" customFormat="false" ht="15" hidden="false" customHeight="false" outlineLevel="0" collapsed="false">
      <c r="A151" s="20" t="n">
        <f aca="false">A17</f>
        <v>-108</v>
      </c>
      <c r="B151" s="21" t="n">
        <f aca="false">B17</f>
        <v>41033</v>
      </c>
      <c r="C151" s="22" t="n">
        <f aca="false">100*(C17-C16)</f>
        <v>-1.05500479137282</v>
      </c>
      <c r="D151" s="22" t="n">
        <f aca="false">100*(D17-D16)</f>
        <v>-1.52878231852443</v>
      </c>
      <c r="E151" s="22" t="n">
        <f aca="false">100*(E17-E16)</f>
        <v>-1.95335822395983</v>
      </c>
      <c r="F151" s="22" t="n">
        <f aca="false">100*(F17-F16)</f>
        <v>-2.32487070663097</v>
      </c>
      <c r="G151" s="22" t="n">
        <f aca="false">100*(G17-G16)</f>
        <v>-2.64749843065636</v>
      </c>
      <c r="H151" s="22" t="n">
        <f aca="false">100*(H17-H16)</f>
        <v>-2.92628830211367</v>
      </c>
      <c r="I151" s="22" t="n">
        <f aca="false">100*(I17-I16)</f>
        <v>-3.1662361392955</v>
      </c>
      <c r="J151" s="22" t="n">
        <f aca="false">100*(J17-J16)</f>
        <v>-3.37196100968471</v>
      </c>
      <c r="K151" s="22" t="n">
        <f aca="false">100*(K17-K16)</f>
        <v>-3.5471338835249</v>
      </c>
      <c r="L151" s="22" t="n">
        <f aca="false">100*(L17-L16)</f>
        <v>-3.6962059398701</v>
      </c>
      <c r="M151" s="22" t="n">
        <f aca="false">100*(M17-M16)</f>
        <v>-3.82150659295841</v>
      </c>
      <c r="N151" s="22" t="n">
        <f aca="false">100*(N17-N16)</f>
        <v>-3.92546094277129</v>
      </c>
      <c r="O151" s="22" t="n">
        <f aca="false">100*(O17-O16)</f>
        <v>-4.01013083936681</v>
      </c>
      <c r="P151" s="22" t="n">
        <f aca="false">100*(P17-P16)</f>
        <v>-4.0767532051931</v>
      </c>
      <c r="Q151" s="22" t="n">
        <f aca="false">100*(Q17-Q16)</f>
        <v>-4.1264121261495</v>
      </c>
      <c r="R151" s="22" t="n">
        <f aca="false">100*(R17-R16)</f>
        <v>-4.16003964437692</v>
      </c>
      <c r="S151" s="22" t="n">
        <f aca="false">100*(S17-S16)</f>
        <v>-4.17860611244652</v>
      </c>
      <c r="T151" s="22" t="n">
        <f aca="false">100*(T17-T16)</f>
        <v>-4.18319067681909</v>
      </c>
      <c r="U151" s="22" t="n">
        <f aca="false">100*(U17-U16)</f>
        <v>-4.1749113689614</v>
      </c>
      <c r="V151" s="22" t="n">
        <f aca="false">100*(V17-V16)</f>
        <v>-4.15489928798949</v>
      </c>
      <c r="W151" s="22" t="n">
        <f aca="false">100*(W17-W16)</f>
        <v>-4.12429091851578</v>
      </c>
      <c r="X151" s="22" t="n">
        <f aca="false">100*(X17-X16)</f>
        <v>-4.08422705354998</v>
      </c>
      <c r="Y151" s="22" t="n">
        <f aca="false">100*(Y17-Y16)</f>
        <v>-4.03585231048118</v>
      </c>
      <c r="Z151" s="22" t="n">
        <f aca="false">100*(Z17-Z16)</f>
        <v>-3.98032737630842</v>
      </c>
      <c r="AA151" s="22" t="n">
        <f aca="false">100*(AA17-AA16)</f>
        <v>-3.91878330825959</v>
      </c>
      <c r="AB151" s="22" t="n">
        <f aca="false">100*(AB17-AB16)</f>
        <v>-3.85226155899971</v>
      </c>
      <c r="AC151" s="22" t="n">
        <f aca="false">100*(AC17-AC16)</f>
        <v>-3.78172443014151</v>
      </c>
      <c r="AD151" s="22" t="n">
        <f aca="false">100*(AD17-AD16)</f>
        <v>-3.70806783854372</v>
      </c>
      <c r="AE151" s="22" t="n">
        <f aca="false">100*(AE17-AE16)</f>
        <v>-3.6321335387882</v>
      </c>
      <c r="AF151" s="22" t="n">
        <f aca="false">100*(AF17-AF16)</f>
        <v>-3.55471939268419</v>
      </c>
      <c r="AG151" s="22" t="n">
        <f aca="false">100*(AG17-AG16)</f>
        <v>-2.63962002908009</v>
      </c>
      <c r="AH151" s="22" t="n">
        <f aca="false">100*(AH17-AH16)</f>
        <v>-2.58457986757379</v>
      </c>
      <c r="AI151" s="22" t="n">
        <f aca="false">100*(AI17-AI16)</f>
        <v>-2.53207648483031</v>
      </c>
      <c r="AJ151" s="22" t="n">
        <f aca="false">100*(AJ17-AJ16)</f>
        <v>-2.48210639433877</v>
      </c>
      <c r="AK151" s="22" t="n">
        <f aca="false">100*(AK17-AK16)</f>
        <v>-2.43466215557691</v>
      </c>
      <c r="AL151" s="22" t="n">
        <f aca="false">AVERAGE(C151:AK151)</f>
        <v>-3.38213380572394</v>
      </c>
    </row>
    <row r="152" customFormat="false" ht="15" hidden="false" customHeight="false" outlineLevel="0" collapsed="false">
      <c r="A152" s="20" t="n">
        <f aca="false">A18</f>
        <v>-107</v>
      </c>
      <c r="B152" s="21" t="n">
        <f aca="false">B18</f>
        <v>41037</v>
      </c>
      <c r="C152" s="22" t="n">
        <f aca="false">100*(C18-C17)</f>
        <v>0.30443870654786</v>
      </c>
      <c r="D152" s="22" t="n">
        <f aca="false">100*(D18-D17)</f>
        <v>-0.301611884602571</v>
      </c>
      <c r="E152" s="22" t="n">
        <f aca="false">100*(E18-E17)</f>
        <v>-1.01943315988648</v>
      </c>
      <c r="F152" s="22" t="n">
        <f aca="false">100*(F18-F17)</f>
        <v>-1.76107332487783</v>
      </c>
      <c r="G152" s="22" t="n">
        <f aca="false">100*(G18-G17)</f>
        <v>-2.47828183857372</v>
      </c>
      <c r="H152" s="22" t="n">
        <f aca="false">100*(H18-H17)</f>
        <v>-3.14445955678262</v>
      </c>
      <c r="I152" s="22" t="n">
        <f aca="false">100*(I18-I17)</f>
        <v>-3.74579410153666</v>
      </c>
      <c r="J152" s="22" t="n">
        <f aca="false">100*(J18-J17)</f>
        <v>-4.27627639266068</v>
      </c>
      <c r="K152" s="22" t="n">
        <f aca="false">100*(K18-K17)</f>
        <v>-4.7351474642662</v>
      </c>
      <c r="L152" s="22" t="n">
        <f aca="false">100*(L18-L17)</f>
        <v>-5.1251655400018</v>
      </c>
      <c r="M152" s="22" t="n">
        <f aca="false">100*(M18-M17)</f>
        <v>-5.45059321903429</v>
      </c>
      <c r="N152" s="22" t="n">
        <f aca="false">100*(N18-N17)</f>
        <v>-5.71660267009582</v>
      </c>
      <c r="O152" s="22" t="n">
        <f aca="false">100*(O18-O17)</f>
        <v>-5.92851292410339</v>
      </c>
      <c r="P152" s="22" t="n">
        <f aca="false">100*(P18-P17)</f>
        <v>-6.0914075788455</v>
      </c>
      <c r="Q152" s="22" t="n">
        <f aca="false">100*(Q18-Q17)</f>
        <v>-6.21020291216639</v>
      </c>
      <c r="R152" s="22" t="n">
        <f aca="false">100*(R18-R17)</f>
        <v>-6.2896100595822</v>
      </c>
      <c r="S152" s="22" t="n">
        <f aca="false">100*(S18-S17)</f>
        <v>-6.33417218554748</v>
      </c>
      <c r="T152" s="22" t="n">
        <f aca="false">100*(T18-T17)</f>
        <v>-6.34835082649503</v>
      </c>
      <c r="U152" s="22" t="n">
        <f aca="false">100*(U18-U17)</f>
        <v>-6.33626592769749</v>
      </c>
      <c r="V152" s="22" t="n">
        <f aca="false">100*(V18-V17)</f>
        <v>-6.30159762377911</v>
      </c>
      <c r="W152" s="22" t="n">
        <f aca="false">100*(W18-W17)</f>
        <v>-6.24767185163058</v>
      </c>
      <c r="X152" s="22" t="n">
        <f aca="false">100*(X18-X17)</f>
        <v>-6.17753118995652</v>
      </c>
      <c r="Y152" s="22" t="n">
        <f aca="false">100*(Y18-Y17)</f>
        <v>-6.0939893461144</v>
      </c>
      <c r="Z152" s="22" t="n">
        <f aca="false">100*(Z18-Z17)</f>
        <v>-5.99965137928979</v>
      </c>
      <c r="AA152" s="22" t="n">
        <f aca="false">100*(AA18-AA17)</f>
        <v>-5.89682866216159</v>
      </c>
      <c r="AB152" s="22" t="n">
        <f aca="false">100*(AB18-AB17)</f>
        <v>-5.7875214178277</v>
      </c>
      <c r="AC152" s="22" t="n">
        <f aca="false">100*(AC18-AC17)</f>
        <v>-5.67346803412749</v>
      </c>
      <c r="AD152" s="22" t="n">
        <f aca="false">100*(AD18-AD17)</f>
        <v>-5.55618729513561</v>
      </c>
      <c r="AE152" s="22" t="n">
        <f aca="false">100*(AE18-AE17)</f>
        <v>-5.43701354341999</v>
      </c>
      <c r="AF152" s="22" t="n">
        <f aca="false">100*(AF18-AF17)</f>
        <v>-5.31713201395752</v>
      </c>
      <c r="AG152" s="22" t="n">
        <f aca="false">100*(AG18-AG17)</f>
        <v>-4.01278773618641</v>
      </c>
      <c r="AH152" s="22" t="n">
        <f aca="false">100*(AH18-AH17)</f>
        <v>-3.94274305294808</v>
      </c>
      <c r="AI152" s="22" t="n">
        <f aca="false">100*(AI18-AI17)</f>
        <v>-3.87724591675771</v>
      </c>
      <c r="AJ152" s="22" t="n">
        <f aca="false">100*(AJ18-AJ17)</f>
        <v>-3.81619445394259</v>
      </c>
      <c r="AK152" s="22" t="n">
        <f aca="false">100*(AK18-AK17)</f>
        <v>-3.7594717084624</v>
      </c>
      <c r="AL152" s="22" t="n">
        <f aca="false">AVERAGE(C152:AK152)</f>
        <v>-4.71101594531159</v>
      </c>
    </row>
    <row r="153" customFormat="false" ht="15" hidden="false" customHeight="false" outlineLevel="0" collapsed="false">
      <c r="A153" s="20" t="n">
        <f aca="false">A19</f>
        <v>-106</v>
      </c>
      <c r="B153" s="21" t="n">
        <f aca="false">B19</f>
        <v>41038</v>
      </c>
      <c r="C153" s="22" t="n">
        <f aca="false">100*(C19-C18)</f>
        <v>-0.120962371272987</v>
      </c>
      <c r="D153" s="22" t="n">
        <f aca="false">100*(D19-D18)</f>
        <v>-0.284369987430189</v>
      </c>
      <c r="E153" s="22" t="n">
        <f aca="false">100*(E19-E18)</f>
        <v>-0.474082975278678</v>
      </c>
      <c r="F153" s="22" t="n">
        <f aca="false">100*(F19-F18)</f>
        <v>-0.678056199369026</v>
      </c>
      <c r="G153" s="22" t="n">
        <f aca="false">100*(G19-G18)</f>
        <v>-0.886962802497571</v>
      </c>
      <c r="H153" s="22" t="n">
        <f aca="false">100*(H19-H18)</f>
        <v>-1.09412271252179</v>
      </c>
      <c r="I153" s="22" t="n">
        <f aca="false">100*(I19-I18)</f>
        <v>-1.29510279750049</v>
      </c>
      <c r="J153" s="22" t="n">
        <f aca="false">100*(J19-J18)</f>
        <v>-1.4874843409433</v>
      </c>
      <c r="K153" s="22" t="n">
        <f aca="false">100*(K19-K18)</f>
        <v>-1.67062073119539</v>
      </c>
      <c r="L153" s="22" t="n">
        <f aca="false">100*(L19-L18)</f>
        <v>-1.84480230573301</v>
      </c>
      <c r="M153" s="22" t="n">
        <f aca="false">100*(M19-M18)</f>
        <v>-2.01042418874309</v>
      </c>
      <c r="N153" s="22" t="n">
        <f aca="false">100*(N19-N18)</f>
        <v>-2.16747619770299</v>
      </c>
      <c r="O153" s="22" t="n">
        <f aca="false">100*(O19-O18)</f>
        <v>-2.3152304380434</v>
      </c>
      <c r="P153" s="22" t="n">
        <f aca="false">100*(P19-P18)</f>
        <v>-2.45212005320781</v>
      </c>
      <c r="Q153" s="22" t="n">
        <f aca="false">100*(Q19-Q18)</f>
        <v>-2.57615574674841</v>
      </c>
      <c r="R153" s="22" t="n">
        <f aca="false">100*(R19-R18)</f>
        <v>-2.6853914124207</v>
      </c>
      <c r="S153" s="22" t="n">
        <f aca="false">100*(S19-S18)</f>
        <v>-2.77828204217361</v>
      </c>
      <c r="T153" s="22" t="n">
        <f aca="false">100*(T19-T18)</f>
        <v>-2.85394302927178</v>
      </c>
      <c r="U153" s="22" t="n">
        <f aca="false">100*(U19-U18)</f>
        <v>-2.91210818086469</v>
      </c>
      <c r="V153" s="22" t="n">
        <f aca="false">100*(V19-V18)</f>
        <v>-2.95300350806689</v>
      </c>
      <c r="W153" s="22" t="n">
        <f aca="false">100*(W19-W18)</f>
        <v>-2.97724389579641</v>
      </c>
      <c r="X153" s="22" t="n">
        <f aca="false">100*(X19-X18)</f>
        <v>-2.98575532801451</v>
      </c>
      <c r="Y153" s="22" t="n">
        <f aca="false">100*(Y19-Y18)</f>
        <v>-2.97971509190211</v>
      </c>
      <c r="Z153" s="22" t="n">
        <f aca="false">100*(Z19-Z18)</f>
        <v>-2.96049327452619</v>
      </c>
      <c r="AA153" s="22" t="n">
        <f aca="false">100*(AA19-AA18)</f>
        <v>-2.9295432506407</v>
      </c>
      <c r="AB153" s="22" t="n">
        <f aca="false">100*(AB19-AB18)</f>
        <v>-2.8883426551392</v>
      </c>
      <c r="AC153" s="22" t="n">
        <f aca="false">100*(AC19-AC18)</f>
        <v>-2.83838755401358</v>
      </c>
      <c r="AD153" s="22" t="n">
        <f aca="false">100*(AD19-AD18)</f>
        <v>-2.78118947159518</v>
      </c>
      <c r="AE153" s="22" t="n">
        <f aca="false">100*(AE19-AE18)</f>
        <v>-2.71827106712492</v>
      </c>
      <c r="AF153" s="22" t="n">
        <f aca="false">100*(AF19-AF18)</f>
        <v>-2.65112121170472</v>
      </c>
      <c r="AG153" s="22" t="n">
        <f aca="false">100*(AG19-AG18)</f>
        <v>-1.81984291649129</v>
      </c>
      <c r="AH153" s="22" t="n">
        <f aca="false">100*(AH19-AH18)</f>
        <v>-1.7719558568186</v>
      </c>
      <c r="AI153" s="22" t="n">
        <f aca="false">100*(AI19-AI18)</f>
        <v>-1.7261325291333</v>
      </c>
      <c r="AJ153" s="22" t="n">
        <f aca="false">100*(AJ19-AJ18)</f>
        <v>-1.68214191396494</v>
      </c>
      <c r="AK153" s="22" t="n">
        <f aca="false">100*(AK19-AK18)</f>
        <v>-1.6397609984518</v>
      </c>
      <c r="AL153" s="22" t="n">
        <f aca="false">AVERAGE(C153:AK153)</f>
        <v>-2.08258854389438</v>
      </c>
    </row>
    <row r="154" customFormat="false" ht="15" hidden="false" customHeight="false" outlineLevel="0" collapsed="false">
      <c r="A154" s="20" t="n">
        <f aca="false">A20</f>
        <v>-105</v>
      </c>
      <c r="B154" s="21" t="n">
        <f aca="false">B20</f>
        <v>41039</v>
      </c>
      <c r="C154" s="22" t="n">
        <f aca="false">100*(C20-C19)</f>
        <v>1.86554589679664</v>
      </c>
      <c r="D154" s="22" t="n">
        <f aca="false">100*(D20-D19)</f>
        <v>2.73378711419022</v>
      </c>
      <c r="E154" s="22" t="n">
        <f aca="false">100*(E20-E19)</f>
        <v>3.59786413657136</v>
      </c>
      <c r="F154" s="22" t="n">
        <f aca="false">100*(F20-F19)</f>
        <v>4.43535057679201</v>
      </c>
      <c r="G154" s="22" t="n">
        <f aca="false">100*(G20-G19)</f>
        <v>5.2253953522615</v>
      </c>
      <c r="H154" s="22" t="n">
        <f aca="false">100*(H20-H19)</f>
        <v>5.9497770781606</v>
      </c>
      <c r="I154" s="22" t="n">
        <f aca="false">100*(I20-I19)</f>
        <v>6.59536348367464</v>
      </c>
      <c r="J154" s="22" t="n">
        <f aca="false">100*(J20-J19)</f>
        <v>7.1548175660245</v>
      </c>
      <c r="K154" s="22" t="n">
        <f aca="false">100*(K20-K19)</f>
        <v>7.62618691013111</v>
      </c>
      <c r="L154" s="22" t="n">
        <f aca="false">100*(L20-L19)</f>
        <v>8.0117962242503</v>
      </c>
      <c r="M154" s="22" t="n">
        <f aca="false">100*(M20-M19)</f>
        <v>8.3166624412097</v>
      </c>
      <c r="N154" s="22" t="n">
        <f aca="false">100*(N20-N19)</f>
        <v>8.5472944841462</v>
      </c>
      <c r="O154" s="22" t="n">
        <f aca="false">100*(O20-O19)</f>
        <v>8.71090335258691</v>
      </c>
      <c r="P154" s="22" t="n">
        <f aca="false">100*(P20-P19)</f>
        <v>8.8149884571715</v>
      </c>
      <c r="Q154" s="22" t="n">
        <f aca="false">100*(Q20-Q19)</f>
        <v>8.86687886369502</v>
      </c>
      <c r="R154" s="22" t="n">
        <f aca="false">100*(R20-R19)</f>
        <v>8.8734813850466</v>
      </c>
      <c r="S154" s="22" t="n">
        <f aca="false">100*(S20-S19)</f>
        <v>8.84110779482672</v>
      </c>
      <c r="T154" s="22" t="n">
        <f aca="false">100*(T20-T19)</f>
        <v>8.77540649181561</v>
      </c>
      <c r="U154" s="22" t="n">
        <f aca="false">100*(U20-U19)</f>
        <v>8.68131478215841</v>
      </c>
      <c r="V154" s="22" t="n">
        <f aca="false">100*(V20-V19)</f>
        <v>8.5631290387743</v>
      </c>
      <c r="W154" s="22" t="n">
        <f aca="false">100*(W20-W19)</f>
        <v>8.42463690892079</v>
      </c>
      <c r="X154" s="22" t="n">
        <f aca="false">100*(X20-X19)</f>
        <v>8.26921905932672</v>
      </c>
      <c r="Y154" s="22" t="n">
        <f aca="false">100*(Y20-Y19)</f>
        <v>8.0999272529052</v>
      </c>
      <c r="Z154" s="22" t="n">
        <f aca="false">100*(Z20-Z19)</f>
        <v>7.9195206328845</v>
      </c>
      <c r="AA154" s="22" t="n">
        <f aca="false">100*(AA20-AA19)</f>
        <v>7.73043480350331</v>
      </c>
      <c r="AB154" s="22" t="n">
        <f aca="false">100*(AB20-AB19)</f>
        <v>7.53480873538019</v>
      </c>
      <c r="AC154" s="22" t="n">
        <f aca="false">100*(AC20-AC19)</f>
        <v>7.33453389353058</v>
      </c>
      <c r="AD154" s="22" t="n">
        <f aca="false">100*(AD20-AD19)</f>
        <v>7.13129415762479</v>
      </c>
      <c r="AE154" s="22" t="n">
        <f aca="false">100*(AE20-AE19)</f>
        <v>6.92659775590658</v>
      </c>
      <c r="AF154" s="22" t="n">
        <f aca="false">100*(AF20-AF19)</f>
        <v>6.72180253814023</v>
      </c>
      <c r="AG154" s="22" t="n">
        <f aca="false">100*(AG20-AG19)</f>
        <v>4.43864454472052</v>
      </c>
      <c r="AH154" s="22" t="n">
        <f aca="false">100*(AH20-AH19)</f>
        <v>4.30726001017887</v>
      </c>
      <c r="AI154" s="22" t="n">
        <f aca="false">100*(AI20-AI19)</f>
        <v>4.18312018579781</v>
      </c>
      <c r="AJ154" s="22" t="n">
        <f aca="false">100*(AJ20-AJ19)</f>
        <v>4.06631189310112</v>
      </c>
      <c r="AK154" s="22" t="n">
        <f aca="false">100*(AK20-AK19)</f>
        <v>3.95689346563453</v>
      </c>
      <c r="AL154" s="22" t="n">
        <f aca="false">AVERAGE(C154:AK154)</f>
        <v>6.77805877908113</v>
      </c>
    </row>
    <row r="155" customFormat="false" ht="15" hidden="false" customHeight="false" outlineLevel="0" collapsed="false">
      <c r="A155" s="20" t="n">
        <f aca="false">A21</f>
        <v>-104</v>
      </c>
      <c r="B155" s="21" t="n">
        <f aca="false">B21</f>
        <v>41040</v>
      </c>
      <c r="C155" s="22" t="n">
        <f aca="false">100*(C21-C20)</f>
        <v>-1.66238758535972</v>
      </c>
      <c r="D155" s="22" t="n">
        <f aca="false">100*(D21-D20)</f>
        <v>-2.26206992638226</v>
      </c>
      <c r="E155" s="22" t="n">
        <f aca="false">100*(E21-E20)</f>
        <v>-2.67798600256618</v>
      </c>
      <c r="F155" s="22" t="n">
        <f aca="false">100*(F21-F20)</f>
        <v>-2.94225032094011</v>
      </c>
      <c r="G155" s="22" t="n">
        <f aca="false">100*(G21-G20)</f>
        <v>-3.08648501496196</v>
      </c>
      <c r="H155" s="22" t="n">
        <f aca="false">100*(H21-H20)</f>
        <v>-3.13772223717612</v>
      </c>
      <c r="I155" s="22" t="n">
        <f aca="false">100*(I21-I20)</f>
        <v>-3.11893037294559</v>
      </c>
      <c r="J155" s="22" t="n">
        <f aca="false">100*(J21-J20)</f>
        <v>-3.04978846871851</v>
      </c>
      <c r="K155" s="22" t="n">
        <f aca="false">100*(K21-K20)</f>
        <v>-2.94702907938431</v>
      </c>
      <c r="L155" s="22" t="n">
        <f aca="false">100*(L21-L20)</f>
        <v>-2.82422473002109</v>
      </c>
      <c r="M155" s="22" t="n">
        <f aca="false">100*(M21-M20)</f>
        <v>-2.6922434411333</v>
      </c>
      <c r="N155" s="22" t="n">
        <f aca="false">100*(N21-N20)</f>
        <v>-2.55911730646541</v>
      </c>
      <c r="O155" s="22" t="n">
        <f aca="false">100*(O21-O20)</f>
        <v>-2.43029537516701</v>
      </c>
      <c r="P155" s="22" t="n">
        <f aca="false">100*(P21-P20)</f>
        <v>-2.3090547322409</v>
      </c>
      <c r="Q155" s="22" t="n">
        <f aca="false">100*(Q21-Q20)</f>
        <v>-2.19712779249901</v>
      </c>
      <c r="R155" s="22" t="n">
        <f aca="false">100*(R21-R20)</f>
        <v>-2.09503622057821</v>
      </c>
      <c r="S155" s="22" t="n">
        <f aca="false">100*(S21-S20)</f>
        <v>-2.00256304916353</v>
      </c>
      <c r="T155" s="22" t="n">
        <f aca="false">100*(T21-T20)</f>
        <v>-1.91901953005411</v>
      </c>
      <c r="U155" s="22" t="n">
        <f aca="false">100*(U21-U20)</f>
        <v>-1.84357589659312</v>
      </c>
      <c r="V155" s="22" t="n">
        <f aca="false">100*(V21-V20)</f>
        <v>-1.77536779718452</v>
      </c>
      <c r="W155" s="22" t="n">
        <f aca="false">100*(W21-W20)</f>
        <v>-1.71350240907708</v>
      </c>
      <c r="X155" s="22" t="n">
        <f aca="false">100*(X21-X20)</f>
        <v>-1.65706413259423</v>
      </c>
      <c r="Y155" s="22" t="n">
        <f aca="false">100*(Y21-Y20)</f>
        <v>-1.60511941746231</v>
      </c>
      <c r="Z155" s="22" t="n">
        <f aca="false">100*(Z21-Z20)</f>
        <v>-1.5567541217631</v>
      </c>
      <c r="AA155" s="22" t="n">
        <f aca="false">100*(AA21-AA20)</f>
        <v>-1.5111413274056</v>
      </c>
      <c r="AB155" s="22" t="n">
        <f aca="false">100*(AB21-AB20)</f>
        <v>-1.46752924470368</v>
      </c>
      <c r="AC155" s="22" t="n">
        <f aca="false">100*(AC21-AC20)</f>
        <v>-1.42522729261567</v>
      </c>
      <c r="AD155" s="22" t="n">
        <f aca="false">100*(AD21-AD20)</f>
        <v>-1.3835962263824</v>
      </c>
      <c r="AE155" s="22" t="n">
        <f aca="false">100*(AE21-AE20)</f>
        <v>-1.34204077721547</v>
      </c>
      <c r="AF155" s="22" t="n">
        <f aca="false">100*(AF21-AF20)</f>
        <v>-1.29999188994923</v>
      </c>
      <c r="AG155" s="22" t="n">
        <f aca="false">100*(AG21-AG20)</f>
        <v>-0.515061936722017</v>
      </c>
      <c r="AH155" s="22" t="n">
        <f aca="false">100*(AH21-AH20)</f>
        <v>-0.431981841527884</v>
      </c>
      <c r="AI155" s="22" t="n">
        <f aca="false">100*(AI21-AI20)</f>
        <v>-0.346617330672716</v>
      </c>
      <c r="AJ155" s="22" t="n">
        <f aca="false">100*(AJ21-AJ20)</f>
        <v>-0.259394664555401</v>
      </c>
      <c r="AK155" s="22" t="n">
        <f aca="false">100*(AK21-AK20)</f>
        <v>-0.170737587743819</v>
      </c>
      <c r="AL155" s="22" t="n">
        <f aca="false">AVERAGE(C155:AK155)</f>
        <v>-1.89194385942645</v>
      </c>
    </row>
    <row r="156" customFormat="false" ht="15" hidden="false" customHeight="false" outlineLevel="0" collapsed="false">
      <c r="A156" s="20" t="n">
        <f aca="false">A22</f>
        <v>-103</v>
      </c>
      <c r="B156" s="21" t="n">
        <f aca="false">B22</f>
        <v>41043</v>
      </c>
      <c r="C156" s="22" t="n">
        <f aca="false">100*(C22-C21)</f>
        <v>-2.09856118828116</v>
      </c>
      <c r="D156" s="22" t="n">
        <f aca="false">100*(D22-D21)</f>
        <v>-2.98255068961748</v>
      </c>
      <c r="E156" s="22" t="n">
        <f aca="false">100*(E22-E21)</f>
        <v>-3.82257083226873</v>
      </c>
      <c r="F156" s="22" t="n">
        <f aca="false">100*(F22-F21)</f>
        <v>-4.5986020323079</v>
      </c>
      <c r="G156" s="22" t="n">
        <f aca="false">100*(G22-G21)</f>
        <v>-5.30265536754613</v>
      </c>
      <c r="H156" s="22" t="n">
        <f aca="false">100*(H22-H21)</f>
        <v>-5.93190389845415</v>
      </c>
      <c r="I156" s="22" t="n">
        <f aca="false">100*(I22-I21)</f>
        <v>-6.48600921315151</v>
      </c>
      <c r="J156" s="22" t="n">
        <f aca="false">100*(J22-J21)</f>
        <v>-6.9662780063203</v>
      </c>
      <c r="K156" s="22" t="n">
        <f aca="false">100*(K22-K21)</f>
        <v>-7.3755998615433</v>
      </c>
      <c r="L156" s="22" t="n">
        <f aca="false">100*(L22-L21)</f>
        <v>-7.71821123436172</v>
      </c>
      <c r="M156" s="22" t="n">
        <f aca="false">100*(M22-M21)</f>
        <v>-7.99956533647701</v>
      </c>
      <c r="N156" s="22" t="n">
        <f aca="false">100*(N22-N21)</f>
        <v>-8.22570748701068</v>
      </c>
      <c r="O156" s="22" t="n">
        <f aca="false">100*(O22-O21)</f>
        <v>-8.40300197277779</v>
      </c>
      <c r="P156" s="22" t="n">
        <f aca="false">100*(P22-P21)</f>
        <v>-8.5378883149394</v>
      </c>
      <c r="Q156" s="22" t="n">
        <f aca="false">100*(Q22-Q21)</f>
        <v>-8.6364957231476</v>
      </c>
      <c r="R156" s="22" t="n">
        <f aca="false">100*(R22-R21)</f>
        <v>-8.70446762423229</v>
      </c>
      <c r="S156" s="22" t="n">
        <f aca="false">100*(S22-S21)</f>
        <v>-8.74694258592648</v>
      </c>
      <c r="T156" s="22" t="n">
        <f aca="false">100*(T22-T21)</f>
        <v>-8.76867081855619</v>
      </c>
      <c r="U156" s="22" t="n">
        <f aca="false">100*(U22-U21)</f>
        <v>-8.77376210513248</v>
      </c>
      <c r="V156" s="22" t="n">
        <f aca="false">100*(V22-V21)</f>
        <v>-8.76560608977388</v>
      </c>
      <c r="W156" s="22" t="n">
        <f aca="false">100*(W22-W21)</f>
        <v>-8.74701582583861</v>
      </c>
      <c r="X156" s="22" t="n">
        <f aca="false">100*(X22-X21)</f>
        <v>-8.72034309407659</v>
      </c>
      <c r="Y156" s="22" t="n">
        <f aca="false">100*(Y22-Y21)</f>
        <v>-8.68756712158461</v>
      </c>
      <c r="Z156" s="22" t="n">
        <f aca="false">100*(Z22-Z21)</f>
        <v>-8.65034619698739</v>
      </c>
      <c r="AA156" s="22" t="n">
        <f aca="false">100*(AA22-AA21)</f>
        <v>-8.60998055978253</v>
      </c>
      <c r="AB156" s="22" t="n">
        <f aca="false">100*(AB22-AB21)</f>
        <v>-8.56742318931709</v>
      </c>
      <c r="AC156" s="22" t="n">
        <f aca="false">100*(AC22-AC21)</f>
        <v>-8.5233359194131</v>
      </c>
      <c r="AD156" s="22" t="n">
        <f aca="false">100*(AD22-AD21)</f>
        <v>-8.47813639732258</v>
      </c>
      <c r="AE156" s="22" t="n">
        <f aca="false">100*(AE22-AE21)</f>
        <v>-8.4320401667739</v>
      </c>
      <c r="AF156" s="22" t="n">
        <f aca="false">100*(AF22-AF21)</f>
        <v>-8.38514940860589</v>
      </c>
      <c r="AG156" s="22" t="n">
        <f aca="false">100*(AG22-AG21)</f>
        <v>-7.70806086491582</v>
      </c>
      <c r="AH156" s="22" t="n">
        <f aca="false">100*(AH22-AH21)</f>
        <v>-7.6503507411728</v>
      </c>
      <c r="AI156" s="22" t="n">
        <f aca="false">100*(AI22-AI21)</f>
        <v>-7.59206045968837</v>
      </c>
      <c r="AJ156" s="22" t="n">
        <f aca="false">100*(AJ22-AJ21)</f>
        <v>-7.53332603942769</v>
      </c>
      <c r="AK156" s="22" t="n">
        <f aca="false">100*(AK22-AK21)</f>
        <v>-7.47428735319549</v>
      </c>
      <c r="AL156" s="22" t="n">
        <f aca="false">AVERAGE(C156:AK156)</f>
        <v>-7.50298496342653</v>
      </c>
    </row>
    <row r="157" customFormat="false" ht="15" hidden="false" customHeight="false" outlineLevel="0" collapsed="false">
      <c r="A157" s="20" t="n">
        <f aca="false">A23</f>
        <v>-102</v>
      </c>
      <c r="B157" s="21" t="n">
        <f aca="false">B23</f>
        <v>41044</v>
      </c>
      <c r="C157" s="22" t="n">
        <f aca="false">100*(C23-C22)</f>
        <v>-0.17139473910896</v>
      </c>
      <c r="D157" s="22" t="n">
        <f aca="false">100*(D23-D22)</f>
        <v>0.0389297826307922</v>
      </c>
      <c r="E157" s="22" t="n">
        <f aca="false">100*(E23-E22)</f>
        <v>0.208025876604079</v>
      </c>
      <c r="F157" s="22" t="n">
        <f aca="false">100*(F23-F22)</f>
        <v>0.351930068805284</v>
      </c>
      <c r="G157" s="22" t="n">
        <f aca="false">100*(G23-G22)</f>
        <v>0.483097835561896</v>
      </c>
      <c r="H157" s="22" t="n">
        <f aca="false">100*(H23-H22)</f>
        <v>0.609595590597911</v>
      </c>
      <c r="I157" s="22" t="n">
        <f aca="false">100*(I23-I22)</f>
        <v>0.73542572771691</v>
      </c>
      <c r="J157" s="22" t="n">
        <f aca="false">100*(J23-J22)</f>
        <v>0.861317461118105</v>
      </c>
      <c r="K157" s="22" t="n">
        <f aca="false">100*(K23-K22)</f>
        <v>0.985778902359003</v>
      </c>
      <c r="L157" s="22" t="n">
        <f aca="false">100*(L23-L22)</f>
        <v>1.1060731402752</v>
      </c>
      <c r="M157" s="22" t="n">
        <f aca="false">100*(M23-M22)</f>
        <v>1.2189269888726</v>
      </c>
      <c r="N157" s="22" t="n">
        <f aca="false">100*(N23-N22)</f>
        <v>1.32118593041899</v>
      </c>
      <c r="O157" s="22" t="n">
        <f aca="false">100*(O23-O22)</f>
        <v>1.4102965156684</v>
      </c>
      <c r="P157" s="22" t="n">
        <f aca="false">100*(P23-P22)</f>
        <v>1.4845999543019</v>
      </c>
      <c r="Q157" s="22" t="n">
        <f aca="false">100*(Q23-Q22)</f>
        <v>1.5436068327644</v>
      </c>
      <c r="R157" s="22" t="n">
        <f aca="false">100*(R23-R22)</f>
        <v>1.58793958757699</v>
      </c>
      <c r="S157" s="22" t="n">
        <f aca="false">100*(S23-S22)</f>
        <v>1.61911948453861</v>
      </c>
      <c r="T157" s="22" t="n">
        <f aca="false">100*(T23-T22)</f>
        <v>1.63959662227589</v>
      </c>
      <c r="U157" s="22" t="n">
        <f aca="false">100*(U23-U22)</f>
        <v>1.65196964027556</v>
      </c>
      <c r="V157" s="22" t="n">
        <f aca="false">100*(V23-V22)</f>
        <v>1.6586417823623</v>
      </c>
      <c r="W157" s="22" t="n">
        <f aca="false">100*(W23-W22)</f>
        <v>1.66185494057958</v>
      </c>
      <c r="X157" s="22" t="n">
        <f aca="false">100*(X23-X22)</f>
        <v>1.6637219255458</v>
      </c>
      <c r="Y157" s="22" t="n">
        <f aca="false">100*(Y23-Y22)</f>
        <v>1.66625080635221</v>
      </c>
      <c r="Z157" s="22" t="n">
        <f aca="false">100*(Z23-Z22)</f>
        <v>1.6712957652179</v>
      </c>
      <c r="AA157" s="22" t="n">
        <f aca="false">100*(AA23-AA22)</f>
        <v>1.68033312575551</v>
      </c>
      <c r="AB157" s="22" t="n">
        <f aca="false">100*(AB23-AB22)</f>
        <v>1.6944270859991</v>
      </c>
      <c r="AC157" s="22" t="n">
        <f aca="false">100*(AC23-AC22)</f>
        <v>1.71429640373386</v>
      </c>
      <c r="AD157" s="22" t="n">
        <f aca="false">100*(AD23-AD22)</f>
        <v>1.74037011266668</v>
      </c>
      <c r="AE157" s="22" t="n">
        <f aca="false">100*(AE23-AE22)</f>
        <v>1.77283352987989</v>
      </c>
      <c r="AF157" s="22" t="n">
        <f aca="false">100*(AF23-AF22)</f>
        <v>1.81168553064421</v>
      </c>
      <c r="AG157" s="22" t="n">
        <f aca="false">100*(AG23-AG22)</f>
        <v>2.73997893801292</v>
      </c>
      <c r="AH157" s="22" t="n">
        <f aca="false">100*(AH23-AH22)</f>
        <v>2.8257746304444</v>
      </c>
      <c r="AI157" s="22" t="n">
        <f aca="false">100*(AI23-AI22)</f>
        <v>2.9107411339413</v>
      </c>
      <c r="AJ157" s="22" t="n">
        <f aca="false">100*(AJ23-AJ22)</f>
        <v>2.99430616422671</v>
      </c>
      <c r="AK157" s="22" t="n">
        <f aca="false">100*(AK23-AK22)</f>
        <v>3.07593785194418</v>
      </c>
      <c r="AL157" s="22" t="n">
        <f aca="false">AVERAGE(C157:AK157)</f>
        <v>1.48481345515886</v>
      </c>
    </row>
    <row r="158" customFormat="false" ht="15" hidden="false" customHeight="false" outlineLevel="0" collapsed="false">
      <c r="A158" s="20" t="n">
        <f aca="false">A24</f>
        <v>-101</v>
      </c>
      <c r="B158" s="21" t="n">
        <f aca="false">B24</f>
        <v>41045</v>
      </c>
      <c r="C158" s="22" t="n">
        <f aca="false">100*(C24-C23)</f>
        <v>-2.21588555036134</v>
      </c>
      <c r="D158" s="22" t="n">
        <f aca="false">100*(D24-D23)</f>
        <v>-2.68763349856147</v>
      </c>
      <c r="E158" s="22" t="n">
        <f aca="false">100*(E24-E23)</f>
        <v>-3.01606528430872</v>
      </c>
      <c r="F158" s="22" t="n">
        <f aca="false">100*(F24-F23)</f>
        <v>-3.22460359518373</v>
      </c>
      <c r="G158" s="22" t="n">
        <f aca="false">100*(G24-G23)</f>
        <v>-3.33342852604289</v>
      </c>
      <c r="H158" s="22" t="n">
        <f aca="false">100*(H24-H23)</f>
        <v>-3.35913141099831</v>
      </c>
      <c r="I158" s="22" t="n">
        <f aca="false">100*(I24-I23)</f>
        <v>-3.31648591558541</v>
      </c>
      <c r="J158" s="22" t="n">
        <f aca="false">100*(J24-J23)</f>
        <v>-3.2195020574467</v>
      </c>
      <c r="K158" s="22" t="n">
        <f aca="false">100*(K24-K23)</f>
        <v>-3.0814610857048</v>
      </c>
      <c r="L158" s="22" t="n">
        <f aca="false">100*(L24-L23)</f>
        <v>-2.91487985126699</v>
      </c>
      <c r="M158" s="22" t="n">
        <f aca="false">100*(M24-M23)</f>
        <v>-2.73169078182971</v>
      </c>
      <c r="N158" s="22" t="n">
        <f aca="false">100*(N24-N23)</f>
        <v>-2.54310317100659</v>
      </c>
      <c r="O158" s="22" t="n">
        <f aca="false">100*(O24-O23)</f>
        <v>-2.359476641946</v>
      </c>
      <c r="P158" s="22" t="n">
        <f aca="false">100*(P24-P23)</f>
        <v>-2.19000978427799</v>
      </c>
      <c r="Q158" s="22" t="n">
        <f aca="false">100*(Q24-Q23)</f>
        <v>-2.0422122787322</v>
      </c>
      <c r="R158" s="22" t="n">
        <f aca="false">100*(R24-R23)</f>
        <v>-1.9217095568246</v>
      </c>
      <c r="S158" s="22" t="n">
        <f aca="false">100*(S24-S23)</f>
        <v>-1.83217010413921</v>
      </c>
      <c r="T158" s="22" t="n">
        <f aca="false">100*(T24-T23)</f>
        <v>-1.77548164178107</v>
      </c>
      <c r="U158" s="22" t="n">
        <f aca="false">100*(U24-U23)</f>
        <v>-1.75213637925267</v>
      </c>
      <c r="V158" s="22" t="n">
        <f aca="false">100*(V24-V23)</f>
        <v>-1.76147284957002</v>
      </c>
      <c r="W158" s="22" t="n">
        <f aca="false">100*(W24-W23)</f>
        <v>-1.80191367365308</v>
      </c>
      <c r="X158" s="22" t="n">
        <f aca="false">100*(X24-X23)</f>
        <v>-1.87114874274701</v>
      </c>
      <c r="Y158" s="22" t="n">
        <f aca="false">100*(Y24-Y23)</f>
        <v>-1.9662765599135</v>
      </c>
      <c r="Z158" s="22" t="n">
        <f aca="false">100*(Z24-Z23)</f>
        <v>-2.08396696283031</v>
      </c>
      <c r="AA158" s="22" t="n">
        <f aca="false">100*(AA24-AA23)</f>
        <v>-2.22072169576402</v>
      </c>
      <c r="AB158" s="22" t="n">
        <f aca="false">100*(AB24-AB23)</f>
        <v>-2.3729715220933</v>
      </c>
      <c r="AC158" s="22" t="n">
        <f aca="false">100*(AC24-AC23)</f>
        <v>-2.53708919612348</v>
      </c>
      <c r="AD158" s="22" t="n">
        <f aca="false">100*(AD24-AD23)</f>
        <v>-2.70939881938808</v>
      </c>
      <c r="AE158" s="22" t="n">
        <f aca="false">100*(AE24-AE23)</f>
        <v>-2.88619180685079</v>
      </c>
      <c r="AF158" s="22" t="n">
        <f aca="false">100*(AF24-AF23)</f>
        <v>-3.0638583532506</v>
      </c>
      <c r="AG158" s="22" t="n">
        <f aca="false">100*(AG24-AG23)</f>
        <v>-4.46611402406201</v>
      </c>
      <c r="AH158" s="22" t="n">
        <f aca="false">100*(AH24-AH23)</f>
        <v>-4.4812464735069</v>
      </c>
      <c r="AI158" s="22" t="n">
        <f aca="false">100*(AI24-AI23)</f>
        <v>-4.48540801707891</v>
      </c>
      <c r="AJ158" s="22" t="n">
        <f aca="false">100*(AJ24-AJ23)</f>
        <v>-4.47962220871654</v>
      </c>
      <c r="AK158" s="22" t="n">
        <f aca="false">100*(AK24-AK23)</f>
        <v>-4.46491836387279</v>
      </c>
      <c r="AL158" s="22" t="n">
        <f aca="false">AVERAGE(C158:AK158)</f>
        <v>-2.77626818241919</v>
      </c>
    </row>
    <row r="159" customFormat="false" ht="15" hidden="false" customHeight="false" outlineLevel="0" collapsed="false">
      <c r="A159" s="20" t="n">
        <f aca="false">A25</f>
        <v>-100</v>
      </c>
      <c r="B159" s="21" t="n">
        <f aca="false">B25</f>
        <v>41046</v>
      </c>
      <c r="C159" s="22" t="n">
        <f aca="false">100*(C25-C24)</f>
        <v>-3.07637892011618</v>
      </c>
      <c r="D159" s="22" t="n">
        <f aca="false">100*(D25-D24)</f>
        <v>-3.66642166880368</v>
      </c>
      <c r="E159" s="22" t="n">
        <f aca="false">100*(E25-E24)</f>
        <v>-4.06146614706766</v>
      </c>
      <c r="F159" s="22" t="n">
        <f aca="false">100*(F25-F24)</f>
        <v>-4.3231311165631</v>
      </c>
      <c r="G159" s="22" t="n">
        <f aca="false">100*(G25-G24)</f>
        <v>-4.48793359602583</v>
      </c>
      <c r="H159" s="22" t="n">
        <f aca="false">100*(H25-H24)</f>
        <v>-4.57896089805616</v>
      </c>
      <c r="I159" s="22" t="n">
        <f aca="false">100*(I25-I24)</f>
        <v>-4.61279215313218</v>
      </c>
      <c r="J159" s="22" t="n">
        <f aca="false">100*(J25-J24)</f>
        <v>-4.60287642508832</v>
      </c>
      <c r="K159" s="22" t="n">
        <f aca="false">100*(K25-K24)</f>
        <v>-4.56089100814061</v>
      </c>
      <c r="L159" s="22" t="n">
        <f aca="false">100*(L25-L24)</f>
        <v>-4.49690552702209</v>
      </c>
      <c r="M159" s="22" t="n">
        <f aca="false">100*(M25-M24)</f>
        <v>-4.41934483455229</v>
      </c>
      <c r="N159" s="22" t="n">
        <f aca="false">100*(N25-N24)</f>
        <v>-4.33498076076342</v>
      </c>
      <c r="O159" s="22" t="n">
        <f aca="false">100*(O25-O24)</f>
        <v>-4.2489795748579</v>
      </c>
      <c r="P159" s="22" t="n">
        <f aca="false">100*(P25-P24)</f>
        <v>-4.1652184381697</v>
      </c>
      <c r="Q159" s="22" t="n">
        <f aca="false">100*(Q25-Q24)</f>
        <v>-4.08645106049681</v>
      </c>
      <c r="R159" s="22" t="n">
        <f aca="false">100*(R25-R24)</f>
        <v>-4.01463422685209</v>
      </c>
      <c r="S159" s="22" t="n">
        <f aca="false">100*(S25-S24)</f>
        <v>-3.95095177598881</v>
      </c>
      <c r="T159" s="22" t="n">
        <f aca="false">100*(T25-T24)</f>
        <v>-3.89589700285034</v>
      </c>
      <c r="U159" s="22" t="n">
        <f aca="false">100*(U25-U24)</f>
        <v>-3.84960579085583</v>
      </c>
      <c r="V159" s="22" t="n">
        <f aca="false">100*(V25-V24)</f>
        <v>-3.81196090300149</v>
      </c>
      <c r="W159" s="22" t="n">
        <f aca="false">100*(W25-W24)</f>
        <v>-3.78264424877481</v>
      </c>
      <c r="X159" s="22" t="n">
        <f aca="false">100*(X25-X24)</f>
        <v>-3.76117705485588</v>
      </c>
      <c r="Y159" s="22" t="n">
        <f aca="false">100*(Y25-Y24)</f>
        <v>-3.74695107747538</v>
      </c>
      <c r="Z159" s="22" t="n">
        <f aca="false">100*(Z25-Z24)</f>
        <v>-3.73928085028319</v>
      </c>
      <c r="AA159" s="22" t="n">
        <f aca="false">100*(AA25-AA24)</f>
        <v>-3.73749924829259</v>
      </c>
      <c r="AB159" s="22" t="n">
        <f aca="false">100*(AB25-AB24)</f>
        <v>-3.7409776041692</v>
      </c>
      <c r="AC159" s="22" t="n">
        <f aca="false">100*(AC25-AC24)</f>
        <v>-3.74911931824689</v>
      </c>
      <c r="AD159" s="22" t="n">
        <f aca="false">100*(AD25-AD24)</f>
        <v>-3.76135468632444</v>
      </c>
      <c r="AE159" s="22" t="n">
        <f aca="false">100*(AE25-AE24)</f>
        <v>-3.77713824437471</v>
      </c>
      <c r="AF159" s="22" t="n">
        <f aca="false">100*(AF25-AF24)</f>
        <v>-3.79595947364901</v>
      </c>
      <c r="AG159" s="22" t="n">
        <f aca="false">100*(AG25-AG24)</f>
        <v>-4.16109497282529</v>
      </c>
      <c r="AH159" s="22" t="n">
        <f aca="false">100*(AH25-AH24)</f>
        <v>-4.1914003217979</v>
      </c>
      <c r="AI159" s="22" t="n">
        <f aca="false">100*(AI25-AI24)</f>
        <v>-4.22153161201413</v>
      </c>
      <c r="AJ159" s="22" t="n">
        <f aca="false">100*(AJ25-AJ24)</f>
        <v>-4.25147832057058</v>
      </c>
      <c r="AK159" s="22" t="n">
        <f aca="false">100*(AK25-AK24)</f>
        <v>-4.28124867520539</v>
      </c>
      <c r="AL159" s="22" t="n">
        <f aca="false">AVERAGE(C159:AK159)</f>
        <v>-4.05556107249325</v>
      </c>
    </row>
    <row r="160" customFormat="false" ht="15" hidden="false" customHeight="false" outlineLevel="0" collapsed="false">
      <c r="A160" s="20" t="n">
        <f aca="false">A26</f>
        <v>-99</v>
      </c>
      <c r="B160" s="21" t="n">
        <f aca="false">B26</f>
        <v>41047</v>
      </c>
      <c r="C160" s="22" t="n">
        <f aca="false">100*(C26-C25)</f>
        <v>-2.33155088677817</v>
      </c>
      <c r="D160" s="22" t="n">
        <f aca="false">100*(D26-D25)</f>
        <v>-2.5876430806202</v>
      </c>
      <c r="E160" s="22" t="n">
        <f aca="false">100*(E26-E25)</f>
        <v>-2.64023908673887</v>
      </c>
      <c r="F160" s="22" t="n">
        <f aca="false">100*(F26-F25)</f>
        <v>-2.56542738318237</v>
      </c>
      <c r="G160" s="22" t="n">
        <f aca="false">100*(G26-G25)</f>
        <v>-2.41434799005439</v>
      </c>
      <c r="H160" s="22" t="n">
        <f aca="false">100*(H26-H25)</f>
        <v>-2.22038951061738</v>
      </c>
      <c r="I160" s="22" t="n">
        <f aca="false">100*(I26-I25)</f>
        <v>-2.0061142922435</v>
      </c>
      <c r="J160" s="22" t="n">
        <f aca="false">100*(J26-J25)</f>
        <v>-1.78807860243689</v>
      </c>
      <c r="K160" s="22" t="n">
        <f aca="false">100*(K26-K25)</f>
        <v>-1.5790534451773</v>
      </c>
      <c r="L160" s="22" t="n">
        <f aca="false">100*(L26-L25)</f>
        <v>-1.38864218460231</v>
      </c>
      <c r="M160" s="22" t="n">
        <f aca="false">100*(M26-M25)</f>
        <v>-1.2242007551069</v>
      </c>
      <c r="N160" s="22" t="n">
        <f aca="false">100*(N26-N25)</f>
        <v>-1.0907818735177</v>
      </c>
      <c r="O160" s="22" t="n">
        <f aca="false">100*(O26-O25)</f>
        <v>-0.991546959489797</v>
      </c>
      <c r="P160" s="22" t="n">
        <f aca="false">100*(P26-P25)</f>
        <v>-0.928496412859592</v>
      </c>
      <c r="Q160" s="22" t="n">
        <f aca="false">100*(Q26-Q25)</f>
        <v>-0.902254465725294</v>
      </c>
      <c r="R160" s="22" t="n">
        <f aca="false">100*(R26-R25)</f>
        <v>-0.912497821474001</v>
      </c>
      <c r="S160" s="22" t="n">
        <f aca="false">100*(S26-S25)</f>
        <v>-0.957647391908401</v>
      </c>
      <c r="T160" s="22" t="n">
        <f aca="false">100*(T26-T25)</f>
        <v>-1.03512322199548</v>
      </c>
      <c r="U160" s="22" t="n">
        <f aca="false">100*(U26-U25)</f>
        <v>-1.14211761769019</v>
      </c>
      <c r="V160" s="22" t="n">
        <f aca="false">100*(V26-V25)</f>
        <v>-1.2756746918003</v>
      </c>
      <c r="W160" s="22" t="n">
        <f aca="false">100*(W26-W25)</f>
        <v>-1.43271868404331</v>
      </c>
      <c r="X160" s="22" t="n">
        <f aca="false">100*(X26-X25)</f>
        <v>-1.6100779356631</v>
      </c>
      <c r="Y160" s="22" t="n">
        <f aca="false">100*(Y26-Y25)</f>
        <v>-1.80450440539803</v>
      </c>
      <c r="Z160" s="22" t="n">
        <f aca="false">100*(Z26-Z25)</f>
        <v>-2.0127760768454</v>
      </c>
      <c r="AA160" s="22" t="n">
        <f aca="false">100*(AA26-AA25)</f>
        <v>-2.2319359850894</v>
      </c>
      <c r="AB160" s="22" t="n">
        <f aca="false">100*(AB26-AB25)</f>
        <v>-2.4593114281144</v>
      </c>
      <c r="AC160" s="22" t="n">
        <f aca="false">100*(AC26-AC25)</f>
        <v>-2.69246643157803</v>
      </c>
      <c r="AD160" s="22" t="n">
        <f aca="false">100*(AD26-AD25)</f>
        <v>-2.92916356692841</v>
      </c>
      <c r="AE160" s="22" t="n">
        <f aca="false">100*(AE26-AE25)</f>
        <v>-3.16733889873198</v>
      </c>
      <c r="AF160" s="22" t="n">
        <f aca="false">100*(AF26-AF25)</f>
        <v>-3.40513508192659</v>
      </c>
      <c r="AG160" s="22" t="n">
        <f aca="false">100*(AG26-AG25)</f>
        <v>-5.99680046111701</v>
      </c>
      <c r="AH160" s="22" t="n">
        <f aca="false">100*(AH26-AH25)</f>
        <v>-6.14505230468949</v>
      </c>
      <c r="AI160" s="22" t="n">
        <f aca="false">100*(AI26-AI25)</f>
        <v>-6.28617087029739</v>
      </c>
      <c r="AJ160" s="22" t="n">
        <f aca="false">100*(AJ26-AJ25)</f>
        <v>-6.42034484912708</v>
      </c>
      <c r="AK160" s="22" t="n">
        <f aca="false">100*(AK26-AK25)</f>
        <v>-6.54777327376861</v>
      </c>
      <c r="AL160" s="22" t="n">
        <f aca="false">AVERAGE(C160:AK160)</f>
        <v>-2.48923994078106</v>
      </c>
    </row>
    <row r="161" customFormat="false" ht="15" hidden="false" customHeight="false" outlineLevel="0" collapsed="false">
      <c r="A161" s="20" t="n">
        <f aca="false">A27</f>
        <v>-98</v>
      </c>
      <c r="B161" s="21" t="n">
        <f aca="false">B27</f>
        <v>41050</v>
      </c>
      <c r="C161" s="22" t="n">
        <f aca="false">100*(C27-C26)</f>
        <v>-0.874026559625041</v>
      </c>
      <c r="D161" s="22" t="n">
        <f aca="false">100*(D27-D26)</f>
        <v>-0.437168329892251</v>
      </c>
      <c r="E161" s="22" t="n">
        <f aca="false">100*(E27-E26)</f>
        <v>0.0219513871659305</v>
      </c>
      <c r="F161" s="22" t="n">
        <f aca="false">100*(F27-F26)</f>
        <v>0.461015094971551</v>
      </c>
      <c r="G161" s="22" t="n">
        <f aca="false">100*(G27-G26)</f>
        <v>0.860267872189113</v>
      </c>
      <c r="H161" s="22" t="n">
        <f aca="false">100*(H27-H26)</f>
        <v>1.20931471906756</v>
      </c>
      <c r="I161" s="22" t="n">
        <f aca="false">100*(I27-I26)</f>
        <v>1.50354321179224</v>
      </c>
      <c r="J161" s="22" t="n">
        <f aca="false">100*(J27-J26)</f>
        <v>1.74283592509055</v>
      </c>
      <c r="K161" s="22" t="n">
        <f aca="false">100*(K27-K26)</f>
        <v>1.93075638984972</v>
      </c>
      <c r="L161" s="22" t="n">
        <f aca="false">100*(L27-L26)</f>
        <v>2.0731149321801</v>
      </c>
      <c r="M161" s="22" t="n">
        <f aca="false">100*(M27-M26)</f>
        <v>2.17600003779419</v>
      </c>
      <c r="N161" s="22" t="n">
        <f aca="false">100*(N27-N26)</f>
        <v>2.2454218859371</v>
      </c>
      <c r="O161" s="22" t="n">
        <f aca="false">100*(O27-O26)</f>
        <v>2.28690814870689</v>
      </c>
      <c r="P161" s="22" t="n">
        <f aca="false">100*(P27-P26)</f>
        <v>2.30540147015179</v>
      </c>
      <c r="Q161" s="22" t="n">
        <f aca="false">100*(Q27-Q26)</f>
        <v>2.30558716580891</v>
      </c>
      <c r="R161" s="22" t="n">
        <f aca="false">100*(R27-R26)</f>
        <v>2.2920313412087</v>
      </c>
      <c r="S161" s="22" t="n">
        <f aca="false">100*(S27-S26)</f>
        <v>2.269419905111</v>
      </c>
      <c r="T161" s="22" t="n">
        <f aca="false">100*(T27-T26)</f>
        <v>2.24277411103078</v>
      </c>
      <c r="U161" s="22" t="n">
        <f aca="false">100*(U27-U26)</f>
        <v>2.21656434816122</v>
      </c>
      <c r="V161" s="22" t="n">
        <f aca="false">100*(V27-V26)</f>
        <v>2.19447172174831</v>
      </c>
      <c r="W161" s="22" t="n">
        <f aca="false">100*(W27-W26)</f>
        <v>2.17954603768744</v>
      </c>
      <c r="X161" s="22" t="n">
        <f aca="false">100*(X27-X26)</f>
        <v>2.17433206239202</v>
      </c>
      <c r="Y161" s="22" t="n">
        <f aca="false">100*(Y27-Y26)</f>
        <v>2.1809657437442</v>
      </c>
      <c r="Z161" s="22" t="n">
        <f aca="false">100*(Z27-Z26)</f>
        <v>2.20115031624588</v>
      </c>
      <c r="AA161" s="22" t="n">
        <f aca="false">100*(AA27-AA26)</f>
        <v>2.2358979905154</v>
      </c>
      <c r="AB161" s="22" t="n">
        <f aca="false">100*(AB27-AB26)</f>
        <v>2.28552687400421</v>
      </c>
      <c r="AC161" s="22" t="n">
        <f aca="false">100*(AC27-AC26)</f>
        <v>2.34977460505701</v>
      </c>
      <c r="AD161" s="22" t="n">
        <f aca="false">100*(AD27-AD26)</f>
        <v>2.42789197696034</v>
      </c>
      <c r="AE161" s="22" t="n">
        <f aca="false">100*(AE27-AE26)</f>
        <v>2.51871855776447</v>
      </c>
      <c r="AF161" s="22" t="n">
        <f aca="false">100*(AF27-AF26)</f>
        <v>2.6207494883391</v>
      </c>
      <c r="AG161" s="22" t="n">
        <f aca="false">100*(AG27-AG26)</f>
        <v>4.19367649795159</v>
      </c>
      <c r="AH161" s="22" t="n">
        <f aca="false">100*(AH27-AH26)</f>
        <v>4.29199180643658</v>
      </c>
      <c r="AI161" s="22" t="n">
        <f aca="false">100*(AI27-AI26)</f>
        <v>4.38456986399052</v>
      </c>
      <c r="AJ161" s="22" t="n">
        <f aca="false">100*(AJ27-AJ26)</f>
        <v>4.47148376954707</v>
      </c>
      <c r="AK161" s="22" t="n">
        <f aca="false">100*(AK27-AK26)</f>
        <v>4.55287640350459</v>
      </c>
      <c r="AL161" s="22" t="n">
        <f aca="false">AVERAGE(C161:AK161)</f>
        <v>2.17415247921682</v>
      </c>
    </row>
    <row r="162" customFormat="false" ht="15" hidden="false" customHeight="false" outlineLevel="0" collapsed="false">
      <c r="A162" s="20" t="n">
        <f aca="false">A28</f>
        <v>-97</v>
      </c>
      <c r="B162" s="21" t="n">
        <f aca="false">B28</f>
        <v>41051</v>
      </c>
      <c r="C162" s="22" t="n">
        <f aca="false">100*(C28-C27)</f>
        <v>-0.50209824278763</v>
      </c>
      <c r="D162" s="22" t="n">
        <f aca="false">100*(D28-D27)</f>
        <v>-0.0410542964496552</v>
      </c>
      <c r="E162" s="22" t="n">
        <f aca="false">100*(E28-E27)</f>
        <v>0.397452494935469</v>
      </c>
      <c r="F162" s="22" t="n">
        <f aca="false">100*(F28-F27)</f>
        <v>0.796505857364471</v>
      </c>
      <c r="G162" s="22" t="n">
        <f aca="false">100*(G28-G27)</f>
        <v>1.15182308346862</v>
      </c>
      <c r="H162" s="22" t="n">
        <f aca="false">100*(H28-H27)</f>
        <v>1.46265831904819</v>
      </c>
      <c r="I162" s="22" t="n">
        <f aca="false">100*(I28-I27)</f>
        <v>1.73028669097592</v>
      </c>
      <c r="J162" s="22" t="n">
        <f aca="false">100*(J28-J27)</f>
        <v>1.95708481098787</v>
      </c>
      <c r="K162" s="22" t="n">
        <f aca="false">100*(K28-K27)</f>
        <v>2.14618806863178</v>
      </c>
      <c r="L162" s="22" t="n">
        <f aca="false">100*(L28-L27)</f>
        <v>2.30126746178629</v>
      </c>
      <c r="M162" s="22" t="n">
        <f aca="false">100*(M28-M27)</f>
        <v>2.42610433417849</v>
      </c>
      <c r="N162" s="22" t="n">
        <f aca="false">100*(N28-N27)</f>
        <v>2.5246681450366</v>
      </c>
      <c r="O162" s="22" t="n">
        <f aca="false">100*(O28-O27)</f>
        <v>2.60094271089322</v>
      </c>
      <c r="P162" s="22" t="n">
        <f aca="false">100*(P28-P27)</f>
        <v>2.65866406552311</v>
      </c>
      <c r="Q162" s="22" t="n">
        <f aca="false">100*(Q28-Q27)</f>
        <v>2.70127339201629</v>
      </c>
      <c r="R162" s="22" t="n">
        <f aca="false">100*(R28-R27)</f>
        <v>2.7318206672349</v>
      </c>
      <c r="S162" s="22" t="n">
        <f aca="false">100*(S28-S27)</f>
        <v>2.7528938710712</v>
      </c>
      <c r="T162" s="22" t="n">
        <f aca="false">100*(T28-T27)</f>
        <v>2.76668297183011</v>
      </c>
      <c r="U162" s="22" t="n">
        <f aca="false">100*(U28-U27)</f>
        <v>2.7750022456468</v>
      </c>
      <c r="V162" s="22" t="n">
        <f aca="false">100*(V28-V27)</f>
        <v>2.77935549050259</v>
      </c>
      <c r="W162" s="22" t="n">
        <f aca="false">100*(W28-W27)</f>
        <v>2.78100148730887</v>
      </c>
      <c r="X162" s="22" t="n">
        <f aca="false">100*(X28-X27)</f>
        <v>2.78100300332178</v>
      </c>
      <c r="Y162" s="22" t="n">
        <f aca="false">100*(Y28-Y27)</f>
        <v>2.78026409396852</v>
      </c>
      <c r="Z162" s="22" t="n">
        <f aca="false">100*(Z28-Z27)</f>
        <v>2.77953664831272</v>
      </c>
      <c r="AA162" s="22" t="n">
        <f aca="false">100*(AA28-AA27)</f>
        <v>2.77940092258357</v>
      </c>
      <c r="AB162" s="22" t="n">
        <f aca="false">100*(AB28-AB27)</f>
        <v>2.78029047036799</v>
      </c>
      <c r="AC162" s="22" t="n">
        <f aca="false">100*(AC28-AC27)</f>
        <v>2.78251709657291</v>
      </c>
      <c r="AD162" s="22" t="n">
        <f aca="false">100*(AD28-AD27)</f>
        <v>2.78629049430927</v>
      </c>
      <c r="AE162" s="22" t="n">
        <f aca="false">100*(AE28-AE27)</f>
        <v>2.79173174292153</v>
      </c>
      <c r="AF162" s="22" t="n">
        <f aca="false">100*(AF28-AF27)</f>
        <v>2.79886215605769</v>
      </c>
      <c r="AG162" s="22" t="n">
        <f aca="false">100*(AG28-AG27)</f>
        <v>2.98224806565459</v>
      </c>
      <c r="AH162" s="22" t="n">
        <f aca="false">100*(AH28-AH27)</f>
        <v>2.99960009181439</v>
      </c>
      <c r="AI162" s="22" t="n">
        <f aca="false">100*(AI28-AI27)</f>
        <v>3.01733207815529</v>
      </c>
      <c r="AJ162" s="22" t="n">
        <f aca="false">100*(AJ28-AJ27)</f>
        <v>3.03550242894821</v>
      </c>
      <c r="AK162" s="22" t="n">
        <f aca="false">100*(AK28-AK27)</f>
        <v>3.05416904389668</v>
      </c>
      <c r="AL162" s="22" t="n">
        <f aca="false">AVERAGE(C162:AK162)</f>
        <v>2.31563634188825</v>
      </c>
    </row>
    <row r="163" customFormat="false" ht="15" hidden="false" customHeight="false" outlineLevel="0" collapsed="false">
      <c r="A163" s="20" t="n">
        <f aca="false">A29</f>
        <v>-96</v>
      </c>
      <c r="B163" s="21" t="n">
        <f aca="false">B29</f>
        <v>41052</v>
      </c>
      <c r="C163" s="22" t="n">
        <f aca="false">100*(C29-C28)</f>
        <v>-3.74796237407924</v>
      </c>
      <c r="D163" s="22" t="n">
        <f aca="false">100*(D29-D28)</f>
        <v>-4.62657296705401</v>
      </c>
      <c r="E163" s="22" t="n">
        <f aca="false">100*(E29-E28)</f>
        <v>-5.44748472523392</v>
      </c>
      <c r="F163" s="22" t="n">
        <f aca="false">100*(F29-F28)</f>
        <v>-6.20017885674078</v>
      </c>
      <c r="G163" s="22" t="n">
        <f aca="false">100*(G29-G28)</f>
        <v>-6.88314404116787</v>
      </c>
      <c r="H163" s="22" t="n">
        <f aca="false">100*(H29-H28)</f>
        <v>-7.49755923201204</v>
      </c>
      <c r="I163" s="22" t="n">
        <f aca="false">100*(I29-I28)</f>
        <v>-8.04550625341314</v>
      </c>
      <c r="J163" s="22" t="n">
        <f aca="false">100*(J29-J28)</f>
        <v>-8.52945460814711</v>
      </c>
      <c r="K163" s="22" t="n">
        <f aca="false">100*(K29-K28)</f>
        <v>-8.95167847820328</v>
      </c>
      <c r="L163" s="22" t="n">
        <f aca="false">100*(L29-L28)</f>
        <v>-9.31441681582898</v>
      </c>
      <c r="M163" s="22" t="n">
        <f aca="false">100*(M29-M28)</f>
        <v>-9.61972189639748</v>
      </c>
      <c r="N163" s="22" t="n">
        <f aca="false">100*(N29-N28)</f>
        <v>-9.8697906144307</v>
      </c>
      <c r="O163" s="22" t="n">
        <f aca="false">100*(O29-O28)</f>
        <v>-10.0668872791616</v>
      </c>
      <c r="P163" s="22" t="n">
        <f aca="false">100*(P29-P28)</f>
        <v>-10.2133432344159</v>
      </c>
      <c r="Q163" s="22" t="n">
        <f aca="false">100*(Q29-Q28)</f>
        <v>-10.3116050283799</v>
      </c>
      <c r="R163" s="22" t="n">
        <f aca="false">100*(R29-R28)</f>
        <v>-10.3642515765413</v>
      </c>
      <c r="S163" s="22" t="n">
        <f aca="false">100*(S29-S28)</f>
        <v>-10.3741328189195</v>
      </c>
      <c r="T163" s="22" t="n">
        <f aca="false">100*(T29-T28)</f>
        <v>-10.3442989007442</v>
      </c>
      <c r="U163" s="22" t="n">
        <f aca="false">100*(U29-U28)</f>
        <v>-10.277884748018</v>
      </c>
      <c r="V163" s="22" t="n">
        <f aca="false">100*(V29-V28)</f>
        <v>-10.1780699405341</v>
      </c>
      <c r="W163" s="22" t="n">
        <f aca="false">100*(W29-W28)</f>
        <v>-10.0480679086456</v>
      </c>
      <c r="X163" s="22" t="n">
        <f aca="false">100*(X29-X28)</f>
        <v>-9.89111916315291</v>
      </c>
      <c r="Y163" s="22" t="n">
        <f aca="false">100*(Y29-Y28)</f>
        <v>-9.71048638202601</v>
      </c>
      <c r="Z163" s="22" t="n">
        <f aca="false">100*(Z29-Z28)</f>
        <v>-9.5094579685842</v>
      </c>
      <c r="AA163" s="22" t="n">
        <f aca="false">100*(AA29-AA28)</f>
        <v>-9.29133385495087</v>
      </c>
      <c r="AB163" s="22" t="n">
        <f aca="false">100*(AB29-AB28)</f>
        <v>-9.05940588107339</v>
      </c>
      <c r="AC163" s="22" t="n">
        <f aca="false">100*(AC29-AC28)</f>
        <v>-8.81695819481982</v>
      </c>
      <c r="AD163" s="22" t="n">
        <f aca="false">100*(AD29-AD28)</f>
        <v>-8.56726849263589</v>
      </c>
      <c r="AE163" s="22" t="n">
        <f aca="false">100*(AE29-AE28)</f>
        <v>-8.31361174817924</v>
      </c>
      <c r="AF163" s="22" t="n">
        <f aca="false">100*(AF29-AF28)</f>
        <v>-8.05928798534139</v>
      </c>
      <c r="AG163" s="22" t="n">
        <f aca="false">100*(AG29-AG28)</f>
        <v>-5.77277762584356</v>
      </c>
      <c r="AH163" s="22" t="n">
        <f aca="false">100*(AH29-AH28)</f>
        <v>-5.7054361627578</v>
      </c>
      <c r="AI163" s="22" t="n">
        <f aca="false">100*(AI29-AI28)</f>
        <v>-5.65125467450978</v>
      </c>
      <c r="AJ163" s="22" t="n">
        <f aca="false">100*(AJ29-AJ28)</f>
        <v>-5.60895162763671</v>
      </c>
      <c r="AK163" s="22" t="n">
        <f aca="false">100*(AK29-AK28)</f>
        <v>-5.5772183102218</v>
      </c>
      <c r="AL163" s="22" t="n">
        <f aca="false">AVERAGE(C163:AK163)</f>
        <v>-8.29847372485149</v>
      </c>
    </row>
    <row r="164" customFormat="false" ht="15" hidden="false" customHeight="false" outlineLevel="0" collapsed="false">
      <c r="A164" s="20" t="n">
        <f aca="false">A30</f>
        <v>-95</v>
      </c>
      <c r="B164" s="21" t="n">
        <f aca="false">B30</f>
        <v>41053</v>
      </c>
      <c r="C164" s="22" t="n">
        <f aca="false">100*(C30-C29)</f>
        <v>-1.79107139738946</v>
      </c>
      <c r="D164" s="22" t="n">
        <f aca="false">100*(D30-D29)</f>
        <v>-1.6449783934735</v>
      </c>
      <c r="E164" s="22" t="n">
        <f aca="false">100*(E30-E29)</f>
        <v>-1.46746090269495</v>
      </c>
      <c r="F164" s="22" t="n">
        <f aca="false">100*(F30-F29)</f>
        <v>-1.26945225887254</v>
      </c>
      <c r="G164" s="22" t="n">
        <f aca="false">100*(G30-G29)</f>
        <v>-1.05858631875599</v>
      </c>
      <c r="H164" s="22" t="n">
        <f aca="false">100*(H30-H29)</f>
        <v>-0.842084285414391</v>
      </c>
      <c r="I164" s="22" t="n">
        <f aca="false">100*(I30-I29)</f>
        <v>-0.626854645491592</v>
      </c>
      <c r="J164" s="22" t="n">
        <f aca="false">100*(J30-J29)</f>
        <v>-0.418992767827586</v>
      </c>
      <c r="K164" s="22" t="n">
        <f aca="false">100*(K30-K29)</f>
        <v>-0.223560077014917</v>
      </c>
      <c r="L164" s="22" t="n">
        <f aca="false">100*(L30-L29)</f>
        <v>-0.0446958575668122</v>
      </c>
      <c r="M164" s="22" t="n">
        <f aca="false">100*(M30-M29)</f>
        <v>0.114753981564086</v>
      </c>
      <c r="N164" s="22" t="n">
        <f aca="false">100*(N30-N29)</f>
        <v>0.252542693645896</v>
      </c>
      <c r="O164" s="22" t="n">
        <f aca="false">100*(O30-O29)</f>
        <v>0.367044229550406</v>
      </c>
      <c r="P164" s="22" t="n">
        <f aca="false">100*(P30-P29)</f>
        <v>0.457250157351319</v>
      </c>
      <c r="Q164" s="22" t="n">
        <f aca="false">100*(Q30-Q29)</f>
        <v>0.522709841418489</v>
      </c>
      <c r="R164" s="22" t="n">
        <f aca="false">100*(R30-R29)</f>
        <v>0.563466982481997</v>
      </c>
      <c r="S164" s="22" t="n">
        <f aca="false">100*(S30-S29)</f>
        <v>0.579913073836003</v>
      </c>
      <c r="T164" s="22" t="n">
        <f aca="false">100*(T30-T29)</f>
        <v>0.572703984767098</v>
      </c>
      <c r="U164" s="22" t="n">
        <f aca="false">100*(U30-U29)</f>
        <v>0.542793410830278</v>
      </c>
      <c r="V164" s="22" t="n">
        <f aca="false">100*(V30-V29)</f>
        <v>0.491425999047301</v>
      </c>
      <c r="W164" s="22" t="n">
        <f aca="false">100*(W30-W29)</f>
        <v>0.420078923095613</v>
      </c>
      <c r="X164" s="22" t="n">
        <f aca="false">100*(X30-X29)</f>
        <v>0.330415377977511</v>
      </c>
      <c r="Y164" s="22" t="n">
        <f aca="false">100*(Y30-Y29)</f>
        <v>0.22424837525139</v>
      </c>
      <c r="Z164" s="22" t="n">
        <f aca="false">100*(Z30-Z29)</f>
        <v>0.1034896219823</v>
      </c>
      <c r="AA164" s="22" t="n">
        <f aca="false">100*(AA30-AA29)</f>
        <v>-0.0299141525392344</v>
      </c>
      <c r="AB164" s="22" t="n">
        <f aca="false">100*(AB30-AB29)</f>
        <v>-0.173991340904101</v>
      </c>
      <c r="AC164" s="22" t="n">
        <f aca="false">100*(AC30-AC29)</f>
        <v>-0.326749109638502</v>
      </c>
      <c r="AD164" s="22" t="n">
        <f aca="false">100*(AD30-AD29)</f>
        <v>-0.486176822762197</v>
      </c>
      <c r="AE164" s="22" t="n">
        <f aca="false">100*(AE30-AE29)</f>
        <v>-0.650254278764084</v>
      </c>
      <c r="AF164" s="22" t="n">
        <f aca="false">100*(AF30-AF29)</f>
        <v>-0.817017711568591</v>
      </c>
      <c r="AG164" s="22" t="n">
        <f aca="false">100*(AG30-AG29)</f>
        <v>-2.66425766233511</v>
      </c>
      <c r="AH164" s="22" t="n">
        <f aca="false">100*(AH30-AH29)</f>
        <v>-2.7636822423426</v>
      </c>
      <c r="AI164" s="22" t="n">
        <f aca="false">100*(AI30-AI29)</f>
        <v>-2.85669390424612</v>
      </c>
      <c r="AJ164" s="22" t="n">
        <f aca="false">100*(AJ30-AJ29)</f>
        <v>-2.94338490998078</v>
      </c>
      <c r="AK164" s="22" t="n">
        <f aca="false">100*(AK30-AK29)</f>
        <v>-3.02385844401338</v>
      </c>
      <c r="AL164" s="22" t="n">
        <f aca="false">AVERAGE(C164:AK164)</f>
        <v>-0.588025166594193</v>
      </c>
    </row>
    <row r="165" customFormat="false" ht="15" hidden="false" customHeight="false" outlineLevel="0" collapsed="false">
      <c r="A165" s="20" t="n">
        <f aca="false">A31</f>
        <v>-94</v>
      </c>
      <c r="B165" s="21" t="n">
        <f aca="false">B31</f>
        <v>41054</v>
      </c>
      <c r="C165" s="22" t="n">
        <f aca="false">100*(C31-C30)</f>
        <v>-1.48057806273659</v>
      </c>
      <c r="D165" s="22" t="n">
        <f aca="false">100*(D31-D30)</f>
        <v>-1.6686169457868</v>
      </c>
      <c r="E165" s="22" t="n">
        <f aca="false">100*(E31-E30)</f>
        <v>-1.78201997454941</v>
      </c>
      <c r="F165" s="22" t="n">
        <f aca="false">100*(F31-F30)</f>
        <v>-1.85058160517291</v>
      </c>
      <c r="G165" s="22" t="n">
        <f aca="false">100*(G31-G30)</f>
        <v>-1.89511213922073</v>
      </c>
      <c r="H165" s="22" t="n">
        <f aca="false">100*(H31-H30)</f>
        <v>-1.92927822378048</v>
      </c>
      <c r="I165" s="22" t="n">
        <f aca="false">100*(I31-I30)</f>
        <v>-1.96119044362917</v>
      </c>
      <c r="J165" s="22" t="n">
        <f aca="false">100*(J31-J30)</f>
        <v>-1.99407250373661</v>
      </c>
      <c r="K165" s="22" t="n">
        <f aca="false">100*(K31-K30)</f>
        <v>-2.02817460449098</v>
      </c>
      <c r="L165" s="22" t="n">
        <f aca="false">100*(L31-L30)</f>
        <v>-2.06230597139039</v>
      </c>
      <c r="M165" s="22" t="n">
        <f aca="false">100*(M31-M30)</f>
        <v>-2.09384696862029</v>
      </c>
      <c r="N165" s="22" t="n">
        <f aca="false">100*(N31-N30)</f>
        <v>-2.1208255035934</v>
      </c>
      <c r="O165" s="22" t="n">
        <f aca="false">100*(O31-O30)</f>
        <v>-2.14182555104401</v>
      </c>
      <c r="P165" s="22" t="n">
        <f aca="false">100*(P31-P30)</f>
        <v>-2.15557606821901</v>
      </c>
      <c r="Q165" s="22" t="n">
        <f aca="false">100*(Q31-Q30)</f>
        <v>-2.1613864318039</v>
      </c>
      <c r="R165" s="22" t="n">
        <f aca="false">100*(R31-R30)</f>
        <v>-2.15887552481229</v>
      </c>
      <c r="S165" s="22" t="n">
        <f aca="false">100*(S31-S30)</f>
        <v>-2.1480193690683</v>
      </c>
      <c r="T165" s="22" t="n">
        <f aca="false">100*(T31-T30)</f>
        <v>-2.12905186143599</v>
      </c>
      <c r="U165" s="22" t="n">
        <f aca="false">100*(U31-U30)</f>
        <v>-2.1024061406409</v>
      </c>
      <c r="V165" s="22" t="n">
        <f aca="false">100*(V31-V30)</f>
        <v>-2.0686469974196</v>
      </c>
      <c r="W165" s="22" t="n">
        <f aca="false">100*(W31-W30)</f>
        <v>-2.02843997829549</v>
      </c>
      <c r="X165" s="22" t="n">
        <f aca="false">100*(X31-X30)</f>
        <v>-1.98253123442322</v>
      </c>
      <c r="Y165" s="22" t="n">
        <f aca="false">100*(Y31-Y30)</f>
        <v>-1.93173297633691</v>
      </c>
      <c r="Z165" s="22" t="n">
        <f aca="false">100*(Z31-Z30)</f>
        <v>-1.8769300669756</v>
      </c>
      <c r="AA165" s="22" t="n">
        <f aca="false">100*(AA31-AA30)</f>
        <v>-1.81902055454009</v>
      </c>
      <c r="AB165" s="22" t="n">
        <f aca="false">100*(AB31-AB30)</f>
        <v>-1.75885530205382</v>
      </c>
      <c r="AC165" s="22" t="n">
        <f aca="false">100*(AC31-AC30)</f>
        <v>-1.69724312047368</v>
      </c>
      <c r="AD165" s="22" t="n">
        <f aca="false">100*(AD31-AD30)</f>
        <v>-1.63495755128231</v>
      </c>
      <c r="AE165" s="22" t="n">
        <f aca="false">100*(AE31-AE30)</f>
        <v>-1.57274435032049</v>
      </c>
      <c r="AF165" s="22" t="n">
        <f aca="false">100*(AF31-AF30)</f>
        <v>-1.51131435655012</v>
      </c>
      <c r="AG165" s="22" t="n">
        <f aca="false">100*(AG31-AG30)</f>
        <v>-0.978754262000292</v>
      </c>
      <c r="AH165" s="22" t="n">
        <f aca="false">100*(AH31-AH30)</f>
        <v>-0.964430489492862</v>
      </c>
      <c r="AI165" s="22" t="n">
        <f aca="false">100*(AI31-AI30)</f>
        <v>-0.953636904255184</v>
      </c>
      <c r="AJ165" s="22" t="n">
        <f aca="false">100*(AJ31-AJ30)</f>
        <v>-0.946140154317021</v>
      </c>
      <c r="AK165" s="22" t="n">
        <f aca="false">100*(AK31-AK30)</f>
        <v>-0.941699249932215</v>
      </c>
      <c r="AL165" s="22" t="n">
        <f aca="false">AVERAGE(C165:AK165)</f>
        <v>-1.78659489835432</v>
      </c>
    </row>
    <row r="166" customFormat="false" ht="15" hidden="false" customHeight="false" outlineLevel="0" collapsed="false">
      <c r="A166" s="20" t="n">
        <f aca="false">A32</f>
        <v>-93</v>
      </c>
      <c r="B166" s="21" t="n">
        <f aca="false">B32</f>
        <v>41057</v>
      </c>
      <c r="C166" s="22" t="n">
        <f aca="false">100*(C32-C31)</f>
        <v>1.22127061347925</v>
      </c>
      <c r="D166" s="22" t="n">
        <f aca="false">100*(D32-D31)</f>
        <v>1.28691371187091</v>
      </c>
      <c r="E166" s="22" t="n">
        <f aca="false">100*(E32-E31)</f>
        <v>1.2851170829427</v>
      </c>
      <c r="F166" s="22" t="n">
        <f aca="false">100*(F32-F31)</f>
        <v>1.25274242869989</v>
      </c>
      <c r="G166" s="22" t="n">
        <f aca="false">100*(G32-G31)</f>
        <v>1.20837561805982</v>
      </c>
      <c r="H166" s="22" t="n">
        <f aca="false">100*(H32-H31)</f>
        <v>1.16230482972027</v>
      </c>
      <c r="I166" s="22" t="n">
        <f aca="false">100*(I32-I31)</f>
        <v>1.11992159967353</v>
      </c>
      <c r="J166" s="22" t="n">
        <f aca="false">100*(J32-J31)</f>
        <v>1.08360618179265</v>
      </c>
      <c r="K166" s="22" t="n">
        <f aca="false">100*(K32-K31)</f>
        <v>1.0535822069649</v>
      </c>
      <c r="L166" s="22" t="n">
        <f aca="false">100*(L32-L31)</f>
        <v>1.02882513737039</v>
      </c>
      <c r="M166" s="22" t="n">
        <f aca="false">100*(M32-M31)</f>
        <v>1.0079872399178</v>
      </c>
      <c r="N166" s="22" t="n">
        <f aca="false">100*(N32-N31)</f>
        <v>0.989574010481698</v>
      </c>
      <c r="O166" s="22" t="n">
        <f aca="false">100*(O32-O31)</f>
        <v>0.972396597844205</v>
      </c>
      <c r="P166" s="22" t="n">
        <f aca="false">100*(P32-P31)</f>
        <v>0.955912703325001</v>
      </c>
      <c r="Q166" s="22" t="n">
        <f aca="false">100*(Q32-Q31)</f>
        <v>0.940143374514713</v>
      </c>
      <c r="R166" s="22" t="n">
        <f aca="false">100*(R32-R31)</f>
        <v>0.925770337234488</v>
      </c>
      <c r="S166" s="22" t="n">
        <f aca="false">100*(S32-S31)</f>
        <v>0.914030108056685</v>
      </c>
      <c r="T166" s="22" t="n">
        <f aca="false">100*(T32-T31)</f>
        <v>0.906746788502799</v>
      </c>
      <c r="U166" s="22" t="n">
        <f aca="false">100*(U32-U31)</f>
        <v>0.905648896981193</v>
      </c>
      <c r="V166" s="22" t="n">
        <f aca="false">100*(V32-V31)</f>
        <v>0.912146419890014</v>
      </c>
      <c r="W166" s="22" t="n">
        <f aca="false">100*(W32-W31)</f>
        <v>0.927393945982713</v>
      </c>
      <c r="X166" s="22" t="n">
        <f aca="false">100*(X32-X31)</f>
        <v>0.952341745897822</v>
      </c>
      <c r="Y166" s="22" t="n">
        <f aca="false">100*(Y32-Y31)</f>
        <v>0.987774038252232</v>
      </c>
      <c r="Z166" s="22" t="n">
        <f aca="false">100*(Z32-Z31)</f>
        <v>1.03426008121872</v>
      </c>
      <c r="AA166" s="22" t="n">
        <f aca="false">100*(AA32-AA31)</f>
        <v>1.09196067651172</v>
      </c>
      <c r="AB166" s="22" t="n">
        <f aca="false">100*(AB32-AB31)</f>
        <v>1.16062646362352</v>
      </c>
      <c r="AC166" s="22" t="n">
        <f aca="false">100*(AC32-AC31)</f>
        <v>1.23966552043768</v>
      </c>
      <c r="AD166" s="22" t="n">
        <f aca="false">100*(AD32-AD31)</f>
        <v>1.32819861510152</v>
      </c>
      <c r="AE166" s="22" t="n">
        <f aca="false">100*(AE32-AE31)</f>
        <v>1.42510326042111</v>
      </c>
      <c r="AF166" s="22" t="n">
        <f aca="false">100*(AF32-AF31)</f>
        <v>1.52905205587222</v>
      </c>
      <c r="AG166" s="22" t="n">
        <f aca="false">100*(AG32-AG31)</f>
        <v>2.90585643473387</v>
      </c>
      <c r="AH166" s="22" t="n">
        <f aca="false">100*(AH32-AH31)</f>
        <v>2.9812100572455</v>
      </c>
      <c r="AI166" s="22" t="n">
        <f aca="false">100*(AI32-AI31)</f>
        <v>3.050184531675</v>
      </c>
      <c r="AJ166" s="22" t="n">
        <f aca="false">100*(AJ32-AJ31)</f>
        <v>3.11281791599711</v>
      </c>
      <c r="AK166" s="22" t="n">
        <f aca="false">100*(AK32-AK31)</f>
        <v>3.16921479038661</v>
      </c>
      <c r="AL166" s="22" t="n">
        <f aca="false">AVERAGE(C166:AK166)</f>
        <v>1.37224788630515</v>
      </c>
    </row>
    <row r="167" customFormat="false" ht="15" hidden="false" customHeight="false" outlineLevel="0" collapsed="false">
      <c r="A167" s="20" t="n">
        <f aca="false">A33</f>
        <v>-92</v>
      </c>
      <c r="B167" s="21" t="n">
        <f aca="false">B33</f>
        <v>41058</v>
      </c>
      <c r="C167" s="22" t="n">
        <f aca="false">100*(C33-C32)</f>
        <v>3.99147147176775</v>
      </c>
      <c r="D167" s="22" t="n">
        <f aca="false">100*(D33-D32)</f>
        <v>4.31182775231744</v>
      </c>
      <c r="E167" s="22" t="n">
        <f aca="false">100*(E33-E32)</f>
        <v>4.35096295927313</v>
      </c>
      <c r="F167" s="22" t="n">
        <f aca="false">100*(F33-F32)</f>
        <v>4.21781933349406</v>
      </c>
      <c r="G167" s="22" t="n">
        <f aca="false">100*(G33-G32)</f>
        <v>3.98356371212943</v>
      </c>
      <c r="H167" s="22" t="n">
        <f aca="false">100*(H33-H32)</f>
        <v>3.69525607360496</v>
      </c>
      <c r="I167" s="22" t="n">
        <f aca="false">100*(I33-I32)</f>
        <v>3.38446590741909</v>
      </c>
      <c r="J167" s="22" t="n">
        <f aca="false">100*(J33-J32)</f>
        <v>3.07241503857076</v>
      </c>
      <c r="K167" s="22" t="n">
        <f aca="false">100*(K33-K32)</f>
        <v>2.7733480575953</v>
      </c>
      <c r="L167" s="22" t="n">
        <f aca="false">100*(L33-L32)</f>
        <v>2.49693372305351</v>
      </c>
      <c r="M167" s="22" t="n">
        <f aca="false">100*(M33-M32)</f>
        <v>2.24929869057211</v>
      </c>
      <c r="N167" s="22" t="n">
        <f aca="false">100*(N33-N32)</f>
        <v>2.03409188364021</v>
      </c>
      <c r="O167" s="22" t="n">
        <f aca="false">100*(O33-O32)</f>
        <v>1.85281719713779</v>
      </c>
      <c r="P167" s="22" t="n">
        <f aca="false">100*(P33-P32)</f>
        <v>1.70542632754911</v>
      </c>
      <c r="Q167" s="22" t="n">
        <f aca="false">100*(Q33-Q32)</f>
        <v>1.59054810631478</v>
      </c>
      <c r="R167" s="22" t="n">
        <f aca="false">100*(R33-R32)</f>
        <v>1.50586732865121</v>
      </c>
      <c r="S167" s="22" t="n">
        <f aca="false">100*(S33-S32)</f>
        <v>1.44835343752121</v>
      </c>
      <c r="T167" s="22" t="n">
        <f aca="false">100*(T33-T32)</f>
        <v>1.4143967385045</v>
      </c>
      <c r="U167" s="22" t="n">
        <f aca="false">100*(U33-U32)</f>
        <v>1.40035141470962</v>
      </c>
      <c r="V167" s="22" t="n">
        <f aca="false">100*(V33-V32)</f>
        <v>1.40274148385666</v>
      </c>
      <c r="W167" s="22" t="n">
        <f aca="false">100*(W33-W32)</f>
        <v>1.41822981122988</v>
      </c>
      <c r="X167" s="22" t="n">
        <f aca="false">100*(X33-X32)</f>
        <v>1.44359034016581</v>
      </c>
      <c r="Y167" s="22" t="n">
        <f aca="false">100*(Y33-Y32)</f>
        <v>1.47568723923457</v>
      </c>
      <c r="Z167" s="22" t="n">
        <f aca="false">100*(Z33-Z32)</f>
        <v>1.51154287351019</v>
      </c>
      <c r="AA167" s="22" t="n">
        <f aca="false">100*(AA33-AA32)</f>
        <v>1.54863091298489</v>
      </c>
      <c r="AB167" s="22" t="n">
        <f aca="false">100*(AB33-AB32)</f>
        <v>1.58492915962349</v>
      </c>
      <c r="AC167" s="22" t="n">
        <f aca="false">100*(AC33-AC32)</f>
        <v>1.61883830813752</v>
      </c>
      <c r="AD167" s="22" t="n">
        <f aca="false">100*(AD33-AD32)</f>
        <v>1.6491137374786</v>
      </c>
      <c r="AE167" s="22" t="n">
        <f aca="false">100*(AE33-AE32)</f>
        <v>1.6748182420868</v>
      </c>
      <c r="AF167" s="22" t="n">
        <f aca="false">100*(AF33-AF32)</f>
        <v>1.6953926448747</v>
      </c>
      <c r="AG167" s="22" t="n">
        <f aca="false">100*(AG33-AG32)</f>
        <v>1.62397124522231</v>
      </c>
      <c r="AH167" s="22" t="n">
        <f aca="false">100*(AH33-AH32)</f>
        <v>1.60501317249309</v>
      </c>
      <c r="AI167" s="22" t="n">
        <f aca="false">100*(AI33-AI32)</f>
        <v>1.58521943927856</v>
      </c>
      <c r="AJ167" s="22" t="n">
        <f aca="false">100*(AJ33-AJ32)</f>
        <v>1.56468575941129</v>
      </c>
      <c r="AK167" s="22" t="n">
        <f aca="false">100*(AK33-AK32)</f>
        <v>1.54349159655123</v>
      </c>
      <c r="AL167" s="22" t="n">
        <f aca="false">AVERAGE(C167:AK167)</f>
        <v>2.18357460342759</v>
      </c>
    </row>
    <row r="168" customFormat="false" ht="15" hidden="false" customHeight="false" outlineLevel="0" collapsed="false">
      <c r="A168" s="20" t="n">
        <f aca="false">A34</f>
        <v>-91</v>
      </c>
      <c r="B168" s="21" t="n">
        <f aca="false">B34</f>
        <v>41059</v>
      </c>
      <c r="C168" s="22" t="n">
        <f aca="false">100*(C34-C33)</f>
        <v>-2.87000415159508</v>
      </c>
      <c r="D168" s="22" t="n">
        <f aca="false">100*(D34-D33)</f>
        <v>-4.16957118436137</v>
      </c>
      <c r="E168" s="22" t="n">
        <f aca="false">100*(E34-E33)</f>
        <v>-5.37329640995695</v>
      </c>
      <c r="F168" s="22" t="n">
        <f aca="false">100*(F34-F33)</f>
        <v>-6.48756263571337</v>
      </c>
      <c r="G168" s="22" t="n">
        <f aca="false">100*(G34-G33)</f>
        <v>-7.51820709877262</v>
      </c>
      <c r="H168" s="22" t="n">
        <f aca="false">100*(H34-H33)</f>
        <v>-8.46728127347937</v>
      </c>
      <c r="I168" s="22" t="n">
        <f aca="false">100*(I34-I33)</f>
        <v>-9.33545334935387</v>
      </c>
      <c r="J168" s="22" t="n">
        <f aca="false">100*(J34-J33)</f>
        <v>-10.1232959460009</v>
      </c>
      <c r="K168" s="22" t="n">
        <f aca="false">100*(K34-K33)</f>
        <v>-10.8312984492089</v>
      </c>
      <c r="L168" s="22" t="n">
        <f aca="false">100*(L34-L33)</f>
        <v>-11.459572159567</v>
      </c>
      <c r="M168" s="22" t="n">
        <f aca="false">100*(M34-M33)</f>
        <v>-12.0084876294465</v>
      </c>
      <c r="N168" s="22" t="n">
        <f aca="false">100*(N34-N33)</f>
        <v>-12.4787185771136</v>
      </c>
      <c r="O168" s="22" t="n">
        <f aca="false">100*(O34-O33)</f>
        <v>-12.8716163773146</v>
      </c>
      <c r="P168" s="22" t="n">
        <f aca="false">100*(P34-P33)</f>
        <v>-13.1890403584846</v>
      </c>
      <c r="Q168" s="22" t="n">
        <f aca="false">100*(Q34-Q33)</f>
        <v>-13.433413447456</v>
      </c>
      <c r="R168" s="22" t="n">
        <f aca="false">100*(R34-R33)</f>
        <v>-13.6076686758359</v>
      </c>
      <c r="S168" s="22" t="n">
        <f aca="false">100*(S34-S33)</f>
        <v>-13.7152286542064</v>
      </c>
      <c r="T168" s="22" t="n">
        <f aca="false">100*(T34-T33)</f>
        <v>-13.7599088318567</v>
      </c>
      <c r="U168" s="22" t="n">
        <f aca="false">100*(U34-U33)</f>
        <v>-13.7457592712728</v>
      </c>
      <c r="V168" s="22" t="n">
        <f aca="false">100*(V34-V33)</f>
        <v>-13.6769703929293</v>
      </c>
      <c r="W168" s="22" t="n">
        <f aca="false">100*(W34-W33)</f>
        <v>-13.5578420630917</v>
      </c>
      <c r="X168" s="22" t="n">
        <f aca="false">100*(X34-X33)</f>
        <v>-13.3927617046602</v>
      </c>
      <c r="Y168" s="22" t="n">
        <f aca="false">100*(Y34-Y33)</f>
        <v>-13.1861876281696</v>
      </c>
      <c r="Z168" s="22" t="n">
        <f aca="false">100*(Z34-Z33)</f>
        <v>-12.9426237992989</v>
      </c>
      <c r="AA168" s="22" t="n">
        <f aca="false">100*(AA34-AA33)</f>
        <v>-12.6665365610107</v>
      </c>
      <c r="AB168" s="22" t="n">
        <f aca="false">100*(AB34-AB33)</f>
        <v>-12.3623217909098</v>
      </c>
      <c r="AC168" s="22" t="n">
        <f aca="false">100*(AC34-AC33)</f>
        <v>-12.0343155192875</v>
      </c>
      <c r="AD168" s="22" t="n">
        <f aca="false">100*(AD34-AD33)</f>
        <v>-11.6868035819148</v>
      </c>
      <c r="AE168" s="22" t="n">
        <f aca="false">100*(AE34-AE33)</f>
        <v>-11.324028766262</v>
      </c>
      <c r="AF168" s="22" t="n">
        <f aca="false">100*(AF34-AF33)</f>
        <v>-10.950178136307</v>
      </c>
      <c r="AG168" s="22" t="n">
        <f aca="false">100*(AG34-AG33)</f>
        <v>-6.5164143828218</v>
      </c>
      <c r="AH168" s="22" t="n">
        <f aca="false">100*(AH34-AH33)</f>
        <v>-6.27006299216051</v>
      </c>
      <c r="AI168" s="22" t="n">
        <f aca="false">100*(AI34-AI33)</f>
        <v>-6.04005560378749</v>
      </c>
      <c r="AJ168" s="22" t="n">
        <f aca="false">100*(AJ34-AJ33)</f>
        <v>-5.82612020455229</v>
      </c>
      <c r="AK168" s="22" t="n">
        <f aca="false">100*(AK34-AK33)</f>
        <v>-5.62788303020421</v>
      </c>
      <c r="AL168" s="22" t="n">
        <f aca="false">AVERAGE(C168:AK168)</f>
        <v>-10.3858997325247</v>
      </c>
    </row>
    <row r="169" customFormat="false" ht="15" hidden="false" customHeight="false" outlineLevel="0" collapsed="false">
      <c r="A169" s="20" t="n">
        <f aca="false">A35</f>
        <v>-90</v>
      </c>
      <c r="B169" s="21" t="n">
        <f aca="false">B35</f>
        <v>41060</v>
      </c>
      <c r="C169" s="22" t="n">
        <f aca="false">100*(C35-C34)</f>
        <v>-1.79773515657955</v>
      </c>
      <c r="D169" s="22" t="n">
        <f aca="false">100*(D35-D34)</f>
        <v>-1.85579218780409</v>
      </c>
      <c r="E169" s="22" t="n">
        <f aca="false">100*(E35-E34)</f>
        <v>-2.14006311930488</v>
      </c>
      <c r="F169" s="22" t="n">
        <f aca="false">100*(F35-F34)</f>
        <v>-2.59724612014833</v>
      </c>
      <c r="G169" s="22" t="n">
        <f aca="false">100*(G35-G34)</f>
        <v>-3.16949620341667</v>
      </c>
      <c r="H169" s="22" t="n">
        <f aca="false">100*(H35-H34)</f>
        <v>-3.80783574841141</v>
      </c>
      <c r="I169" s="22" t="n">
        <f aca="false">100*(I35-I34)</f>
        <v>-4.47291789529729</v>
      </c>
      <c r="J169" s="22" t="n">
        <f aca="false">100*(J35-J34)</f>
        <v>-5.13378025334052</v>
      </c>
      <c r="K169" s="22" t="n">
        <f aca="false">100*(K35-K34)</f>
        <v>-5.7662850521874</v>
      </c>
      <c r="L169" s="22" t="n">
        <f aca="false">100*(L35-L34)</f>
        <v>-6.35184334950835</v>
      </c>
      <c r="M169" s="22" t="n">
        <f aca="false">100*(M35-M34)</f>
        <v>-6.87748894801119</v>
      </c>
      <c r="N169" s="22" t="n">
        <f aca="false">100*(N35-N34)</f>
        <v>-7.3348459499236</v>
      </c>
      <c r="O169" s="22" t="n">
        <f aca="false">100*(O35-O34)</f>
        <v>-7.7201250654855</v>
      </c>
      <c r="P169" s="22" t="n">
        <f aca="false">100*(P35-P34)</f>
        <v>-8.03343987149141</v>
      </c>
      <c r="Q169" s="22" t="n">
        <f aca="false">100*(Q35-Q34)</f>
        <v>-8.2780214265469</v>
      </c>
      <c r="R169" s="22" t="n">
        <f aca="false">100*(R35-R34)</f>
        <v>-8.45942061417231</v>
      </c>
      <c r="S169" s="22" t="n">
        <f aca="false">100*(S35-S34)</f>
        <v>-8.5848578195151</v>
      </c>
      <c r="T169" s="22" t="n">
        <f aca="false">100*(T35-T34)</f>
        <v>-8.66292997367251</v>
      </c>
      <c r="U169" s="22" t="n">
        <f aca="false">100*(U35-U34)</f>
        <v>-8.70199548431081</v>
      </c>
      <c r="V169" s="22" t="n">
        <f aca="false">100*(V35-V34)</f>
        <v>-8.70964439913999</v>
      </c>
      <c r="W169" s="22" t="n">
        <f aca="false">100*(W35-W34)</f>
        <v>-8.69284833733097</v>
      </c>
      <c r="X169" s="22" t="n">
        <f aca="false">100*(X35-X34)</f>
        <v>-8.65808417522191</v>
      </c>
      <c r="Y169" s="22" t="n">
        <f aca="false">100*(Y35-Y34)</f>
        <v>-8.61142755319029</v>
      </c>
      <c r="Z169" s="22" t="n">
        <f aca="false">100*(Z35-Z34)</f>
        <v>-8.55844204307763</v>
      </c>
      <c r="AA169" s="22" t="n">
        <f aca="false">100*(AA35-AA34)</f>
        <v>-8.50363588827721</v>
      </c>
      <c r="AB169" s="22" t="n">
        <f aca="false">100*(AB35-AB34)</f>
        <v>-8.45040734724178</v>
      </c>
      <c r="AC169" s="22" t="n">
        <f aca="false">100*(AC35-AC34)</f>
        <v>-8.40122540489641</v>
      </c>
      <c r="AD169" s="22" t="n">
        <f aca="false">100*(AD35-AD34)</f>
        <v>-8.35777965546538</v>
      </c>
      <c r="AE169" s="22" t="n">
        <f aca="false">100*(AE35-AE34)</f>
        <v>-8.32109687563629</v>
      </c>
      <c r="AF169" s="22" t="n">
        <f aca="false">100*(AF35-AF34)</f>
        <v>-8.29156664110351</v>
      </c>
      <c r="AG169" s="22" t="n">
        <f aca="false">100*(AG35-AG34)</f>
        <v>-8.2215555350079</v>
      </c>
      <c r="AH169" s="22" t="n">
        <f aca="false">100*(AH35-AH34)</f>
        <v>-8.2143703541429</v>
      </c>
      <c r="AI169" s="22" t="n">
        <f aca="false">100*(AI35-AI34)</f>
        <v>-8.20522596219329</v>
      </c>
      <c r="AJ169" s="22" t="n">
        <f aca="false">100*(AJ35-AJ34)</f>
        <v>-8.1941783512284</v>
      </c>
      <c r="AK169" s="22" t="n">
        <f aca="false">100*(AK35-AK34)</f>
        <v>-8.18132783891712</v>
      </c>
      <c r="AL169" s="22" t="n">
        <f aca="false">AVERAGE(C169:AK169)</f>
        <v>-6.98054104574854</v>
      </c>
    </row>
    <row r="170" customFormat="false" ht="15" hidden="false" customHeight="false" outlineLevel="0" collapsed="false">
      <c r="A170" s="20" t="n">
        <f aca="false">A36</f>
        <v>-89</v>
      </c>
      <c r="B170" s="21" t="n">
        <f aca="false">B36</f>
        <v>41061</v>
      </c>
      <c r="C170" s="22" t="n">
        <f aca="false">100*(C36-C35)</f>
        <v>1.95289870773115</v>
      </c>
      <c r="D170" s="22" t="n">
        <f aca="false">100*(D36-D35)</f>
        <v>2.09690932310524</v>
      </c>
      <c r="E170" s="22" t="n">
        <f aca="false">100*(E36-E35)</f>
        <v>1.95471421486202</v>
      </c>
      <c r="F170" s="22" t="n">
        <f aca="false">100*(F36-F35)</f>
        <v>1.62045001703608</v>
      </c>
      <c r="G170" s="22" t="n">
        <f aca="false">100*(G36-G35)</f>
        <v>1.16333574227633</v>
      </c>
      <c r="H170" s="22" t="n">
        <f aca="false">100*(H36-H35)</f>
        <v>0.634734328200837</v>
      </c>
      <c r="I170" s="22" t="n">
        <f aca="false">100*(I36-I35)</f>
        <v>0.0728085802725098</v>
      </c>
      <c r="J170" s="22" t="n">
        <f aca="false">100*(J36-J35)</f>
        <v>-0.494164902928462</v>
      </c>
      <c r="K170" s="22" t="n">
        <f aca="false">100*(K36-K35)</f>
        <v>-1.04530001834372</v>
      </c>
      <c r="L170" s="22" t="n">
        <f aca="false">100*(L36-L35)</f>
        <v>-1.56576510570151</v>
      </c>
      <c r="M170" s="22" t="n">
        <f aca="false">100*(M36-M35)</f>
        <v>-2.04644793756101</v>
      </c>
      <c r="N170" s="22" t="n">
        <f aca="false">100*(N36-N35)</f>
        <v>-2.48232822483481</v>
      </c>
      <c r="O170" s="22" t="n">
        <f aca="false">100*(O36-O35)</f>
        <v>-2.8722000084507</v>
      </c>
      <c r="P170" s="22" t="n">
        <f aca="false">100*(P36-P35)</f>
        <v>-3.21811328493529</v>
      </c>
      <c r="Q170" s="22" t="n">
        <f aca="false">100*(Q36-Q35)</f>
        <v>-3.5245005004098</v>
      </c>
      <c r="R170" s="22" t="n">
        <f aca="false">100*(R36-R35)</f>
        <v>-3.79735047063221</v>
      </c>
      <c r="S170" s="22" t="n">
        <f aca="false">100*(S36-S35)</f>
        <v>-4.04374147434541</v>
      </c>
      <c r="T170" s="22" t="n">
        <f aca="false">100*(T36-T35)</f>
        <v>-4.2717575216821</v>
      </c>
      <c r="U170" s="22" t="n">
        <f aca="false">100*(U36-U35)</f>
        <v>-4.48881197957209</v>
      </c>
      <c r="V170" s="22" t="n">
        <f aca="false">100*(V36-V35)</f>
        <v>-4.70110952460381</v>
      </c>
      <c r="W170" s="22" t="n">
        <f aca="false">100*(W36-W35)</f>
        <v>-4.91388540294402</v>
      </c>
      <c r="X170" s="22" t="n">
        <f aca="false">100*(X36-X35)</f>
        <v>-5.13159931642266</v>
      </c>
      <c r="Y170" s="22" t="n">
        <f aca="false">100*(Y36-Y35)</f>
        <v>-5.35808363136252</v>
      </c>
      <c r="Z170" s="22" t="n">
        <f aca="false">100*(Z36-Z35)</f>
        <v>-5.5964862501944</v>
      </c>
      <c r="AA170" s="22" t="n">
        <f aca="false">100*(AA36-AA35)</f>
        <v>-5.84873882310588</v>
      </c>
      <c r="AB170" s="22" t="n">
        <f aca="false">100*(AB36-AB35)</f>
        <v>-6.11550497889888</v>
      </c>
      <c r="AC170" s="22" t="n">
        <f aca="false">100*(AC36-AC35)</f>
        <v>-6.39638640165297</v>
      </c>
      <c r="AD170" s="22" t="n">
        <f aca="false">100*(AD36-AD35)</f>
        <v>-6.69009411213271</v>
      </c>
      <c r="AE170" s="22" t="n">
        <f aca="false">100*(AE36-AE35)</f>
        <v>-6.99459052486131</v>
      </c>
      <c r="AF170" s="22" t="n">
        <f aca="false">100*(AF36-AF35)</f>
        <v>-7.30719389855001</v>
      </c>
      <c r="AG170" s="22" t="n">
        <f aca="false">100*(AG36-AG35)</f>
        <v>-10.7740522093555</v>
      </c>
      <c r="AH170" s="22" t="n">
        <f aca="false">100*(AH36-AH35)</f>
        <v>-10.9339374676896</v>
      </c>
      <c r="AI170" s="22" t="n">
        <f aca="false">100*(AI36-AI35)</f>
        <v>-11.0767353080532</v>
      </c>
      <c r="AJ170" s="22" t="n">
        <f aca="false">100*(AJ36-AJ35)</f>
        <v>-11.2030466018771</v>
      </c>
      <c r="AK170" s="22" t="n">
        <f aca="false">100*(AK36-AK35)</f>
        <v>-11.31357465926</v>
      </c>
      <c r="AL170" s="22" t="n">
        <f aca="false">AVERAGE(C170:AK170)</f>
        <v>-4.13456141791079</v>
      </c>
    </row>
    <row r="171" customFormat="false" ht="15" hidden="false" customHeight="false" outlineLevel="0" collapsed="false">
      <c r="A171" s="20" t="n">
        <f aca="false">A37</f>
        <v>-88</v>
      </c>
      <c r="B171" s="21" t="n">
        <f aca="false">B37</f>
        <v>41066</v>
      </c>
      <c r="C171" s="22" t="n">
        <f aca="false">100*(C37-C36)</f>
        <v>1.8045859642218</v>
      </c>
      <c r="D171" s="22" t="n">
        <f aca="false">100*(D37-D36)</f>
        <v>3.3540654689128</v>
      </c>
      <c r="E171" s="22" t="n">
        <f aca="false">100*(E37-E36)</f>
        <v>4.7639435306532</v>
      </c>
      <c r="F171" s="22" t="n">
        <f aca="false">100*(F37-F36)</f>
        <v>6.06261183911279</v>
      </c>
      <c r="G171" s="22" t="n">
        <f aca="false">100*(G37-G36)</f>
        <v>7.26297387510086</v>
      </c>
      <c r="H171" s="22" t="n">
        <f aca="false">100*(H37-H36)</f>
        <v>8.36665847239394</v>
      </c>
      <c r="I171" s="22" t="n">
        <f aca="false">100*(I37-I36)</f>
        <v>9.37056656568137</v>
      </c>
      <c r="J171" s="22" t="n">
        <f aca="false">100*(J37-J36)</f>
        <v>10.2704423470305</v>
      </c>
      <c r="K171" s="22" t="n">
        <f aca="false">100*(K37-K36)</f>
        <v>11.0629637243044</v>
      </c>
      <c r="L171" s="22" t="n">
        <f aca="false">100*(L37-L36)</f>
        <v>11.7465319636948</v>
      </c>
      <c r="M171" s="22" t="n">
        <f aca="false">100*(M37-M36)</f>
        <v>12.3217907321358</v>
      </c>
      <c r="N171" s="22" t="n">
        <f aca="false">100*(N37-N36)</f>
        <v>12.7916389289967</v>
      </c>
      <c r="O171" s="22" t="n">
        <f aca="false">100*(O37-O36)</f>
        <v>13.161174624196</v>
      </c>
      <c r="P171" s="22" t="n">
        <f aca="false">100*(P37-P36)</f>
        <v>13.4369820817812</v>
      </c>
      <c r="Q171" s="22" t="n">
        <f aca="false">100*(Q37-Q36)</f>
        <v>13.6265964383954</v>
      </c>
      <c r="R171" s="22" t="n">
        <f aca="false">100*(R37-R36)</f>
        <v>13.7380374392565</v>
      </c>
      <c r="S171" s="22" t="n">
        <f aca="false">100*(S37-S36)</f>
        <v>13.7796404872869</v>
      </c>
      <c r="T171" s="22" t="n">
        <f aca="false">100*(T37-T36)</f>
        <v>13.7599024894997</v>
      </c>
      <c r="U171" s="22" t="n">
        <f aca="false">100*(U37-U36)</f>
        <v>13.6868253276553</v>
      </c>
      <c r="V171" s="22" t="n">
        <f aca="false">100*(V37-V36)</f>
        <v>13.5678191821759</v>
      </c>
      <c r="W171" s="22" t="n">
        <f aca="false">100*(W37-W36)</f>
        <v>13.4098234445576</v>
      </c>
      <c r="X171" s="22" t="n">
        <f aca="false">100*(X37-X36)</f>
        <v>13.2194008751561</v>
      </c>
      <c r="Y171" s="22" t="n">
        <f aca="false">100*(Y37-Y36)</f>
        <v>13.0028084842846</v>
      </c>
      <c r="Z171" s="22" t="n">
        <f aca="false">100*(Z37-Z36)</f>
        <v>12.7659470242252</v>
      </c>
      <c r="AA171" s="22" t="n">
        <f aca="false">100*(AA37-AA36)</f>
        <v>12.5141205144123</v>
      </c>
      <c r="AB171" s="22" t="n">
        <f aca="false">100*(AB37-AB36)</f>
        <v>12.2520451008261</v>
      </c>
      <c r="AC171" s="22" t="n">
        <f aca="false">100*(AC37-AC36)</f>
        <v>11.9839459457523</v>
      </c>
      <c r="AD171" s="22" t="n">
        <f aca="false">100*(AD37-AD36)</f>
        <v>11.7136364186998</v>
      </c>
      <c r="AE171" s="22" t="n">
        <f aca="false">100*(AE37-AE36)</f>
        <v>11.4445785109327</v>
      </c>
      <c r="AF171" s="22" t="n">
        <f aca="false">100*(AF37-AF36)</f>
        <v>11.1799002196353</v>
      </c>
      <c r="AG171" s="22" t="n">
        <f aca="false">100*(AG37-AG36)</f>
        <v>8.89689120670596</v>
      </c>
      <c r="AH171" s="22" t="n">
        <f aca="false">100*(AH37-AH36)</f>
        <v>8.82207959375378</v>
      </c>
      <c r="AI171" s="22" t="n">
        <f aca="false">100*(AI37-AI36)</f>
        <v>8.7588162536056</v>
      </c>
      <c r="AJ171" s="22" t="n">
        <f aca="false">100*(AJ37-AJ36)</f>
        <v>8.70611877984659</v>
      </c>
      <c r="AK171" s="22" t="n">
        <f aca="false">100*(AK37-AK36)</f>
        <v>8.6630222367138</v>
      </c>
      <c r="AL171" s="22" t="n">
        <f aca="false">AVERAGE(C171:AK171)</f>
        <v>10.7219681740455</v>
      </c>
    </row>
    <row r="172" customFormat="false" ht="15" hidden="false" customHeight="false" outlineLevel="0" collapsed="false">
      <c r="A172" s="20" t="n">
        <f aca="false">A38</f>
        <v>-87</v>
      </c>
      <c r="B172" s="21" t="n">
        <f aca="false">B38</f>
        <v>41067</v>
      </c>
      <c r="C172" s="22" t="n">
        <f aca="false">100*(C38-C37)</f>
        <v>0.183861053861617</v>
      </c>
      <c r="D172" s="22" t="n">
        <f aca="false">100*(D38-D37)</f>
        <v>1.12190100947763</v>
      </c>
      <c r="E172" s="22" t="n">
        <f aca="false">100*(E38-E37)</f>
        <v>2.04125104484119</v>
      </c>
      <c r="F172" s="22" t="n">
        <f aca="false">100*(F38-F37)</f>
        <v>2.87021906476452</v>
      </c>
      <c r="G172" s="22" t="n">
        <f aca="false">100*(G38-G37)</f>
        <v>3.58574077707814</v>
      </c>
      <c r="H172" s="22" t="n">
        <f aca="false">100*(H38-H37)</f>
        <v>4.18448906278788</v>
      </c>
      <c r="I172" s="22" t="n">
        <f aca="false">100*(I38-I37)</f>
        <v>4.67043532897491</v>
      </c>
      <c r="J172" s="22" t="n">
        <f aca="false">100*(J38-J37)</f>
        <v>5.05075022098109</v>
      </c>
      <c r="K172" s="22" t="n">
        <f aca="false">100*(K38-K37)</f>
        <v>5.33492324191797</v>
      </c>
      <c r="L172" s="22" t="n">
        <f aca="false">100*(L38-L37)</f>
        <v>5.5338878567482</v>
      </c>
      <c r="M172" s="22" t="n">
        <f aca="false">100*(M38-M37)</f>
        <v>5.6589565481818</v>
      </c>
      <c r="N172" s="22" t="n">
        <f aca="false">100*(N38-N37)</f>
        <v>5.7215800282526</v>
      </c>
      <c r="O172" s="22" t="n">
        <f aca="false">100*(O38-O37)</f>
        <v>5.73282817801621</v>
      </c>
      <c r="P172" s="22" t="n">
        <f aca="false">100*(P38-P37)</f>
        <v>5.7030478201717</v>
      </c>
      <c r="Q172" s="22" t="n">
        <f aca="false">100*(Q38-Q37)</f>
        <v>5.64183357647421</v>
      </c>
      <c r="R172" s="22" t="n">
        <f aca="false">100*(R38-R37)</f>
        <v>5.55777072608801</v>
      </c>
      <c r="S172" s="22" t="n">
        <f aca="false">100*(S38-S37)</f>
        <v>5.4585526355319</v>
      </c>
      <c r="T172" s="22" t="n">
        <f aca="false">100*(T38-T37)</f>
        <v>5.3510468476522</v>
      </c>
      <c r="U172" s="22" t="n">
        <f aca="false">100*(U38-U37)</f>
        <v>5.24108851043978</v>
      </c>
      <c r="V172" s="22" t="n">
        <f aca="false">100*(V38-V37)</f>
        <v>5.13359762955989</v>
      </c>
      <c r="W172" s="22" t="n">
        <f aca="false">100*(W38-W37)</f>
        <v>5.03276876813108</v>
      </c>
      <c r="X172" s="22" t="n">
        <f aca="false">100*(X38-X37)</f>
        <v>4.94221613523367</v>
      </c>
      <c r="Y172" s="22" t="n">
        <f aca="false">100*(Y38-Y37)</f>
        <v>4.8650838079324</v>
      </c>
      <c r="Z172" s="22" t="n">
        <f aca="false">100*(Z38-Z37)</f>
        <v>4.80404509181871</v>
      </c>
      <c r="AA172" s="22" t="n">
        <f aca="false">100*(AA38-AA37)</f>
        <v>4.76114797954783</v>
      </c>
      <c r="AB172" s="22" t="n">
        <f aca="false">100*(AB38-AB37)</f>
        <v>4.737852610406</v>
      </c>
      <c r="AC172" s="22" t="n">
        <f aca="false">100*(AC38-AC37)</f>
        <v>4.735128543172</v>
      </c>
      <c r="AD172" s="22" t="n">
        <f aca="false">100*(AD38-AD37)</f>
        <v>4.7535338820059</v>
      </c>
      <c r="AE172" s="22" t="n">
        <f aca="false">100*(AE38-AE37)</f>
        <v>4.79327137033949</v>
      </c>
      <c r="AF172" s="22" t="n">
        <f aca="false">100*(AF38-AF37)</f>
        <v>4.85416024783758</v>
      </c>
      <c r="AG172" s="22" t="n">
        <f aca="false">100*(AG38-AG37)</f>
        <v>7.05487251824661</v>
      </c>
      <c r="AH172" s="22" t="n">
        <f aca="false">100*(AH38-AH37)</f>
        <v>7.27982974132364</v>
      </c>
      <c r="AI172" s="22" t="n">
        <f aca="false">100*(AI38-AI37)</f>
        <v>7.50499305324599</v>
      </c>
      <c r="AJ172" s="22" t="n">
        <f aca="false">100*(AJ38-AJ37)</f>
        <v>7.7289919800029</v>
      </c>
      <c r="AK172" s="22" t="n">
        <f aca="false">100*(AK38-AK37)</f>
        <v>7.95056273637269</v>
      </c>
      <c r="AL172" s="22" t="n">
        <f aca="false">AVERAGE(C172:AK172)</f>
        <v>5.01646341792623</v>
      </c>
    </row>
    <row r="173" customFormat="false" ht="15" hidden="false" customHeight="false" outlineLevel="0" collapsed="false">
      <c r="A173" s="20" t="n">
        <f aca="false">A39</f>
        <v>-86</v>
      </c>
      <c r="B173" s="21" t="n">
        <f aca="false">B39</f>
        <v>41068</v>
      </c>
      <c r="C173" s="22" t="n">
        <f aca="false">100*(C39-C38)</f>
        <v>-3.04849126565552</v>
      </c>
      <c r="D173" s="22" t="n">
        <f aca="false">100*(D39-D38)</f>
        <v>-3.8310689131027</v>
      </c>
      <c r="E173" s="22" t="n">
        <f aca="false">100*(E39-E38)</f>
        <v>-4.42400549128577</v>
      </c>
      <c r="F173" s="22" t="n">
        <f aca="false">100*(F39-F38)</f>
        <v>-4.91970372284214</v>
      </c>
      <c r="G173" s="22" t="n">
        <f aca="false">100*(G39-G38)</f>
        <v>-5.37073099335765</v>
      </c>
      <c r="H173" s="22" t="n">
        <f aca="false">100*(H39-H38)</f>
        <v>-5.80406513744708</v>
      </c>
      <c r="I173" s="22" t="n">
        <f aca="false">100*(I39-I38)</f>
        <v>-6.23102420835565</v>
      </c>
      <c r="J173" s="22" t="n">
        <f aca="false">100*(J39-J38)</f>
        <v>-6.65363672161874</v>
      </c>
      <c r="K173" s="22" t="n">
        <f aca="false">100*(K39-K38)</f>
        <v>-7.06795516090942</v>
      </c>
      <c r="L173" s="22" t="n">
        <f aca="false">100*(L39-L38)</f>
        <v>-7.46720806571188</v>
      </c>
      <c r="M173" s="22" t="n">
        <f aca="false">100*(M39-M38)</f>
        <v>-7.84476994912831</v>
      </c>
      <c r="N173" s="22" t="n">
        <f aca="false">100*(N39-N38)</f>
        <v>-8.19479748876111</v>
      </c>
      <c r="O173" s="22" t="n">
        <f aca="false">100*(O39-O38)</f>
        <v>-8.51326090681421</v>
      </c>
      <c r="P173" s="22" t="n">
        <f aca="false">100*(P39-P38)</f>
        <v>-8.79810743179961</v>
      </c>
      <c r="Q173" s="22" t="n">
        <f aca="false">100*(Q39-Q38)</f>
        <v>-9.0486745814701</v>
      </c>
      <c r="R173" s="22" t="n">
        <f aca="false">100*(R39-R38)</f>
        <v>-9.26568462840569</v>
      </c>
      <c r="S173" s="22" t="n">
        <f aca="false">100*(S39-S38)</f>
        <v>-9.45055002682689</v>
      </c>
      <c r="T173" s="22" t="n">
        <f aca="false">100*(T39-T38)</f>
        <v>-9.6054382525284</v>
      </c>
      <c r="U173" s="22" t="n">
        <f aca="false">100*(U39-U38)</f>
        <v>-9.73257286282929</v>
      </c>
      <c r="V173" s="22" t="n">
        <f aca="false">100*(V39-V38)</f>
        <v>-9.83389947623439</v>
      </c>
      <c r="W173" s="22" t="n">
        <f aca="false">100*(W39-W38)</f>
        <v>-9.91113859995889</v>
      </c>
      <c r="X173" s="22" t="n">
        <f aca="false">100*(X39-X38)</f>
        <v>-9.96583065218548</v>
      </c>
      <c r="Y173" s="22" t="n">
        <f aca="false">100*(Y39-Y38)</f>
        <v>-9.99937117277763</v>
      </c>
      <c r="Z173" s="22" t="n">
        <f aca="false">100*(Z39-Z38)</f>
        <v>-10.013019784748</v>
      </c>
      <c r="AA173" s="22" t="n">
        <f aca="false">100*(AA39-AA38)</f>
        <v>-10.0078013274598</v>
      </c>
      <c r="AB173" s="22" t="n">
        <f aca="false">100*(AB39-AB38)</f>
        <v>-9.98448451176608</v>
      </c>
      <c r="AC173" s="22" t="n">
        <f aca="false">100*(AC39-AC38)</f>
        <v>-9.94362312299351</v>
      </c>
      <c r="AD173" s="22" t="n">
        <f aca="false">100*(AD39-AD38)</f>
        <v>-9.88559068634922</v>
      </c>
      <c r="AE173" s="22" t="n">
        <f aca="false">100*(AE39-AE38)</f>
        <v>-9.81062295585011</v>
      </c>
      <c r="AF173" s="22" t="n">
        <f aca="false">100*(AF39-AF38)</f>
        <v>-9.71896010232851</v>
      </c>
      <c r="AG173" s="22" t="n">
        <f aca="false">100*(AG39-AG38)</f>
        <v>-7.35454223365961</v>
      </c>
      <c r="AH173" s="22" t="n">
        <f aca="false">100*(AH39-AH38)</f>
        <v>-7.1283729067483</v>
      </c>
      <c r="AI173" s="22" t="n">
        <f aca="false">100*(AI39-AI38)</f>
        <v>-6.90427852997009</v>
      </c>
      <c r="AJ173" s="22" t="n">
        <f aca="false">100*(AJ39-AJ38)</f>
        <v>-6.68394010587621</v>
      </c>
      <c r="AK173" s="22" t="n">
        <f aca="false">100*(AK39-AK38)</f>
        <v>-6.4688695549302</v>
      </c>
      <c r="AL173" s="22" t="n">
        <f aca="false">AVERAGE(C173:AK173)</f>
        <v>-7.96817404379104</v>
      </c>
    </row>
    <row r="174" customFormat="false" ht="15" hidden="false" customHeight="false" outlineLevel="0" collapsed="false">
      <c r="A174" s="20" t="n">
        <f aca="false">A40</f>
        <v>-85</v>
      </c>
      <c r="B174" s="21" t="n">
        <f aca="false">B40</f>
        <v>41071</v>
      </c>
      <c r="C174" s="22" t="n">
        <f aca="false">100*(C40-C39)</f>
        <v>2.00399414384715</v>
      </c>
      <c r="D174" s="22" t="n">
        <f aca="false">100*(D40-D39)</f>
        <v>2.25724074370253</v>
      </c>
      <c r="E174" s="22" t="n">
        <f aca="false">100*(E40-E39)</f>
        <v>2.52420727216947</v>
      </c>
      <c r="F174" s="22" t="n">
        <f aca="false">100*(F40-F39)</f>
        <v>2.78022922598153</v>
      </c>
      <c r="G174" s="22" t="n">
        <f aca="false">100*(G40-G39)</f>
        <v>3.00407816906835</v>
      </c>
      <c r="H174" s="22" t="n">
        <f aca="false">100*(H40-H39)</f>
        <v>3.18166228765644</v>
      </c>
      <c r="I174" s="22" t="n">
        <f aca="false">100*(I40-I39)</f>
        <v>3.3069626864814</v>
      </c>
      <c r="J174" s="22" t="n">
        <f aca="false">100*(J40-J39)</f>
        <v>3.3797892149973</v>
      </c>
      <c r="K174" s="22" t="n">
        <f aca="false">100*(K40-K39)</f>
        <v>3.40402059750443</v>
      </c>
      <c r="L174" s="22" t="n">
        <f aca="false">100*(L40-L39)</f>
        <v>3.38565182548338</v>
      </c>
      <c r="M174" s="22" t="n">
        <f aca="false">100*(M40-M39)</f>
        <v>3.3317258956546</v>
      </c>
      <c r="N174" s="22" t="n">
        <f aca="false">100*(N40-N39)</f>
        <v>3.25000906640869</v>
      </c>
      <c r="O174" s="22" t="n">
        <f aca="false">100*(O40-O39)</f>
        <v>3.14852628593469</v>
      </c>
      <c r="P174" s="22" t="n">
        <f aca="false">100*(P40-P39)</f>
        <v>3.03506222000292</v>
      </c>
      <c r="Q174" s="22" t="n">
        <f aca="false">100*(Q40-Q39)</f>
        <v>2.91678139321461</v>
      </c>
      <c r="R174" s="22" t="n">
        <f aca="false">100*(R40-R39)</f>
        <v>2.7997546408906</v>
      </c>
      <c r="S174" s="22" t="n">
        <f aca="false">100*(S40-S39)</f>
        <v>2.68890103216108</v>
      </c>
      <c r="T174" s="22" t="n">
        <f aca="false">100*(T40-T39)</f>
        <v>2.5879568407027</v>
      </c>
      <c r="U174" s="22" t="n">
        <f aca="false">100*(U40-U39)</f>
        <v>2.49974084991229</v>
      </c>
      <c r="V174" s="22" t="n">
        <f aca="false">100*(V40-V39)</f>
        <v>2.42638917944071</v>
      </c>
      <c r="W174" s="22" t="n">
        <f aca="false">100*(W40-W39)</f>
        <v>2.3694982031353</v>
      </c>
      <c r="X174" s="22" t="n">
        <f aca="false">100*(X40-X39)</f>
        <v>2.33023249820108</v>
      </c>
      <c r="Y174" s="22" t="n">
        <f aca="false">100*(Y40-Y39)</f>
        <v>2.30940701650511</v>
      </c>
      <c r="Z174" s="22" t="n">
        <f aca="false">100*(Z40-Z39)</f>
        <v>2.3075124397745</v>
      </c>
      <c r="AA174" s="22" t="n">
        <f aca="false">100*(AA40-AA39)</f>
        <v>2.32468478866781</v>
      </c>
      <c r="AB174" s="22" t="n">
        <f aca="false">100*(AB40-AB39)</f>
        <v>2.36074651541038</v>
      </c>
      <c r="AC174" s="22" t="n">
        <f aca="false">100*(AC40-AC39)</f>
        <v>2.41525874578907</v>
      </c>
      <c r="AD174" s="22" t="n">
        <f aca="false">100*(AD40-AD39)</f>
        <v>2.4875634285769</v>
      </c>
      <c r="AE174" s="22" t="n">
        <f aca="false">100*(AE40-AE39)</f>
        <v>2.57680642862592</v>
      </c>
      <c r="AF174" s="22" t="n">
        <f aca="false">100*(AF40-AF39)</f>
        <v>2.68186316560102</v>
      </c>
      <c r="AG174" s="22" t="n">
        <f aca="false">100*(AG40-AG39)</f>
        <v>4.77575351587434</v>
      </c>
      <c r="AH174" s="22" t="n">
        <f aca="false">100*(AH40-AH39)</f>
        <v>4.94514508255248</v>
      </c>
      <c r="AI174" s="22" t="n">
        <f aca="false">100*(AI40-AI39)</f>
        <v>5.11108259826769</v>
      </c>
      <c r="AJ174" s="22" t="n">
        <f aca="false">100*(AJ40-AJ39)</f>
        <v>5.27306853752982</v>
      </c>
      <c r="AK174" s="22" t="n">
        <f aca="false">100*(AK40-AK39)</f>
        <v>5.43068240820719</v>
      </c>
      <c r="AL174" s="22" t="n">
        <f aca="false">AVERAGE(C174:AK174)</f>
        <v>3.07462825554096</v>
      </c>
    </row>
    <row r="175" customFormat="false" ht="15" hidden="false" customHeight="false" outlineLevel="0" collapsed="false">
      <c r="A175" s="20" t="n">
        <f aca="false">A41</f>
        <v>-84</v>
      </c>
      <c r="B175" s="21" t="n">
        <f aca="false">B41</f>
        <v>41072</v>
      </c>
      <c r="C175" s="22" t="n">
        <f aca="false">100*(C41-C40)</f>
        <v>1.91076003411654</v>
      </c>
      <c r="D175" s="22" t="n">
        <f aca="false">100*(D41-D40)</f>
        <v>2.55088417025351</v>
      </c>
      <c r="E175" s="22" t="n">
        <f aca="false">100*(E41-E40)</f>
        <v>3.14667716317733</v>
      </c>
      <c r="F175" s="22" t="n">
        <f aca="false">100*(F41-F40)</f>
        <v>3.68670858953478</v>
      </c>
      <c r="G175" s="22" t="n">
        <f aca="false">100*(G41-G40)</f>
        <v>4.16588056220534</v>
      </c>
      <c r="H175" s="22" t="n">
        <f aca="false">100*(H41-H40)</f>
        <v>4.5809366941632</v>
      </c>
      <c r="I175" s="22" t="n">
        <f aca="false">100*(I41-I40)</f>
        <v>4.92900888425417</v>
      </c>
      <c r="J175" s="22" t="n">
        <f aca="false">100*(J41-J40)</f>
        <v>5.20746417923987</v>
      </c>
      <c r="K175" s="22" t="n">
        <f aca="false">100*(K41-K40)</f>
        <v>5.41419083597738</v>
      </c>
      <c r="L175" s="22" t="n">
        <f aca="false">100*(L41-L40)</f>
        <v>5.5482378776708</v>
      </c>
      <c r="M175" s="22" t="n">
        <f aca="false">100*(M41-M40)</f>
        <v>5.611163687175</v>
      </c>
      <c r="N175" s="22" t="n">
        <f aca="false">100*(N41-N40)</f>
        <v>5.60696530104221</v>
      </c>
      <c r="O175" s="22" t="n">
        <f aca="false">100*(O41-O40)</f>
        <v>5.54240184488841</v>
      </c>
      <c r="P175" s="22" t="n">
        <f aca="false">100*(P41-P40)</f>
        <v>5.4261090252711</v>
      </c>
      <c r="Q175" s="22" t="n">
        <f aca="false">100*(Q41-Q40)</f>
        <v>5.2676922387533</v>
      </c>
      <c r="R175" s="22" t="n">
        <f aca="false">100*(R41-R40)</f>
        <v>5.0767094624544</v>
      </c>
      <c r="S175" s="22" t="n">
        <f aca="false">100*(S41-S40)</f>
        <v>4.86205234215962</v>
      </c>
      <c r="T175" s="22" t="n">
        <f aca="false">100*(T41-T40)</f>
        <v>4.63173096579661</v>
      </c>
      <c r="U175" s="22" t="n">
        <f aca="false">100*(U41-U40)</f>
        <v>4.39266182233862</v>
      </c>
      <c r="V175" s="22" t="n">
        <f aca="false">100*(V41-V40)</f>
        <v>4.1507806498821</v>
      </c>
      <c r="W175" s="22" t="n">
        <f aca="false">100*(W41-W40)</f>
        <v>3.91124566687391</v>
      </c>
      <c r="X175" s="22" t="n">
        <f aca="false">100*(X41-X40)</f>
        <v>3.67859307604141</v>
      </c>
      <c r="Y175" s="22" t="n">
        <f aca="false">100*(Y41-Y40)</f>
        <v>3.45685498070401</v>
      </c>
      <c r="Z175" s="22" t="n">
        <f aca="false">100*(Z41-Z40)</f>
        <v>3.24956144062893</v>
      </c>
      <c r="AA175" s="22" t="n">
        <f aca="false">100*(AA41-AA40)</f>
        <v>3.05959983091539</v>
      </c>
      <c r="AB175" s="22" t="n">
        <f aca="false">100*(AB41-AB40)</f>
        <v>2.88926301624692</v>
      </c>
      <c r="AC175" s="22" t="n">
        <f aca="false">100*(AC41-AC40)</f>
        <v>2.74034794696032</v>
      </c>
      <c r="AD175" s="22" t="n">
        <f aca="false">100*(AD41-AD40)</f>
        <v>2.61423564522771</v>
      </c>
      <c r="AE175" s="22" t="n">
        <f aca="false">100*(AE41-AE40)</f>
        <v>2.51194554294547</v>
      </c>
      <c r="AF175" s="22" t="n">
        <f aca="false">100*(AF41-AF40)</f>
        <v>2.43409477132079</v>
      </c>
      <c r="AG175" s="22" t="n">
        <f aca="false">100*(AG41-AG40)</f>
        <v>3.35227123291686</v>
      </c>
      <c r="AH175" s="22" t="n">
        <f aca="false">100*(AH41-AH40)</f>
        <v>3.52300760715201</v>
      </c>
      <c r="AI175" s="22" t="n">
        <f aca="false">100*(AI41-AI40)</f>
        <v>3.6996294595947</v>
      </c>
      <c r="AJ175" s="22" t="n">
        <f aca="false">100*(AJ41-AJ40)</f>
        <v>3.88046869262588</v>
      </c>
      <c r="AK175" s="22" t="n">
        <f aca="false">100*(AK41-AK40)</f>
        <v>4.06394165841801</v>
      </c>
      <c r="AL175" s="22" t="n">
        <f aca="false">AVERAGE(C175:AK175)</f>
        <v>4.02211648282648</v>
      </c>
    </row>
    <row r="176" customFormat="false" ht="15" hidden="false" customHeight="false" outlineLevel="0" collapsed="false">
      <c r="A176" s="20" t="n">
        <f aca="false">A42</f>
        <v>-83</v>
      </c>
      <c r="B176" s="21" t="n">
        <f aca="false">B42</f>
        <v>41073</v>
      </c>
      <c r="C176" s="22" t="n">
        <f aca="false">100*(C42-C41)</f>
        <v>0.385691072130184</v>
      </c>
      <c r="D176" s="22" t="n">
        <f aca="false">100*(D42-D41)</f>
        <v>0.588830987121797</v>
      </c>
      <c r="E176" s="22" t="n">
        <f aca="false">100*(E42-E41)</f>
        <v>0.918103493644223</v>
      </c>
      <c r="F176" s="22" t="n">
        <f aca="false">100*(F42-F41)</f>
        <v>1.3377934521732</v>
      </c>
      <c r="G176" s="22" t="n">
        <f aca="false">100*(G42-G41)</f>
        <v>1.81517859199686</v>
      </c>
      <c r="H176" s="22" t="n">
        <f aca="false">100*(H42-H41)</f>
        <v>2.32228819173138</v>
      </c>
      <c r="I176" s="22" t="n">
        <f aca="false">100*(I42-I41)</f>
        <v>2.83587547730161</v>
      </c>
      <c r="J176" s="22" t="n">
        <f aca="false">100*(J42-J41)</f>
        <v>3.33757674319287</v>
      </c>
      <c r="K176" s="22" t="n">
        <f aca="false">100*(K42-K41)</f>
        <v>3.81318742558061</v>
      </c>
      <c r="L176" s="22" t="n">
        <f aca="false">100*(L42-L41)</f>
        <v>4.2523694132282</v>
      </c>
      <c r="M176" s="22" t="n">
        <f aca="false">100*(M42-M41)</f>
        <v>4.6488607343103</v>
      </c>
      <c r="N176" s="22" t="n">
        <f aca="false">100*(N42-N41)</f>
        <v>4.99962742486471</v>
      </c>
      <c r="O176" s="22" t="n">
        <f aca="false">100*(O42-O41)</f>
        <v>5.30490994573589</v>
      </c>
      <c r="P176" s="22" t="n">
        <f aca="false">100*(P42-P41)</f>
        <v>5.5673323671116</v>
      </c>
      <c r="Q176" s="22" t="n">
        <f aca="false">100*(Q42-Q41)</f>
        <v>5.79115474450549</v>
      </c>
      <c r="R176" s="22" t="n">
        <f aca="false">100*(R42-R41)</f>
        <v>5.9816095816867</v>
      </c>
      <c r="S176" s="22" t="n">
        <f aca="false">100*(S42-S41)</f>
        <v>6.14439229219128</v>
      </c>
      <c r="T176" s="22" t="n">
        <f aca="false">100*(T42-T41)</f>
        <v>6.2856001712118</v>
      </c>
      <c r="U176" s="22" t="n">
        <f aca="false">100*(U42-U41)</f>
        <v>6.4105170587311</v>
      </c>
      <c r="V176" s="22" t="n">
        <f aca="false">100*(V42-V41)</f>
        <v>6.5233881790546</v>
      </c>
      <c r="W176" s="22" t="n">
        <f aca="false">100*(W42-W41)</f>
        <v>6.62763258085377</v>
      </c>
      <c r="X176" s="22" t="n">
        <f aca="false">100*(X42-X41)</f>
        <v>6.7260083722918</v>
      </c>
      <c r="Y176" s="22" t="n">
        <f aca="false">100*(Y42-Y41)</f>
        <v>6.82073797052971</v>
      </c>
      <c r="Z176" s="22" t="n">
        <f aca="false">100*(Z42-Z41)</f>
        <v>6.91351201088546</v>
      </c>
      <c r="AA176" s="22" t="n">
        <f aca="false">100*(AA42-AA41)</f>
        <v>7.00534905531463</v>
      </c>
      <c r="AB176" s="22" t="n">
        <f aca="false">100*(AB42-AB41)</f>
        <v>7.09664904366867</v>
      </c>
      <c r="AC176" s="22" t="n">
        <f aca="false">100*(AC42-AC41)</f>
        <v>7.18729595227359</v>
      </c>
      <c r="AD176" s="22" t="n">
        <f aca="false">100*(AD42-AD41)</f>
        <v>7.2767410138475</v>
      </c>
      <c r="AE176" s="22" t="n">
        <f aca="false">100*(AE42-AE41)</f>
        <v>7.36408825185912</v>
      </c>
      <c r="AF176" s="22" t="n">
        <f aca="false">100*(AF42-AF41)</f>
        <v>7.44834304549649</v>
      </c>
      <c r="AG176" s="22" t="n">
        <f aca="false">100*(AG42-AG41)</f>
        <v>8.04481210928043</v>
      </c>
      <c r="AH176" s="22" t="n">
        <f aca="false">100*(AH42-AH41)</f>
        <v>8.05466163123501</v>
      </c>
      <c r="AI176" s="22" t="n">
        <f aca="false">100*(AI42-AI41)</f>
        <v>8.0618664384005</v>
      </c>
      <c r="AJ176" s="22" t="n">
        <f aca="false">100*(AJ42-AJ41)</f>
        <v>8.06712489412402</v>
      </c>
      <c r="AK176" s="22" t="n">
        <f aca="false">100*(AK42-AK41)</f>
        <v>8.07108995699752</v>
      </c>
      <c r="AL176" s="22" t="n">
        <f aca="false">AVERAGE(C176:AK176)</f>
        <v>5.42943427641608</v>
      </c>
    </row>
    <row r="177" customFormat="false" ht="15" hidden="false" customHeight="false" outlineLevel="0" collapsed="false">
      <c r="A177" s="20" t="n">
        <f aca="false">A43</f>
        <v>-82</v>
      </c>
      <c r="B177" s="21" t="n">
        <f aca="false">B43</f>
        <v>41074</v>
      </c>
      <c r="C177" s="22" t="n">
        <f aca="false">100*(C43-C42)</f>
        <v>0.635505303760076</v>
      </c>
      <c r="D177" s="22" t="n">
        <f aca="false">100*(D43-D42)</f>
        <v>0.690139479090351</v>
      </c>
      <c r="E177" s="22" t="n">
        <f aca="false">100*(E43-E42)</f>
        <v>0.68300361120599</v>
      </c>
      <c r="F177" s="22" t="n">
        <f aca="false">100*(F43-F42)</f>
        <v>0.626686112770869</v>
      </c>
      <c r="G177" s="22" t="n">
        <f aca="false">100*(G43-G42)</f>
        <v>0.527984512241764</v>
      </c>
      <c r="H177" s="22" t="n">
        <f aca="false">100*(H43-H42)</f>
        <v>0.391890394739824</v>
      </c>
      <c r="I177" s="22" t="n">
        <f aca="false">100*(I43-I42)</f>
        <v>0.223845359842778</v>
      </c>
      <c r="J177" s="22" t="n">
        <f aca="false">100*(J43-J42)</f>
        <v>0.0308025986207938</v>
      </c>
      <c r="K177" s="22" t="n">
        <f aca="false">100*(K43-K42)</f>
        <v>-0.179400351468195</v>
      </c>
      <c r="L177" s="22" t="n">
        <f aca="false">100*(L43-L42)</f>
        <v>-0.39799670741949</v>
      </c>
      <c r="M177" s="22" t="n">
        <f aca="false">100*(M43-M42)</f>
        <v>-0.615333090641101</v>
      </c>
      <c r="N177" s="22" t="n">
        <f aca="false">100*(N43-N42)</f>
        <v>-0.821534918039002</v>
      </c>
      <c r="O177" s="22" t="n">
        <f aca="false">100*(O43-O42)</f>
        <v>-1.0066630439757</v>
      </c>
      <c r="P177" s="22" t="n">
        <f aca="false">100*(P43-P42)</f>
        <v>-1.16116036349549</v>
      </c>
      <c r="Q177" s="22" t="n">
        <f aca="false">100*(Q43-Q42)</f>
        <v>-1.27681249674421</v>
      </c>
      <c r="R177" s="22" t="n">
        <f aca="false">100*(R43-R42)</f>
        <v>-1.3475033861049</v>
      </c>
      <c r="S177" s="22" t="n">
        <f aca="false">100*(S43-S42)</f>
        <v>-1.36973865495909</v>
      </c>
      <c r="T177" s="22" t="n">
        <f aca="false">100*(T43-T42)</f>
        <v>-1.34261686991071</v>
      </c>
      <c r="U177" s="22" t="n">
        <f aca="false">100*(U43-U42)</f>
        <v>-1.26714464552862</v>
      </c>
      <c r="V177" s="22" t="n">
        <f aca="false">100*(V43-V42)</f>
        <v>-1.14577070312429</v>
      </c>
      <c r="W177" s="22" t="n">
        <f aca="false">100*(W43-W42)</f>
        <v>-0.982084471997968</v>
      </c>
      <c r="X177" s="22" t="n">
        <f aca="false">100*(X43-X42)</f>
        <v>-0.780587947840505</v>
      </c>
      <c r="Y177" s="22" t="n">
        <f aca="false">100*(Y43-Y42)</f>
        <v>-0.546518726995604</v>
      </c>
      <c r="Z177" s="22" t="n">
        <f aca="false">100*(Z43-Z42)</f>
        <v>-0.285598399402076</v>
      </c>
      <c r="AA177" s="22" t="n">
        <f aca="false">100*(AA43-AA42)</f>
        <v>-0.00360345289442954</v>
      </c>
      <c r="AB177" s="22" t="n">
        <f aca="false">100*(AB43-AB42)</f>
        <v>0.293754818544834</v>
      </c>
      <c r="AC177" s="22" t="n">
        <f aca="false">100*(AC43-AC42)</f>
        <v>0.600820871741714</v>
      </c>
      <c r="AD177" s="22" t="n">
        <f aca="false">100*(AD43-AD42)</f>
        <v>0.911985922253678</v>
      </c>
      <c r="AE177" s="22" t="n">
        <f aca="false">100*(AE43-AE42)</f>
        <v>1.22169853355247</v>
      </c>
      <c r="AF177" s="22" t="n">
        <f aca="false">100*(AF43-AF42)</f>
        <v>1.52464572714761</v>
      </c>
      <c r="AG177" s="22" t="n">
        <f aca="false">100*(AG43-AG42)</f>
        <v>3.48715125946031</v>
      </c>
      <c r="AH177" s="22" t="n">
        <f aca="false">100*(AH43-AH42)</f>
        <v>3.46721392891389</v>
      </c>
      <c r="AI177" s="22" t="n">
        <f aca="false">100*(AI43-AI42)</f>
        <v>3.42932347424361</v>
      </c>
      <c r="AJ177" s="22" t="n">
        <f aca="false">100*(AJ43-AJ42)</f>
        <v>3.37566319019427</v>
      </c>
      <c r="AK177" s="22" t="n">
        <f aca="false">100*(AK43-AK42)</f>
        <v>3.30835343891929</v>
      </c>
      <c r="AL177" s="22" t="n">
        <f aca="false">AVERAGE(C177:AK177)</f>
        <v>0.311440008762936</v>
      </c>
    </row>
    <row r="178" customFormat="false" ht="15" hidden="false" customHeight="false" outlineLevel="0" collapsed="false">
      <c r="A178" s="20" t="n">
        <f aca="false">A44</f>
        <v>-81</v>
      </c>
      <c r="B178" s="21" t="n">
        <f aca="false">B44</f>
        <v>41075</v>
      </c>
      <c r="C178" s="22" t="n">
        <f aca="false">100*(C44-C43)</f>
        <v>-6.66686321484604</v>
      </c>
      <c r="D178" s="22" t="n">
        <f aca="false">100*(D44-D43)</f>
        <v>-7.76036422684356</v>
      </c>
      <c r="E178" s="22" t="n">
        <f aca="false">100*(E44-E43)</f>
        <v>-8.43839721091213</v>
      </c>
      <c r="F178" s="22" t="n">
        <f aca="false">100*(F44-F43)</f>
        <v>-8.78101618274301</v>
      </c>
      <c r="G178" s="22" t="n">
        <f aca="false">100*(G44-G43)</f>
        <v>-8.86730720744534</v>
      </c>
      <c r="H178" s="22" t="n">
        <f aca="false">100*(H44-H43)</f>
        <v>-8.76431571010193</v>
      </c>
      <c r="I178" s="22" t="n">
        <f aca="false">100*(I44-I43)</f>
        <v>-8.52821257469999</v>
      </c>
      <c r="J178" s="22" t="n">
        <f aca="false">100*(J44-J43)</f>
        <v>-8.20566781187891</v>
      </c>
      <c r="K178" s="22" t="n">
        <f aca="false">100*(K44-K43)</f>
        <v>-7.8369596095492</v>
      </c>
      <c r="L178" s="22" t="n">
        <f aca="false">100*(L44-L43)</f>
        <v>-7.45541135924079</v>
      </c>
      <c r="M178" s="22" t="n">
        <f aca="false">100*(M44-M43)</f>
        <v>-7.08672666783239</v>
      </c>
      <c r="N178" s="22" t="n">
        <f aca="false">100*(N44-N43)</f>
        <v>-6.75078061580909</v>
      </c>
      <c r="O178" s="22" t="n">
        <f aca="false">100*(O44-O43)</f>
        <v>-6.46123971395529</v>
      </c>
      <c r="P178" s="22" t="n">
        <f aca="false">100*(P44-P43)</f>
        <v>-6.22628571628512</v>
      </c>
      <c r="Q178" s="22" t="n">
        <f aca="false">100*(Q44-Q43)</f>
        <v>-6.04992420952328</v>
      </c>
      <c r="R178" s="22" t="n">
        <f aca="false">100*(R44-R43)</f>
        <v>-5.93283786851471</v>
      </c>
      <c r="S178" s="22" t="n">
        <f aca="false">100*(S44-S43)</f>
        <v>-5.8732678165119</v>
      </c>
      <c r="T178" s="22" t="n">
        <f aca="false">100*(T44-T43)</f>
        <v>-5.867589642672</v>
      </c>
      <c r="U178" s="22" t="n">
        <f aca="false">100*(U44-U43)</f>
        <v>-5.91115497285999</v>
      </c>
      <c r="V178" s="22" t="n">
        <f aca="false">100*(V44-V43)</f>
        <v>-5.99861485929094</v>
      </c>
      <c r="W178" s="22" t="n">
        <f aca="false">100*(W44-W43)</f>
        <v>-6.12406543071082</v>
      </c>
      <c r="X178" s="22" t="n">
        <f aca="false">100*(X44-X43)</f>
        <v>-6.2811588770904</v>
      </c>
      <c r="Y178" s="22" t="n">
        <f aca="false">100*(Y44-Y43)</f>
        <v>-6.46319343969153</v>
      </c>
      <c r="Z178" s="22" t="n">
        <f aca="false">100*(Z44-Z43)</f>
        <v>-6.66337884431552</v>
      </c>
      <c r="AA178" s="22" t="n">
        <f aca="false">100*(AA44-AA43)</f>
        <v>-6.8752999908082</v>
      </c>
      <c r="AB178" s="22" t="n">
        <f aca="false">100*(AB44-AB43)</f>
        <v>-7.09295735848423</v>
      </c>
      <c r="AC178" s="22" t="n">
        <f aca="false">100*(AC44-AC43)</f>
        <v>-7.3106981255592</v>
      </c>
      <c r="AD178" s="22" t="n">
        <f aca="false">100*(AD44-AD43)</f>
        <v>-7.52316025018369</v>
      </c>
      <c r="AE178" s="22" t="n">
        <f aca="false">100*(AE44-AE43)</f>
        <v>-7.72526066834529</v>
      </c>
      <c r="AF178" s="22" t="n">
        <f aca="false">100*(AF44-AF43)</f>
        <v>-7.91244513265981</v>
      </c>
      <c r="AG178" s="22" t="n">
        <f aca="false">100*(AG44-AG43)</f>
        <v>-8.16610739613681</v>
      </c>
      <c r="AH178" s="22" t="n">
        <f aca="false">100*(AH44-AH43)</f>
        <v>-8.0340408372086</v>
      </c>
      <c r="AI178" s="22" t="n">
        <f aca="false">100*(AI44-AI43)</f>
        <v>-7.88989674967642</v>
      </c>
      <c r="AJ178" s="22" t="n">
        <f aca="false">100*(AJ44-AJ43)</f>
        <v>-7.73613273042377</v>
      </c>
      <c r="AK178" s="22" t="n">
        <f aca="false">100*(AK44-AK43)</f>
        <v>-7.57506984093799</v>
      </c>
      <c r="AL178" s="22" t="n">
        <f aca="false">AVERAGE(C178:AK178)</f>
        <v>-7.22388008182137</v>
      </c>
    </row>
    <row r="179" customFormat="false" ht="15" hidden="false" customHeight="false" outlineLevel="0" collapsed="false">
      <c r="A179" s="20" t="n">
        <f aca="false">A45</f>
        <v>-80</v>
      </c>
      <c r="B179" s="21" t="n">
        <f aca="false">B45</f>
        <v>41078</v>
      </c>
      <c r="C179" s="22" t="n">
        <f aca="false">100*(C45-C44)</f>
        <v>1.02908774571589</v>
      </c>
      <c r="D179" s="22" t="n">
        <f aca="false">100*(D45-D44)</f>
        <v>0.382015942717057</v>
      </c>
      <c r="E179" s="22" t="n">
        <f aca="false">100*(E45-E44)</f>
        <v>-0.273655315571875</v>
      </c>
      <c r="F179" s="22" t="n">
        <f aca="false">100*(F45-F44)</f>
        <v>-0.838407913492101</v>
      </c>
      <c r="G179" s="22" t="n">
        <f aca="false">100*(G45-G44)</f>
        <v>-1.27901172330169</v>
      </c>
      <c r="H179" s="22" t="n">
        <f aca="false">100*(H45-H44)</f>
        <v>-1.59096744458462</v>
      </c>
      <c r="I179" s="22" t="n">
        <f aca="false">100*(I45-I44)</f>
        <v>-1.7831454323593</v>
      </c>
      <c r="J179" s="22" t="n">
        <f aca="false">100*(J45-J44)</f>
        <v>-1.87089117730845</v>
      </c>
      <c r="K179" s="22" t="n">
        <f aca="false">100*(K45-K44)</f>
        <v>-1.87229008398511</v>
      </c>
      <c r="L179" s="22" t="n">
        <f aca="false">100*(L45-L44)</f>
        <v>-1.8062088168701</v>
      </c>
      <c r="M179" s="22" t="n">
        <f aca="false">100*(M45-M44)</f>
        <v>-1.69103143245701</v>
      </c>
      <c r="N179" s="22" t="n">
        <f aca="false">100*(N45-N44)</f>
        <v>-1.54414558163032</v>
      </c>
      <c r="O179" s="22" t="n">
        <f aca="false">100*(O45-O44)</f>
        <v>-1.3813779666485</v>
      </c>
      <c r="P179" s="22" t="n">
        <f aca="false">100*(P45-P44)</f>
        <v>-1.21649612674479</v>
      </c>
      <c r="Q179" s="22" t="n">
        <f aca="false">100*(Q45-Q44)</f>
        <v>-1.06101911961511</v>
      </c>
      <c r="R179" s="22" t="n">
        <f aca="false">100*(R45-R44)</f>
        <v>-0.9239471049314</v>
      </c>
      <c r="S179" s="22" t="n">
        <f aca="false">100*(S45-S44)</f>
        <v>-0.811841567160099</v>
      </c>
      <c r="T179" s="22" t="n">
        <f aca="false">100*(T45-T44)</f>
        <v>-0.729034983850796</v>
      </c>
      <c r="U179" s="22" t="n">
        <f aca="false">100*(U45-U44)</f>
        <v>-0.678062613899111</v>
      </c>
      <c r="V179" s="22" t="n">
        <f aca="false">100*(V45-V44)</f>
        <v>-0.660028090761067</v>
      </c>
      <c r="W179" s="22" t="n">
        <f aca="false">100*(W45-W44)</f>
        <v>-0.674901032127506</v>
      </c>
      <c r="X179" s="22" t="n">
        <f aca="false">100*(X45-X44)</f>
        <v>-0.721743843077194</v>
      </c>
      <c r="Y179" s="22" t="n">
        <f aca="false">100*(Y45-Y44)</f>
        <v>-0.798887434618978</v>
      </c>
      <c r="Z179" s="22" t="n">
        <f aca="false">100*(Z45-Z44)</f>
        <v>-0.904109673691389</v>
      </c>
      <c r="AA179" s="22" t="n">
        <f aca="false">100*(AA45-AA44)</f>
        <v>-1.03481445308269</v>
      </c>
      <c r="AB179" s="22" t="n">
        <f aca="false">100*(AB45-AB44)</f>
        <v>-1.18810975260679</v>
      </c>
      <c r="AC179" s="22" t="n">
        <f aca="false">100*(AC45-AC44)</f>
        <v>-1.3608568502816</v>
      </c>
      <c r="AD179" s="22" t="n">
        <f aca="false">100*(AD45-AD44)</f>
        <v>-1.54971011311438</v>
      </c>
      <c r="AE179" s="22" t="n">
        <f aca="false">100*(AE45-AE44)</f>
        <v>-1.7511570641124</v>
      </c>
      <c r="AF179" s="22" t="n">
        <f aca="false">100*(AF45-AF44)</f>
        <v>-1.96160237872687</v>
      </c>
      <c r="AG179" s="22" t="n">
        <f aca="false">100*(AG45-AG44)</f>
        <v>-4.28682881157969</v>
      </c>
      <c r="AH179" s="22" t="n">
        <f aca="false">100*(AH45-AH44)</f>
        <v>-4.3883494299422</v>
      </c>
      <c r="AI179" s="22" t="n">
        <f aca="false">100*(AI45-AI44)</f>
        <v>-4.47829610333148</v>
      </c>
      <c r="AJ179" s="22" t="n">
        <f aca="false">100*(AJ45-AJ44)</f>
        <v>-4.55727562516981</v>
      </c>
      <c r="AK179" s="22" t="n">
        <f aca="false">100*(AK45-AK44)</f>
        <v>-4.62592657528114</v>
      </c>
      <c r="AL179" s="22" t="n">
        <f aca="false">AVERAGE(C179:AK179)</f>
        <v>-1.56808651278522</v>
      </c>
    </row>
    <row r="180" customFormat="false" ht="15" hidden="false" customHeight="false" outlineLevel="0" collapsed="false">
      <c r="A180" s="20" t="n">
        <f aca="false">A46</f>
        <v>-79</v>
      </c>
      <c r="B180" s="21" t="n">
        <f aca="false">B46</f>
        <v>41079</v>
      </c>
      <c r="C180" s="22" t="n">
        <f aca="false">100*(C46-C45)</f>
        <v>-0.61853281377835</v>
      </c>
      <c r="D180" s="22" t="n">
        <f aca="false">100*(D46-D45)</f>
        <v>-0.714223143064829</v>
      </c>
      <c r="E180" s="22" t="n">
        <f aca="false">100*(E46-E45)</f>
        <v>-0.633280083188809</v>
      </c>
      <c r="F180" s="22" t="n">
        <f aca="false">100*(F46-F45)</f>
        <v>-0.396754955327794</v>
      </c>
      <c r="G180" s="22" t="n">
        <f aca="false">100*(G46-G45)</f>
        <v>-0.0342113684659529</v>
      </c>
      <c r="H180" s="22" t="n">
        <f aca="false">100*(H46-H45)</f>
        <v>0.424672619635791</v>
      </c>
      <c r="I180" s="22" t="n">
        <f aca="false">100*(I46-I45)</f>
        <v>0.952841650207803</v>
      </c>
      <c r="J180" s="22" t="n">
        <f aca="false">100*(J46-J45)</f>
        <v>1.52567336413447</v>
      </c>
      <c r="K180" s="22" t="n">
        <f aca="false">100*(K46-K45)</f>
        <v>2.12022027429331</v>
      </c>
      <c r="L180" s="22" t="n">
        <f aca="false">100*(L46-L45)</f>
        <v>2.71547634843861</v>
      </c>
      <c r="M180" s="22" t="n">
        <f aca="false">100*(M46-M45)</f>
        <v>3.29340020770821</v>
      </c>
      <c r="N180" s="22" t="n">
        <f aca="false">100*(N46-N45)</f>
        <v>3.838954568425</v>
      </c>
      <c r="O180" s="22" t="n">
        <f aca="false">100*(O46-O45)</f>
        <v>4.34063720999101</v>
      </c>
      <c r="P180" s="22" t="n">
        <f aca="false">100*(P46-P45)</f>
        <v>4.79048840504139</v>
      </c>
      <c r="Q180" s="22" t="n">
        <f aca="false">100*(Q46-Q45)</f>
        <v>5.18371294599691</v>
      </c>
      <c r="R180" s="22" t="n">
        <f aca="false">100*(R46-R45)</f>
        <v>5.518626877245</v>
      </c>
      <c r="S180" s="22" t="n">
        <f aca="false">100*(S46-S45)</f>
        <v>5.79636790294129</v>
      </c>
      <c r="T180" s="22" t="n">
        <f aca="false">100*(T46-T45)</f>
        <v>6.020646134247</v>
      </c>
      <c r="U180" s="22" t="n">
        <f aca="false">100*(U46-U45)</f>
        <v>6.19607259978472</v>
      </c>
      <c r="V180" s="22" t="n">
        <f aca="false">100*(V46-V45)</f>
        <v>6.32760830567007</v>
      </c>
      <c r="W180" s="22" t="n">
        <f aca="false">100*(W46-W45)</f>
        <v>6.42048869830494</v>
      </c>
      <c r="X180" s="22" t="n">
        <f aca="false">100*(X46-X45)</f>
        <v>6.48016877631989</v>
      </c>
      <c r="Y180" s="22" t="n">
        <f aca="false">100*(Y46-Y45)</f>
        <v>6.5122754200857</v>
      </c>
      <c r="Z180" s="22" t="n">
        <f aca="false">100*(Z46-Z45)</f>
        <v>6.52231107219952</v>
      </c>
      <c r="AA180" s="22" t="n">
        <f aca="false">100*(AA46-AA45)</f>
        <v>6.51503331322481</v>
      </c>
      <c r="AB180" s="22" t="n">
        <f aca="false">100*(AB46-AB45)</f>
        <v>6.49441387201852</v>
      </c>
      <c r="AC180" s="22" t="n">
        <f aca="false">100*(AC46-AC45)</f>
        <v>6.4637683297232</v>
      </c>
      <c r="AD180" s="22" t="n">
        <f aca="false">100*(AD46-AD45)</f>
        <v>6.42586194969899</v>
      </c>
      <c r="AE180" s="22" t="n">
        <f aca="false">100*(AE46-AE45)</f>
        <v>6.38297433342401</v>
      </c>
      <c r="AF180" s="22" t="n">
        <f aca="false">100*(AF46-AF45)</f>
        <v>6.33679136846248</v>
      </c>
      <c r="AG180" s="22" t="n">
        <f aca="false">100*(AG46-AG45)</f>
        <v>5.6025279926927</v>
      </c>
      <c r="AH180" s="22" t="n">
        <f aca="false">100*(AH46-AH45)</f>
        <v>5.53788384028469</v>
      </c>
      <c r="AI180" s="22" t="n">
        <f aca="false">100*(AI46-AI45)</f>
        <v>5.47292901004388</v>
      </c>
      <c r="AJ180" s="22" t="n">
        <f aca="false">100*(AJ46-AJ45)</f>
        <v>5.40803329620649</v>
      </c>
      <c r="AK180" s="22" t="n">
        <f aca="false">100*(AK46-AK45)</f>
        <v>5.34357362440443</v>
      </c>
      <c r="AL180" s="22" t="n">
        <f aca="false">AVERAGE(C180:AK180)</f>
        <v>4.24478376991512</v>
      </c>
    </row>
    <row r="181" customFormat="false" ht="15" hidden="false" customHeight="false" outlineLevel="0" collapsed="false">
      <c r="A181" s="20" t="n">
        <f aca="false">A47</f>
        <v>-78</v>
      </c>
      <c r="B181" s="21" t="n">
        <f aca="false">B47</f>
        <v>41080</v>
      </c>
      <c r="C181" s="22" t="n">
        <f aca="false">100*(C47-C46)</f>
        <v>5.86257968900568</v>
      </c>
      <c r="D181" s="22" t="n">
        <f aca="false">100*(D47-D46)</f>
        <v>6.46190281093214</v>
      </c>
      <c r="E181" s="22" t="n">
        <f aca="false">100*(E47-E46)</f>
        <v>6.66320610939161</v>
      </c>
      <c r="F181" s="22" t="n">
        <f aca="false">100*(F47-F46)</f>
        <v>6.6436697997799</v>
      </c>
      <c r="G181" s="22" t="n">
        <f aca="false">100*(G47-G46)</f>
        <v>6.50890788537336</v>
      </c>
      <c r="H181" s="22" t="n">
        <f aca="false">100*(H47-H46)</f>
        <v>6.32135781567027</v>
      </c>
      <c r="I181" s="22" t="n">
        <f aca="false">100*(I47-I46)</f>
        <v>6.11819050989297</v>
      </c>
      <c r="J181" s="22" t="n">
        <f aca="false">100*(J47-J46)</f>
        <v>5.92140483557316</v>
      </c>
      <c r="K181" s="22" t="n">
        <f aca="false">100*(K47-K46)</f>
        <v>5.74372463440629</v>
      </c>
      <c r="L181" s="22" t="n">
        <f aca="false">100*(L47-L46)</f>
        <v>5.5914186397779</v>
      </c>
      <c r="M181" s="22" t="n">
        <f aca="false">100*(M47-M46)</f>
        <v>5.46603423476899</v>
      </c>
      <c r="N181" s="22" t="n">
        <f aca="false">100*(N47-N46)</f>
        <v>5.3659531918528</v>
      </c>
      <c r="O181" s="22" t="n">
        <f aca="false">100*(O47-O46)</f>
        <v>5.28721931032978</v>
      </c>
      <c r="P181" s="22" t="n">
        <f aca="false">100*(P47-P46)</f>
        <v>5.2244206145273</v>
      </c>
      <c r="Q181" s="22" t="n">
        <f aca="false">100*(Q47-Q46)</f>
        <v>5.1713135102722</v>
      </c>
      <c r="R181" s="22" t="n">
        <f aca="false">100*(R47-R46)</f>
        <v>5.12166946871591</v>
      </c>
      <c r="S181" s="22" t="n">
        <f aca="false">100*(S47-S46)</f>
        <v>5.06967066523101</v>
      </c>
      <c r="T181" s="22" t="n">
        <f aca="false">100*(T47-T46)</f>
        <v>5.00997986281739</v>
      </c>
      <c r="U181" s="22" t="n">
        <f aca="false">100*(U47-U46)</f>
        <v>4.93832006264139</v>
      </c>
      <c r="V181" s="22" t="n">
        <f aca="false">100*(V47-V46)</f>
        <v>4.8514810402772</v>
      </c>
      <c r="W181" s="22" t="n">
        <f aca="false">100*(W47-W46)</f>
        <v>4.74709956089137</v>
      </c>
      <c r="X181" s="22" t="n">
        <f aca="false">100*(X47-X46)</f>
        <v>4.62348998132449</v>
      </c>
      <c r="Y181" s="22" t="n">
        <f aca="false">100*(Y47-Y46)</f>
        <v>4.47951463394021</v>
      </c>
      <c r="Z181" s="22" t="n">
        <f aca="false">100*(Z47-Z46)</f>
        <v>4.3145519217354</v>
      </c>
      <c r="AA181" s="22" t="n">
        <f aca="false">100*(AA47-AA46)</f>
        <v>4.128618833467</v>
      </c>
      <c r="AB181" s="22" t="n">
        <f aca="false">100*(AB47-AB46)</f>
        <v>3.92233117351868</v>
      </c>
      <c r="AC181" s="22" t="n">
        <f aca="false">100*(AC47-AC46)</f>
        <v>3.69680464199509</v>
      </c>
      <c r="AD181" s="22" t="n">
        <f aca="false">100*(AD47-AD46)</f>
        <v>3.453574205956</v>
      </c>
      <c r="AE181" s="22" t="n">
        <f aca="false">100*(AE47-AE46)</f>
        <v>3.19452006835248</v>
      </c>
      <c r="AF181" s="22" t="n">
        <f aca="false">100*(AF47-AF46)</f>
        <v>2.92175537384352</v>
      </c>
      <c r="AG181" s="22" t="n">
        <f aca="false">100*(AG47-AG46)</f>
        <v>-0.90905389825009</v>
      </c>
      <c r="AH181" s="22" t="n">
        <f aca="false">100*(AH47-AH46)</f>
        <v>-1.16906890192721</v>
      </c>
      <c r="AI181" s="22" t="n">
        <f aca="false">100*(AI47-AI46)</f>
        <v>-1.4191884624887</v>
      </c>
      <c r="AJ181" s="22" t="n">
        <f aca="false">100*(AJ47-AJ46)</f>
        <v>-1.65894770037851</v>
      </c>
      <c r="AK181" s="22" t="n">
        <f aca="false">100*(AK47-AK46)</f>
        <v>-1.88798438758111</v>
      </c>
      <c r="AL181" s="22" t="n">
        <f aca="false">AVERAGE(C181:AK181)</f>
        <v>4.16515547816103</v>
      </c>
    </row>
    <row r="182" customFormat="false" ht="15" hidden="false" customHeight="false" outlineLevel="0" collapsed="false">
      <c r="A182" s="20" t="n">
        <f aca="false">A48</f>
        <v>-77</v>
      </c>
      <c r="B182" s="21" t="n">
        <f aca="false">B48</f>
        <v>41081</v>
      </c>
      <c r="C182" s="22" t="n">
        <f aca="false">100*(C48-C47)</f>
        <v>-1.77978425448352</v>
      </c>
      <c r="D182" s="22" t="n">
        <f aca="false">100*(D48-D47)</f>
        <v>-2.26504699689563</v>
      </c>
      <c r="E182" s="22" t="n">
        <f aca="false">100*(E48-E47)</f>
        <v>-2.73524140354084</v>
      </c>
      <c r="F182" s="22" t="n">
        <f aca="false">100*(F48-F47)</f>
        <v>-3.20420705004599</v>
      </c>
      <c r="G182" s="22" t="n">
        <f aca="false">100*(G48-G47)</f>
        <v>-3.67532746012795</v>
      </c>
      <c r="H182" s="22" t="n">
        <f aca="false">100*(H48-H47)</f>
        <v>-4.14591571268631</v>
      </c>
      <c r="I182" s="22" t="n">
        <f aca="false">100*(I48-I47)</f>
        <v>-4.60989093647669</v>
      </c>
      <c r="J182" s="22" t="n">
        <f aca="false">100*(J48-J47)</f>
        <v>-5.05933156036684</v>
      </c>
      <c r="K182" s="22" t="n">
        <f aca="false">100*(K48-K47)</f>
        <v>-5.4852600764578</v>
      </c>
      <c r="L182" s="22" t="n">
        <f aca="false">100*(L48-L47)</f>
        <v>-5.8791322447419</v>
      </c>
      <c r="M182" s="22" t="n">
        <f aca="false">100*(M48-M47)</f>
        <v>-6.2345104072818</v>
      </c>
      <c r="N182" s="22" t="n">
        <f aca="false">100*(N48-N47)</f>
        <v>-6.54717080631591</v>
      </c>
      <c r="O182" s="22" t="n">
        <f aca="false">100*(O48-O47)</f>
        <v>-6.81560434425819</v>
      </c>
      <c r="P182" s="22" t="n">
        <f aca="false">100*(P48-P47)</f>
        <v>-7.04040260804679</v>
      </c>
      <c r="Q182" s="22" t="n">
        <f aca="false">100*(Q48-Q47)</f>
        <v>-7.2237204555746</v>
      </c>
      <c r="R182" s="22" t="n">
        <f aca="false">100*(R48-R47)</f>
        <v>-7.3687006068258</v>
      </c>
      <c r="S182" s="22" t="n">
        <f aca="false">100*(S48-S47)</f>
        <v>-7.47915784933562</v>
      </c>
      <c r="T182" s="22" t="n">
        <f aca="false">100*(T48-T47)</f>
        <v>-7.5593657860338</v>
      </c>
      <c r="U182" s="22" t="n">
        <f aca="false">100*(U48-U47)</f>
        <v>-7.61355300722599</v>
      </c>
      <c r="V182" s="22" t="n">
        <f aca="false">100*(V48-V47)</f>
        <v>-7.64577471501307</v>
      </c>
      <c r="W182" s="22" t="n">
        <f aca="false">100*(W48-W47)</f>
        <v>-7.65994732555857</v>
      </c>
      <c r="X182" s="22" t="n">
        <f aca="false">100*(X48-X47)</f>
        <v>-7.65987622627717</v>
      </c>
      <c r="Y182" s="22" t="n">
        <f aca="false">100*(Y48-Y47)</f>
        <v>-7.64927585963751</v>
      </c>
      <c r="Z182" s="22" t="n">
        <f aca="false">100*(Z48-Z47)</f>
        <v>-7.63169089097073</v>
      </c>
      <c r="AA182" s="22" t="n">
        <f aca="false">100*(AA48-AA47)</f>
        <v>-7.61025182926702</v>
      </c>
      <c r="AB182" s="22" t="n">
        <f aca="false">100*(AB48-AB47)</f>
        <v>-7.5876614891722</v>
      </c>
      <c r="AC182" s="22" t="n">
        <f aca="false">100*(AC48-AC47)</f>
        <v>-7.56626531977278</v>
      </c>
      <c r="AD182" s="22" t="n">
        <f aca="false">100*(AD48-AD47)</f>
        <v>-7.54810904457282</v>
      </c>
      <c r="AE182" s="22" t="n">
        <f aca="false">100*(AE48-AE47)</f>
        <v>-7.53497685252138</v>
      </c>
      <c r="AF182" s="22" t="n">
        <f aca="false">100*(AF48-AF47)</f>
        <v>-7.52833608045092</v>
      </c>
      <c r="AG182" s="22" t="n">
        <f aca="false">100*(AG48-AG47)</f>
        <v>-8.18042423521641</v>
      </c>
      <c r="AH182" s="22" t="n">
        <f aca="false">100*(AH48-AH47)</f>
        <v>-8.27346614288227</v>
      </c>
      <c r="AI182" s="22" t="n">
        <f aca="false">100*(AI48-AI47)</f>
        <v>-8.36905781235977</v>
      </c>
      <c r="AJ182" s="22" t="n">
        <f aca="false">100*(AJ48-AJ47)</f>
        <v>-8.46652068234799</v>
      </c>
      <c r="AK182" s="22" t="n">
        <f aca="false">100*(AK48-AK47)</f>
        <v>-8.5652569239187</v>
      </c>
      <c r="AL182" s="22" t="n">
        <f aca="false">AVERAGE(C182:AK182)</f>
        <v>-6.51994899990461</v>
      </c>
    </row>
    <row r="183" customFormat="false" ht="15" hidden="false" customHeight="false" outlineLevel="0" collapsed="false">
      <c r="A183" s="20" t="n">
        <f aca="false">A49</f>
        <v>-76</v>
      </c>
      <c r="B183" s="21" t="n">
        <f aca="false">B49</f>
        <v>41082</v>
      </c>
      <c r="C183" s="22" t="n">
        <f aca="false">100*(C49-C48)</f>
        <v>2.70962437995539</v>
      </c>
      <c r="D183" s="22" t="n">
        <f aca="false">100*(D49-D48)</f>
        <v>3.11046647724182</v>
      </c>
      <c r="E183" s="22" t="n">
        <f aca="false">100*(E49-E48)</f>
        <v>3.3158785048905</v>
      </c>
      <c r="F183" s="22" t="n">
        <f aca="false">100*(F49-F48)</f>
        <v>3.39307828452136</v>
      </c>
      <c r="G183" s="22" t="n">
        <f aca="false">100*(G49-G48)</f>
        <v>3.38793345124057</v>
      </c>
      <c r="H183" s="22" t="n">
        <f aca="false">100*(H49-H48)</f>
        <v>3.33165287862327</v>
      </c>
      <c r="I183" s="22" t="n">
        <f aca="false">100*(I49-I48)</f>
        <v>3.24579941333093</v>
      </c>
      <c r="J183" s="22" t="n">
        <f aca="false">100*(J49-J48)</f>
        <v>3.14520796993649</v>
      </c>
      <c r="K183" s="22" t="n">
        <f aca="false">100*(K49-K48)</f>
        <v>3.0405866608098</v>
      </c>
      <c r="L183" s="22" t="n">
        <f aca="false">100*(L49-L48)</f>
        <v>2.93915881680649</v>
      </c>
      <c r="M183" s="22" t="n">
        <f aca="false">100*(M49-M48)</f>
        <v>2.845132084543</v>
      </c>
      <c r="N183" s="22" t="n">
        <f aca="false">100*(N49-N48)</f>
        <v>2.76067849806332</v>
      </c>
      <c r="O183" s="22" t="n">
        <f aca="false">100*(O49-O48)</f>
        <v>2.6859683593639</v>
      </c>
      <c r="P183" s="22" t="n">
        <f aca="false">100*(P49-P48)</f>
        <v>2.6196137751973</v>
      </c>
      <c r="Q183" s="22" t="n">
        <f aca="false">100*(Q49-Q48)</f>
        <v>2.55912562377629</v>
      </c>
      <c r="R183" s="22" t="n">
        <f aca="false">100*(R49-R48)</f>
        <v>2.50139111418188</v>
      </c>
      <c r="S183" s="22" t="n">
        <f aca="false">100*(S49-S48)</f>
        <v>2.4427646370359</v>
      </c>
      <c r="T183" s="22" t="n">
        <f aca="false">100*(T49-T48)</f>
        <v>2.3791360863193</v>
      </c>
      <c r="U183" s="22" t="n">
        <f aca="false">100*(U49-U48)</f>
        <v>2.30666177219601</v>
      </c>
      <c r="V183" s="22" t="n">
        <f aca="false">100*(V49-V48)</f>
        <v>2.22194321503997</v>
      </c>
      <c r="W183" s="22" t="n">
        <f aca="false">100*(W49-W48)</f>
        <v>2.12193716631668</v>
      </c>
      <c r="X183" s="22" t="n">
        <f aca="false">100*(X49-X48)</f>
        <v>2.00388456236547</v>
      </c>
      <c r="Y183" s="22" t="n">
        <f aca="false">100*(Y49-Y48)</f>
        <v>1.86525696593809</v>
      </c>
      <c r="Z183" s="22" t="n">
        <f aca="false">100*(Z49-Z48)</f>
        <v>1.70384771954133</v>
      </c>
      <c r="AA183" s="22" t="n">
        <f aca="false">100*(AA49-AA48)</f>
        <v>1.51813387888891</v>
      </c>
      <c r="AB183" s="22" t="n">
        <f aca="false">100*(AB49-AB48)</f>
        <v>1.30729565285361</v>
      </c>
      <c r="AC183" s="22" t="n">
        <f aca="false">100*(AC49-AC48)</f>
        <v>1.07110087226672</v>
      </c>
      <c r="AD183" s="22" t="n">
        <f aca="false">100*(AD49-AD48)</f>
        <v>0.809810210343498</v>
      </c>
      <c r="AE183" s="22" t="n">
        <f aca="false">100*(AE49-AE48)</f>
        <v>0.524109587487898</v>
      </c>
      <c r="AF183" s="22" t="n">
        <f aca="false">100*(AF49-AF48)</f>
        <v>0.215174333076495</v>
      </c>
      <c r="AG183" s="22" t="n">
        <f aca="false">100*(AG49-AG48)</f>
        <v>-4.79126933528962</v>
      </c>
      <c r="AH183" s="22" t="n">
        <f aca="false">100*(AH49-AH48)</f>
        <v>-5.15607832256242</v>
      </c>
      <c r="AI183" s="22" t="n">
        <f aca="false">100*(AI49-AI48)</f>
        <v>-5.5065554284603</v>
      </c>
      <c r="AJ183" s="22" t="n">
        <f aca="false">100*(AJ49-AJ48)</f>
        <v>-5.84136787341478</v>
      </c>
      <c r="AK183" s="22" t="n">
        <f aca="false">100*(AK49-AK48)</f>
        <v>-6.1594706902615</v>
      </c>
      <c r="AL183" s="22" t="n">
        <f aca="false">AVERAGE(C183:AK183)</f>
        <v>1.21793175149039</v>
      </c>
    </row>
    <row r="184" customFormat="false" ht="15" hidden="false" customHeight="false" outlineLevel="0" collapsed="false">
      <c r="A184" s="20" t="n">
        <f aca="false">A50</f>
        <v>-75</v>
      </c>
      <c r="B184" s="21" t="n">
        <f aca="false">B50</f>
        <v>41085</v>
      </c>
      <c r="C184" s="22" t="n">
        <f aca="false">100*(C50-C49)</f>
        <v>-2.81253907446737</v>
      </c>
      <c r="D184" s="22" t="n">
        <f aca="false">100*(D50-D49)</f>
        <v>-3.20708150972373</v>
      </c>
      <c r="E184" s="22" t="n">
        <f aca="false">100*(E50-E49)</f>
        <v>-3.51547590086612</v>
      </c>
      <c r="F184" s="22" t="n">
        <f aca="false">100*(F50-F49)</f>
        <v>-3.77607683629977</v>
      </c>
      <c r="G184" s="22" t="n">
        <f aca="false">100*(G50-G49)</f>
        <v>-4.00535058889133</v>
      </c>
      <c r="H184" s="22" t="n">
        <f aca="false">100*(H50-H49)</f>
        <v>-4.20997277350577</v>
      </c>
      <c r="I184" s="22" t="n">
        <f aca="false">100*(I50-I49)</f>
        <v>-4.39267656489212</v>
      </c>
      <c r="J184" s="22" t="n">
        <f aca="false">100*(J50-J49)</f>
        <v>-4.55481135554272</v>
      </c>
      <c r="K184" s="22" t="n">
        <f aca="false">100*(K50-K49)</f>
        <v>-4.6970993232953</v>
      </c>
      <c r="L184" s="22" t="n">
        <f aca="false">100*(L50-L49)</f>
        <v>-4.82005637203888</v>
      </c>
      <c r="M184" s="22" t="n">
        <f aca="false">100*(M50-M49)</f>
        <v>-4.92402388348159</v>
      </c>
      <c r="N184" s="22" t="n">
        <f aca="false">100*(N50-N49)</f>
        <v>-5.00908455732871</v>
      </c>
      <c r="O184" s="22" t="n">
        <f aca="false">100*(O50-O49)</f>
        <v>-5.0751698819181</v>
      </c>
      <c r="P184" s="22" t="n">
        <f aca="false">100*(P50-P49)</f>
        <v>-5.1221867733408</v>
      </c>
      <c r="Q184" s="22" t="n">
        <f aca="false">100*(Q50-Q49)</f>
        <v>-5.1499414181579</v>
      </c>
      <c r="R184" s="22" t="n">
        <f aca="false">100*(R50-R49)</f>
        <v>-5.15826866750779</v>
      </c>
      <c r="S184" s="22" t="n">
        <f aca="false">100*(S50-S49)</f>
        <v>-5.14707091258759</v>
      </c>
      <c r="T184" s="22" t="n">
        <f aca="false">100*(T50-T49)</f>
        <v>-5.11627176622771</v>
      </c>
      <c r="U184" s="22" t="n">
        <f aca="false">100*(U50-U49)</f>
        <v>-5.06617347689882</v>
      </c>
      <c r="V184" s="22" t="n">
        <f aca="false">100*(V50-V49)</f>
        <v>-4.99747025019888</v>
      </c>
      <c r="W184" s="22" t="n">
        <f aca="false">100*(W50-W49)</f>
        <v>-4.91116695352809</v>
      </c>
      <c r="X184" s="22" t="n">
        <f aca="false">100*(X50-X49)</f>
        <v>-4.80851698372788</v>
      </c>
      <c r="Y184" s="22" t="n">
        <f aca="false">100*(Y50-Y49)</f>
        <v>-4.69097605329241</v>
      </c>
      <c r="Z184" s="22" t="n">
        <f aca="false">100*(Z50-Z49)</f>
        <v>-4.5602124597246</v>
      </c>
      <c r="AA184" s="22" t="n">
        <f aca="false">100*(AA50-AA49)</f>
        <v>-4.41815401477368</v>
      </c>
      <c r="AB184" s="22" t="n">
        <f aca="false">100*(AB50-AB49)</f>
        <v>-4.26695738527099</v>
      </c>
      <c r="AC184" s="22" t="n">
        <f aca="false">100*(AC50-AC49)</f>
        <v>-4.10896988207883</v>
      </c>
      <c r="AD184" s="22" t="n">
        <f aca="false">100*(AD50-AD49)</f>
        <v>-3.94669871188249</v>
      </c>
      <c r="AE184" s="22" t="n">
        <f aca="false">100*(AE50-AE49)</f>
        <v>-3.7827829771993</v>
      </c>
      <c r="AF184" s="22" t="n">
        <f aca="false">100*(AF50-AF49)</f>
        <v>-3.61993403157879</v>
      </c>
      <c r="AG184" s="22" t="n">
        <f aca="false">100*(AG50-AG49)</f>
        <v>-2.4178064386259</v>
      </c>
      <c r="AH184" s="22" t="n">
        <f aca="false">100*(AH50-AH49)</f>
        <v>-2.41053474823501</v>
      </c>
      <c r="AI184" s="22" t="n">
        <f aca="false">100*(AI50-AI49)</f>
        <v>-2.41184025413901</v>
      </c>
      <c r="AJ184" s="22" t="n">
        <f aca="false">100*(AJ50-AJ49)</f>
        <v>-2.42042329701833</v>
      </c>
      <c r="AK184" s="22" t="n">
        <f aca="false">100*(AK50-AK49)</f>
        <v>-2.43503910443241</v>
      </c>
      <c r="AL184" s="22" t="n">
        <f aca="false">AVERAGE(C184:AK184)</f>
        <v>-4.17048043379082</v>
      </c>
    </row>
    <row r="185" customFormat="false" ht="15" hidden="false" customHeight="false" outlineLevel="0" collapsed="false">
      <c r="A185" s="20" t="n">
        <f aca="false">A51</f>
        <v>-74</v>
      </c>
      <c r="B185" s="21" t="n">
        <f aca="false">B51</f>
        <v>41086</v>
      </c>
      <c r="C185" s="22" t="n">
        <f aca="false">100*(C51-C50)</f>
        <v>0.514329385499712</v>
      </c>
      <c r="D185" s="22" t="n">
        <f aca="false">100*(D51-D50)</f>
        <v>0.46273388638281</v>
      </c>
      <c r="E185" s="22" t="n">
        <f aca="false">100*(E51-E50)</f>
        <v>0.472270417811077</v>
      </c>
      <c r="F185" s="22" t="n">
        <f aca="false">100*(F51-F50)</f>
        <v>0.523783974245651</v>
      </c>
      <c r="G185" s="22" t="n">
        <f aca="false">100*(G51-G50)</f>
        <v>0.596533008216593</v>
      </c>
      <c r="H185" s="22" t="n">
        <f aca="false">100*(H51-H50)</f>
        <v>0.675730191396151</v>
      </c>
      <c r="I185" s="22" t="n">
        <f aca="false">100*(I51-I50)</f>
        <v>0.753037120244871</v>
      </c>
      <c r="J185" s="22" t="n">
        <f aca="false">100*(J51-J50)</f>
        <v>0.825126504225571</v>
      </c>
      <c r="K185" s="22" t="n">
        <f aca="false">100*(K51-K50)</f>
        <v>0.89203728769709</v>
      </c>
      <c r="L185" s="22" t="n">
        <f aca="false">100*(L51-L50)</f>
        <v>0.955385468246695</v>
      </c>
      <c r="M185" s="22" t="n">
        <f aca="false">100*(M51-M50)</f>
        <v>1.01713616468309</v>
      </c>
      <c r="N185" s="22" t="n">
        <f aca="false">100*(N51-N50)</f>
        <v>1.0792878855084</v>
      </c>
      <c r="O185" s="22" t="n">
        <f aca="false">100*(O51-O50)</f>
        <v>1.14343731997768</v>
      </c>
      <c r="P185" s="22" t="n">
        <f aca="false">100*(P51-P50)</f>
        <v>1.21069501854838</v>
      </c>
      <c r="Q185" s="22" t="n">
        <f aca="false">100*(Q51-Q50)</f>
        <v>1.28186260562639</v>
      </c>
      <c r="R185" s="22" t="n">
        <f aca="false">100*(R51-R50)</f>
        <v>1.3574929396138</v>
      </c>
      <c r="S185" s="22" t="n">
        <f aca="false">100*(S51-S50)</f>
        <v>1.4379872193512</v>
      </c>
      <c r="T185" s="22" t="n">
        <f aca="false">100*(T51-T50)</f>
        <v>1.52369528529841</v>
      </c>
      <c r="U185" s="22" t="n">
        <f aca="false">100*(U51-U50)</f>
        <v>1.61476463932171</v>
      </c>
      <c r="V185" s="22" t="n">
        <f aca="false">100*(V51-V50)</f>
        <v>1.71114969948341</v>
      </c>
      <c r="W185" s="22" t="n">
        <f aca="false">100*(W51-W50)</f>
        <v>1.81265210437398</v>
      </c>
      <c r="X185" s="22" t="n">
        <f aca="false">100*(X51-X50)</f>
        <v>1.9189512690073</v>
      </c>
      <c r="Y185" s="22" t="n">
        <f aca="false">100*(Y51-Y50)</f>
        <v>2.0296272431906</v>
      </c>
      <c r="Z185" s="22" t="n">
        <f aca="false">100*(Z51-Z50)</f>
        <v>2.1441756750467</v>
      </c>
      <c r="AA185" s="22" t="n">
        <f aca="false">100*(AA51-AA50)</f>
        <v>2.2620439165089</v>
      </c>
      <c r="AB185" s="22" t="n">
        <f aca="false">100*(AB51-AB50)</f>
        <v>2.38265262505686</v>
      </c>
      <c r="AC185" s="22" t="n">
        <f aca="false">100*(AC51-AC50)</f>
        <v>2.5054004712227</v>
      </c>
      <c r="AD185" s="22" t="n">
        <f aca="false">100*(AD51-AD50)</f>
        <v>2.62966768421702</v>
      </c>
      <c r="AE185" s="22" t="n">
        <f aca="false">100*(AE51-AE50)</f>
        <v>2.75482781590037</v>
      </c>
      <c r="AF185" s="22" t="n">
        <f aca="false">100*(AF51-AF50)</f>
        <v>2.88033580023139</v>
      </c>
      <c r="AG185" s="22" t="n">
        <f aca="false">100*(AG51-AG50)</f>
        <v>4.41952338632432</v>
      </c>
      <c r="AH185" s="22" t="n">
        <f aca="false">100*(AH51-AH50)</f>
        <v>4.52416796082669</v>
      </c>
      <c r="AI185" s="22" t="n">
        <f aca="false">100*(AI51-AI50)</f>
        <v>4.62619997160338</v>
      </c>
      <c r="AJ185" s="22" t="n">
        <f aca="false">100*(AJ51-AJ50)</f>
        <v>4.72559140063011</v>
      </c>
      <c r="AK185" s="22" t="n">
        <f aca="false">100*(AK51-AK50)</f>
        <v>4.82233458600851</v>
      </c>
      <c r="AL185" s="22" t="n">
        <f aca="false">AVERAGE(C185:AK185)</f>
        <v>1.89961794090079</v>
      </c>
    </row>
    <row r="186" customFormat="false" ht="15" hidden="false" customHeight="false" outlineLevel="0" collapsed="false">
      <c r="A186" s="20" t="n">
        <f aca="false">A52</f>
        <v>-73</v>
      </c>
      <c r="B186" s="21" t="n">
        <f aca="false">B52</f>
        <v>41087</v>
      </c>
      <c r="C186" s="22" t="n">
        <f aca="false">100*(C52-C51)</f>
        <v>0.29049574383021</v>
      </c>
      <c r="D186" s="22" t="n">
        <f aca="false">100*(D52-D51)</f>
        <v>0.477400746789963</v>
      </c>
      <c r="E186" s="22" t="n">
        <f aca="false">100*(E52-E51)</f>
        <v>0.582767757895963</v>
      </c>
      <c r="F186" s="22" t="n">
        <f aca="false">100*(F52-F51)</f>
        <v>0.619884026977946</v>
      </c>
      <c r="G186" s="22" t="n">
        <f aca="false">100*(G52-G51)</f>
        <v>0.610955618100983</v>
      </c>
      <c r="H186" s="22" t="n">
        <f aca="false">100*(H52-H51)</f>
        <v>0.574897891096726</v>
      </c>
      <c r="I186" s="22" t="n">
        <f aca="false">100*(I52-I51)</f>
        <v>0.525561392928742</v>
      </c>
      <c r="J186" s="22" t="n">
        <f aca="false">100*(J52-J51)</f>
        <v>0.471982662470161</v>
      </c>
      <c r="K186" s="22" t="n">
        <f aca="false">100*(K52-K51)</f>
        <v>0.419467876657409</v>
      </c>
      <c r="L186" s="22" t="n">
        <f aca="false">100*(L52-L51)</f>
        <v>0.370871274662599</v>
      </c>
      <c r="M186" s="22" t="n">
        <f aca="false">100*(M52-M51)</f>
        <v>0.327909177829699</v>
      </c>
      <c r="N186" s="22" t="n">
        <f aca="false">100*(N52-N51)</f>
        <v>0.291826523532213</v>
      </c>
      <c r="O186" s="22" t="n">
        <f aca="false">100*(O52-O51)</f>
        <v>0.263618110212205</v>
      </c>
      <c r="P186" s="22" t="n">
        <f aca="false">100*(P52-P51)</f>
        <v>0.243858085857407</v>
      </c>
      <c r="Q186" s="22" t="n">
        <f aca="false">100*(Q52-Q51)</f>
        <v>0.232796286466019</v>
      </c>
      <c r="R186" s="22" t="n">
        <f aca="false">100*(R52-R51)</f>
        <v>0.230395688580298</v>
      </c>
      <c r="S186" s="22" t="n">
        <f aca="false">100*(S52-S51)</f>
        <v>0.236520636382309</v>
      </c>
      <c r="T186" s="22" t="n">
        <f aca="false">100*(T52-T51)</f>
        <v>0.250984166880608</v>
      </c>
      <c r="U186" s="22" t="n">
        <f aca="false">100*(U52-U51)</f>
        <v>0.273471249273682</v>
      </c>
      <c r="V186" s="22" t="n">
        <f aca="false">100*(V52-V51)</f>
        <v>0.303563608604884</v>
      </c>
      <c r="W186" s="22" t="n">
        <f aca="false">100*(W52-W51)</f>
        <v>0.340761523930011</v>
      </c>
      <c r="X186" s="22" t="n">
        <f aca="false">100*(X52-X51)</f>
        <v>0.384500117513786</v>
      </c>
      <c r="Y186" s="22" t="n">
        <f aca="false">100*(Y52-Y51)</f>
        <v>0.4341612158409</v>
      </c>
      <c r="Z186" s="22" t="n">
        <f aca="false">100*(Z52-Z51)</f>
        <v>0.489079339333198</v>
      </c>
      <c r="AA186" s="22" t="n">
        <f aca="false">100*(AA52-AA51)</f>
        <v>0.548569965439594</v>
      </c>
      <c r="AB186" s="22" t="n">
        <f aca="false">100*(AB52-AB51)</f>
        <v>0.611945555689308</v>
      </c>
      <c r="AC186" s="22" t="n">
        <f aca="false">100*(AC52-AC51)</f>
        <v>0.678516302154231</v>
      </c>
      <c r="AD186" s="22" t="n">
        <f aca="false">100*(AD52-AD51)</f>
        <v>0.747590492634886</v>
      </c>
      <c r="AE186" s="22" t="n">
        <f aca="false">100*(AE52-AE51)</f>
        <v>0.818479994712229</v>
      </c>
      <c r="AF186" s="22" t="n">
        <f aca="false">100*(AF52-AF51)</f>
        <v>0.890554269337018</v>
      </c>
      <c r="AG186" s="22" t="n">
        <f aca="false">100*(AG52-AG51)</f>
        <v>1.74739692599668</v>
      </c>
      <c r="AH186" s="22" t="n">
        <f aca="false">100*(AH52-AH51)</f>
        <v>1.79595271162212</v>
      </c>
      <c r="AI186" s="22" t="n">
        <f aca="false">100*(AI52-AI51)</f>
        <v>1.84084288985091</v>
      </c>
      <c r="AJ186" s="22" t="n">
        <f aca="false">100*(AJ52-AJ51)</f>
        <v>1.88197326680499</v>
      </c>
      <c r="AK186" s="22" t="n">
        <f aca="false">100*(AK52-AK51)</f>
        <v>1.91930912255978</v>
      </c>
      <c r="AL186" s="22" t="n">
        <f aca="false">AVERAGE(C186:AK186)</f>
        <v>0.649396063384276</v>
      </c>
    </row>
    <row r="187" customFormat="false" ht="15" hidden="false" customHeight="false" outlineLevel="0" collapsed="false">
      <c r="A187" s="20" t="n">
        <f aca="false">A53</f>
        <v>-72</v>
      </c>
      <c r="B187" s="21" t="n">
        <f aca="false">B53</f>
        <v>41088</v>
      </c>
      <c r="C187" s="22" t="n">
        <f aca="false">100*(C53-C52)</f>
        <v>-1.50041633341555</v>
      </c>
      <c r="D187" s="22" t="n">
        <f aca="false">100*(D53-D52)</f>
        <v>-1.99080814030437</v>
      </c>
      <c r="E187" s="22" t="n">
        <f aca="false">100*(E53-E52)</f>
        <v>-2.39497415752677</v>
      </c>
      <c r="F187" s="22" t="n">
        <f aca="false">100*(F53-F52)</f>
        <v>-2.73762838334446</v>
      </c>
      <c r="G187" s="22" t="n">
        <f aca="false">100*(G53-G52)</f>
        <v>-3.03607142157455</v>
      </c>
      <c r="H187" s="22" t="n">
        <f aca="false">100*(H53-H52)</f>
        <v>-3.30097102889207</v>
      </c>
      <c r="I187" s="22" t="n">
        <f aca="false">100*(I53-I52)</f>
        <v>-3.53853069166431</v>
      </c>
      <c r="J187" s="22" t="n">
        <f aca="false">100*(J53-J52)</f>
        <v>-3.75234326628371</v>
      </c>
      <c r="K187" s="22" t="n">
        <f aca="false">100*(K53-K52)</f>
        <v>-3.94430247142039</v>
      </c>
      <c r="L187" s="22" t="n">
        <f aca="false">100*(L53-L52)</f>
        <v>-4.11548255610241</v>
      </c>
      <c r="M187" s="22" t="n">
        <f aca="false">100*(M53-M52)</f>
        <v>-4.2665072137335</v>
      </c>
      <c r="N187" s="22" t="n">
        <f aca="false">100*(N53-N52)</f>
        <v>-4.39759340852071</v>
      </c>
      <c r="O187" s="22" t="n">
        <f aca="false">100*(O53-O52)</f>
        <v>-4.5086594127346</v>
      </c>
      <c r="P187" s="22" t="n">
        <f aca="false">100*(P53-P52)</f>
        <v>-4.59949135720239</v>
      </c>
      <c r="Q187" s="22" t="n">
        <f aca="false">100*(Q53-Q52)</f>
        <v>-4.66982028701941</v>
      </c>
      <c r="R187" s="22" t="n">
        <f aca="false">100*(R53-R52)</f>
        <v>-4.7196751853869</v>
      </c>
      <c r="S187" s="22" t="n">
        <f aca="false">100*(S53-S52)</f>
        <v>-4.74932659403782</v>
      </c>
      <c r="T187" s="22" t="n">
        <f aca="false">100*(T53-T52)</f>
        <v>-4.75938609417141</v>
      </c>
      <c r="U187" s="22" t="n">
        <f aca="false">100*(U53-U52)</f>
        <v>-4.75078747859008</v>
      </c>
      <c r="V187" s="22" t="n">
        <f aca="false">100*(V53-V52)</f>
        <v>-4.7246978608638</v>
      </c>
      <c r="W187" s="22" t="n">
        <f aca="false">100*(W53-W52)</f>
        <v>-4.68246865155439</v>
      </c>
      <c r="X187" s="22" t="n">
        <f aca="false">100*(X53-X52)</f>
        <v>-4.62559869881698</v>
      </c>
      <c r="Y187" s="22" t="n">
        <f aca="false">100*(Y53-Y52)</f>
        <v>-4.55570676836059</v>
      </c>
      <c r="Z187" s="22" t="n">
        <f aca="false">100*(Z53-Z52)</f>
        <v>-4.47451958698171</v>
      </c>
      <c r="AA187" s="22" t="n">
        <f aca="false">100*(AA53-AA52)</f>
        <v>-4.3838474440141</v>
      </c>
      <c r="AB187" s="22" t="n">
        <f aca="false">100*(AB53-AB52)</f>
        <v>-4.28556088659331</v>
      </c>
      <c r="AC187" s="22" t="n">
        <f aca="false">100*(AC53-AC52)</f>
        <v>-4.18158046757013</v>
      </c>
      <c r="AD187" s="22" t="n">
        <f aca="false">100*(AD53-AD52)</f>
        <v>-4.07386868139961</v>
      </c>
      <c r="AE187" s="22" t="n">
        <f aca="false">100*(AE53-AE52)</f>
        <v>-3.96442398094123</v>
      </c>
      <c r="AF187" s="22" t="n">
        <f aca="false">100*(AF53-AF52)</f>
        <v>-3.8552683427044</v>
      </c>
      <c r="AG187" s="22" t="n">
        <f aca="false">100*(AG53-AG52)</f>
        <v>-3.06766603310589</v>
      </c>
      <c r="AH187" s="22" t="n">
        <f aca="false">100*(AH53-AH52)</f>
        <v>-3.0670165156232</v>
      </c>
      <c r="AI187" s="22" t="n">
        <f aca="false">100*(AI53-AI52)</f>
        <v>-3.0723553717773</v>
      </c>
      <c r="AJ187" s="22" t="n">
        <f aca="false">100*(AJ53-AJ52)</f>
        <v>-3.082715376561</v>
      </c>
      <c r="AK187" s="22" t="n">
        <f aca="false">100*(AK53-AK52)</f>
        <v>-3.09716678124876</v>
      </c>
      <c r="AL187" s="22" t="n">
        <f aca="false">AVERAGE(C187:AK187)</f>
        <v>-3.85506391228691</v>
      </c>
    </row>
    <row r="188" customFormat="false" ht="15" hidden="false" customHeight="false" outlineLevel="0" collapsed="false">
      <c r="A188" s="20" t="n">
        <f aca="false">A54</f>
        <v>-71</v>
      </c>
      <c r="B188" s="21" t="n">
        <f aca="false">B54</f>
        <v>41089</v>
      </c>
      <c r="C188" s="22" t="n">
        <f aca="false">100*(C54-C53)</f>
        <v>1.68987470822145</v>
      </c>
      <c r="D188" s="22" t="n">
        <f aca="false">100*(D54-D53)</f>
        <v>2.73919780307218</v>
      </c>
      <c r="E188" s="22" t="n">
        <f aca="false">100*(E54-E53)</f>
        <v>3.70181108193746</v>
      </c>
      <c r="F188" s="22" t="n">
        <f aca="false">100*(F54-F53)</f>
        <v>4.56732371677718</v>
      </c>
      <c r="G188" s="22" t="n">
        <f aca="false">100*(G54-G53)</f>
        <v>5.33872121613375</v>
      </c>
      <c r="H188" s="22" t="n">
        <f aca="false">100*(H54-H53)</f>
        <v>6.02154247629331</v>
      </c>
      <c r="I188" s="22" t="n">
        <f aca="false">100*(I54-I53)</f>
        <v>6.62379201307796</v>
      </c>
      <c r="J188" s="22" t="n">
        <f aca="false">100*(J54-J53)</f>
        <v>7.15415489029251</v>
      </c>
      <c r="K188" s="22" t="n">
        <f aca="false">100*(K54-K53)</f>
        <v>7.6213161320053</v>
      </c>
      <c r="L188" s="22" t="n">
        <f aca="false">100*(L54-L53)</f>
        <v>8.0326677283127</v>
      </c>
      <c r="M188" s="22" t="n">
        <f aca="false">100*(M54-M53)</f>
        <v>8.39401410237861</v>
      </c>
      <c r="N188" s="22" t="n">
        <f aca="false">100*(N54-N53)</f>
        <v>8.7099429379419</v>
      </c>
      <c r="O188" s="22" t="n">
        <f aca="false">100*(O54-O53)</f>
        <v>8.9838025523415</v>
      </c>
      <c r="P188" s="22" t="n">
        <f aca="false">100*(P54-P53)</f>
        <v>9.21803241288048</v>
      </c>
      <c r="Q188" s="22" t="n">
        <f aca="false">100*(Q54-Q53)</f>
        <v>9.4150238991116</v>
      </c>
      <c r="R188" s="22" t="n">
        <f aca="false">100*(R54-R53)</f>
        <v>9.5770814420284</v>
      </c>
      <c r="S188" s="22" t="n">
        <f aca="false">100*(S54-S53)</f>
        <v>9.70707777861801</v>
      </c>
      <c r="T188" s="22" t="n">
        <f aca="false">100*(T54-T53)</f>
        <v>9.80812482294251</v>
      </c>
      <c r="U188" s="22" t="n">
        <f aca="false">100*(U54-U53)</f>
        <v>9.88316128442099</v>
      </c>
      <c r="V188" s="22" t="n">
        <f aca="false">100*(V54-V53)</f>
        <v>9.93499326011529</v>
      </c>
      <c r="W188" s="22" t="n">
        <f aca="false">100*(W54-W53)</f>
        <v>9.9663227236408</v>
      </c>
      <c r="X188" s="22" t="n">
        <f aca="false">100*(X54-X53)</f>
        <v>9.97976834985521</v>
      </c>
      <c r="Y188" s="22" t="n">
        <f aca="false">100*(Y54-Y53)</f>
        <v>9.9778766586986</v>
      </c>
      <c r="Z188" s="22" t="n">
        <f aca="false">100*(Z54-Z53)</f>
        <v>9.96301644642879</v>
      </c>
      <c r="AA188" s="22" t="n">
        <f aca="false">100*(AA54-AA53)</f>
        <v>9.93723320053102</v>
      </c>
      <c r="AB188" s="22" t="n">
        <f aca="false">100*(AB54-AB53)</f>
        <v>9.90228508271884</v>
      </c>
      <c r="AC188" s="22" t="n">
        <f aca="false">100*(AC54-AC53)</f>
        <v>9.85969113848531</v>
      </c>
      <c r="AD188" s="22" t="n">
        <f aca="false">100*(AD54-AD53)</f>
        <v>9.8107698580272</v>
      </c>
      <c r="AE188" s="22" t="n">
        <f aca="false">100*(AE54-AE53)</f>
        <v>9.75666161481894</v>
      </c>
      <c r="AF188" s="22" t="n">
        <f aca="false">100*(AF54-AF53)</f>
        <v>9.69832121248309</v>
      </c>
      <c r="AG188" s="22" t="n">
        <f aca="false">100*(AG54-AG53)</f>
        <v>8.81152534729051</v>
      </c>
      <c r="AH188" s="22" t="n">
        <f aca="false">100*(AH54-AH53)</f>
        <v>8.74709681480121</v>
      </c>
      <c r="AI188" s="22" t="n">
        <f aca="false">100*(AI54-AI53)</f>
        <v>8.6848228112081</v>
      </c>
      <c r="AJ188" s="22" t="n">
        <f aca="false">100*(AJ54-AJ53)</f>
        <v>8.62497524320349</v>
      </c>
      <c r="AK188" s="22" t="n">
        <f aca="false">100*(AK54-AK53)</f>
        <v>8.56779605092499</v>
      </c>
      <c r="AL188" s="22" t="n">
        <f aca="false">AVERAGE(C188:AK188)</f>
        <v>8.26885196605769</v>
      </c>
    </row>
    <row r="189" customFormat="false" ht="15" hidden="false" customHeight="false" outlineLevel="0" collapsed="false">
      <c r="A189" s="20" t="n">
        <f aca="false">A55</f>
        <v>-70</v>
      </c>
      <c r="B189" s="21" t="n">
        <f aca="false">B55</f>
        <v>41092</v>
      </c>
      <c r="C189" s="22" t="n">
        <f aca="false">100*(C55-C54)</f>
        <v>-0.729712327224358</v>
      </c>
      <c r="D189" s="22" t="n">
        <f aca="false">100*(D55-D54)</f>
        <v>-0.92818803137249</v>
      </c>
      <c r="E189" s="22" t="n">
        <f aca="false">100*(E55-E54)</f>
        <v>-1.10820025954495</v>
      </c>
      <c r="F189" s="22" t="n">
        <f aca="false">100*(F55-F54)</f>
        <v>-1.28995687023675</v>
      </c>
      <c r="G189" s="22" t="n">
        <f aca="false">100*(G55-G54)</f>
        <v>-1.48138174116093</v>
      </c>
      <c r="H189" s="22" t="n">
        <f aca="false">100*(H55-H54)</f>
        <v>-1.68346534197968</v>
      </c>
      <c r="I189" s="22" t="n">
        <f aca="false">100*(I55-I54)</f>
        <v>-1.89370528976609</v>
      </c>
      <c r="J189" s="22" t="n">
        <f aca="false">100*(J55-J54)</f>
        <v>-2.10734128836096</v>
      </c>
      <c r="K189" s="22" t="n">
        <f aca="false">100*(K55-K54)</f>
        <v>-2.31913867932361</v>
      </c>
      <c r="L189" s="22" t="n">
        <f aca="false">100*(L55-L54)</f>
        <v>-2.5239530962115</v>
      </c>
      <c r="M189" s="22" t="n">
        <f aca="false">100*(M55-M54)</f>
        <v>-2.71749882630901</v>
      </c>
      <c r="N189" s="22" t="n">
        <f aca="false">100*(N55-N54)</f>
        <v>-2.8965523577976</v>
      </c>
      <c r="O189" s="22" t="n">
        <f aca="false">100*(O55-O54)</f>
        <v>-3.058846425231</v>
      </c>
      <c r="P189" s="22" t="n">
        <f aca="false">100*(P55-P54)</f>
        <v>-3.20303755484759</v>
      </c>
      <c r="Q189" s="22" t="n">
        <f aca="false">100*(Q55-Q54)</f>
        <v>-3.32850269092189</v>
      </c>
      <c r="R189" s="22" t="n">
        <f aca="false">100*(R55-R54)</f>
        <v>-3.4353319061613</v>
      </c>
      <c r="S189" s="22" t="n">
        <f aca="false">100*(S55-S54)</f>
        <v>-3.52408282976879</v>
      </c>
      <c r="T189" s="22" t="n">
        <f aca="false">100*(T55-T54)</f>
        <v>-3.59582126644931</v>
      </c>
      <c r="U189" s="22" t="n">
        <f aca="false">100*(U55-U54)</f>
        <v>-3.6517567868114</v>
      </c>
      <c r="V189" s="22" t="n">
        <f aca="false">100*(V55-V54)</f>
        <v>-3.69311107078527</v>
      </c>
      <c r="W189" s="22" t="n">
        <f aca="false">100*(W55-W54)</f>
        <v>-3.72111461504701</v>
      </c>
      <c r="X189" s="22" t="n">
        <f aca="false">100*(X55-X54)</f>
        <v>-3.73700496966802</v>
      </c>
      <c r="Y189" s="22" t="n">
        <f aca="false">100*(Y55-Y54)</f>
        <v>-3.7420252363654</v>
      </c>
      <c r="Z189" s="22" t="n">
        <f aca="false">100*(Z55-Z54)</f>
        <v>-3.73739036564458</v>
      </c>
      <c r="AA189" s="22" t="n">
        <f aca="false">100*(AA55-AA54)</f>
        <v>-3.72419079350692</v>
      </c>
      <c r="AB189" s="22" t="n">
        <f aca="false">100*(AB55-AB54)</f>
        <v>-3.70338230430711</v>
      </c>
      <c r="AC189" s="22" t="n">
        <f aca="false">100*(AC55-AC54)</f>
        <v>-3.6758081648705</v>
      </c>
      <c r="AD189" s="22" t="n">
        <f aca="false">100*(AD55-AD54)</f>
        <v>-3.6422172755366</v>
      </c>
      <c r="AE189" s="22" t="n">
        <f aca="false">100*(AE55-AE54)</f>
        <v>-3.60328370800453</v>
      </c>
      <c r="AF189" s="22" t="n">
        <f aca="false">100*(AF55-AF54)</f>
        <v>-3.5596423365392</v>
      </c>
      <c r="AG189" s="22" t="n">
        <f aca="false">100*(AG55-AG54)</f>
        <v>-2.81552484456302</v>
      </c>
      <c r="AH189" s="22" t="n">
        <f aca="false">100*(AH55-AH54)</f>
        <v>-2.76137273643871</v>
      </c>
      <c r="AI189" s="22" t="n">
        <f aca="false">100*(AI55-AI54)</f>
        <v>-2.70968785844801</v>
      </c>
      <c r="AJ189" s="22" t="n">
        <f aca="false">100*(AJ55-AJ54)</f>
        <v>-2.66078999420989</v>
      </c>
      <c r="AK189" s="22" t="n">
        <f aca="false">100*(AK55-AK54)</f>
        <v>-2.61494000738711</v>
      </c>
      <c r="AL189" s="22" t="n">
        <f aca="false">AVERAGE(C189:AK189)</f>
        <v>-2.84508456716574</v>
      </c>
    </row>
    <row r="190" customFormat="false" ht="15" hidden="false" customHeight="false" outlineLevel="0" collapsed="false">
      <c r="A190" s="20" t="n">
        <f aca="false">A56</f>
        <v>-69</v>
      </c>
      <c r="B190" s="21" t="n">
        <f aca="false">B56</f>
        <v>41093</v>
      </c>
      <c r="C190" s="22" t="n">
        <f aca="false">100*(C56-C55)</f>
        <v>3.67533557621164</v>
      </c>
      <c r="D190" s="22" t="n">
        <f aca="false">100*(D56-D55)</f>
        <v>4.55166884620743</v>
      </c>
      <c r="E190" s="22" t="n">
        <f aca="false">100*(E56-E55)</f>
        <v>5.16083813363403</v>
      </c>
      <c r="F190" s="22" t="n">
        <f aca="false">100*(F56-F55)</f>
        <v>5.5881390152606</v>
      </c>
      <c r="G190" s="22" t="n">
        <f aca="false">100*(G56-G55)</f>
        <v>5.88593124183896</v>
      </c>
      <c r="H190" s="22" t="n">
        <f aca="false">100*(H56-H55)</f>
        <v>6.08653640379869</v>
      </c>
      <c r="I190" s="22" t="n">
        <f aca="false">100*(I56-I55)</f>
        <v>6.21163411145628</v>
      </c>
      <c r="J190" s="22" t="n">
        <f aca="false">100*(J56-J55)</f>
        <v>6.27785226298566</v>
      </c>
      <c r="K190" s="22" t="n">
        <f aca="false">100*(K56-K55)</f>
        <v>6.29866021622341</v>
      </c>
      <c r="L190" s="22" t="n">
        <f aca="false">100*(L56-L55)</f>
        <v>6.2860926285502</v>
      </c>
      <c r="M190" s="22" t="n">
        <f aca="false">100*(M56-M55)</f>
        <v>6.2508162293804</v>
      </c>
      <c r="N190" s="22" t="n">
        <f aca="false">100*(N56-N55)</f>
        <v>6.20205927836002</v>
      </c>
      <c r="O190" s="22" t="n">
        <f aca="false">100*(O56-O55)</f>
        <v>6.1475792777143</v>
      </c>
      <c r="P190" s="22" t="n">
        <f aca="false">100*(P56-P55)</f>
        <v>6.0935791543246</v>
      </c>
      <c r="Q190" s="22" t="n">
        <f aca="false">100*(Q56-Q55)</f>
        <v>6.0447292167835</v>
      </c>
      <c r="R190" s="22" t="n">
        <f aca="false">100*(R56-R55)</f>
        <v>6.00418404685799</v>
      </c>
      <c r="S190" s="22" t="n">
        <f aca="false">100*(S56-S55)</f>
        <v>5.9738298528959</v>
      </c>
      <c r="T190" s="22" t="n">
        <f aca="false">100*(T56-T55)</f>
        <v>5.9544078718804</v>
      </c>
      <c r="U190" s="22" t="n">
        <f aca="false">100*(U56-U55)</f>
        <v>5.94604807742452</v>
      </c>
      <c r="V190" s="22" t="n">
        <f aca="false">100*(V56-V55)</f>
        <v>5.9484998870766</v>
      </c>
      <c r="W190" s="22" t="n">
        <f aca="false">100*(W56-W55)</f>
        <v>5.96121214873548</v>
      </c>
      <c r="X190" s="22" t="n">
        <f aca="false">100*(X56-X55)</f>
        <v>5.98339325458013</v>
      </c>
      <c r="Y190" s="22" t="n">
        <f aca="false">100*(Y56-Y55)</f>
        <v>6.01405879594079</v>
      </c>
      <c r="Z190" s="22" t="n">
        <f aca="false">100*(Z56-Z55)</f>
        <v>6.0521462250462</v>
      </c>
      <c r="AA190" s="22" t="n">
        <f aca="false">100*(AA56-AA55)</f>
        <v>6.09672731811259</v>
      </c>
      <c r="AB190" s="22" t="n">
        <f aca="false">100*(AB56-AB55)</f>
        <v>6.14703836336479</v>
      </c>
      <c r="AC190" s="22" t="n">
        <f aca="false">100*(AC56-AC55)</f>
        <v>6.2024531415517</v>
      </c>
      <c r="AD190" s="22" t="n">
        <f aca="false">100*(AD56-AD55)</f>
        <v>6.26246074888628</v>
      </c>
      <c r="AE190" s="22" t="n">
        <f aca="false">100*(AE56-AE55)</f>
        <v>6.3266583349737</v>
      </c>
      <c r="AF190" s="22" t="n">
        <f aca="false">100*(AF56-AF55)</f>
        <v>6.3948267710924</v>
      </c>
      <c r="AG190" s="22" t="n">
        <f aca="false">100*(AG56-AG55)</f>
        <v>7.6101785322221</v>
      </c>
      <c r="AH190" s="22" t="n">
        <f aca="false">100*(AH56-AH55)</f>
        <v>7.71587359503689</v>
      </c>
      <c r="AI190" s="22" t="n">
        <f aca="false">100*(AI56-AI55)</f>
        <v>7.81996930687021</v>
      </c>
      <c r="AJ190" s="22" t="n">
        <f aca="false">100*(AJ56-AJ55)</f>
        <v>7.92173772680558</v>
      </c>
      <c r="AK190" s="22" t="n">
        <f aca="false">100*(AK56-AK55)</f>
        <v>8.02053026598149</v>
      </c>
      <c r="AL190" s="22" t="n">
        <f aca="false">AVERAGE(C190:AK190)</f>
        <v>6.20336245308758</v>
      </c>
    </row>
    <row r="191" customFormat="false" ht="15" hidden="false" customHeight="false" outlineLevel="0" collapsed="false">
      <c r="A191" s="20" t="n">
        <f aca="false">A57</f>
        <v>-68</v>
      </c>
      <c r="B191" s="21" t="n">
        <f aca="false">B57</f>
        <v>41094</v>
      </c>
      <c r="C191" s="22" t="n">
        <f aca="false">100*(C57-C56)</f>
        <v>-2.59936099997715</v>
      </c>
      <c r="D191" s="22" t="n">
        <f aca="false">100*(D57-D56)</f>
        <v>-2.4932913765792</v>
      </c>
      <c r="E191" s="22" t="n">
        <f aca="false">100*(E57-E56)</f>
        <v>-2.2417174843903</v>
      </c>
      <c r="F191" s="22" t="n">
        <f aca="false">100*(F57-F56)</f>
        <v>-1.96955843692214</v>
      </c>
      <c r="G191" s="22" t="n">
        <f aca="false">100*(G57-G56)</f>
        <v>-1.7399094011025</v>
      </c>
      <c r="H191" s="22" t="n">
        <f aca="false">100*(H57-H56)</f>
        <v>-1.58339176932302</v>
      </c>
      <c r="I191" s="22" t="n">
        <f aca="false">100*(I57-I56)</f>
        <v>-1.51214381636914</v>
      </c>
      <c r="J191" s="22" t="n">
        <f aca="false">100*(J57-J56)</f>
        <v>-1.52606993062789</v>
      </c>
      <c r="K191" s="22" t="n">
        <f aca="false">100*(K57-K56)</f>
        <v>-1.6172629838823</v>
      </c>
      <c r="L191" s="22" t="n">
        <f aca="false">100*(L57-L56)</f>
        <v>-1.7724686495348</v>
      </c>
      <c r="M191" s="22" t="n">
        <f aca="false">100*(M57-M56)</f>
        <v>-1.9759758825932</v>
      </c>
      <c r="N191" s="22" t="n">
        <f aca="false">100*(N57-N56)</f>
        <v>-2.21133501601192</v>
      </c>
      <c r="O191" s="22" t="n">
        <f aca="false">100*(O57-O56)</f>
        <v>-2.46274391173069</v>
      </c>
      <c r="P191" s="22" t="n">
        <f aca="false">100*(P57-P56)</f>
        <v>-2.7162044842179</v>
      </c>
      <c r="Q191" s="22" t="n">
        <f aca="false">100*(Q57-Q56)</f>
        <v>-2.96040867083511</v>
      </c>
      <c r="R191" s="22" t="n">
        <f aca="false">100*(R57-R56)</f>
        <v>-3.18695068324388</v>
      </c>
      <c r="S191" s="22" t="n">
        <f aca="false">100*(S57-S56)</f>
        <v>-3.39040418845951</v>
      </c>
      <c r="T191" s="22" t="n">
        <f aca="false">100*(T57-T56)</f>
        <v>-3.5679134730001</v>
      </c>
      <c r="U191" s="22" t="n">
        <f aca="false">100*(U57-U56)</f>
        <v>-3.71818284658794</v>
      </c>
      <c r="V191" s="22" t="n">
        <f aca="false">100*(V57-V56)</f>
        <v>-3.84102068387842</v>
      </c>
      <c r="W191" s="22" t="n">
        <f aca="false">100*(W57-W56)</f>
        <v>-3.93710867179378</v>
      </c>
      <c r="X191" s="22" t="n">
        <f aca="false">100*(X57-X56)</f>
        <v>-4.0078271470696</v>
      </c>
      <c r="Y191" s="22" t="n">
        <f aca="false">100*(Y57-Y56)</f>
        <v>-4.05511799654819</v>
      </c>
      <c r="Z191" s="22" t="n">
        <f aca="false">100*(Z57-Z56)</f>
        <v>-4.08125642157091</v>
      </c>
      <c r="AA191" s="22" t="n">
        <f aca="false">100*(AA57-AA56)</f>
        <v>-4.08850147941209</v>
      </c>
      <c r="AB191" s="22" t="n">
        <f aca="false">100*(AB57-AB56)</f>
        <v>-4.07902595941128</v>
      </c>
      <c r="AC191" s="22" t="n">
        <f aca="false">100*(AC57-AC56)</f>
        <v>-4.05493029501218</v>
      </c>
      <c r="AD191" s="22" t="n">
        <f aca="false">100*(AD57-AD56)</f>
        <v>-4.01825423508417</v>
      </c>
      <c r="AE191" s="22" t="n">
        <f aca="false">100*(AE57-AE56)</f>
        <v>-3.97097789051548</v>
      </c>
      <c r="AF191" s="22" t="n">
        <f aca="false">100*(AF57-AF56)</f>
        <v>-3.91495828075659</v>
      </c>
      <c r="AG191" s="22" t="n">
        <f aca="false">100*(AG57-AG56)</f>
        <v>-2.95984565202327</v>
      </c>
      <c r="AH191" s="22" t="n">
        <f aca="false">100*(AH57-AH56)</f>
        <v>-2.89517196441862</v>
      </c>
      <c r="AI191" s="22" t="n">
        <f aca="false">100*(AI57-AI56)</f>
        <v>-2.83365892369383</v>
      </c>
      <c r="AJ191" s="22" t="n">
        <f aca="false">100*(AJ57-AJ56)</f>
        <v>-2.77545589746486</v>
      </c>
      <c r="AK191" s="22" t="n">
        <f aca="false">100*(AK57-AK56)</f>
        <v>-2.72067712533479</v>
      </c>
      <c r="AL191" s="22" t="n">
        <f aca="false">AVERAGE(C191:AK191)</f>
        <v>-2.95654521798219</v>
      </c>
    </row>
    <row r="192" customFormat="false" ht="15" hidden="false" customHeight="false" outlineLevel="0" collapsed="false">
      <c r="A192" s="20" t="n">
        <f aca="false">A58</f>
        <v>-67</v>
      </c>
      <c r="B192" s="21" t="n">
        <f aca="false">B58</f>
        <v>41095</v>
      </c>
      <c r="C192" s="22" t="n">
        <f aca="false">100*(C58-C57)</f>
        <v>-7.1497645701419</v>
      </c>
      <c r="D192" s="22" t="n">
        <f aca="false">100*(D58-D57)</f>
        <v>-8.50462754776322</v>
      </c>
      <c r="E192" s="22" t="n">
        <f aca="false">100*(E58-E57)</f>
        <v>-9.30561359970761</v>
      </c>
      <c r="F192" s="22" t="n">
        <f aca="false">100*(F58-F57)</f>
        <v>-9.70457609807726</v>
      </c>
      <c r="G192" s="22" t="n">
        <f aca="false">100*(G58-G57)</f>
        <v>-9.8174058032679</v>
      </c>
      <c r="H192" s="22" t="n">
        <f aca="false">100*(H58-H57)</f>
        <v>-9.7284644366703</v>
      </c>
      <c r="I192" s="22" t="n">
        <f aca="false">100*(I58-I57)</f>
        <v>-9.50085063291745</v>
      </c>
      <c r="J192" s="22" t="n">
        <f aca="false">100*(J58-J57)</f>
        <v>-9.18236993665079</v>
      </c>
      <c r="K192" s="22" t="n">
        <f aca="false">100*(K58-K57)</f>
        <v>-8.81060166123994</v>
      </c>
      <c r="L192" s="22" t="n">
        <f aca="false">100*(L58-L57)</f>
        <v>-8.4140723116819</v>
      </c>
      <c r="M192" s="22" t="n">
        <f aca="false">100*(M58-M57)</f>
        <v>-8.01348088660301</v>
      </c>
      <c r="N192" s="22" t="n">
        <f aca="false">100*(N58-N57)</f>
        <v>-7.62352842937599</v>
      </c>
      <c r="O192" s="22" t="n">
        <f aca="false">100*(O58-O57)</f>
        <v>-7.2533587376695</v>
      </c>
      <c r="P192" s="22" t="n">
        <f aca="false">100*(P58-P57)</f>
        <v>-6.90775721893862</v>
      </c>
      <c r="Q192" s="22" t="n">
        <f aca="false">100*(Q58-Q57)</f>
        <v>-6.5883024392879</v>
      </c>
      <c r="R192" s="22" t="n">
        <f aca="false">100*(R58-R57)</f>
        <v>-6.29438493963741</v>
      </c>
      <c r="S192" s="22" t="n">
        <f aca="false">100*(S58-S57)</f>
        <v>-6.02399534798701</v>
      </c>
      <c r="T192" s="22" t="n">
        <f aca="false">100*(T58-T57)</f>
        <v>-5.77417362432451</v>
      </c>
      <c r="U192" s="22" t="n">
        <f aca="false">100*(U58-U57)</f>
        <v>-5.54195354915059</v>
      </c>
      <c r="V192" s="22" t="n">
        <f aca="false">100*(V58-V57)</f>
        <v>-5.324541263021</v>
      </c>
      <c r="W192" s="22" t="n">
        <f aca="false">100*(W58-W57)</f>
        <v>-5.11927995697841</v>
      </c>
      <c r="X192" s="22" t="n">
        <f aca="false">100*(X58-X57)</f>
        <v>-4.9236224624563</v>
      </c>
      <c r="Y192" s="22" t="n">
        <f aca="false">100*(Y58-Y57)</f>
        <v>-4.73511403595932</v>
      </c>
      <c r="Z192" s="22" t="n">
        <f aca="false">100*(Z58-Z57)</f>
        <v>-4.5514924231465</v>
      </c>
      <c r="AA192" s="22" t="n">
        <f aca="false">100*(AA58-AA57)</f>
        <v>-4.37087550919513</v>
      </c>
      <c r="AB192" s="22" t="n">
        <f aca="false">100*(AB58-AB57)</f>
        <v>-4.191739963712</v>
      </c>
      <c r="AC192" s="22" t="n">
        <f aca="false">100*(AC58-AC57)</f>
        <v>-4.01286155131451</v>
      </c>
      <c r="AD192" s="22" t="n">
        <f aca="false">100*(AD58-AD57)</f>
        <v>-3.83326689195092</v>
      </c>
      <c r="AE192" s="22" t="n">
        <f aca="false">100*(AE58-AE57)</f>
        <v>-3.65218869817401</v>
      </c>
      <c r="AF192" s="22" t="n">
        <f aca="false">100*(AF58-AF57)</f>
        <v>-3.46898474940471</v>
      </c>
      <c r="AG192" s="22" t="n">
        <f aca="false">100*(AG58-AG57)</f>
        <v>-0.837117002340815</v>
      </c>
      <c r="AH192" s="22" t="n">
        <f aca="false">100*(AH58-AH57)</f>
        <v>-0.628777204269992</v>
      </c>
      <c r="AI192" s="22" t="n">
        <f aca="false">100*(AI58-AI57)</f>
        <v>-0.422992162850466</v>
      </c>
      <c r="AJ192" s="22" t="n">
        <f aca="false">100*(AJ58-AJ57)</f>
        <v>-0.220471038185011</v>
      </c>
      <c r="AK192" s="22" t="n">
        <f aca="false">100*(AK58-AK57)</f>
        <v>-0.0218241408177722</v>
      </c>
      <c r="AL192" s="22" t="n">
        <f aca="false">AVERAGE(C192:AK192)</f>
        <v>-5.72726945213913</v>
      </c>
    </row>
    <row r="193" customFormat="false" ht="15" hidden="false" customHeight="false" outlineLevel="0" collapsed="false">
      <c r="A193" s="20" t="n">
        <f aca="false">A59</f>
        <v>-66</v>
      </c>
      <c r="B193" s="21" t="n">
        <f aca="false">B59</f>
        <v>41096</v>
      </c>
      <c r="C193" s="22" t="n">
        <f aca="false">100*(C59-C58)</f>
        <v>-2.61586770400453</v>
      </c>
      <c r="D193" s="22" t="n">
        <f aca="false">100*(D59-D58)</f>
        <v>-3.41948209695549</v>
      </c>
      <c r="E193" s="22" t="n">
        <f aca="false">100*(E59-E58)</f>
        <v>-4.08784650001979</v>
      </c>
      <c r="F193" s="22" t="n">
        <f aca="false">100*(F59-F58)</f>
        <v>-4.6506920753816</v>
      </c>
      <c r="G193" s="22" t="n">
        <f aca="false">100*(G59-G58)</f>
        <v>-5.12663682011126</v>
      </c>
      <c r="H193" s="22" t="n">
        <f aca="false">100*(H59-H58)</f>
        <v>-5.52353387747283</v>
      </c>
      <c r="I193" s="22" t="n">
        <f aca="false">100*(I59-I58)</f>
        <v>-5.84625135263882</v>
      </c>
      <c r="J193" s="22" t="n">
        <f aca="false">100*(J59-J58)</f>
        <v>-6.09988702600981</v>
      </c>
      <c r="K193" s="22" t="n">
        <f aca="false">100*(K59-K58)</f>
        <v>-6.29049921503633</v>
      </c>
      <c r="L193" s="22" t="n">
        <f aca="false">100*(L59-L58)</f>
        <v>-6.4247668564523</v>
      </c>
      <c r="M193" s="22" t="n">
        <f aca="false">100*(M59-M58)</f>
        <v>-6.50990795100039</v>
      </c>
      <c r="N193" s="22" t="n">
        <f aca="false">100*(N59-N58)</f>
        <v>-6.55353676110819</v>
      </c>
      <c r="O193" s="22" t="n">
        <f aca="false">100*(O59-O58)</f>
        <v>-6.5633490639339</v>
      </c>
      <c r="P193" s="22" t="n">
        <f aca="false">100*(P59-P58)</f>
        <v>-6.54639179310719</v>
      </c>
      <c r="Q193" s="22" t="n">
        <f aca="false">100*(Q59-Q58)</f>
        <v>-6.50904680472291</v>
      </c>
      <c r="R193" s="22" t="n">
        <f aca="false">100*(R59-R58)</f>
        <v>-6.45652363893741</v>
      </c>
      <c r="S193" s="22" t="n">
        <f aca="false">100*(S59-S58)</f>
        <v>-6.39288024044789</v>
      </c>
      <c r="T193" s="22" t="n">
        <f aca="false">100*(T59-T58)</f>
        <v>-6.32105231749029</v>
      </c>
      <c r="U193" s="22" t="n">
        <f aca="false">100*(U59-U58)</f>
        <v>-6.243221615941</v>
      </c>
      <c r="V193" s="22" t="n">
        <f aca="false">100*(V59-V58)</f>
        <v>-6.1609822575927</v>
      </c>
      <c r="W193" s="22" t="n">
        <f aca="false">100*(W59-W58)</f>
        <v>-6.0754625701263</v>
      </c>
      <c r="X193" s="22" t="n">
        <f aca="false">100*(X59-X58)</f>
        <v>-5.9874182459323</v>
      </c>
      <c r="Y193" s="22" t="n">
        <f aca="false">100*(Y59-Y58)</f>
        <v>-5.89730902982888</v>
      </c>
      <c r="Z193" s="22" t="n">
        <f aca="false">100*(Z59-Z58)</f>
        <v>-5.80545288739209</v>
      </c>
      <c r="AA193" s="22" t="n">
        <f aca="false">100*(AA59-AA58)</f>
        <v>-5.712175210894</v>
      </c>
      <c r="AB193" s="22" t="n">
        <f aca="false">100*(AB59-AB58)</f>
        <v>-5.61781533231831</v>
      </c>
      <c r="AC193" s="22" t="n">
        <f aca="false">100*(AC59-AC58)</f>
        <v>-5.52272393358799</v>
      </c>
      <c r="AD193" s="22" t="n">
        <f aca="false">100*(AD59-AD58)</f>
        <v>-5.42726123199189</v>
      </c>
      <c r="AE193" s="22" t="n">
        <f aca="false">100*(AE59-AE58)</f>
        <v>-5.33181511437428</v>
      </c>
      <c r="AF193" s="22" t="n">
        <f aca="false">100*(AF59-AF58)</f>
        <v>-5.2369059757297</v>
      </c>
      <c r="AG193" s="22" t="n">
        <f aca="false">100*(AG59-AG58)</f>
        <v>-4.32180082159999</v>
      </c>
      <c r="AH193" s="22" t="n">
        <f aca="false">100*(AH59-AH58)</f>
        <v>-4.28641016123921</v>
      </c>
      <c r="AI193" s="22" t="n">
        <f aca="false">100*(AI59-AI58)</f>
        <v>-4.25571767234771</v>
      </c>
      <c r="AJ193" s="22" t="n">
        <f aca="false">100*(AJ59-AJ58)</f>
        <v>-4.22938309454901</v>
      </c>
      <c r="AK193" s="22" t="n">
        <f aca="false">100*(AK59-AK58)</f>
        <v>-4.20705563563542</v>
      </c>
      <c r="AL193" s="22" t="n">
        <f aca="false">AVERAGE(C193:AK193)</f>
        <v>-5.49305893959748</v>
      </c>
    </row>
    <row r="194" customFormat="false" ht="15" hidden="false" customHeight="false" outlineLevel="0" collapsed="false">
      <c r="A194" s="20" t="n">
        <f aca="false">A60</f>
        <v>-65</v>
      </c>
      <c r="B194" s="21" t="n">
        <f aca="false">B60</f>
        <v>41099</v>
      </c>
      <c r="C194" s="22" t="n">
        <f aca="false">100*(C60-C59)</f>
        <v>0.56277073688229</v>
      </c>
      <c r="D194" s="22" t="n">
        <f aca="false">100*(D60-D59)</f>
        <v>0.328938711223609</v>
      </c>
      <c r="E194" s="22" t="n">
        <f aca="false">100*(E60-E59)</f>
        <v>0.0417792897640157</v>
      </c>
      <c r="F194" s="22" t="n">
        <f aca="false">100*(F60-F59)</f>
        <v>-0.243641624035074</v>
      </c>
      <c r="G194" s="22" t="n">
        <f aca="false">100*(G60-G59)</f>
        <v>-0.500679495649942</v>
      </c>
      <c r="H194" s="22" t="n">
        <f aca="false">100*(H60-H59)</f>
        <v>-0.716402538553584</v>
      </c>
      <c r="I194" s="22" t="n">
        <f aca="false">100*(I60-I59)</f>
        <v>-0.886066740352021</v>
      </c>
      <c r="J194" s="22" t="n">
        <f aca="false">100*(J60-J59)</f>
        <v>-1.01064182956839</v>
      </c>
      <c r="K194" s="22" t="n">
        <f aca="false">100*(K60-K59)</f>
        <v>-1.09480951788257</v>
      </c>
      <c r="L194" s="22" t="n">
        <f aca="false">100*(L60-L59)</f>
        <v>-1.1455623488055</v>
      </c>
      <c r="M194" s="22" t="n">
        <f aca="false">100*(M60-M59)</f>
        <v>-1.1705900017746</v>
      </c>
      <c r="N194" s="22" t="n">
        <f aca="false">100*(N60-N59)</f>
        <v>-1.177492503876</v>
      </c>
      <c r="O194" s="22" t="n">
        <f aca="false">100*(O60-O59)</f>
        <v>-1.17308650736172</v>
      </c>
      <c r="P194" s="22" t="n">
        <f aca="false">100*(P60-P59)</f>
        <v>-1.1631281422201</v>
      </c>
      <c r="Q194" s="22" t="n">
        <f aca="false">100*(Q60-Q59)</f>
        <v>-1.15243182411209</v>
      </c>
      <c r="R194" s="22" t="n">
        <f aca="false">100*(R60-R59)</f>
        <v>-1.14485006138558</v>
      </c>
      <c r="S194" s="22" t="n">
        <f aca="false">100*(S60-S59)</f>
        <v>-1.14342479023031</v>
      </c>
      <c r="T194" s="22" t="n">
        <f aca="false">100*(T60-T59)</f>
        <v>-1.15050656933839</v>
      </c>
      <c r="U194" s="22" t="n">
        <f aca="false">100*(U60-U59)</f>
        <v>-1.16761748415699</v>
      </c>
      <c r="V194" s="22" t="n">
        <f aca="false">100*(V60-V59)</f>
        <v>-1.19554989694251</v>
      </c>
      <c r="W194" s="22" t="n">
        <f aca="false">100*(W60-W59)</f>
        <v>-1.23451799244858</v>
      </c>
      <c r="X194" s="22" t="n">
        <f aca="false">100*(X60-X59)</f>
        <v>-1.28427341342663</v>
      </c>
      <c r="Y194" s="22" t="n">
        <f aca="false">100*(Y60-Y59)</f>
        <v>-1.3441954666439</v>
      </c>
      <c r="Z194" s="22" t="n">
        <f aca="false">100*(Z60-Z59)</f>
        <v>-1.4133759185667</v>
      </c>
      <c r="AA194" s="22" t="n">
        <f aca="false">100*(AA60-AA59)</f>
        <v>-1.49067463622248</v>
      </c>
      <c r="AB194" s="22" t="n">
        <f aca="false">100*(AB60-AB59)</f>
        <v>-1.57475393390079</v>
      </c>
      <c r="AC194" s="22" t="n">
        <f aca="false">100*(AC60-AC59)</f>
        <v>-1.6641113823531</v>
      </c>
      <c r="AD194" s="22" t="n">
        <f aca="false">100*(AD60-AD59)</f>
        <v>-1.7571063930212</v>
      </c>
      <c r="AE194" s="22" t="n">
        <f aca="false">100*(AE60-AE59)</f>
        <v>-1.8520028742913</v>
      </c>
      <c r="AF194" s="22" t="n">
        <f aca="false">100*(AF60-AF59)</f>
        <v>-1.94711643405792</v>
      </c>
      <c r="AG194" s="22" t="n">
        <f aca="false">100*(AG60-AG59)</f>
        <v>-2.75325539423483</v>
      </c>
      <c r="AH194" s="22" t="n">
        <f aca="false">100*(AH60-AH59)</f>
        <v>-2.77204024558277</v>
      </c>
      <c r="AI194" s="22" t="n">
        <f aca="false">100*(AI60-AI59)</f>
        <v>-2.78579565839521</v>
      </c>
      <c r="AJ194" s="22" t="n">
        <f aca="false">100*(AJ60-AJ59)</f>
        <v>-2.79501598478862</v>
      </c>
      <c r="AK194" s="22" t="n">
        <f aca="false">100*(AK60-AK59)</f>
        <v>-2.80019007409322</v>
      </c>
      <c r="AL194" s="22" t="n">
        <f aca="false">AVERAGE(C194:AK194)</f>
        <v>-1.30775482686865</v>
      </c>
    </row>
    <row r="195" customFormat="false" ht="15" hidden="false" customHeight="false" outlineLevel="0" collapsed="false">
      <c r="A195" s="20" t="n">
        <f aca="false">A61</f>
        <v>-64</v>
      </c>
      <c r="B195" s="21" t="n">
        <f aca="false">B61</f>
        <v>41100</v>
      </c>
      <c r="C195" s="22" t="n">
        <f aca="false">100*(C61-C60)</f>
        <v>1.22834542234734</v>
      </c>
      <c r="D195" s="22" t="n">
        <f aca="false">100*(D61-D60)</f>
        <v>1.4914331661741</v>
      </c>
      <c r="E195" s="22" t="n">
        <f aca="false">100*(E61-E60)</f>
        <v>1.61287618354253</v>
      </c>
      <c r="F195" s="22" t="n">
        <f aca="false">100*(F61-F60)</f>
        <v>1.63550477194062</v>
      </c>
      <c r="G195" s="22" t="n">
        <f aca="false">100*(G61-G60)</f>
        <v>1.58809828653835</v>
      </c>
      <c r="H195" s="22" t="n">
        <f aca="false">100*(H61-H60)</f>
        <v>1.49108447057976</v>
      </c>
      <c r="I195" s="22" t="n">
        <f aca="false">100*(I61-I60)</f>
        <v>1.36045594359255</v>
      </c>
      <c r="J195" s="22" t="n">
        <f aca="false">100*(J61-J60)</f>
        <v>1.20950476077297</v>
      </c>
      <c r="K195" s="22" t="n">
        <f aca="false">100*(K61-K60)</f>
        <v>1.04981657707596</v>
      </c>
      <c r="L195" s="22" t="n">
        <f aca="false">100*(L61-L60)</f>
        <v>0.890947644754103</v>
      </c>
      <c r="M195" s="22" t="n">
        <f aca="false">100*(M61-M60)</f>
        <v>0.740260683362193</v>
      </c>
      <c r="N195" s="22" t="n">
        <f aca="false">100*(N61-N60)</f>
        <v>0.603183620473291</v>
      </c>
      <c r="O195" s="22" t="n">
        <f aca="false">100*(O61-O60)</f>
        <v>0.483078588503916</v>
      </c>
      <c r="P195" s="22" t="n">
        <f aca="false">100*(P61-P60)</f>
        <v>0.381669957191111</v>
      </c>
      <c r="Q195" s="22" t="n">
        <f aca="false">100*(Q61-Q60)</f>
        <v>0.299315943329992</v>
      </c>
      <c r="R195" s="22" t="n">
        <f aca="false">100*(R61-R60)</f>
        <v>0.235463999943786</v>
      </c>
      <c r="S195" s="22" t="n">
        <f aca="false">100*(S61-S60)</f>
        <v>0.188891989533913</v>
      </c>
      <c r="T195" s="22" t="n">
        <f aca="false">100*(T61-T60)</f>
        <v>0.157933960687706</v>
      </c>
      <c r="U195" s="22" t="n">
        <f aca="false">100*(U61-U60)</f>
        <v>0.140895650920703</v>
      </c>
      <c r="V195" s="22" t="n">
        <f aca="false">100*(V61-V60)</f>
        <v>0.136143664393296</v>
      </c>
      <c r="W195" s="22" t="n">
        <f aca="false">100*(W61-W60)</f>
        <v>0.142093241383989</v>
      </c>
      <c r="X195" s="22" t="n">
        <f aca="false">100*(X61-X60)</f>
        <v>0.157198531064928</v>
      </c>
      <c r="Y195" s="22" t="n">
        <f aca="false">100*(Y61-Y60)</f>
        <v>0.179945500960876</v>
      </c>
      <c r="Z195" s="22" t="n">
        <f aca="false">100*(Z61-Z60)</f>
        <v>0.208883693744077</v>
      </c>
      <c r="AA195" s="22" t="n">
        <f aca="false">100*(AA61-AA60)</f>
        <v>0.242716312905689</v>
      </c>
      <c r="AB195" s="22" t="n">
        <f aca="false">100*(AB61-AB60)</f>
        <v>0.280301567689589</v>
      </c>
      <c r="AC195" s="22" t="n">
        <f aca="false">100*(AC61-AC60)</f>
        <v>0.320627029923903</v>
      </c>
      <c r="AD195" s="22" t="n">
        <f aca="false">100*(AD61-AD60)</f>
        <v>0.362788759342614</v>
      </c>
      <c r="AE195" s="22" t="n">
        <f aca="false">100*(AE61-AE60)</f>
        <v>0.405965469021696</v>
      </c>
      <c r="AF195" s="22" t="n">
        <f aca="false">100*(AF61-AF60)</f>
        <v>0.449358863564697</v>
      </c>
      <c r="AG195" s="22" t="n">
        <f aca="false">100*(AG61-AG60)</f>
        <v>0.820973015872628</v>
      </c>
      <c r="AH195" s="22" t="n">
        <f aca="false">100*(AH61-AH60)</f>
        <v>0.833361492379403</v>
      </c>
      <c r="AI195" s="22" t="n">
        <f aca="false">100*(AI61-AI60)</f>
        <v>0.844727269778289</v>
      </c>
      <c r="AJ195" s="22" t="n">
        <f aca="false">100*(AJ61-AJ60)</f>
        <v>0.855434617621098</v>
      </c>
      <c r="AK195" s="22" t="n">
        <f aca="false">100*(AK61-AK60)</f>
        <v>0.865810808239731</v>
      </c>
      <c r="AL195" s="22" t="n">
        <f aca="false">AVERAGE(C195:AK195)</f>
        <v>0.682716898832897</v>
      </c>
    </row>
    <row r="196" customFormat="false" ht="15" hidden="false" customHeight="false" outlineLevel="0" collapsed="false">
      <c r="A196" s="20" t="n">
        <f aca="false">A62</f>
        <v>-63</v>
      </c>
      <c r="B196" s="21" t="n">
        <f aca="false">B62</f>
        <v>41101</v>
      </c>
      <c r="C196" s="22" t="n">
        <f aca="false">100*(C62-C61)</f>
        <v>-0.161987088065541</v>
      </c>
      <c r="D196" s="22" t="n">
        <f aca="false">100*(D62-D61)</f>
        <v>-0.315814618702578</v>
      </c>
      <c r="E196" s="22" t="n">
        <f aca="false">100*(E62-E61)</f>
        <v>-0.50971551934661</v>
      </c>
      <c r="F196" s="22" t="n">
        <f aca="false">100*(F62-F61)</f>
        <v>-0.730510476228102</v>
      </c>
      <c r="G196" s="22" t="n">
        <f aca="false">100*(G62-G61)</f>
        <v>-0.964248638366871</v>
      </c>
      <c r="H196" s="22" t="n">
        <f aca="false">100*(H62-H61)</f>
        <v>-1.19803498860342</v>
      </c>
      <c r="I196" s="22" t="n">
        <f aca="false">100*(I62-I61)</f>
        <v>-1.42130769096095</v>
      </c>
      <c r="J196" s="22" t="n">
        <f aca="false">100*(J62-J61)</f>
        <v>-1.62606637398285</v>
      </c>
      <c r="K196" s="22" t="n">
        <f aca="false">100*(K62-K61)</f>
        <v>-1.80632915020956</v>
      </c>
      <c r="L196" s="22" t="n">
        <f aca="false">100*(L62-L61)</f>
        <v>-1.95842069830701</v>
      </c>
      <c r="M196" s="22" t="n">
        <f aca="false">100*(M62-M61)</f>
        <v>-2.08085414821839</v>
      </c>
      <c r="N196" s="22" t="n">
        <f aca="false">100*(N62-N61)</f>
        <v>-2.1738789324329</v>
      </c>
      <c r="O196" s="22" t="n">
        <f aca="false">100*(O62-O61)</f>
        <v>-2.2392954389779</v>
      </c>
      <c r="P196" s="22" t="n">
        <f aca="false">100*(P62-P61)</f>
        <v>-2.27985261386412</v>
      </c>
      <c r="Q196" s="22" t="n">
        <f aca="false">100*(Q62-Q61)</f>
        <v>-2.29878055342598</v>
      </c>
      <c r="R196" s="22" t="n">
        <f aca="false">100*(R62-R61)</f>
        <v>-2.2992778978506</v>
      </c>
      <c r="S196" s="22" t="n">
        <f aca="false">100*(S62-S61)</f>
        <v>-2.2843058355499</v>
      </c>
      <c r="T196" s="22" t="n">
        <f aca="false">100*(T62-T61)</f>
        <v>-2.2564912284599</v>
      </c>
      <c r="U196" s="22" t="n">
        <f aca="false">100*(U62-U61)</f>
        <v>-2.21809705614882</v>
      </c>
      <c r="V196" s="22" t="n">
        <f aca="false">100*(V62-V61)</f>
        <v>-2.17107033506578</v>
      </c>
      <c r="W196" s="22" t="n">
        <f aca="false">100*(W62-W61)</f>
        <v>-2.1171076956124</v>
      </c>
      <c r="X196" s="22" t="n">
        <f aca="false">100*(X62-X61)</f>
        <v>-2.05770545935171</v>
      </c>
      <c r="Y196" s="22" t="n">
        <f aca="false">100*(Y62-Y61)</f>
        <v>-1.99419902369327</v>
      </c>
      <c r="Z196" s="22" t="n">
        <f aca="false">100*(Z62-Z61)</f>
        <v>-1.92779541802208</v>
      </c>
      <c r="AA196" s="22" t="n">
        <f aca="false">100*(AA62-AA61)</f>
        <v>-1.85957552560967</v>
      </c>
      <c r="AB196" s="22" t="n">
        <f aca="false">100*(AB62-AB61)</f>
        <v>-1.7905054038089</v>
      </c>
      <c r="AC196" s="22" t="n">
        <f aca="false">100*(AC62-AC61)</f>
        <v>-1.72145530305792</v>
      </c>
      <c r="AD196" s="22" t="n">
        <f aca="false">100*(AD62-AD61)</f>
        <v>-1.65321512961873</v>
      </c>
      <c r="AE196" s="22" t="n">
        <f aca="false">100*(AE62-AE61)</f>
        <v>-1.58651362094102</v>
      </c>
      <c r="AF196" s="22" t="n">
        <f aca="false">100*(AF62-AF61)</f>
        <v>-1.52205831123768</v>
      </c>
      <c r="AG196" s="22" t="n">
        <f aca="false">100*(AG62-AG61)</f>
        <v>-1.0813264415817</v>
      </c>
      <c r="AH196" s="22" t="n">
        <f aca="false">100*(AH62-AH61)</f>
        <v>-1.07944494838281</v>
      </c>
      <c r="AI196" s="22" t="n">
        <f aca="false">100*(AI62-AI61)</f>
        <v>-1.0807637491232</v>
      </c>
      <c r="AJ196" s="22" t="n">
        <f aca="false">100*(AJ62-AJ61)</f>
        <v>-1.08483911770789</v>
      </c>
      <c r="AK196" s="22" t="n">
        <f aca="false">100*(AK62-AK61)</f>
        <v>-1.09124455312033</v>
      </c>
      <c r="AL196" s="22" t="n">
        <f aca="false">AVERAGE(C196:AK196)</f>
        <v>-1.61834539953249</v>
      </c>
    </row>
    <row r="197" customFormat="false" ht="15" hidden="false" customHeight="false" outlineLevel="0" collapsed="false">
      <c r="A197" s="20" t="n">
        <f aca="false">A63</f>
        <v>-62</v>
      </c>
      <c r="B197" s="21" t="n">
        <f aca="false">B63</f>
        <v>41102</v>
      </c>
      <c r="C197" s="22" t="n">
        <f aca="false">100*(C63-C62)</f>
        <v>-0.83429003714065</v>
      </c>
      <c r="D197" s="22" t="n">
        <f aca="false">100*(D63-D62)</f>
        <v>-1.09151490059826</v>
      </c>
      <c r="E197" s="22" t="n">
        <f aca="false">100*(E63-E62)</f>
        <v>-1.32076189627876</v>
      </c>
      <c r="F197" s="22" t="n">
        <f aca="false">100*(F63-F62)</f>
        <v>-1.51985289034963</v>
      </c>
      <c r="G197" s="22" t="n">
        <f aca="false">100*(G63-G62)</f>
        <v>-1.6973919359246</v>
      </c>
      <c r="H197" s="22" t="n">
        <f aca="false">100*(H63-H62)</f>
        <v>-1.86252362628041</v>
      </c>
      <c r="I197" s="22" t="n">
        <f aca="false">100*(I63-I62)</f>
        <v>-2.02186332754017</v>
      </c>
      <c r="J197" s="22" t="n">
        <f aca="false">100*(J63-J62)</f>
        <v>-2.17861672792065</v>
      </c>
      <c r="K197" s="22" t="n">
        <f aca="false">100*(K63-K62)</f>
        <v>-2.33245351498146</v>
      </c>
      <c r="L197" s="22" t="n">
        <f aca="false">100*(L63-L62)</f>
        <v>-2.48106212787365</v>
      </c>
      <c r="M197" s="22" t="n">
        <f aca="false">100*(M63-M62)</f>
        <v>-2.6218069279869</v>
      </c>
      <c r="N197" s="22" t="n">
        <f aca="false">100*(N63-N62)</f>
        <v>-2.7524093239516</v>
      </c>
      <c r="O197" s="22" t="n">
        <f aca="false">100*(O63-O62)</f>
        <v>-2.87162746328462</v>
      </c>
      <c r="P197" s="22" t="n">
        <f aca="false">100*(P63-P62)</f>
        <v>-2.9790916874215</v>
      </c>
      <c r="Q197" s="22" t="n">
        <f aca="false">100*(Q63-Q62)</f>
        <v>-3.07527317020602</v>
      </c>
      <c r="R197" s="22" t="n">
        <f aca="false">100*(R63-R62)</f>
        <v>-3.1613902841247</v>
      </c>
      <c r="S197" s="22" t="n">
        <f aca="false">100*(S63-S62)</f>
        <v>-3.239490161055</v>
      </c>
      <c r="T197" s="22" t="n">
        <f aca="false">100*(T63-T62)</f>
        <v>-3.31233548809811</v>
      </c>
      <c r="U197" s="22" t="n">
        <f aca="false">100*(U63-U62)</f>
        <v>-3.38245155198909</v>
      </c>
      <c r="V197" s="22" t="n">
        <f aca="false">100*(V63-V62)</f>
        <v>-3.4519847959527</v>
      </c>
      <c r="W197" s="22" t="n">
        <f aca="false">100*(W63-W62)</f>
        <v>-3.52278101888621</v>
      </c>
      <c r="X197" s="22" t="n">
        <f aca="false">100*(X63-X62)</f>
        <v>-3.59644550422491</v>
      </c>
      <c r="Y197" s="22" t="n">
        <f aca="false">100*(Y63-Y62)</f>
        <v>-3.67438510791494</v>
      </c>
      <c r="Z197" s="22" t="n">
        <f aca="false">100*(Z63-Z62)</f>
        <v>-3.7576941816535</v>
      </c>
      <c r="AA197" s="22" t="n">
        <f aca="false">100*(AA63-AA62)</f>
        <v>-3.8468947603719</v>
      </c>
      <c r="AB197" s="22" t="n">
        <f aca="false">100*(AB63-AB62)</f>
        <v>-3.94196459904892</v>
      </c>
      <c r="AC197" s="22" t="n">
        <f aca="false">100*(AC63-AC62)</f>
        <v>-4.04242757874731</v>
      </c>
      <c r="AD197" s="22" t="n">
        <f aca="false">100*(AD63-AD62)</f>
        <v>-4.14742692323538</v>
      </c>
      <c r="AE197" s="22" t="n">
        <f aca="false">100*(AE63-AE62)</f>
        <v>-4.25579112370871</v>
      </c>
      <c r="AF197" s="22" t="n">
        <f aca="false">100*(AF63-AF62)</f>
        <v>-4.36611015944788</v>
      </c>
      <c r="AG197" s="22" t="n">
        <f aca="false">100*(AG63-AG62)</f>
        <v>-5.4222565507748</v>
      </c>
      <c r="AH197" s="22" t="n">
        <f aca="false">100*(AH63-AH62)</f>
        <v>-5.45655107779361</v>
      </c>
      <c r="AI197" s="22" t="n">
        <f aca="false">100*(AI63-AI62)</f>
        <v>-5.48490467060989</v>
      </c>
      <c r="AJ197" s="22" t="n">
        <f aca="false">100*(AJ63-AJ62)</f>
        <v>-5.50782679970068</v>
      </c>
      <c r="AK197" s="22" t="n">
        <f aca="false">100*(AK63-AK62)</f>
        <v>-5.5258172888224</v>
      </c>
      <c r="AL197" s="22" t="n">
        <f aca="false">AVERAGE(C197:AK197)</f>
        <v>-3.27821340525427</v>
      </c>
    </row>
    <row r="198" customFormat="false" ht="15" hidden="false" customHeight="false" outlineLevel="0" collapsed="false">
      <c r="A198" s="20" t="n">
        <f aca="false">A64</f>
        <v>-61</v>
      </c>
      <c r="B198" s="21" t="n">
        <f aca="false">B64</f>
        <v>41103</v>
      </c>
      <c r="C198" s="22" t="n">
        <f aca="false">100*(C64-C63)</f>
        <v>1.07181889789202</v>
      </c>
      <c r="D198" s="22" t="n">
        <f aca="false">100*(D64-D63)</f>
        <v>0.95519724523892</v>
      </c>
      <c r="E198" s="22" t="n">
        <f aca="false">100*(E64-E63)</f>
        <v>0.869668366666349</v>
      </c>
      <c r="F198" s="22" t="n">
        <f aca="false">100*(F64-F63)</f>
        <v>0.836432419459288</v>
      </c>
      <c r="G198" s="22" t="n">
        <f aca="false">100*(G64-G63)</f>
        <v>0.853234939819914</v>
      </c>
      <c r="H198" s="22" t="n">
        <f aca="false">100*(H64-H63)</f>
        <v>0.911831504465899</v>
      </c>
      <c r="I198" s="22" t="n">
        <f aca="false">100*(I64-I63)</f>
        <v>1.00285828258087</v>
      </c>
      <c r="J198" s="22" t="n">
        <f aca="false">100*(J64-J63)</f>
        <v>1.11684390883866</v>
      </c>
      <c r="K198" s="22" t="n">
        <f aca="false">100*(K64-K63)</f>
        <v>1.24553401634738</v>
      </c>
      <c r="L198" s="22" t="n">
        <f aca="false">100*(L64-L63)</f>
        <v>1.38131566771034</v>
      </c>
      <c r="M198" s="22" t="n">
        <f aca="false">100*(M64-M63)</f>
        <v>1.5173912268017</v>
      </c>
      <c r="N198" s="22" t="n">
        <f aca="false">100*(N64-N63)</f>
        <v>1.6477465868447</v>
      </c>
      <c r="O198" s="22" t="n">
        <f aca="false">100*(O64-O63)</f>
        <v>1.7669412658281</v>
      </c>
      <c r="P198" s="22" t="n">
        <f aca="false">100*(P64-P63)</f>
        <v>1.87020907897071</v>
      </c>
      <c r="Q198" s="22" t="n">
        <f aca="false">100*(Q64-Q63)</f>
        <v>1.95365205302931</v>
      </c>
      <c r="R198" s="22" t="n">
        <f aca="false">100*(R64-R63)</f>
        <v>2.01449302661481</v>
      </c>
      <c r="S198" s="22" t="n">
        <f aca="false">100*(S64-S63)</f>
        <v>2.05102041955201</v>
      </c>
      <c r="T198" s="22" t="n">
        <f aca="false">100*(T64-T63)</f>
        <v>2.0624459419792</v>
      </c>
      <c r="U198" s="22" t="n">
        <f aca="false">100*(U64-U63)</f>
        <v>2.04870249823279</v>
      </c>
      <c r="V198" s="22" t="n">
        <f aca="false">100*(V64-V63)</f>
        <v>2.01031254516149</v>
      </c>
      <c r="W198" s="22" t="n">
        <f aca="false">100*(W64-W63)</f>
        <v>1.94826562824431</v>
      </c>
      <c r="X198" s="22" t="n">
        <f aca="false">100*(X64-X63)</f>
        <v>1.86392496386301</v>
      </c>
      <c r="Y198" s="22" t="n">
        <f aca="false">100*(Y64-Y63)</f>
        <v>1.75895245254232</v>
      </c>
      <c r="Z198" s="22" t="n">
        <f aca="false">100*(Z64-Z63)</f>
        <v>1.6352239607794</v>
      </c>
      <c r="AA198" s="22" t="n">
        <f aca="false">100*(AA64-AA63)</f>
        <v>1.49480165809939</v>
      </c>
      <c r="AB198" s="22" t="n">
        <f aca="false">100*(AB64-AB63)</f>
        <v>1.33991898482302</v>
      </c>
      <c r="AC198" s="22" t="n">
        <f aca="false">100*(AC64-AC63)</f>
        <v>1.17295233906241</v>
      </c>
      <c r="AD198" s="22" t="n">
        <f aca="false">100*(AD64-AD63)</f>
        <v>0.996397987115083</v>
      </c>
      <c r="AE198" s="22" t="n">
        <f aca="false">100*(AE64-AE63)</f>
        <v>0.812847426504737</v>
      </c>
      <c r="AF198" s="22" t="n">
        <f aca="false">100*(AF64-AF63)</f>
        <v>0.624976798921173</v>
      </c>
      <c r="AG198" s="22" t="n">
        <f aca="false">100*(AG64-AG63)</f>
        <v>-1.28233219132001</v>
      </c>
      <c r="AH198" s="22" t="n">
        <f aca="false">100*(AH64-AH63)</f>
        <v>-1.3554257383507</v>
      </c>
      <c r="AI198" s="22" t="n">
        <f aca="false">100*(AI64-AI63)</f>
        <v>-1.41813075887209</v>
      </c>
      <c r="AJ198" s="22" t="n">
        <f aca="false">100*(AJ64-AJ63)</f>
        <v>-1.47102784075552</v>
      </c>
      <c r="AK198" s="22" t="n">
        <f aca="false">100*(AK64-AK63)</f>
        <v>-1.51472339859868</v>
      </c>
      <c r="AL198" s="22" t="n">
        <f aca="false">AVERAGE(C198:AK198)</f>
        <v>1.02269349040264</v>
      </c>
    </row>
    <row r="199" customFormat="false" ht="15" hidden="false" customHeight="false" outlineLevel="0" collapsed="false">
      <c r="A199" s="20" t="n">
        <f aca="false">A65</f>
        <v>-60</v>
      </c>
      <c r="B199" s="21" t="n">
        <f aca="false">B65</f>
        <v>41106</v>
      </c>
      <c r="C199" s="22" t="n">
        <f aca="false">100*(C65-C64)</f>
        <v>-2.04221347362222</v>
      </c>
      <c r="D199" s="22" t="n">
        <f aca="false">100*(D65-D64)</f>
        <v>-2.66586931921238</v>
      </c>
      <c r="E199" s="22" t="n">
        <f aca="false">100*(E65-E64)</f>
        <v>-3.15769453344978</v>
      </c>
      <c r="F199" s="22" t="n">
        <f aca="false">100*(F65-F64)</f>
        <v>-3.55404001653216</v>
      </c>
      <c r="G199" s="22" t="n">
        <f aca="false">100*(G65-G64)</f>
        <v>-3.8816619631302</v>
      </c>
      <c r="H199" s="22" t="n">
        <f aca="false">100*(H65-H64)</f>
        <v>-4.15879199774775</v>
      </c>
      <c r="I199" s="22" t="n">
        <f aca="false">100*(I65-I64)</f>
        <v>-4.39740650718581</v>
      </c>
      <c r="J199" s="22" t="n">
        <f aca="false">100*(J65-J64)</f>
        <v>-4.6049468589327</v>
      </c>
      <c r="K199" s="22" t="n">
        <f aca="false">100*(K65-K64)</f>
        <v>-4.78544716529162</v>
      </c>
      <c r="L199" s="22" t="n">
        <f aca="false">100*(L65-L64)</f>
        <v>-4.94128191434621</v>
      </c>
      <c r="M199" s="22" t="n">
        <f aca="false">100*(M65-M64)</f>
        <v>-5.074344369177</v>
      </c>
      <c r="N199" s="22" t="n">
        <f aca="false">100*(N65-N64)</f>
        <v>-5.18645902435571</v>
      </c>
      <c r="O199" s="22" t="n">
        <f aca="false">100*(O65-O64)</f>
        <v>-5.279719168598</v>
      </c>
      <c r="P199" s="22" t="n">
        <f aca="false">100*(P65-P64)</f>
        <v>-5.35628151223391</v>
      </c>
      <c r="Q199" s="22" t="n">
        <f aca="false">100*(Q65-Q64)</f>
        <v>-5.4180692872027</v>
      </c>
      <c r="R199" s="22" t="n">
        <f aca="false">100*(R65-R64)</f>
        <v>-5.4667440467943</v>
      </c>
      <c r="S199" s="22" t="n">
        <f aca="false">100*(S65-S64)</f>
        <v>-5.50367682303661</v>
      </c>
      <c r="T199" s="22" t="n">
        <f aca="false">100*(T65-T64)</f>
        <v>-5.52994202656569</v>
      </c>
      <c r="U199" s="22" t="n">
        <f aca="false">100*(U65-U64)</f>
        <v>-5.5464824866216</v>
      </c>
      <c r="V199" s="22" t="n">
        <f aca="false">100*(V65-V64)</f>
        <v>-5.5541530529613</v>
      </c>
      <c r="W199" s="22" t="n">
        <f aca="false">100*(W65-W64)</f>
        <v>-5.5537388735708</v>
      </c>
      <c r="X199" s="22" t="n">
        <f aca="false">100*(X65-X64)</f>
        <v>-5.54596933501852</v>
      </c>
      <c r="Y199" s="22" t="n">
        <f aca="false">100*(Y65-Y64)</f>
        <v>-5.53153062672398</v>
      </c>
      <c r="Z199" s="22" t="n">
        <f aca="false">100*(Z65-Z64)</f>
        <v>-5.51110447820689</v>
      </c>
      <c r="AA199" s="22" t="n">
        <f aca="false">100*(AA65-AA64)</f>
        <v>-5.48540344781991</v>
      </c>
      <c r="AB199" s="22" t="n">
        <f aca="false">100*(AB65-AB64)</f>
        <v>-5.45516742786751</v>
      </c>
      <c r="AC199" s="22" t="n">
        <f aca="false">100*(AC65-AC64)</f>
        <v>-5.4211590387319</v>
      </c>
      <c r="AD199" s="22" t="n">
        <f aca="false">100*(AD65-AD64)</f>
        <v>-5.3841599752678</v>
      </c>
      <c r="AE199" s="22" t="n">
        <f aca="false">100*(AE65-AE64)</f>
        <v>-5.34496972684422</v>
      </c>
      <c r="AF199" s="22" t="n">
        <f aca="false">100*(AF65-AF64)</f>
        <v>-5.30439969616969</v>
      </c>
      <c r="AG199" s="22" t="n">
        <f aca="false">100*(AG65-AG64)</f>
        <v>-4.92717135941412</v>
      </c>
      <c r="AH199" s="22" t="n">
        <f aca="false">100*(AH65-AH64)</f>
        <v>-4.91975406127567</v>
      </c>
      <c r="AI199" s="22" t="n">
        <f aca="false">100*(AI65-AI64)</f>
        <v>-4.91527771892768</v>
      </c>
      <c r="AJ199" s="22" t="n">
        <f aca="false">100*(AJ65-AJ64)</f>
        <v>-4.9134775524859</v>
      </c>
      <c r="AK199" s="22" t="n">
        <f aca="false">100*(AK65-AK64)</f>
        <v>-4.91407685843148</v>
      </c>
      <c r="AL199" s="22" t="n">
        <f aca="false">AVERAGE(C199:AK199)</f>
        <v>-4.89235959210725</v>
      </c>
    </row>
    <row r="200" customFormat="false" ht="15" hidden="false" customHeight="false" outlineLevel="0" collapsed="false">
      <c r="A200" s="20" t="n">
        <f aca="false">A66</f>
        <v>-59</v>
      </c>
      <c r="B200" s="21" t="n">
        <f aca="false">B66</f>
        <v>41107</v>
      </c>
      <c r="C200" s="22" t="n">
        <f aca="false">100*(C66-C65)</f>
        <v>-0.48644230839878</v>
      </c>
      <c r="D200" s="22" t="n">
        <f aca="false">100*(D66-D65)</f>
        <v>-0.702223476419328</v>
      </c>
      <c r="E200" s="22" t="n">
        <f aca="false">100*(E66-E65)</f>
        <v>-0.812212029626031</v>
      </c>
      <c r="F200" s="22" t="n">
        <f aca="false">100*(F66-F65)</f>
        <v>-0.838993037220553</v>
      </c>
      <c r="G200" s="22" t="n">
        <f aca="false">100*(G66-G65)</f>
        <v>-0.800627112547092</v>
      </c>
      <c r="H200" s="22" t="n">
        <f aca="false">100*(H66-H65)</f>
        <v>-0.711671218342114</v>
      </c>
      <c r="I200" s="22" t="n">
        <f aca="false">100*(I66-I65)</f>
        <v>-0.583911397654258</v>
      </c>
      <c r="J200" s="22" t="n">
        <f aca="false">100*(J66-J65)</f>
        <v>-0.427847162066286</v>
      </c>
      <c r="K200" s="22" t="n">
        <f aca="false">100*(K66-K65)</f>
        <v>-0.253139183752671</v>
      </c>
      <c r="L200" s="22" t="n">
        <f aca="false">100*(L66-L65)</f>
        <v>-0.0689963001835436</v>
      </c>
      <c r="M200" s="22" t="n">
        <f aca="false">100*(M66-M65)</f>
        <v>0.116348805422195</v>
      </c>
      <c r="N200" s="22" t="n">
        <f aca="false">100*(N66-N65)</f>
        <v>0.295878204912214</v>
      </c>
      <c r="O200" s="22" t="n">
        <f aca="false">100*(O66-O65)</f>
        <v>0.464126337060811</v>
      </c>
      <c r="P200" s="22" t="n">
        <f aca="false">100*(P66-P65)</f>
        <v>0.617161112021214</v>
      </c>
      <c r="Q200" s="22" t="n">
        <f aca="false">100*(Q66-Q65)</f>
        <v>0.7526492069448</v>
      </c>
      <c r="R200" s="22" t="n">
        <f aca="false">100*(R66-R65)</f>
        <v>0.8697121945068</v>
      </c>
      <c r="S200" s="22" t="n">
        <f aca="false">100*(S66-S65)</f>
        <v>0.968753632105002</v>
      </c>
      <c r="T200" s="22" t="n">
        <f aca="false">100*(T66-T65)</f>
        <v>1.0511866696455</v>
      </c>
      <c r="U200" s="22" t="n">
        <f aca="false">100*(U66-U65)</f>
        <v>1.1188032512184</v>
      </c>
      <c r="V200" s="22" t="n">
        <f aca="false">100*(V66-V65)</f>
        <v>1.17361526205031</v>
      </c>
      <c r="W200" s="22" t="n">
        <f aca="false">100*(W66-W65)</f>
        <v>1.2178086197266</v>
      </c>
      <c r="X200" s="22" t="n">
        <f aca="false">100*(X66-X65)</f>
        <v>1.25370846772062</v>
      </c>
      <c r="Y200" s="22" t="n">
        <f aca="false">100*(Y66-Y65)</f>
        <v>1.28374476619459</v>
      </c>
      <c r="Z200" s="22" t="n">
        <f aca="false">100*(Z66-Z65)</f>
        <v>1.31024530296671</v>
      </c>
      <c r="AA200" s="22" t="n">
        <f aca="false">100*(AA66-AA65)</f>
        <v>1.33513683854263</v>
      </c>
      <c r="AB200" s="22" t="n">
        <f aca="false">100*(AB66-AB65)</f>
        <v>1.35995852485622</v>
      </c>
      <c r="AC200" s="22" t="n">
        <f aca="false">100*(AC66-AC65)</f>
        <v>1.3859264240581</v>
      </c>
      <c r="AD200" s="22" t="n">
        <f aca="false">100*(AD66-AD65)</f>
        <v>1.4139855788887</v>
      </c>
      <c r="AE200" s="22" t="n">
        <f aca="false">100*(AE66-AE65)</f>
        <v>1.4448189620559</v>
      </c>
      <c r="AF200" s="22" t="n">
        <f aca="false">100*(AF66-AF65)</f>
        <v>1.47869869298618</v>
      </c>
      <c r="AG200" s="22" t="n">
        <f aca="false">100*(AG66-AG65)</f>
        <v>1.98576077474883</v>
      </c>
      <c r="AH200" s="22" t="n">
        <f aca="false">100*(AH66-AH65)</f>
        <v>2.01417007088387</v>
      </c>
      <c r="AI200" s="22" t="n">
        <f aca="false">100*(AI66-AI65)</f>
        <v>2.04018772404218</v>
      </c>
      <c r="AJ200" s="22" t="n">
        <f aca="false">100*(AJ66-AJ65)</f>
        <v>2.06392308277241</v>
      </c>
      <c r="AK200" s="22" t="n">
        <f aca="false">100*(AK66-AK65)</f>
        <v>2.08551013166027</v>
      </c>
      <c r="AL200" s="22" t="n">
        <f aca="false">AVERAGE(C200:AK200)</f>
        <v>0.726164440336583</v>
      </c>
    </row>
    <row r="201" customFormat="false" ht="15" hidden="false" customHeight="false" outlineLevel="0" collapsed="false">
      <c r="A201" s="20" t="n">
        <f aca="false">A67</f>
        <v>-58</v>
      </c>
      <c r="B201" s="21" t="n">
        <f aca="false">B67</f>
        <v>41108</v>
      </c>
      <c r="C201" s="22" t="n">
        <f aca="false">100*(C67-C66)</f>
        <v>-4.83821389618734</v>
      </c>
      <c r="D201" s="22" t="n">
        <f aca="false">100*(D67-D66)</f>
        <v>-5.22424582182142</v>
      </c>
      <c r="E201" s="22" t="n">
        <f aca="false">100*(E67-E66)</f>
        <v>-5.45199286643124</v>
      </c>
      <c r="F201" s="22" t="n">
        <f aca="false">100*(F67-F66)</f>
        <v>-5.54566044435109</v>
      </c>
      <c r="G201" s="22" t="n">
        <f aca="false">100*(G67-G66)</f>
        <v>-5.52817341616779</v>
      </c>
      <c r="H201" s="22" t="n">
        <f aca="false">100*(H67-H66)</f>
        <v>-5.42039797563132</v>
      </c>
      <c r="I201" s="22" t="n">
        <f aca="false">100*(I67-I66)</f>
        <v>-5.24166283835189</v>
      </c>
      <c r="J201" s="22" t="n">
        <f aca="false">100*(J67-J66)</f>
        <v>-5.01031134345574</v>
      </c>
      <c r="K201" s="22" t="n">
        <f aca="false">100*(K67-K66)</f>
        <v>-4.74350895774999</v>
      </c>
      <c r="L201" s="22" t="n">
        <f aca="false">100*(L67-L66)</f>
        <v>-4.45716339276718</v>
      </c>
      <c r="M201" s="22" t="n">
        <f aca="false">100*(M67-M66)</f>
        <v>-4.16522964398001</v>
      </c>
      <c r="N201" s="22" t="n">
        <f aca="false">100*(N67-N66)</f>
        <v>-3.87963725949041</v>
      </c>
      <c r="O201" s="22" t="n">
        <f aca="false">100*(O67-O66)</f>
        <v>-3.61004595709962</v>
      </c>
      <c r="P201" s="22" t="n">
        <f aca="false">100*(P67-P66)</f>
        <v>-3.36396606988101</v>
      </c>
      <c r="Q201" s="22" t="n">
        <f aca="false">100*(Q67-Q66)</f>
        <v>-3.14660032737841</v>
      </c>
      <c r="R201" s="22" t="n">
        <f aca="false">100*(R67-R66)</f>
        <v>-2.9608970315697</v>
      </c>
      <c r="S201" s="22" t="n">
        <f aca="false">100*(S67-S66)</f>
        <v>-2.80769953540991</v>
      </c>
      <c r="T201" s="22" t="n">
        <f aca="false">100*(T67-T66)</f>
        <v>-2.6860538168</v>
      </c>
      <c r="U201" s="22" t="n">
        <f aca="false">100*(U67-U66)</f>
        <v>-2.5941716159098</v>
      </c>
      <c r="V201" s="22" t="n">
        <f aca="false">100*(V67-V66)</f>
        <v>-2.52972319982929</v>
      </c>
      <c r="W201" s="22" t="n">
        <f aca="false">100*(W67-W66)</f>
        <v>-2.48995031432251</v>
      </c>
      <c r="X201" s="22" t="n">
        <f aca="false">100*(X67-X66)</f>
        <v>-2.47175188809361</v>
      </c>
      <c r="Y201" s="22" t="n">
        <f aca="false">100*(Y67-Y66)</f>
        <v>-2.47175841269791</v>
      </c>
      <c r="Z201" s="22" t="n">
        <f aca="false">100*(Z67-Z66)</f>
        <v>-2.48658304929181</v>
      </c>
      <c r="AA201" s="22" t="n">
        <f aca="false">100*(AA67-AA66)</f>
        <v>-2.51315864696671</v>
      </c>
      <c r="AB201" s="22" t="n">
        <f aca="false">100*(AB67-AB66)</f>
        <v>-2.5487399089021</v>
      </c>
      <c r="AC201" s="22" t="n">
        <f aca="false">100*(AC67-AC66)</f>
        <v>-2.59084982221398</v>
      </c>
      <c r="AD201" s="22" t="n">
        <f aca="false">100*(AD67-AD66)</f>
        <v>-2.63723642371119</v>
      </c>
      <c r="AE201" s="22" t="n">
        <f aca="false">100*(AE67-AE66)</f>
        <v>-2.68586101879569</v>
      </c>
      <c r="AF201" s="22" t="n">
        <f aca="false">100*(AF67-AF66)</f>
        <v>-2.73498912507288</v>
      </c>
      <c r="AG201" s="22" t="n">
        <f aca="false">100*(AG67-AG66)</f>
        <v>-3.10018202483593</v>
      </c>
      <c r="AH201" s="22" t="n">
        <f aca="false">100*(AH67-AH66)</f>
        <v>-3.10636075812836</v>
      </c>
      <c r="AI201" s="22" t="n">
        <f aca="false">100*(AI67-AI66)</f>
        <v>-3.11102291276479</v>
      </c>
      <c r="AJ201" s="22" t="n">
        <f aca="false">100*(AJ67-AJ66)</f>
        <v>-3.11455998897432</v>
      </c>
      <c r="AK201" s="22" t="n">
        <f aca="false">100*(AK67-AK66)</f>
        <v>-3.11732262512989</v>
      </c>
      <c r="AL201" s="22" t="n">
        <f aca="false">AVERAGE(C201:AK201)</f>
        <v>-3.55387663800471</v>
      </c>
    </row>
    <row r="202" customFormat="false" ht="15" hidden="false" customHeight="false" outlineLevel="0" collapsed="false">
      <c r="A202" s="20" t="n">
        <f aca="false">A68</f>
        <v>-57</v>
      </c>
      <c r="B202" s="21" t="n">
        <f aca="false">B68</f>
        <v>41109</v>
      </c>
      <c r="C202" s="22" t="n">
        <f aca="false">100*(C68-C67)</f>
        <v>-1.36689815444342</v>
      </c>
      <c r="D202" s="22" t="n">
        <f aca="false">100*(D68-D67)</f>
        <v>-0.425080749459128</v>
      </c>
      <c r="E202" s="22" t="n">
        <f aca="false">100*(E68-E67)</f>
        <v>0.540213192560721</v>
      </c>
      <c r="F202" s="22" t="n">
        <f aca="false">100*(F68-F67)</f>
        <v>1.42703551166931</v>
      </c>
      <c r="G202" s="22" t="n">
        <f aca="false">100*(G68-G67)</f>
        <v>2.19833227305233</v>
      </c>
      <c r="H202" s="22" t="n">
        <f aca="false">100*(H68-H67)</f>
        <v>2.84656258606817</v>
      </c>
      <c r="I202" s="22" t="n">
        <f aca="false">100*(I68-I67)</f>
        <v>3.37910353328452</v>
      </c>
      <c r="J202" s="22" t="n">
        <f aca="false">100*(J68-J67)</f>
        <v>3.80980036320715</v>
      </c>
      <c r="K202" s="22" t="n">
        <f aca="false">100*(K68-K67)</f>
        <v>4.15473382623525</v>
      </c>
      <c r="L202" s="22" t="n">
        <f aca="false">100*(L68-L67)</f>
        <v>4.42889434065928</v>
      </c>
      <c r="M202" s="22" t="n">
        <f aca="false">100*(M68-M67)</f>
        <v>4.64517460493832</v>
      </c>
      <c r="N202" s="22" t="n">
        <f aca="false">100*(N68-N67)</f>
        <v>4.8145404399313</v>
      </c>
      <c r="O202" s="22" t="n">
        <f aca="false">100*(O68-O67)</f>
        <v>4.9458253373863</v>
      </c>
      <c r="P202" s="22" t="n">
        <f aca="false">100*(P68-P67)</f>
        <v>5.0460045575613</v>
      </c>
      <c r="Q202" s="22" t="n">
        <f aca="false">100*(Q68-Q67)</f>
        <v>5.12068254080711</v>
      </c>
      <c r="R202" s="22" t="n">
        <f aca="false">100*(R68-R67)</f>
        <v>5.17441659465951</v>
      </c>
      <c r="S202" s="22" t="n">
        <f aca="false">100*(S68-S67)</f>
        <v>5.21123456109232</v>
      </c>
      <c r="T202" s="22" t="n">
        <f aca="false">100*(T68-T67)</f>
        <v>5.23464047558171</v>
      </c>
      <c r="U202" s="22" t="n">
        <f aca="false">100*(U68-U67)</f>
        <v>5.2476718990085</v>
      </c>
      <c r="V202" s="22" t="n">
        <f aca="false">100*(V68-V67)</f>
        <v>5.25301327658718</v>
      </c>
      <c r="W202" s="22" t="n">
        <f aca="false">100*(W68-W67)</f>
        <v>5.2530696329089</v>
      </c>
      <c r="X202" s="22" t="n">
        <f aca="false">100*(X68-X67)</f>
        <v>5.25002245606732</v>
      </c>
      <c r="Y202" s="22" t="n">
        <f aca="false">100*(Y68-Y67)</f>
        <v>5.24586890636889</v>
      </c>
      <c r="Z202" s="22" t="n">
        <f aca="false">100*(Z68-Z67)</f>
        <v>5.24238575796998</v>
      </c>
      <c r="AA202" s="22" t="n">
        <f aca="false">100*(AA68-AA67)</f>
        <v>5.24107478613769</v>
      </c>
      <c r="AB202" s="22" t="n">
        <f aca="false">100*(AB68-AB67)</f>
        <v>5.24319919112979</v>
      </c>
      <c r="AC202" s="22" t="n">
        <f aca="false">100*(AC68-AC67)</f>
        <v>5.24982340193758</v>
      </c>
      <c r="AD202" s="22" t="n">
        <f aca="false">100*(AD68-AD67)</f>
        <v>5.26184510184748</v>
      </c>
      <c r="AE202" s="22" t="n">
        <f aca="false">100*(AE68-AE67)</f>
        <v>5.28000546268119</v>
      </c>
      <c r="AF202" s="22" t="n">
        <f aca="false">100*(AF68-AF67)</f>
        <v>5.30483775712529</v>
      </c>
      <c r="AG202" s="22" t="n">
        <f aca="false">100*(AG68-AG67)</f>
        <v>6.1834187576105</v>
      </c>
      <c r="AH202" s="22" t="n">
        <f aca="false">100*(AH68-AH67)</f>
        <v>6.27392808728868</v>
      </c>
      <c r="AI202" s="22" t="n">
        <f aca="false">100*(AI68-AI67)</f>
        <v>6.36345217628018</v>
      </c>
      <c r="AJ202" s="22" t="n">
        <f aca="false">100*(AJ68-AJ67)</f>
        <v>6.45106893846901</v>
      </c>
      <c r="AK202" s="22" t="n">
        <f aca="false">100*(AK68-AK67)</f>
        <v>6.53593961129131</v>
      </c>
      <c r="AL202" s="22" t="n">
        <f aca="false">AVERAGE(C202:AK202)</f>
        <v>4.45902402958576</v>
      </c>
    </row>
    <row r="203" customFormat="false" ht="15" hidden="false" customHeight="false" outlineLevel="0" collapsed="false">
      <c r="A203" s="20" t="n">
        <f aca="false">A69</f>
        <v>-56</v>
      </c>
      <c r="B203" s="21" t="n">
        <f aca="false">B69</f>
        <v>41110</v>
      </c>
      <c r="C203" s="22" t="n">
        <f aca="false">100*(C69-C68)</f>
        <v>-2.08599407696202</v>
      </c>
      <c r="D203" s="22" t="n">
        <f aca="false">100*(D69-D68)</f>
        <v>-2.53820106237583</v>
      </c>
      <c r="E203" s="22" t="n">
        <f aca="false">100*(E69-E68)</f>
        <v>-2.94861600456801</v>
      </c>
      <c r="F203" s="22" t="n">
        <f aca="false">100*(F69-F68)</f>
        <v>-3.30011166166237</v>
      </c>
      <c r="G203" s="22" t="n">
        <f aca="false">100*(G69-G68)</f>
        <v>-3.59099042894828</v>
      </c>
      <c r="H203" s="22" t="n">
        <f aca="false">100*(H69-H68)</f>
        <v>-3.82490727669745</v>
      </c>
      <c r="I203" s="22" t="n">
        <f aca="false">100*(I69-I68)</f>
        <v>-4.00764922892586</v>
      </c>
      <c r="J203" s="22" t="n">
        <f aca="false">100*(J69-J68)</f>
        <v>-4.14480012244405</v>
      </c>
      <c r="K203" s="22" t="n">
        <f aca="false">100*(K69-K68)</f>
        <v>-4.2430142780413</v>
      </c>
      <c r="L203" s="22" t="n">
        <f aca="false">100*(L69-L68)</f>
        <v>-4.30854128290546</v>
      </c>
      <c r="M203" s="22" t="n">
        <f aca="false">100*(M69-M68)</f>
        <v>-4.34738149393261</v>
      </c>
      <c r="N203" s="22" t="n">
        <f aca="false">100*(N69-N68)</f>
        <v>-4.365198718818</v>
      </c>
      <c r="O203" s="22" t="n">
        <f aca="false">100*(O69-O68)</f>
        <v>-4.3667797461078</v>
      </c>
      <c r="P203" s="22" t="n">
        <f aca="false">100*(P69-P68)</f>
        <v>-4.3558957822627</v>
      </c>
      <c r="Q203" s="22" t="n">
        <f aca="false">100*(Q69-Q68)</f>
        <v>-4.33489553336131</v>
      </c>
      <c r="R203" s="22" t="n">
        <f aca="false">100*(R69-R68)</f>
        <v>-4.30525349696571</v>
      </c>
      <c r="S203" s="22" t="n">
        <f aca="false">100*(S69-S68)</f>
        <v>-4.26714959359951</v>
      </c>
      <c r="T203" s="22" t="n">
        <f aca="false">100*(T69-T68)</f>
        <v>-4.220076847841</v>
      </c>
      <c r="U203" s="22" t="n">
        <f aca="false">100*(U69-U68)</f>
        <v>-4.1634505418152</v>
      </c>
      <c r="V203" s="22" t="n">
        <f aca="false">100*(V69-V68)</f>
        <v>-4.09665299103379</v>
      </c>
      <c r="W203" s="22" t="n">
        <f aca="false">100*(W69-W68)</f>
        <v>-4.0190401723275</v>
      </c>
      <c r="X203" s="22" t="n">
        <f aca="false">100*(X69-X68)</f>
        <v>-3.92994699158322</v>
      </c>
      <c r="Y203" s="22" t="n">
        <f aca="false">100*(Y69-Y68)</f>
        <v>-3.82870332120548</v>
      </c>
      <c r="Z203" s="22" t="n">
        <f aca="false">100*(Z69-Z68)</f>
        <v>-3.71484247958529</v>
      </c>
      <c r="AA203" s="22" t="n">
        <f aca="false">100*(AA69-AA68)</f>
        <v>-3.58832627895151</v>
      </c>
      <c r="AB203" s="22" t="n">
        <f aca="false">100*(AB69-AB68)</f>
        <v>-3.4494980273581</v>
      </c>
      <c r="AC203" s="22" t="n">
        <f aca="false">100*(AC69-AC68)</f>
        <v>-3.29901880961159</v>
      </c>
      <c r="AD203" s="22" t="n">
        <f aca="false">100*(AD69-AD68)</f>
        <v>-3.1378163305527</v>
      </c>
      <c r="AE203" s="22" t="n">
        <f aca="false">100*(AE69-AE68)</f>
        <v>-2.96706854822331</v>
      </c>
      <c r="AF203" s="22" t="n">
        <f aca="false">100*(AF69-AF68)</f>
        <v>-2.7882523915745</v>
      </c>
      <c r="AG203" s="22" t="n">
        <f aca="false">100*(AG69-AG68)</f>
        <v>-0.487650821392194</v>
      </c>
      <c r="AH203" s="22" t="n">
        <f aca="false">100*(AH69-AH68)</f>
        <v>-0.356899830359891</v>
      </c>
      <c r="AI203" s="22" t="n">
        <f aca="false">100*(AI69-AI68)</f>
        <v>-0.236103631295803</v>
      </c>
      <c r="AJ203" s="22" t="n">
        <f aca="false">100*(AJ69-AJ68)</f>
        <v>-0.125326968155104</v>
      </c>
      <c r="AK203" s="22" t="n">
        <f aca="false">100*(AK69-AK68)</f>
        <v>-0.0245329490740076</v>
      </c>
      <c r="AL203" s="22" t="n">
        <f aca="false">AVERAGE(C203:AK203)</f>
        <v>-3.2505310777291</v>
      </c>
    </row>
    <row r="204" customFormat="false" ht="15" hidden="false" customHeight="false" outlineLevel="0" collapsed="false">
      <c r="A204" s="20" t="n">
        <f aca="false">A70</f>
        <v>-55</v>
      </c>
      <c r="B204" s="21" t="n">
        <f aca="false">B70</f>
        <v>41113</v>
      </c>
      <c r="C204" s="22" t="n">
        <f aca="false">100*(C70-C69)</f>
        <v>-1.74311077734822</v>
      </c>
      <c r="D204" s="22" t="n">
        <f aca="false">100*(D70-D69)</f>
        <v>-1.72696834015168</v>
      </c>
      <c r="E204" s="22" t="n">
        <f aca="false">100*(E70-E69)</f>
        <v>-1.73983607388549</v>
      </c>
      <c r="F204" s="22" t="n">
        <f aca="false">100*(F70-F69)</f>
        <v>-1.75726016713417</v>
      </c>
      <c r="G204" s="22" t="n">
        <f aca="false">100*(G70-G69)</f>
        <v>-1.76644693397928</v>
      </c>
      <c r="H204" s="22" t="n">
        <f aca="false">100*(H70-H69)</f>
        <v>-1.76121500906066</v>
      </c>
      <c r="I204" s="22" t="n">
        <f aca="false">100*(I70-I69)</f>
        <v>-1.7400603902387</v>
      </c>
      <c r="J204" s="22" t="n">
        <f aca="false">100*(J70-J69)</f>
        <v>-1.70398454615543</v>
      </c>
      <c r="K204" s="22" t="n">
        <f aca="false">100*(K70-K69)</f>
        <v>-1.65638494866384</v>
      </c>
      <c r="L204" s="22" t="n">
        <f aca="false">100*(L70-L69)</f>
        <v>-1.60107640274826</v>
      </c>
      <c r="M204" s="22" t="n">
        <f aca="false">100*(M70-M69)</f>
        <v>-1.5414947493765</v>
      </c>
      <c r="N204" s="22" t="n">
        <f aca="false">100*(N70-N69)</f>
        <v>-1.48026861816641</v>
      </c>
      <c r="O204" s="22" t="n">
        <f aca="false">100*(O70-O69)</f>
        <v>-1.4186634367273</v>
      </c>
      <c r="P204" s="22" t="n">
        <f aca="false">100*(P70-P69)</f>
        <v>-1.356948933951</v>
      </c>
      <c r="Q204" s="22" t="n">
        <f aca="false">100*(Q70-Q69)</f>
        <v>-1.29467308611659</v>
      </c>
      <c r="R204" s="22" t="n">
        <f aca="false">100*(R70-R69)</f>
        <v>-1.231190461603</v>
      </c>
      <c r="S204" s="22" t="n">
        <f aca="false">100*(S70-S69)</f>
        <v>-1.16573532858311</v>
      </c>
      <c r="T204" s="22" t="n">
        <f aca="false">100*(T70-T69)</f>
        <v>-1.09765726637669</v>
      </c>
      <c r="U204" s="22" t="n">
        <f aca="false">100*(U70-U69)</f>
        <v>-1.02650536888331</v>
      </c>
      <c r="V204" s="22" t="n">
        <f aca="false">100*(V70-V69)</f>
        <v>-0.951985163173008</v>
      </c>
      <c r="W204" s="22" t="n">
        <f aca="false">100*(W70-W69)</f>
        <v>-0.873925929294583</v>
      </c>
      <c r="X204" s="22" t="n">
        <f aca="false">100*(X70-X69)</f>
        <v>-0.792255949680176</v>
      </c>
      <c r="Y204" s="22" t="n">
        <f aca="false">100*(Y70-Y69)</f>
        <v>-0.706988188350932</v>
      </c>
      <c r="Z204" s="22" t="n">
        <f aca="false">100*(Z70-Z69)</f>
        <v>-0.618284932472379</v>
      </c>
      <c r="AA204" s="22" t="n">
        <f aca="false">100*(AA70-AA69)</f>
        <v>-0.526532124003598</v>
      </c>
      <c r="AB204" s="22" t="n">
        <f aca="false">100*(AB70-AB69)</f>
        <v>-0.432311481178527</v>
      </c>
      <c r="AC204" s="22" t="n">
        <f aca="false">100*(AC70-AC69)</f>
        <v>-0.336367827267825</v>
      </c>
      <c r="AD204" s="22" t="n">
        <f aca="false">100*(AD70-AD69)</f>
        <v>-0.239582836562269</v>
      </c>
      <c r="AE204" s="22" t="n">
        <f aca="false">100*(AE70-AE69)</f>
        <v>-0.142972566513899</v>
      </c>
      <c r="AF204" s="22" t="n">
        <f aca="false">100*(AF70-AF69)</f>
        <v>-0.0477521095624933</v>
      </c>
      <c r="AG204" s="22" t="n">
        <f aca="false">100*(AG70-AG69)</f>
        <v>0.619917599407094</v>
      </c>
      <c r="AH204" s="22" t="n">
        <f aca="false">100*(AH70-AH69)</f>
        <v>0.62186559968449</v>
      </c>
      <c r="AI204" s="22" t="n">
        <f aca="false">100*(AI70-AI69)</f>
        <v>0.619978551186939</v>
      </c>
      <c r="AJ204" s="22" t="n">
        <f aca="false">100*(AJ70-AJ69)</f>
        <v>0.615338246920016</v>
      </c>
      <c r="AK204" s="22" t="n">
        <f aca="false">100*(AK70-AK69)</f>
        <v>0.608944110964016</v>
      </c>
      <c r="AL204" s="22" t="n">
        <f aca="false">AVERAGE(C204:AK204)</f>
        <v>-0.896925595401336</v>
      </c>
    </row>
    <row r="205" customFormat="false" ht="15" hidden="false" customHeight="false" outlineLevel="0" collapsed="false">
      <c r="A205" s="20" t="n">
        <f aca="false">A71</f>
        <v>-54</v>
      </c>
      <c r="B205" s="21" t="n">
        <f aca="false">B71</f>
        <v>41114</v>
      </c>
      <c r="C205" s="22" t="n">
        <f aca="false">100*(C71-C70)</f>
        <v>-0.922832795080785</v>
      </c>
      <c r="D205" s="22" t="n">
        <f aca="false">100*(D71-D70)</f>
        <v>-0.668334018201508</v>
      </c>
      <c r="E205" s="22" t="n">
        <f aca="false">100*(E71-E70)</f>
        <v>-0.44379118439051</v>
      </c>
      <c r="F205" s="22" t="n">
        <f aca="false">100*(F71-F70)</f>
        <v>-0.2822769464988</v>
      </c>
      <c r="G205" s="22" t="n">
        <f aca="false">100*(G71-G70)</f>
        <v>-0.184440097239413</v>
      </c>
      <c r="H205" s="22" t="n">
        <f aca="false">100*(H71-H70)</f>
        <v>-0.13996387595972</v>
      </c>
      <c r="I205" s="22" t="n">
        <f aca="false">100*(I71-I70)</f>
        <v>-0.136170947801562</v>
      </c>
      <c r="J205" s="22" t="n">
        <f aca="false">100*(J71-J70)</f>
        <v>-0.160699223630756</v>
      </c>
      <c r="K205" s="22" t="n">
        <f aca="false">100*(K71-K70)</f>
        <v>-0.203391892851512</v>
      </c>
      <c r="L205" s="22" t="n">
        <f aca="false">100*(L71-L70)</f>
        <v>-0.25565704034628</v>
      </c>
      <c r="M205" s="22" t="n">
        <f aca="false">100*(M71-M70)</f>
        <v>-0.310797770997384</v>
      </c>
      <c r="N205" s="22" t="n">
        <f aca="false">100*(N71-N70)</f>
        <v>-0.363759972775291</v>
      </c>
      <c r="O205" s="22" t="n">
        <f aca="false">100*(O71-O70)</f>
        <v>-0.410981610399808</v>
      </c>
      <c r="P205" s="22" t="n">
        <f aca="false">100*(P71-P70)</f>
        <v>-0.450328912654308</v>
      </c>
      <c r="Q205" s="22" t="n">
        <f aca="false">100*(Q71-Q70)</f>
        <v>-0.480850609426997</v>
      </c>
      <c r="R205" s="22" t="n">
        <f aca="false">100*(R71-R70)</f>
        <v>-0.50260149192789</v>
      </c>
      <c r="S205" s="22" t="n">
        <f aca="false">100*(S71-S70)</f>
        <v>-0.516375018759785</v>
      </c>
      <c r="T205" s="22" t="n">
        <f aca="false">100*(T71-T70)</f>
        <v>-0.523637657207599</v>
      </c>
      <c r="U205" s="22" t="n">
        <f aca="false">100*(U71-U70)</f>
        <v>-0.526033154567984</v>
      </c>
      <c r="V205" s="22" t="n">
        <f aca="false">100*(V71-V70)</f>
        <v>-0.525259330051697</v>
      </c>
      <c r="W205" s="22" t="n">
        <f aca="false">100*(W71-W70)</f>
        <v>-0.523056602567706</v>
      </c>
      <c r="X205" s="22" t="n">
        <f aca="false">100*(X71-X70)</f>
        <v>-0.521199470782419</v>
      </c>
      <c r="Y205" s="22" t="n">
        <f aca="false">100*(Y71-Y70)</f>
        <v>-0.521487534894582</v>
      </c>
      <c r="Z205" s="22" t="n">
        <f aca="false">100*(Z71-Z70)</f>
        <v>-0.525648471461926</v>
      </c>
      <c r="AA205" s="22" t="n">
        <f aca="false">100*(AA71-AA70)</f>
        <v>-0.535161989264399</v>
      </c>
      <c r="AB205" s="22" t="n">
        <f aca="false">100*(AB71-AB70)</f>
        <v>-0.551262581107093</v>
      </c>
      <c r="AC205" s="22" t="n">
        <f aca="false">100*(AC71-AC70)</f>
        <v>-0.574980273125192</v>
      </c>
      <c r="AD205" s="22" t="n">
        <f aca="false">100*(AD71-AD70)</f>
        <v>-0.607173617996626</v>
      </c>
      <c r="AE205" s="22" t="n">
        <f aca="false">100*(AE71-AE70)</f>
        <v>-0.648546786161885</v>
      </c>
      <c r="AF205" s="22" t="n">
        <f aca="false">100*(AF71-AF70)</f>
        <v>-0.699598692923598</v>
      </c>
      <c r="AG205" s="22" t="n">
        <f aca="false">100*(AG71-AG70)</f>
        <v>-2.12863365628859</v>
      </c>
      <c r="AH205" s="22" t="n">
        <f aca="false">100*(AH71-AH70)</f>
        <v>-2.26919763543618</v>
      </c>
      <c r="AI205" s="22" t="n">
        <f aca="false">100*(AI71-AI70)</f>
        <v>-2.40835896422182</v>
      </c>
      <c r="AJ205" s="22" t="n">
        <f aca="false">100*(AJ71-AJ70)</f>
        <v>-2.54488113350799</v>
      </c>
      <c r="AK205" s="22" t="n">
        <f aca="false">100*(AK71-AK70)</f>
        <v>-2.67763522136821</v>
      </c>
      <c r="AL205" s="22" t="n">
        <f aca="false">AVERAGE(C205:AK205)</f>
        <v>-0.735571605196509</v>
      </c>
    </row>
    <row r="206" customFormat="false" ht="15" hidden="false" customHeight="false" outlineLevel="0" collapsed="false">
      <c r="A206" s="20" t="n">
        <f aca="false">A72</f>
        <v>-53</v>
      </c>
      <c r="B206" s="21" t="n">
        <f aca="false">B72</f>
        <v>41115</v>
      </c>
      <c r="C206" s="22" t="n">
        <f aca="false">100*(C72-C71)</f>
        <v>-1.554987492062</v>
      </c>
      <c r="D206" s="22" t="n">
        <f aca="false">100*(D72-D71)</f>
        <v>-1.52142646371926</v>
      </c>
      <c r="E206" s="22" t="n">
        <f aca="false">100*(E72-E71)</f>
        <v>-1.49506282537731</v>
      </c>
      <c r="F206" s="22" t="n">
        <f aca="false">100*(F72-F71)</f>
        <v>-1.46843657298142</v>
      </c>
      <c r="G206" s="22" t="n">
        <f aca="false">100*(G72-G71)</f>
        <v>-1.43704639064806</v>
      </c>
      <c r="H206" s="22" t="n">
        <f aca="false">100*(H72-H71)</f>
        <v>-1.39855535845802</v>
      </c>
      <c r="I206" s="22" t="n">
        <f aca="false">100*(I72-I71)</f>
        <v>-1.35229015774826</v>
      </c>
      <c r="J206" s="22" t="n">
        <f aca="false">100*(J72-J71)</f>
        <v>-1.29811384405333</v>
      </c>
      <c r="K206" s="22" t="n">
        <f aca="false">100*(K72-K71)</f>
        <v>-1.23704341017827</v>
      </c>
      <c r="L206" s="22" t="n">
        <f aca="false">100*(L72-L71)</f>
        <v>-1.1700402817357</v>
      </c>
      <c r="M206" s="22" t="n">
        <f aca="false">100*(M72-M71)</f>
        <v>-1.09820005226831</v>
      </c>
      <c r="N206" s="22" t="n">
        <f aca="false">100*(N72-N71)</f>
        <v>-1.0228081490987</v>
      </c>
      <c r="O206" s="22" t="n">
        <f aca="false">100*(O72-O71)</f>
        <v>-0.945071058003899</v>
      </c>
      <c r="P206" s="22" t="n">
        <f aca="false">100*(P72-P71)</f>
        <v>-0.865994060803899</v>
      </c>
      <c r="Q206" s="22" t="n">
        <f aca="false">100*(Q72-Q71)</f>
        <v>-0.786446796490714</v>
      </c>
      <c r="R206" s="22" t="n">
        <f aca="false">100*(R72-R71)</f>
        <v>-0.707047302160713</v>
      </c>
      <c r="S206" s="22" t="n">
        <f aca="false">100*(S72-S71)</f>
        <v>-0.628151614648509</v>
      </c>
      <c r="T206" s="22" t="n">
        <f aca="false">100*(T72-T71)</f>
        <v>-0.549954270249109</v>
      </c>
      <c r="U206" s="22" t="n">
        <f aca="false">100*(U72-U71)</f>
        <v>-0.472634139025008</v>
      </c>
      <c r="V206" s="22" t="n">
        <f aca="false">100*(V72-V71)</f>
        <v>-0.39636700549639</v>
      </c>
      <c r="W206" s="22" t="n">
        <f aca="false">100*(W72-W71)</f>
        <v>-0.321326149884205</v>
      </c>
      <c r="X206" s="22" t="n">
        <f aca="false">100*(X72-X71)</f>
        <v>-0.247682848971786</v>
      </c>
      <c r="Y206" s="22" t="n">
        <f aca="false">100*(Y72-Y71)</f>
        <v>-0.175609336991789</v>
      </c>
      <c r="Z206" s="22" t="n">
        <f aca="false">100*(Z72-Z71)</f>
        <v>-0.105305466522898</v>
      </c>
      <c r="AA206" s="22" t="n">
        <f aca="false">100*(AA72-AA71)</f>
        <v>-0.0370048037158011</v>
      </c>
      <c r="AB206" s="22" t="n">
        <f aca="false">100*(AB72-AB71)</f>
        <v>0.0290360043996074</v>
      </c>
      <c r="AC206" s="22" t="n">
        <f aca="false">100*(AC72-AC71)</f>
        <v>0.0925411350120253</v>
      </c>
      <c r="AD206" s="22" t="n">
        <f aca="false">100*(AD72-AD71)</f>
        <v>0.153218654018428</v>
      </c>
      <c r="AE206" s="22" t="n">
        <f aca="false">100*(AE72-AE71)</f>
        <v>0.210763965113792</v>
      </c>
      <c r="AF206" s="22" t="n">
        <f aca="false">100*(AF72-AF71)</f>
        <v>0.264886812152909</v>
      </c>
      <c r="AG206" s="22" t="n">
        <f aca="false">100*(AG72-AG71)</f>
        <v>0.635559280960507</v>
      </c>
      <c r="AH206" s="22" t="n">
        <f aca="false">100*(AH72-AH71)</f>
        <v>0.64529332717429</v>
      </c>
      <c r="AI206" s="22" t="n">
        <f aca="false">100*(AI72-AI71)</f>
        <v>0.654113208014007</v>
      </c>
      <c r="AJ206" s="22" t="n">
        <f aca="false">100*(AJ72-AJ71)</f>
        <v>0.662424723765076</v>
      </c>
      <c r="AK206" s="22" t="n">
        <f aca="false">100*(AK72-AK71)</f>
        <v>0.670605789618506</v>
      </c>
      <c r="AL206" s="22" t="n">
        <f aca="false">AVERAGE(C206:AK206)</f>
        <v>-0.522118941458977</v>
      </c>
    </row>
    <row r="207" customFormat="false" ht="15" hidden="false" customHeight="false" outlineLevel="0" collapsed="false">
      <c r="A207" s="20" t="n">
        <f aca="false">A73</f>
        <v>-52</v>
      </c>
      <c r="B207" s="21" t="n">
        <f aca="false">B73</f>
        <v>41116</v>
      </c>
      <c r="C207" s="22" t="n">
        <f aca="false">100*(C73-C72)</f>
        <v>2.43375936359424</v>
      </c>
      <c r="D207" s="22" t="n">
        <f aca="false">100*(D73-D72)</f>
        <v>2.83165426932274</v>
      </c>
      <c r="E207" s="22" t="n">
        <f aca="false">100*(E73-E72)</f>
        <v>2.9909172798621</v>
      </c>
      <c r="F207" s="22" t="n">
        <f aca="false">100*(F73-F72)</f>
        <v>3.00968624561916</v>
      </c>
      <c r="G207" s="22" t="n">
        <f aca="false">100*(G73-G72)</f>
        <v>2.94853453293372</v>
      </c>
      <c r="H207" s="22" t="n">
        <f aca="false">100*(H73-H72)</f>
        <v>2.84456231009018</v>
      </c>
      <c r="I207" s="22" t="n">
        <f aca="false">100*(I73-I72)</f>
        <v>2.72123284448359</v>
      </c>
      <c r="J207" s="22" t="n">
        <f aca="false">100*(J73-J72)</f>
        <v>2.59382970058127</v>
      </c>
      <c r="K207" s="22" t="n">
        <f aca="false">100*(K73-K72)</f>
        <v>2.47265912336587</v>
      </c>
      <c r="L207" s="22" t="n">
        <f aca="false">100*(L73-L72)</f>
        <v>2.36399733186833</v>
      </c>
      <c r="M207" s="22" t="n">
        <f aca="false">100*(M73-M72)</f>
        <v>2.27081103327909</v>
      </c>
      <c r="N207" s="22" t="n">
        <f aca="false">100*(N73-N72)</f>
        <v>2.1934595709211</v>
      </c>
      <c r="O207" s="22" t="n">
        <f aca="false">100*(O73-O72)</f>
        <v>2.13019814347051</v>
      </c>
      <c r="P207" s="22" t="n">
        <f aca="false">100*(P73-P72)</f>
        <v>2.0781105348294</v>
      </c>
      <c r="Q207" s="22" t="n">
        <f aca="false">100*(Q73-Q72)</f>
        <v>2.03368710967722</v>
      </c>
      <c r="R207" s="22" t="n">
        <f aca="false">100*(R73-R72)</f>
        <v>1.99347498839331</v>
      </c>
      <c r="S207" s="22" t="n">
        <f aca="false">100*(S73-S72)</f>
        <v>1.954344522172</v>
      </c>
      <c r="T207" s="22" t="n">
        <f aca="false">100*(T73-T72)</f>
        <v>1.9136003730496</v>
      </c>
      <c r="U207" s="22" t="n">
        <f aca="false">100*(U73-U72)</f>
        <v>1.8691701756542</v>
      </c>
      <c r="V207" s="22" t="n">
        <f aca="false">100*(V73-V72)</f>
        <v>1.81952962361229</v>
      </c>
      <c r="W207" s="22" t="n">
        <f aca="false">100*(W73-W72)</f>
        <v>1.76358843610109</v>
      </c>
      <c r="X207" s="22" t="n">
        <f aca="false">100*(X73-X72)</f>
        <v>1.70060355273918</v>
      </c>
      <c r="Y207" s="22" t="n">
        <f aca="false">100*(Y73-Y72)</f>
        <v>1.6301127642544</v>
      </c>
      <c r="Z207" s="22" t="n">
        <f aca="false">100*(Z73-Z72)</f>
        <v>1.55192510932012</v>
      </c>
      <c r="AA207" s="22" t="n">
        <f aca="false">100*(AA73-AA72)</f>
        <v>1.46617442024781</v>
      </c>
      <c r="AB207" s="22" t="n">
        <f aca="false">100*(AB73-AB72)</f>
        <v>1.37328717205611</v>
      </c>
      <c r="AC207" s="22" t="n">
        <f aca="false">100*(AC73-AC72)</f>
        <v>1.2739337890721</v>
      </c>
      <c r="AD207" s="22" t="n">
        <f aca="false">100*(AD73-AD72)</f>
        <v>1.1689892571884</v>
      </c>
      <c r="AE207" s="22" t="n">
        <f aca="false">100*(AE73-AE72)</f>
        <v>1.0594955701019</v>
      </c>
      <c r="AF207" s="22" t="n">
        <f aca="false">100*(AF73-AF72)</f>
        <v>0.946626276580709</v>
      </c>
      <c r="AG207" s="22" t="n">
        <f aca="false">100*(AG73-AG72)</f>
        <v>-0.34698509881621</v>
      </c>
      <c r="AH207" s="22" t="n">
        <f aca="false">100*(AH73-AH72)</f>
        <v>-0.412804023284297</v>
      </c>
      <c r="AI207" s="22" t="n">
        <f aca="false">100*(AI73-AI72)</f>
        <v>-0.473472524158591</v>
      </c>
      <c r="AJ207" s="22" t="n">
        <f aca="false">100*(AJ73-AJ72)</f>
        <v>-0.52927696684506</v>
      </c>
      <c r="AK207" s="22" t="n">
        <f aca="false">100*(AK73-AK72)</f>
        <v>-0.580515816774296</v>
      </c>
      <c r="AL207" s="22" t="n">
        <f aca="false">AVERAGE(C207:AK207)</f>
        <v>1.68739717127324</v>
      </c>
    </row>
    <row r="208" customFormat="false" ht="15" hidden="false" customHeight="false" outlineLevel="0" collapsed="false">
      <c r="A208" s="20" t="n">
        <f aca="false">A74</f>
        <v>-51</v>
      </c>
      <c r="B208" s="21" t="n">
        <f aca="false">B74</f>
        <v>41117</v>
      </c>
      <c r="C208" s="22" t="n">
        <f aca="false">100*(C74-C73)</f>
        <v>3.30488671422345</v>
      </c>
      <c r="D208" s="22" t="n">
        <f aca="false">100*(D74-D73)</f>
        <v>3.7949493965074</v>
      </c>
      <c r="E208" s="22" t="n">
        <f aca="false">100*(E74-E73)</f>
        <v>4.19862815527342</v>
      </c>
      <c r="F208" s="22" t="n">
        <f aca="false">100*(F74-F73)</f>
        <v>4.53487354233636</v>
      </c>
      <c r="G208" s="22" t="n">
        <f aca="false">100*(G74-G73)</f>
        <v>4.81654857754572</v>
      </c>
      <c r="H208" s="22" t="n">
        <f aca="false">100*(H74-H73)</f>
        <v>5.05247510404246</v>
      </c>
      <c r="I208" s="22" t="n">
        <f aca="false">100*(I74-I73)</f>
        <v>5.24901039568029</v>
      </c>
      <c r="J208" s="22" t="n">
        <f aca="false">100*(J74-J73)</f>
        <v>5.41076689282045</v>
      </c>
      <c r="K208" s="22" t="n">
        <f aca="false">100*(K74-K73)</f>
        <v>5.54186017770625</v>
      </c>
      <c r="L208" s="22" t="n">
        <f aca="false">100*(L74-L73)</f>
        <v>5.64573831092345</v>
      </c>
      <c r="M208" s="22" t="n">
        <f aca="false">100*(M74-M73)</f>
        <v>5.72551029795001</v>
      </c>
      <c r="N208" s="22" t="n">
        <f aca="false">100*(N74-N73)</f>
        <v>5.78391077838409</v>
      </c>
      <c r="O208" s="22" t="n">
        <f aca="false">100*(O74-O73)</f>
        <v>5.823361748919</v>
      </c>
      <c r="P208" s="22" t="n">
        <f aca="false">100*(P74-P73)</f>
        <v>5.84621858519649</v>
      </c>
      <c r="Q208" s="22" t="n">
        <f aca="false">100*(Q74-Q73)</f>
        <v>5.85434492988359</v>
      </c>
      <c r="R208" s="22" t="n">
        <f aca="false">100*(R74-R73)</f>
        <v>5.84939295080049</v>
      </c>
      <c r="S208" s="22" t="n">
        <f aca="false">100*(S74-S73)</f>
        <v>5.83261962670789</v>
      </c>
      <c r="T208" s="22" t="n">
        <f aca="false">100*(T74-T73)</f>
        <v>5.80502244178001</v>
      </c>
      <c r="U208" s="22" t="n">
        <f aca="false">100*(U74-U73)</f>
        <v>5.7674347137908</v>
      </c>
      <c r="V208" s="22" t="n">
        <f aca="false">100*(V74-V73)</f>
        <v>5.7205872683965</v>
      </c>
      <c r="W208" s="22" t="n">
        <f aca="false">100*(W74-W73)</f>
        <v>5.6651299939634</v>
      </c>
      <c r="X208" s="22" t="n">
        <f aca="false">100*(X74-X73)</f>
        <v>5.60164802902703</v>
      </c>
      <c r="Y208" s="22" t="n">
        <f aca="false">100*(Y74-Y73)</f>
        <v>5.530670963861</v>
      </c>
      <c r="Z208" s="22" t="n">
        <f aca="false">100*(Z74-Z73)</f>
        <v>5.45270743800859</v>
      </c>
      <c r="AA208" s="22" t="n">
        <f aca="false">100*(AA74-AA73)</f>
        <v>5.3683815482636</v>
      </c>
      <c r="AB208" s="22" t="n">
        <f aca="false">100*(AB74-AB73)</f>
        <v>5.27845316864588</v>
      </c>
      <c r="AC208" s="22" t="n">
        <f aca="false">100*(AC74-AC73)</f>
        <v>5.18379548889318</v>
      </c>
      <c r="AD208" s="22" t="n">
        <f aca="false">100*(AD74-AD73)</f>
        <v>5.08537664226028</v>
      </c>
      <c r="AE208" s="22" t="n">
        <f aca="false">100*(AE74-AE73)</f>
        <v>4.98424891626059</v>
      </c>
      <c r="AF208" s="22" t="n">
        <f aca="false">100*(AF74-AF73)</f>
        <v>4.88161483434548</v>
      </c>
      <c r="AG208" s="22" t="n">
        <f aca="false">100*(AG74-AG73)</f>
        <v>3.90577455910401</v>
      </c>
      <c r="AH208" s="22" t="n">
        <f aca="false">100*(AH74-AH73)</f>
        <v>3.87608127644379</v>
      </c>
      <c r="AI208" s="22" t="n">
        <f aca="false">100*(AI74-AI73)</f>
        <v>3.85265419351559</v>
      </c>
      <c r="AJ208" s="22" t="n">
        <f aca="false">100*(AJ74-AJ73)</f>
        <v>3.83510828256908</v>
      </c>
      <c r="AK208" s="22" t="n">
        <f aca="false">100*(AK74-AK73)</f>
        <v>3.82303474788248</v>
      </c>
      <c r="AL208" s="22" t="n">
        <f aca="false">AVERAGE(C208:AK208)</f>
        <v>5.0823663054832</v>
      </c>
    </row>
    <row r="209" customFormat="false" ht="15" hidden="false" customHeight="false" outlineLevel="0" collapsed="false">
      <c r="A209" s="20" t="n">
        <f aca="false">A75</f>
        <v>-50</v>
      </c>
      <c r="B209" s="21" t="n">
        <f aca="false">B75</f>
        <v>41120</v>
      </c>
      <c r="C209" s="22" t="n">
        <f aca="false">100*(C75-C74)</f>
        <v>-0.626179582713432</v>
      </c>
      <c r="D209" s="22" t="n">
        <f aca="false">100*(D75-D74)</f>
        <v>-0.433519393601212</v>
      </c>
      <c r="E209" s="22" t="n">
        <f aca="false">100*(E75-E74)</f>
        <v>-0.248051152668632</v>
      </c>
      <c r="F209" s="22" t="n">
        <f aca="false">100*(F75-F74)</f>
        <v>-0.0814970422499117</v>
      </c>
      <c r="G209" s="22" t="n">
        <f aca="false">100*(G75-G74)</f>
        <v>0.0624771941494184</v>
      </c>
      <c r="H209" s="22" t="n">
        <f aca="false">100*(H75-H74)</f>
        <v>0.184051792579576</v>
      </c>
      <c r="I209" s="22" t="n">
        <f aca="false">100*(I75-I74)</f>
        <v>0.285204958447349</v>
      </c>
      <c r="J209" s="22" t="n">
        <f aca="false">100*(J75-J74)</f>
        <v>0.368338749821362</v>
      </c>
      <c r="K209" s="22" t="n">
        <f aca="false">100*(K75-K74)</f>
        <v>0.43591370636622</v>
      </c>
      <c r="L209" s="22" t="n">
        <f aca="false">100*(L75-L74)</f>
        <v>0.489989448843631</v>
      </c>
      <c r="M209" s="22" t="n">
        <f aca="false">100*(M75-M74)</f>
        <v>0.53255616701009</v>
      </c>
      <c r="N209" s="22" t="n">
        <f aca="false">100*(N75-N74)</f>
        <v>0.565538883762007</v>
      </c>
      <c r="O209" s="22" t="n">
        <f aca="false">100*(O75-O74)</f>
        <v>0.590706416777298</v>
      </c>
      <c r="P209" s="22" t="n">
        <f aca="false">100*(P75-P74)</f>
        <v>0.609620725075799</v>
      </c>
      <c r="Q209" s="22" t="n">
        <f aca="false">100*(Q75-Q74)</f>
        <v>0.623561015820995</v>
      </c>
      <c r="R209" s="22" t="n">
        <f aca="false">100*(R75-R74)</f>
        <v>0.633687382529713</v>
      </c>
      <c r="S209" s="22" t="n">
        <f aca="false">100*(S75-S74)</f>
        <v>0.641033590032203</v>
      </c>
      <c r="T209" s="22" t="n">
        <f aca="false">100*(T75-T74)</f>
        <v>0.646546899524791</v>
      </c>
      <c r="U209" s="22" t="n">
        <f aca="false">100*(U75-U74)</f>
        <v>0.651031531462198</v>
      </c>
      <c r="V209" s="22" t="n">
        <f aca="false">100*(V75-V74)</f>
        <v>0.65517329642919</v>
      </c>
      <c r="W209" s="22" t="n">
        <f aca="false">100*(W75-W74)</f>
        <v>0.659564309152017</v>
      </c>
      <c r="X209" s="22" t="n">
        <f aca="false">100*(X75-X74)</f>
        <v>0.664721727670381</v>
      </c>
      <c r="Y209" s="22" t="n">
        <f aca="false">100*(Y75-Y74)</f>
        <v>0.671098528285485</v>
      </c>
      <c r="Z209" s="22" t="n">
        <f aca="false">100*(Z75-Z74)</f>
        <v>0.679049898002715</v>
      </c>
      <c r="AA209" s="22" t="n">
        <f aca="false">100*(AA75-AA74)</f>
        <v>0.688810641036586</v>
      </c>
      <c r="AB209" s="22" t="n">
        <f aca="false">100*(AB75-AB74)</f>
        <v>0.700515371939803</v>
      </c>
      <c r="AC209" s="22" t="n">
        <f aca="false">100*(AC75-AC74)</f>
        <v>0.71421524767481</v>
      </c>
      <c r="AD209" s="22" t="n">
        <f aca="false">100*(AD75-AD74)</f>
        <v>0.729891365086699</v>
      </c>
      <c r="AE209" s="22" t="n">
        <f aca="false">100*(AE75-AE74)</f>
        <v>0.7474542867278</v>
      </c>
      <c r="AF209" s="22" t="n">
        <f aca="false">100*(AF75-AF74)</f>
        <v>0.766715735531998</v>
      </c>
      <c r="AG209" s="22" t="n">
        <f aca="false">100*(AG75-AG74)</f>
        <v>1.03265633195848</v>
      </c>
      <c r="AH209" s="22" t="n">
        <f aca="false">100*(AH75-AH74)</f>
        <v>1.04525902653991</v>
      </c>
      <c r="AI209" s="22" t="n">
        <f aca="false">100*(AI75-AI74)</f>
        <v>1.0559217213618</v>
      </c>
      <c r="AJ209" s="22" t="n">
        <f aca="false">100*(AJ75-AJ74)</f>
        <v>1.06459469749129</v>
      </c>
      <c r="AK209" s="22" t="n">
        <f aca="false">100*(AK75-AK74)</f>
        <v>1.0712688503383</v>
      </c>
      <c r="AL209" s="22" t="n">
        <f aca="false">AVERAGE(C209:AK209)</f>
        <v>0.539369209319907</v>
      </c>
    </row>
    <row r="210" customFormat="false" ht="15" hidden="false" customHeight="false" outlineLevel="0" collapsed="false">
      <c r="A210" s="20" t="n">
        <f aca="false">A76</f>
        <v>-49</v>
      </c>
      <c r="B210" s="21" t="n">
        <f aca="false">B76</f>
        <v>41121</v>
      </c>
      <c r="C210" s="22" t="n">
        <f aca="false">100*(C76-C75)</f>
        <v>-2.94033569829619</v>
      </c>
      <c r="D210" s="22" t="n">
        <f aca="false">100*(D76-D75)</f>
        <v>-3.52156678820803</v>
      </c>
      <c r="E210" s="22" t="n">
        <f aca="false">100*(E76-E75)</f>
        <v>-4.00156652606259</v>
      </c>
      <c r="F210" s="22" t="n">
        <f aca="false">100*(F76-F75)</f>
        <v>-4.40982040356617</v>
      </c>
      <c r="G210" s="22" t="n">
        <f aca="false">100*(G76-G75)</f>
        <v>-4.7728258987043</v>
      </c>
      <c r="H210" s="22" t="n">
        <f aca="false">100*(H76-H75)</f>
        <v>-5.1086087464374</v>
      </c>
      <c r="I210" s="22" t="n">
        <f aca="false">100*(I76-I75)</f>
        <v>-5.42669868434849</v>
      </c>
      <c r="J210" s="22" t="n">
        <f aca="false">100*(J76-J75)</f>
        <v>-5.73002833742777</v>
      </c>
      <c r="K210" s="22" t="n">
        <f aca="false">100*(K76-K75)</f>
        <v>-6.01678019444903</v>
      </c>
      <c r="L210" s="22" t="n">
        <f aca="false">100*(L76-L75)</f>
        <v>-6.2830972993482</v>
      </c>
      <c r="M210" s="22" t="n">
        <f aca="false">100*(M76-M75)</f>
        <v>-6.52474727821009</v>
      </c>
      <c r="N210" s="22" t="n">
        <f aca="false">100*(N76-N75)</f>
        <v>-6.7378968545273</v>
      </c>
      <c r="O210" s="22" t="n">
        <f aca="false">100*(O76-O75)</f>
        <v>-6.9199114969221</v>
      </c>
      <c r="P210" s="22" t="n">
        <f aca="false">100*(P76-P75)</f>
        <v>-7.06950714793391</v>
      </c>
      <c r="Q210" s="22" t="n">
        <f aca="false">100*(Q76-Q75)</f>
        <v>-7.18678677130589</v>
      </c>
      <c r="R210" s="22" t="n">
        <f aca="false">100*(R76-R75)</f>
        <v>-7.27298599971811</v>
      </c>
      <c r="S210" s="22" t="n">
        <f aca="false">100*(S76-S75)</f>
        <v>-7.3304428155557</v>
      </c>
      <c r="T210" s="22" t="n">
        <f aca="false">100*(T76-T75)</f>
        <v>-7.3622750211648</v>
      </c>
      <c r="U210" s="22" t="n">
        <f aca="false">100*(U76-U75)</f>
        <v>-7.3715583225108</v>
      </c>
      <c r="V210" s="22" t="n">
        <f aca="false">100*(V76-V75)</f>
        <v>-7.3612177364291</v>
      </c>
      <c r="W210" s="22" t="n">
        <f aca="false">100*(W76-W75)</f>
        <v>-7.33405883974481</v>
      </c>
      <c r="X210" s="22" t="n">
        <f aca="false">100*(X76-X75)</f>
        <v>-7.29279165727659</v>
      </c>
      <c r="Y210" s="22" t="n">
        <f aca="false">100*(Y76-Y75)</f>
        <v>-7.24004471000348</v>
      </c>
      <c r="Z210" s="22" t="n">
        <f aca="false">100*(Z76-Z75)</f>
        <v>-7.1782590745828</v>
      </c>
      <c r="AA210" s="22" t="n">
        <f aca="false">100*(AA76-AA75)</f>
        <v>-7.10950611983741</v>
      </c>
      <c r="AB210" s="22" t="n">
        <f aca="false">100*(AB76-AB75)</f>
        <v>-7.03551153922</v>
      </c>
      <c r="AC210" s="22" t="n">
        <f aca="false">100*(AC76-AC75)</f>
        <v>-6.95771289528362</v>
      </c>
      <c r="AD210" s="22" t="n">
        <f aca="false">100*(AD76-AD75)</f>
        <v>-6.8773061805286</v>
      </c>
      <c r="AE210" s="22" t="n">
        <f aca="false">100*(AE76-AE75)</f>
        <v>-6.79530307917342</v>
      </c>
      <c r="AF210" s="22" t="n">
        <f aca="false">100*(AF76-AF75)</f>
        <v>-6.71263678097032</v>
      </c>
      <c r="AG210" s="22" t="n">
        <f aca="false">100*(AG76-AG75)</f>
        <v>-5.83231335464851</v>
      </c>
      <c r="AH210" s="22" t="n">
        <f aca="false">100*(AH76-AH75)</f>
        <v>-5.78638287786752</v>
      </c>
      <c r="AI210" s="22" t="n">
        <f aca="false">100*(AI76-AI75)</f>
        <v>-5.74345280333919</v>
      </c>
      <c r="AJ210" s="22" t="n">
        <f aca="false">100*(AJ76-AJ75)</f>
        <v>-5.7034145998156</v>
      </c>
      <c r="AK210" s="22" t="n">
        <f aca="false">100*(AK76-AK75)</f>
        <v>-5.66615404074891</v>
      </c>
      <c r="AL210" s="22" t="n">
        <f aca="false">AVERAGE(C210:AK210)</f>
        <v>-6.24610018783334</v>
      </c>
    </row>
    <row r="211" customFormat="false" ht="15" hidden="false" customHeight="false" outlineLevel="0" collapsed="false">
      <c r="A211" s="20" t="n">
        <f aca="false">A77</f>
        <v>-48</v>
      </c>
      <c r="B211" s="21" t="n">
        <f aca="false">B77</f>
        <v>41122</v>
      </c>
      <c r="C211" s="22" t="n">
        <f aca="false">100*(C77-C76)</f>
        <v>0.435685201376479</v>
      </c>
      <c r="D211" s="22" t="n">
        <f aca="false">100*(D77-D76)</f>
        <v>0.780363056724252</v>
      </c>
      <c r="E211" s="22" t="n">
        <f aca="false">100*(E77-E76)</f>
        <v>1.13646984192969</v>
      </c>
      <c r="F211" s="22" t="n">
        <f aca="false">100*(F77-F76)</f>
        <v>1.5205944819958</v>
      </c>
      <c r="G211" s="22" t="n">
        <f aca="false">100*(G77-G76)</f>
        <v>1.92854353646164</v>
      </c>
      <c r="H211" s="22" t="n">
        <f aca="false">100*(H77-H76)</f>
        <v>2.34868112076705</v>
      </c>
      <c r="I211" s="22" t="n">
        <f aca="false">100*(I77-I76)</f>
        <v>2.76780231494589</v>
      </c>
      <c r="J211" s="22" t="n">
        <f aca="false">100*(J77-J76)</f>
        <v>3.17345146816818</v>
      </c>
      <c r="K211" s="22" t="n">
        <f aca="false">100*(K77-K76)</f>
        <v>3.55507839829264</v>
      </c>
      <c r="L211" s="22" t="n">
        <f aca="false">100*(L77-L76)</f>
        <v>3.90420303530115</v>
      </c>
      <c r="M211" s="22" t="n">
        <f aca="false">100*(M77-M76)</f>
        <v>4.2146864155459</v>
      </c>
      <c r="N211" s="22" t="n">
        <f aca="false">100*(N77-N76)</f>
        <v>4.4824182875876</v>
      </c>
      <c r="O211" s="22" t="n">
        <f aca="false">100*(O77-O76)</f>
        <v>4.70527029540582</v>
      </c>
      <c r="P211" s="22" t="n">
        <f aca="false">100*(P77-P76)</f>
        <v>4.882819310679</v>
      </c>
      <c r="Q211" s="22" t="n">
        <f aca="false">100*(Q77-Q76)</f>
        <v>5.01596497567969</v>
      </c>
      <c r="R211" s="22" t="n">
        <f aca="false">100*(R77-R76)</f>
        <v>5.10668172362161</v>
      </c>
      <c r="S211" s="22" t="n">
        <f aca="false">100*(S77-S76)</f>
        <v>5.15766064189942</v>
      </c>
      <c r="T211" s="22" t="n">
        <f aca="false">100*(T77-T76)</f>
        <v>5.1720686939666</v>
      </c>
      <c r="U211" s="22" t="n">
        <f aca="false">100*(U77-U76)</f>
        <v>5.15323787810409</v>
      </c>
      <c r="V211" s="22" t="n">
        <f aca="false">100*(V77-V76)</f>
        <v>5.10460195724021</v>
      </c>
      <c r="W211" s="22" t="n">
        <f aca="false">100*(W77-W76)</f>
        <v>5.02967527534999</v>
      </c>
      <c r="X211" s="22" t="n">
        <f aca="false">100*(X77-X76)</f>
        <v>4.93203664124671</v>
      </c>
      <c r="Y211" s="22" t="n">
        <f aca="false">100*(Y77-Y76)</f>
        <v>4.81531234880799</v>
      </c>
      <c r="Z211" s="22" t="n">
        <f aca="false">100*(Z77-Z76)</f>
        <v>4.68310385675248</v>
      </c>
      <c r="AA211" s="22" t="n">
        <f aca="false">100*(AA77-AA76)</f>
        <v>4.53892448695612</v>
      </c>
      <c r="AB211" s="22" t="n">
        <f aca="false">100*(AB77-AB76)</f>
        <v>4.38620942709531</v>
      </c>
      <c r="AC211" s="22" t="n">
        <f aca="false">100*(AC77-AC76)</f>
        <v>4.22832877657728</v>
      </c>
      <c r="AD211" s="22" t="n">
        <f aca="false">100*(AD77-AD76)</f>
        <v>4.06859798918839</v>
      </c>
      <c r="AE211" s="22" t="n">
        <f aca="false">100*(AE77-AE76)</f>
        <v>3.91028233935633</v>
      </c>
      <c r="AF211" s="22" t="n">
        <f aca="false">100*(AF77-AF76)</f>
        <v>3.7566044638929</v>
      </c>
      <c r="AG211" s="22" t="n">
        <f aca="false">100*(AG77-AG76)</f>
        <v>3.05073867317343</v>
      </c>
      <c r="AH211" s="22" t="n">
        <f aca="false">100*(AH77-AH76)</f>
        <v>3.10292509017982</v>
      </c>
      <c r="AI211" s="22" t="n">
        <f aca="false">100*(AI77-AI76)</f>
        <v>3.1647623004345</v>
      </c>
      <c r="AJ211" s="22" t="n">
        <f aca="false">100*(AJ77-AJ76)</f>
        <v>3.23457312233919</v>
      </c>
      <c r="AK211" s="22" t="n">
        <f aca="false">100*(AK77-AK76)</f>
        <v>3.3107749551839</v>
      </c>
      <c r="AL211" s="22" t="n">
        <f aca="false">AVERAGE(C211:AK211)</f>
        <v>3.73597521092077</v>
      </c>
    </row>
    <row r="212" customFormat="false" ht="15" hidden="false" customHeight="false" outlineLevel="0" collapsed="false">
      <c r="A212" s="20" t="n">
        <f aca="false">A78</f>
        <v>-47</v>
      </c>
      <c r="B212" s="21" t="n">
        <f aca="false">B78</f>
        <v>41123</v>
      </c>
      <c r="C212" s="22" t="n">
        <f aca="false">100*(C78-C77)</f>
        <v>-3.95681117070953</v>
      </c>
      <c r="D212" s="22" t="n">
        <f aca="false">100*(D78-D77)</f>
        <v>-4.83968831851334</v>
      </c>
      <c r="E212" s="22" t="n">
        <f aca="false">100*(E78-E77)</f>
        <v>-5.47271463990699</v>
      </c>
      <c r="F212" s="22" t="n">
        <f aca="false">100*(F78-F77)</f>
        <v>-5.94283338781219</v>
      </c>
      <c r="G212" s="22" t="n">
        <f aca="false">100*(G78-G77)</f>
        <v>-6.30755377927823</v>
      </c>
      <c r="H212" s="22" t="n">
        <f aca="false">100*(H78-H77)</f>
        <v>-6.60260020693877</v>
      </c>
      <c r="I212" s="22" t="n">
        <f aca="false">100*(I78-I77)</f>
        <v>-6.84955650317559</v>
      </c>
      <c r="J212" s="22" t="n">
        <f aca="false">100*(J78-J77)</f>
        <v>-7.0610776081227</v>
      </c>
      <c r="K212" s="22" t="n">
        <f aca="false">100*(K78-K77)</f>
        <v>-7.24402038539788</v>
      </c>
      <c r="L212" s="22" t="n">
        <f aca="false">100*(L78-L77)</f>
        <v>-7.40229081878746</v>
      </c>
      <c r="M212" s="22" t="n">
        <f aca="false">100*(M78-M77)</f>
        <v>-7.53819627243633</v>
      </c>
      <c r="N212" s="22" t="n">
        <f aca="false">100*(N78-N77)</f>
        <v>-7.65315722876019</v>
      </c>
      <c r="O212" s="22" t="n">
        <f aca="false">100*(O78-O77)</f>
        <v>-7.74815294514322</v>
      </c>
      <c r="P212" s="22" t="n">
        <f aca="false">100*(P78-P77)</f>
        <v>-7.82383453438389</v>
      </c>
      <c r="Q212" s="22" t="n">
        <f aca="false">100*(Q78-Q77)</f>
        <v>-7.8807047023558</v>
      </c>
      <c r="R212" s="22" t="n">
        <f aca="false">100*(R78-R77)</f>
        <v>-7.91917338013202</v>
      </c>
      <c r="S212" s="22" t="n">
        <f aca="false">100*(S78-S77)</f>
        <v>-7.93969299239521</v>
      </c>
      <c r="T212" s="22" t="n">
        <f aca="false">100*(T78-T77)</f>
        <v>-7.9427138781669</v>
      </c>
      <c r="U212" s="22" t="n">
        <f aca="false">100*(U78-U77)</f>
        <v>-7.92870032289739</v>
      </c>
      <c r="V212" s="22" t="n">
        <f aca="false">100*(V78-V77)</f>
        <v>-7.89812542100259</v>
      </c>
      <c r="W212" s="22" t="n">
        <f aca="false">100*(W78-W77)</f>
        <v>-7.85146920192099</v>
      </c>
      <c r="X212" s="22" t="n">
        <f aca="false">100*(X78-X77)</f>
        <v>-7.7892172431087</v>
      </c>
      <c r="Y212" s="22" t="n">
        <f aca="false">100*(Y78-Y77)</f>
        <v>-7.71186502935639</v>
      </c>
      <c r="Z212" s="22" t="n">
        <f aca="false">100*(Z78-Z77)</f>
        <v>-7.61999364669359</v>
      </c>
      <c r="AA212" s="22" t="n">
        <f aca="false">100*(AA78-AA77)</f>
        <v>-7.5143411831621</v>
      </c>
      <c r="AB212" s="22" t="n">
        <f aca="false">100*(AB78-AB77)</f>
        <v>-7.39578350577541</v>
      </c>
      <c r="AC212" s="22" t="n">
        <f aca="false">100*(AC78-AC77)</f>
        <v>-7.26531127661398</v>
      </c>
      <c r="AD212" s="22" t="n">
        <f aca="false">100*(AD78-AD77)</f>
        <v>-7.12401157019009</v>
      </c>
      <c r="AE212" s="22" t="n">
        <f aca="false">100*(AE78-AE77)</f>
        <v>-6.97308375264223</v>
      </c>
      <c r="AF212" s="22" t="n">
        <f aca="false">100*(AF78-AF77)</f>
        <v>-6.8139518931492</v>
      </c>
      <c r="AG212" s="22" t="n">
        <f aca="false">100*(AG78-AG77)</f>
        <v>-4.69115961136501</v>
      </c>
      <c r="AH212" s="22" t="n">
        <f aca="false">100*(AH78-AH77)</f>
        <v>-4.56336497799641</v>
      </c>
      <c r="AI212" s="22" t="n">
        <f aca="false">100*(AI78-AI77)</f>
        <v>-4.44388213278351</v>
      </c>
      <c r="AJ212" s="22" t="n">
        <f aca="false">100*(AJ78-AJ77)</f>
        <v>-4.33290669031687</v>
      </c>
      <c r="AK212" s="22" t="n">
        <f aca="false">100*(AK78-AK77)</f>
        <v>-4.23053866667429</v>
      </c>
      <c r="AL212" s="22" t="n">
        <f aca="false">AVERAGE(C212:AK212)</f>
        <v>-6.750642253659</v>
      </c>
    </row>
    <row r="213" customFormat="false" ht="15" hidden="false" customHeight="false" outlineLevel="0" collapsed="false">
      <c r="A213" s="20" t="n">
        <f aca="false">A79</f>
        <v>-46</v>
      </c>
      <c r="B213" s="21" t="n">
        <f aca="false">B79</f>
        <v>41124</v>
      </c>
      <c r="C213" s="22" t="n">
        <f aca="false">100*(C79-C78)</f>
        <v>5.67484951514179</v>
      </c>
      <c r="D213" s="22" t="n">
        <f aca="false">100*(D79-D78)</f>
        <v>6.92060940514172</v>
      </c>
      <c r="E213" s="22" t="n">
        <f aca="false">100*(E79-E78)</f>
        <v>7.86084945193979</v>
      </c>
      <c r="F213" s="22" t="n">
        <f aca="false">100*(F79-F78)</f>
        <v>8.59255167302346</v>
      </c>
      <c r="G213" s="22" t="n">
        <f aca="false">100*(G79-G78)</f>
        <v>9.19046099187702</v>
      </c>
      <c r="H213" s="22" t="n">
        <f aca="false">100*(H79-H78)</f>
        <v>9.70432788277307</v>
      </c>
      <c r="I213" s="22" t="n">
        <f aca="false">100*(I79-I78)</f>
        <v>10.1640780524611</v>
      </c>
      <c r="J213" s="22" t="n">
        <f aca="false">100*(J79-J78)</f>
        <v>10.5839241121975</v>
      </c>
      <c r="K213" s="22" t="n">
        <f aca="false">100*(K79-K78)</f>
        <v>10.9685084350327</v>
      </c>
      <c r="L213" s="22" t="n">
        <f aca="false">100*(L79-L78)</f>
        <v>11.3162467313589</v>
      </c>
      <c r="M213" s="22" t="n">
        <f aca="false">100*(M79-M78)</f>
        <v>11.6233313637162</v>
      </c>
      <c r="N213" s="22" t="n">
        <f aca="false">100*(N79-N78)</f>
        <v>11.8855398992496</v>
      </c>
      <c r="O213" s="22" t="n">
        <f aca="false">100*(O79-O78)</f>
        <v>12.0994948408838</v>
      </c>
      <c r="P213" s="22" t="n">
        <f aca="false">100*(P79-P78)</f>
        <v>12.2630533898504</v>
      </c>
      <c r="Q213" s="22" t="n">
        <f aca="false">100*(Q79-Q78)</f>
        <v>12.3756437499778</v>
      </c>
      <c r="R213" s="22" t="n">
        <f aca="false">100*(R79-R78)</f>
        <v>12.4381913525217</v>
      </c>
      <c r="S213" s="22" t="n">
        <f aca="false">100*(S79-S78)</f>
        <v>12.4528689268886</v>
      </c>
      <c r="T213" s="22" t="n">
        <f aca="false">100*(T79-T78)</f>
        <v>12.4228125941944</v>
      </c>
      <c r="U213" s="22" t="n">
        <f aca="false">100*(U79-U78)</f>
        <v>12.3516403343754</v>
      </c>
      <c r="V213" s="22" t="n">
        <f aca="false">100*(V79-V78)</f>
        <v>12.2433280087222</v>
      </c>
      <c r="W213" s="22" t="n">
        <f aca="false">100*(W79-W78)</f>
        <v>12.1021348899486</v>
      </c>
      <c r="X213" s="22" t="n">
        <f aca="false">100*(X79-X78)</f>
        <v>11.9325469799068</v>
      </c>
      <c r="Y213" s="22" t="n">
        <f aca="false">100*(Y79-Y78)</f>
        <v>11.7392187419326</v>
      </c>
      <c r="Z213" s="22" t="n">
        <f aca="false">100*(Z79-Z78)</f>
        <v>11.52675876774</v>
      </c>
      <c r="AA213" s="22" t="n">
        <f aca="false">100*(AA79-AA78)</f>
        <v>11.2995633075271</v>
      </c>
      <c r="AB213" s="22" t="n">
        <f aca="false">100*(AB79-AB78)</f>
        <v>11.0618436878612</v>
      </c>
      <c r="AC213" s="22" t="n">
        <f aca="false">100*(AC79-AC78)</f>
        <v>10.8176571993059</v>
      </c>
      <c r="AD213" s="22" t="n">
        <f aca="false">100*(AD79-AD78)</f>
        <v>10.5709316425034</v>
      </c>
      <c r="AE213" s="22" t="n">
        <f aca="false">100*(AE79-AE78)</f>
        <v>10.3254457604146</v>
      </c>
      <c r="AF213" s="22" t="n">
        <f aca="false">100*(AF79-AF78)</f>
        <v>10.0847312252136</v>
      </c>
      <c r="AG213" s="22" t="n">
        <f aca="false">100*(AG79-AG78)</f>
        <v>8.27946556272678</v>
      </c>
      <c r="AH213" s="22" t="n">
        <f aca="false">100*(AH79-AH78)</f>
        <v>8.25440812901932</v>
      </c>
      <c r="AI213" s="22" t="n">
        <f aca="false">100*(AI79-AI78)</f>
        <v>8.2415550493093</v>
      </c>
      <c r="AJ213" s="22" t="n">
        <f aca="false">100*(AJ79-AJ78)</f>
        <v>8.2395821653197</v>
      </c>
      <c r="AK213" s="22" t="n">
        <f aca="false">100*(AK79-AK78)</f>
        <v>8.247210939254</v>
      </c>
      <c r="AL213" s="22" t="n">
        <f aca="false">AVERAGE(C213:AK213)</f>
        <v>10.4530104216946</v>
      </c>
    </row>
    <row r="214" customFormat="false" ht="15" hidden="false" customHeight="false" outlineLevel="0" collapsed="false">
      <c r="A214" s="20" t="n">
        <f aca="false">A80</f>
        <v>-45</v>
      </c>
      <c r="B214" s="21" t="n">
        <f aca="false">B80</f>
        <v>41127</v>
      </c>
      <c r="C214" s="22" t="n">
        <f aca="false">100*(C80-C79)</f>
        <v>-3.63308803437688</v>
      </c>
      <c r="D214" s="22" t="n">
        <f aca="false">100*(D80-D79)</f>
        <v>-4.22783116894855</v>
      </c>
      <c r="E214" s="22" t="n">
        <f aca="false">100*(E80-E79)</f>
        <v>-4.61824363056433</v>
      </c>
      <c r="F214" s="22" t="n">
        <f aca="false">100*(F80-F79)</f>
        <v>-4.88236394681754</v>
      </c>
      <c r="G214" s="22" t="n">
        <f aca="false">100*(G80-G79)</f>
        <v>-5.07037524675234</v>
      </c>
      <c r="H214" s="22" t="n">
        <f aca="false">100*(H80-H79)</f>
        <v>-5.2130175731531</v>
      </c>
      <c r="I214" s="22" t="n">
        <f aca="false">100*(I80-I79)</f>
        <v>-5.32880424562696</v>
      </c>
      <c r="J214" s="22" t="n">
        <f aca="false">100*(J80-J79)</f>
        <v>-5.42904180202991</v>
      </c>
      <c r="K214" s="22" t="n">
        <f aca="false">100*(K80-K79)</f>
        <v>-5.52014897954289</v>
      </c>
      <c r="L214" s="22" t="n">
        <f aca="false">100*(L80-L79)</f>
        <v>-5.60575731133672</v>
      </c>
      <c r="M214" s="22" t="n">
        <f aca="false">100*(M80-M79)</f>
        <v>-5.68762536202589</v>
      </c>
      <c r="N214" s="22" t="n">
        <f aca="false">100*(N80-N79)</f>
        <v>-5.76629706579799</v>
      </c>
      <c r="O214" s="22" t="n">
        <f aca="false">100*(O80-O79)</f>
        <v>-5.84182018756441</v>
      </c>
      <c r="P214" s="22" t="n">
        <f aca="false">100*(P80-P79)</f>
        <v>-5.91423727557621</v>
      </c>
      <c r="Q214" s="22" t="n">
        <f aca="false">100*(Q80-Q79)</f>
        <v>-5.9838212656264</v>
      </c>
      <c r="R214" s="22" t="n">
        <f aca="false">100*(R80-R79)</f>
        <v>-6.05136939733411</v>
      </c>
      <c r="S214" s="22" t="n">
        <f aca="false">100*(S80-S79)</f>
        <v>-6.11846956991631</v>
      </c>
      <c r="T214" s="22" t="n">
        <f aca="false">100*(T80-T79)</f>
        <v>-6.1873364609198</v>
      </c>
      <c r="U214" s="22" t="n">
        <f aca="false">100*(U80-U79)</f>
        <v>-6.25991832728841</v>
      </c>
      <c r="V214" s="22" t="n">
        <f aca="false">100*(V80-V79)</f>
        <v>-6.3378275790615</v>
      </c>
      <c r="W214" s="22" t="n">
        <f aca="false">100*(W80-W79)</f>
        <v>-6.42241066048257</v>
      </c>
      <c r="X214" s="22" t="n">
        <f aca="false">100*(X80-X79)</f>
        <v>-6.51480124315782</v>
      </c>
      <c r="Y214" s="22" t="n">
        <f aca="false">100*(Y80-Y79)</f>
        <v>-6.6159522464726</v>
      </c>
      <c r="Z214" s="22" t="n">
        <f aca="false">100*(Z80-Z79)</f>
        <v>-6.72647096552019</v>
      </c>
      <c r="AA214" s="22" t="n">
        <f aca="false">100*(AA80-AA79)</f>
        <v>-6.846366648591</v>
      </c>
      <c r="AB214" s="22" t="n">
        <f aca="false">100*(AB80-AB79)</f>
        <v>-6.975102703879</v>
      </c>
      <c r="AC214" s="22" t="n">
        <f aca="false">100*(AC80-AC79)</f>
        <v>-7.11168762548491</v>
      </c>
      <c r="AD214" s="22" t="n">
        <f aca="false">100*(AD80-AD79)</f>
        <v>-7.25474843782696</v>
      </c>
      <c r="AE214" s="22" t="n">
        <f aca="false">100*(AE80-AE79)</f>
        <v>-7.40259142585242</v>
      </c>
      <c r="AF214" s="22" t="n">
        <f aca="false">100*(AF80-AF79)</f>
        <v>-7.55323289686301</v>
      </c>
      <c r="AG214" s="22" t="n">
        <f aca="false">100*(AG80-AG79)</f>
        <v>-8.99978911194737</v>
      </c>
      <c r="AH214" s="22" t="n">
        <f aca="false">100*(AH80-AH79)</f>
        <v>-9.04713478507113</v>
      </c>
      <c r="AI214" s="22" t="n">
        <f aca="false">100*(AI80-AI79)</f>
        <v>-9.08636782339589</v>
      </c>
      <c r="AJ214" s="22" t="n">
        <f aca="false">100*(AJ80-AJ79)</f>
        <v>-9.11818920090752</v>
      </c>
      <c r="AK214" s="22" t="n">
        <f aca="false">100*(AK80-AK79)</f>
        <v>-9.14330017256169</v>
      </c>
      <c r="AL214" s="22" t="n">
        <f aca="false">AVERAGE(C214:AK214)</f>
        <v>-6.41415829652212</v>
      </c>
    </row>
    <row r="215" customFormat="false" ht="15" hidden="false" customHeight="false" outlineLevel="0" collapsed="false">
      <c r="A215" s="20" t="n">
        <f aca="false">A81</f>
        <v>-44</v>
      </c>
      <c r="B215" s="21" t="n">
        <f aca="false">B81</f>
        <v>41128</v>
      </c>
      <c r="C215" s="22" t="n">
        <f aca="false">100*(C81-C80)</f>
        <v>4.67168286341388</v>
      </c>
      <c r="D215" s="22" t="n">
        <f aca="false">100*(D81-D80)</f>
        <v>5.74214353267777</v>
      </c>
      <c r="E215" s="22" t="n">
        <f aca="false">100*(E81-E80)</f>
        <v>6.49670260029906</v>
      </c>
      <c r="F215" s="22" t="n">
        <f aca="false">100*(F81-F80)</f>
        <v>7.05695836820618</v>
      </c>
      <c r="G215" s="22" t="n">
        <f aca="false">100*(G81-G80)</f>
        <v>7.50036558110028</v>
      </c>
      <c r="H215" s="22" t="n">
        <f aca="false">100*(H81-H80)</f>
        <v>7.8747088449219</v>
      </c>
      <c r="I215" s="22" t="n">
        <f aca="false">100*(I81-I80)</f>
        <v>8.20902960403985</v>
      </c>
      <c r="J215" s="22" t="n">
        <f aca="false">100*(J81-J80)</f>
        <v>8.51933355409902</v>
      </c>
      <c r="K215" s="22" t="n">
        <f aca="false">100*(K81-K80)</f>
        <v>8.81304587813481</v>
      </c>
      <c r="L215" s="22" t="n">
        <f aca="false">100*(L81-L80)</f>
        <v>9.09170685042255</v>
      </c>
      <c r="M215" s="22" t="n">
        <f aca="false">100*(M81-M80)</f>
        <v>9.35328448469099</v>
      </c>
      <c r="N215" s="22" t="n">
        <f aca="false">100*(N81-N80)</f>
        <v>9.5936043821351</v>
      </c>
      <c r="O215" s="22" t="n">
        <f aca="false">100*(O81-O80)</f>
        <v>9.80749711340541</v>
      </c>
      <c r="P215" s="22" t="n">
        <f aca="false">100*(P81-P80)</f>
        <v>9.98986526962711</v>
      </c>
      <c r="Q215" s="22" t="n">
        <f aca="false">100*(Q81-Q80)</f>
        <v>10.1368610072835</v>
      </c>
      <c r="R215" s="22" t="n">
        <f aca="false">100*(R81-R80)</f>
        <v>10.2465406242675</v>
      </c>
      <c r="S215" s="22" t="n">
        <f aca="false">100*(S81-S80)</f>
        <v>10.3192173098238</v>
      </c>
      <c r="T215" s="22" t="n">
        <f aca="false">100*(T81-T80)</f>
        <v>10.3570706391898</v>
      </c>
      <c r="U215" s="22" t="n">
        <f aca="false">100*(U81-U80)</f>
        <v>10.3630689352585</v>
      </c>
      <c r="V215" s="22" t="n">
        <f aca="false">100*(V81-V80)</f>
        <v>10.3407035111686</v>
      </c>
      <c r="W215" s="22" t="n">
        <f aca="false">100*(W81-W80)</f>
        <v>10.2938796973887</v>
      </c>
      <c r="X215" s="22" t="n">
        <f aca="false">100*(X81-X80)</f>
        <v>10.2268340382504</v>
      </c>
      <c r="Y215" s="22" t="n">
        <f aca="false">100*(Y81-Y80)</f>
        <v>10.1440515638146</v>
      </c>
      <c r="Z215" s="22" t="n">
        <f aca="false">100*(Z81-Z80)</f>
        <v>10.0499058145182</v>
      </c>
      <c r="AA215" s="22" t="n">
        <f aca="false">100*(AA81-AA80)</f>
        <v>9.94826587285629</v>
      </c>
      <c r="AB215" s="22" t="n">
        <f aca="false">100*(AB81-AB80)</f>
        <v>9.84252972028079</v>
      </c>
      <c r="AC215" s="22" t="n">
        <f aca="false">100*(AC81-AC80)</f>
        <v>9.73570274718023</v>
      </c>
      <c r="AD215" s="22" t="n">
        <f aca="false">100*(AD81-AD80)</f>
        <v>9.63046082986798</v>
      </c>
      <c r="AE215" s="22" t="n">
        <f aca="false">100*(AE81-AE80)</f>
        <v>9.52915399969689</v>
      </c>
      <c r="AF215" s="22" t="n">
        <f aca="false">100*(AF81-AF80)</f>
        <v>9.43366299901611</v>
      </c>
      <c r="AG215" s="22" t="n">
        <f aca="false">100*(AG81-AG80)</f>
        <v>8.95402307927049</v>
      </c>
      <c r="AH215" s="22" t="n">
        <f aca="false">100*(AH81-AH80)</f>
        <v>8.9659743727331</v>
      </c>
      <c r="AI215" s="22" t="n">
        <f aca="false">100*(AI81-AI80)</f>
        <v>8.98159192891317</v>
      </c>
      <c r="AJ215" s="22" t="n">
        <f aca="false">100*(AJ81-AJ80)</f>
        <v>9.00008614597612</v>
      </c>
      <c r="AK215" s="22" t="n">
        <f aca="false">100*(AK81-AK80)</f>
        <v>9.02069117330879</v>
      </c>
      <c r="AL215" s="22" t="n">
        <f aca="false">AVERAGE(C215:AK215)</f>
        <v>9.09257728392107</v>
      </c>
    </row>
    <row r="216" customFormat="false" ht="15" hidden="false" customHeight="false" outlineLevel="0" collapsed="false">
      <c r="A216" s="20" t="n">
        <f aca="false">A82</f>
        <v>-43</v>
      </c>
      <c r="B216" s="21" t="n">
        <f aca="false">B82</f>
        <v>41129</v>
      </c>
      <c r="C216" s="22" t="n">
        <f aca="false">100*(C82-C81)</f>
        <v>0.761619498888935</v>
      </c>
      <c r="D216" s="22" t="n">
        <f aca="false">100*(D82-D81)</f>
        <v>-0.0502018382766117</v>
      </c>
      <c r="E216" s="22" t="n">
        <f aca="false">100*(E82-E81)</f>
        <v>-0.741809616248002</v>
      </c>
      <c r="F216" s="22" t="n">
        <f aca="false">100*(F82-F81)</f>
        <v>-1.31491671818977</v>
      </c>
      <c r="G216" s="22" t="n">
        <f aca="false">100*(G82-G81)</f>
        <v>-1.7874542192822</v>
      </c>
      <c r="H216" s="22" t="n">
        <f aca="false">100*(H82-H81)</f>
        <v>-2.17702953555418</v>
      </c>
      <c r="I216" s="22" t="n">
        <f aca="false">100*(I82-I81)</f>
        <v>-2.4973911977744</v>
      </c>
      <c r="J216" s="22" t="n">
        <f aca="false">100*(J82-J81)</f>
        <v>-2.7584474415139</v>
      </c>
      <c r="K216" s="22" t="n">
        <f aca="false">100*(K82-K81)</f>
        <v>-2.96746456756218</v>
      </c>
      <c r="L216" s="22" t="n">
        <f aca="false">100*(L82-L81)</f>
        <v>-3.13084345553786</v>
      </c>
      <c r="M216" s="22" t="n">
        <f aca="false">100*(M82-M81)</f>
        <v>-3.2549939032158</v>
      </c>
      <c r="N216" s="22" t="n">
        <f aca="false">100*(N82-N81)</f>
        <v>-3.34650762575262</v>
      </c>
      <c r="O216" s="22" t="n">
        <f aca="false">100*(O82-O81)</f>
        <v>-3.4121386905406</v>
      </c>
      <c r="P216" s="22" t="n">
        <f aca="false">100*(P82-P81)</f>
        <v>-3.4583695834967</v>
      </c>
      <c r="Q216" s="22" t="n">
        <f aca="false">100*(Q82-Q81)</f>
        <v>-3.4910065313067</v>
      </c>
      <c r="R216" s="22" t="n">
        <f aca="false">100*(R82-R81)</f>
        <v>-3.5151472645877</v>
      </c>
      <c r="S216" s="22" t="n">
        <f aca="false">100*(S82-S81)</f>
        <v>-3.53526743225441</v>
      </c>
      <c r="T216" s="22" t="n">
        <f aca="false">100*(T82-T81)</f>
        <v>-3.5552071261888</v>
      </c>
      <c r="U216" s="22" t="n">
        <f aca="false">100*(U82-U81)</f>
        <v>-3.5778523278587</v>
      </c>
      <c r="V216" s="22" t="n">
        <f aca="false">100*(V82-V81)</f>
        <v>-3.6052650336053</v>
      </c>
      <c r="W216" s="22" t="n">
        <f aca="false">100*(W82-W81)</f>
        <v>-3.63885486634308</v>
      </c>
      <c r="X216" s="22" t="n">
        <f aca="false">100*(X82-X81)</f>
        <v>-3.67950955024527</v>
      </c>
      <c r="Y216" s="22" t="n">
        <f aca="false">100*(Y82-Y81)</f>
        <v>-3.7276947594171</v>
      </c>
      <c r="Z216" s="22" t="n">
        <f aca="false">100*(Z82-Z81)</f>
        <v>-3.78348706870892</v>
      </c>
      <c r="AA216" s="22" t="n">
        <f aca="false">100*(AA82-AA81)</f>
        <v>-3.8465474453893</v>
      </c>
      <c r="AB216" s="22" t="n">
        <f aca="false">100*(AB82-AB81)</f>
        <v>-3.91617373419209</v>
      </c>
      <c r="AC216" s="22" t="n">
        <f aca="false">100*(AC82-AC81)</f>
        <v>-3.99136115107162</v>
      </c>
      <c r="AD216" s="22" t="n">
        <f aca="false">100*(AD82-AD81)</f>
        <v>-4.0708512795129</v>
      </c>
      <c r="AE216" s="22" t="n">
        <f aca="false">100*(AE82-AE81)</f>
        <v>-4.15319872179438</v>
      </c>
      <c r="AF216" s="22" t="n">
        <f aca="false">100*(AF82-AF81)</f>
        <v>-4.2368943641788</v>
      </c>
      <c r="AG216" s="22" t="n">
        <f aca="false">100*(AG82-AG81)</f>
        <v>-4.99271638934231</v>
      </c>
      <c r="AH216" s="22" t="n">
        <f aca="false">100*(AH82-AH81)</f>
        <v>-5.01602074204537</v>
      </c>
      <c r="AI216" s="22" t="n">
        <f aca="false">100*(AI82-AI81)</f>
        <v>-5.03593746321247</v>
      </c>
      <c r="AJ216" s="22" t="n">
        <f aca="false">100*(AJ82-AJ81)</f>
        <v>-5.05306117374422</v>
      </c>
      <c r="AK216" s="22" t="n">
        <f aca="false">100*(AK82-AK81)</f>
        <v>-5.0679614327906</v>
      </c>
      <c r="AL216" s="22" t="n">
        <f aca="false">AVERAGE(C216:AK216)</f>
        <v>-3.30359899290988</v>
      </c>
    </row>
    <row r="217" customFormat="false" ht="15" hidden="false" customHeight="false" outlineLevel="0" collapsed="false">
      <c r="A217" s="20" t="n">
        <f aca="false">A83</f>
        <v>-42</v>
      </c>
      <c r="B217" s="21" t="n">
        <f aca="false">B83</f>
        <v>41130</v>
      </c>
      <c r="C217" s="22" t="n">
        <f aca="false">100*(C83-C82)</f>
        <v>2.93134760009317</v>
      </c>
      <c r="D217" s="22" t="n">
        <f aca="false">100*(D83-D82)</f>
        <v>3.21793136391016</v>
      </c>
      <c r="E217" s="22" t="n">
        <f aca="false">100*(E83-E82)</f>
        <v>3.51108262142935</v>
      </c>
      <c r="F217" s="22" t="n">
        <f aca="false">100*(F83-F82)</f>
        <v>3.79040307635363</v>
      </c>
      <c r="G217" s="22" t="n">
        <f aca="false">100*(G83-G82)</f>
        <v>4.04996068329655</v>
      </c>
      <c r="H217" s="22" t="n">
        <f aca="false">100*(H83-H82)</f>
        <v>4.28907464538074</v>
      </c>
      <c r="I217" s="22" t="n">
        <f aca="false">100*(I83-I82)</f>
        <v>4.50749485417848</v>
      </c>
      <c r="J217" s="22" t="n">
        <f aca="false">100*(J83-J82)</f>
        <v>4.7037039535933</v>
      </c>
      <c r="K217" s="22" t="n">
        <f aca="false">100*(K83-K82)</f>
        <v>4.87482995329303</v>
      </c>
      <c r="L217" s="22" t="n">
        <f aca="false">100*(L83-L82)</f>
        <v>5.01799344784065</v>
      </c>
      <c r="M217" s="22" t="n">
        <f aca="false">100*(M83-M82)</f>
        <v>5.1311748782336</v>
      </c>
      <c r="N217" s="22" t="n">
        <f aca="false">100*(N83-N82)</f>
        <v>5.21351710120681</v>
      </c>
      <c r="O217" s="22" t="n">
        <f aca="false">100*(O83-O82)</f>
        <v>5.26553052369339</v>
      </c>
      <c r="P217" s="22" t="n">
        <f aca="false">100*(P83-P82)</f>
        <v>5.28886432238869</v>
      </c>
      <c r="Q217" s="22" t="n">
        <f aca="false">100*(Q83-Q82)</f>
        <v>5.2861964233643</v>
      </c>
      <c r="R217" s="22" t="n">
        <f aca="false">100*(R83-R82)</f>
        <v>5.26082686155549</v>
      </c>
      <c r="S217" s="22" t="n">
        <f aca="false">100*(S83-S82)</f>
        <v>5.2167322374566</v>
      </c>
      <c r="T217" s="22" t="n">
        <f aca="false">100*(T83-T82)</f>
        <v>5.15816774422979</v>
      </c>
      <c r="U217" s="22" t="n">
        <f aca="false">100*(U83-U82)</f>
        <v>5.0889300637522</v>
      </c>
      <c r="V217" s="22" t="n">
        <f aca="false">100*(V83-V82)</f>
        <v>5.01236842652271</v>
      </c>
      <c r="W217" s="22" t="n">
        <f aca="false">100*(W83-W82)</f>
        <v>4.9314778214713</v>
      </c>
      <c r="X217" s="22" t="n">
        <f aca="false">100*(X83-X82)</f>
        <v>4.84896984427339</v>
      </c>
      <c r="Y217" s="22" t="n">
        <f aca="false">100*(Y83-Y82)</f>
        <v>4.76731004666959</v>
      </c>
      <c r="Z217" s="22" t="n">
        <f aca="false">100*(Z83-Z82)</f>
        <v>4.68849925948631</v>
      </c>
      <c r="AA217" s="22" t="n">
        <f aca="false">100*(AA83-AA82)</f>
        <v>4.6138261079276</v>
      </c>
      <c r="AB217" s="22" t="n">
        <f aca="false">100*(AB83-AB82)</f>
        <v>4.54394975941987</v>
      </c>
      <c r="AC217" s="22" t="n">
        <f aca="false">100*(AC83-AC82)</f>
        <v>4.4790048353442</v>
      </c>
      <c r="AD217" s="22" t="n">
        <f aca="false">100*(AD83-AD82)</f>
        <v>4.4186858126313</v>
      </c>
      <c r="AE217" s="22" t="n">
        <f aca="false">100*(AE83-AE82)</f>
        <v>4.36228781607699</v>
      </c>
      <c r="AF217" s="22" t="n">
        <f aca="false">100*(AF83-AF82)</f>
        <v>4.30867111411062</v>
      </c>
      <c r="AG217" s="22" t="n">
        <f aca="false">100*(AG83-AG82)</f>
        <v>3.30651675175182</v>
      </c>
      <c r="AH217" s="22" t="n">
        <f aca="false">100*(AH83-AH82)</f>
        <v>3.19100272415649</v>
      </c>
      <c r="AI217" s="22" t="n">
        <f aca="false">100*(AI83-AI82)</f>
        <v>3.07242555676939</v>
      </c>
      <c r="AJ217" s="22" t="n">
        <f aca="false">100*(AJ83-AJ82)</f>
        <v>2.95183155649843</v>
      </c>
      <c r="AK217" s="22" t="n">
        <f aca="false">100*(AK83-AK82)</f>
        <v>2.8302183706157</v>
      </c>
      <c r="AL217" s="22" t="n">
        <f aca="false">AVERAGE(C217:AK217)</f>
        <v>4.40373737597073</v>
      </c>
    </row>
    <row r="218" customFormat="false" ht="15" hidden="false" customHeight="false" outlineLevel="0" collapsed="false">
      <c r="A218" s="20" t="n">
        <f aca="false">A84</f>
        <v>-41</v>
      </c>
      <c r="B218" s="21" t="n">
        <f aca="false">B84</f>
        <v>41131</v>
      </c>
      <c r="C218" s="22" t="n">
        <f aca="false">100*(C84-C83)</f>
        <v>-3.48009419862303</v>
      </c>
      <c r="D218" s="22" t="n">
        <f aca="false">100*(D84-D83)</f>
        <v>-4.44497409278742</v>
      </c>
      <c r="E218" s="22" t="n">
        <f aca="false">100*(E84-E83)</f>
        <v>-5.10561287472908</v>
      </c>
      <c r="F218" s="22" t="n">
        <f aca="false">100*(F84-F83)</f>
        <v>-5.57727418979006</v>
      </c>
      <c r="G218" s="22" t="n">
        <f aca="false">100*(G84-G83)</f>
        <v>-5.93647426481214</v>
      </c>
      <c r="H218" s="22" t="n">
        <f aca="false">100*(H84-H83)</f>
        <v>-6.22970867698075</v>
      </c>
      <c r="I218" s="22" t="n">
        <f aca="false">100*(I84-I83)</f>
        <v>-6.48486362496776</v>
      </c>
      <c r="J218" s="22" t="n">
        <f aca="false">100*(J84-J83)</f>
        <v>-6.7159781383849</v>
      </c>
      <c r="K218" s="22" t="n">
        <f aca="false">100*(K84-K83)</f>
        <v>-6.93151920105251</v>
      </c>
      <c r="L218" s="22" t="n">
        <f aca="false">100*(L84-L83)</f>
        <v>-7.13437171752104</v>
      </c>
      <c r="M218" s="22" t="n">
        <f aca="false">100*(M84-M83)</f>
        <v>-7.3254757047305</v>
      </c>
      <c r="N218" s="22" t="n">
        <f aca="false">100*(N84-N83)</f>
        <v>-7.5045810441321</v>
      </c>
      <c r="O218" s="22" t="n">
        <f aca="false">100*(O84-O83)</f>
        <v>-7.6707085887141</v>
      </c>
      <c r="P218" s="22" t="n">
        <f aca="false">100*(P84-P83)</f>
        <v>-7.82263125893479</v>
      </c>
      <c r="Q218" s="22" t="n">
        <f aca="false">100*(Q84-Q83)</f>
        <v>-7.95885779607959</v>
      </c>
      <c r="R218" s="22" t="n">
        <f aca="false">100*(R84-R83)</f>
        <v>-8.07815521990738</v>
      </c>
      <c r="S218" s="22" t="n">
        <f aca="false">100*(S84-S83)</f>
        <v>-8.17893939105661</v>
      </c>
      <c r="T218" s="22" t="n">
        <f aca="false">100*(T84-T83)</f>
        <v>-8.25990178900971</v>
      </c>
      <c r="U218" s="22" t="n">
        <f aca="false">100*(U84-U83)</f>
        <v>-8.3200754049636</v>
      </c>
      <c r="V218" s="22" t="n">
        <f aca="false">100*(V84-V83)</f>
        <v>-8.35873420666671</v>
      </c>
      <c r="W218" s="22" t="n">
        <f aca="false">100*(W84-W83)</f>
        <v>-8.37534287166582</v>
      </c>
      <c r="X218" s="22" t="n">
        <f aca="false">100*(X84-X83)</f>
        <v>-8.36951864534701</v>
      </c>
      <c r="Y218" s="22" t="n">
        <f aca="false">100*(Y84-Y83)</f>
        <v>-8.34102340620273</v>
      </c>
      <c r="Z218" s="22" t="n">
        <f aca="false">100*(Z84-Z83)</f>
        <v>-8.28997483141039</v>
      </c>
      <c r="AA218" s="22" t="n">
        <f aca="false">100*(AA84-AA83)</f>
        <v>-8.21699113586969</v>
      </c>
      <c r="AB218" s="22" t="n">
        <f aca="false">100*(AB84-AB83)</f>
        <v>-8.1231141891605</v>
      </c>
      <c r="AC218" s="22" t="n">
        <f aca="false">100*(AC84-AC83)</f>
        <v>-8.0097388616915</v>
      </c>
      <c r="AD218" s="22" t="n">
        <f aca="false">100*(AD84-AD83)</f>
        <v>-7.87855670776021</v>
      </c>
      <c r="AE218" s="22" t="n">
        <f aca="false">100*(AE84-AE83)</f>
        <v>-7.73157689150228</v>
      </c>
      <c r="AF218" s="22" t="n">
        <f aca="false">100*(AF84-AF83)</f>
        <v>-7.57127916906413</v>
      </c>
      <c r="AG218" s="22" t="n">
        <f aca="false">100*(AG84-AG83)</f>
        <v>-5.43390094909539</v>
      </c>
      <c r="AH218" s="22" t="n">
        <f aca="false">100*(AH84-AH83)</f>
        <v>-5.32396567842302</v>
      </c>
      <c r="AI218" s="22" t="n">
        <f aca="false">100*(AI84-AI83)</f>
        <v>-5.22523842131339</v>
      </c>
      <c r="AJ218" s="22" t="n">
        <f aca="false">100*(AJ84-AJ83)</f>
        <v>-5.13763559720579</v>
      </c>
      <c r="AK218" s="22" t="n">
        <f aca="false">100*(AK84-AK83)</f>
        <v>-5.06096261295643</v>
      </c>
      <c r="AL218" s="22" t="n">
        <f aca="false">AVERAGE(C218:AK218)</f>
        <v>-6.98879289578606</v>
      </c>
    </row>
    <row r="219" customFormat="false" ht="15" hidden="false" customHeight="false" outlineLevel="0" collapsed="false">
      <c r="A219" s="20" t="n">
        <f aca="false">A85</f>
        <v>-40</v>
      </c>
      <c r="B219" s="21" t="n">
        <f aca="false">B85</f>
        <v>41134</v>
      </c>
      <c r="C219" s="22" t="n">
        <f aca="false">100*(C85-C84)</f>
        <v>1.05954658132514</v>
      </c>
      <c r="D219" s="22" t="n">
        <f aca="false">100*(D85-D84)</f>
        <v>1.11890089087694</v>
      </c>
      <c r="E219" s="22" t="n">
        <f aca="false">100*(E85-E84)</f>
        <v>1.1869027914913</v>
      </c>
      <c r="F219" s="22" t="n">
        <f aca="false">100*(F85-F84)</f>
        <v>1.27427121073277</v>
      </c>
      <c r="G219" s="22" t="n">
        <f aca="false">100*(G85-G84)</f>
        <v>1.38068876366123</v>
      </c>
      <c r="H219" s="22" t="n">
        <f aca="false">100*(H85-H84)</f>
        <v>1.50182662590337</v>
      </c>
      <c r="I219" s="22" t="n">
        <f aca="false">100*(I85-I84)</f>
        <v>1.63164626876412</v>
      </c>
      <c r="J219" s="22" t="n">
        <f aca="false">100*(J85-J84)</f>
        <v>1.76434138004088</v>
      </c>
      <c r="K219" s="22" t="n">
        <f aca="false">100*(K85-K84)</f>
        <v>1.8936213541921</v>
      </c>
      <c r="L219" s="22" t="n">
        <f aca="false">100*(L85-L84)</f>
        <v>2.01466439958002</v>
      </c>
      <c r="M219" s="22" t="n">
        <f aca="false">100*(M85-M84)</f>
        <v>2.12386414690609</v>
      </c>
      <c r="N219" s="22" t="n">
        <f aca="false">100*(N85-N84)</f>
        <v>2.2189948455152</v>
      </c>
      <c r="O219" s="22" t="n">
        <f aca="false">100*(O85-O84)</f>
        <v>2.29938951736342</v>
      </c>
      <c r="P219" s="22" t="n">
        <f aca="false">100*(P85-P84)</f>
        <v>2.3656016558316</v>
      </c>
      <c r="Q219" s="22" t="n">
        <f aca="false">100*(Q85-Q84)</f>
        <v>2.4192180153277</v>
      </c>
      <c r="R219" s="22" t="n">
        <f aca="false">100*(R85-R84)</f>
        <v>2.46242322523689</v>
      </c>
      <c r="S219" s="22" t="n">
        <f aca="false">100*(S85-S84)</f>
        <v>2.49804983472501</v>
      </c>
      <c r="T219" s="22" t="n">
        <f aca="false">100*(T85-T84)</f>
        <v>2.5290899227949</v>
      </c>
      <c r="U219" s="22" t="n">
        <f aca="false">100*(U85-U84)</f>
        <v>2.5581592978432</v>
      </c>
      <c r="V219" s="22" t="n">
        <f aca="false">100*(V85-V84)</f>
        <v>2.5875244082995</v>
      </c>
      <c r="W219" s="22" t="n">
        <f aca="false">100*(W85-W84)</f>
        <v>2.61917513082748</v>
      </c>
      <c r="X219" s="22" t="n">
        <f aca="false">100*(X85-X84)</f>
        <v>2.6548800846784</v>
      </c>
      <c r="Y219" s="22" t="n">
        <f aca="false">100*(Y85-Y84)</f>
        <v>2.6962138606176</v>
      </c>
      <c r="Z219" s="22" t="n">
        <f aca="false">100*(Z85-Z84)</f>
        <v>2.7443872546085</v>
      </c>
      <c r="AA219" s="22" t="n">
        <f aca="false">100*(AA85-AA84)</f>
        <v>2.80008164992487</v>
      </c>
      <c r="AB219" s="22" t="n">
        <f aca="false">100*(AB85-AB84)</f>
        <v>2.86351661933733</v>
      </c>
      <c r="AC219" s="22" t="n">
        <f aca="false">100*(AC85-AC84)</f>
        <v>2.93452690181049</v>
      </c>
      <c r="AD219" s="22" t="n">
        <f aca="false">100*(AD85-AD84)</f>
        <v>3.01262424483921</v>
      </c>
      <c r="AE219" s="22" t="n">
        <f aca="false">100*(AE85-AE84)</f>
        <v>3.09702647862977</v>
      </c>
      <c r="AF219" s="22" t="n">
        <f aca="false">100*(AF85-AF84)</f>
        <v>3.18664360001861</v>
      </c>
      <c r="AG219" s="22" t="n">
        <f aca="false">100*(AG85-AG84)</f>
        <v>4.28686625995778</v>
      </c>
      <c r="AH219" s="22" t="n">
        <f aca="false">100*(AH85-AH84)</f>
        <v>4.34042698146762</v>
      </c>
      <c r="AI219" s="22" t="n">
        <f aca="false">100*(AI85-AI84)</f>
        <v>4.3882062289605</v>
      </c>
      <c r="AJ219" s="22" t="n">
        <f aca="false">100*(AJ85-AJ84)</f>
        <v>4.43025237146717</v>
      </c>
      <c r="AK219" s="22" t="n">
        <f aca="false">100*(AK85-AK84)</f>
        <v>4.46665878568853</v>
      </c>
      <c r="AL219" s="22" t="n">
        <f aca="false">AVERAGE(C219:AK219)</f>
        <v>2.55457747397844</v>
      </c>
    </row>
    <row r="220" customFormat="false" ht="15" hidden="false" customHeight="false" outlineLevel="0" collapsed="false">
      <c r="A220" s="20" t="n">
        <f aca="false">A86</f>
        <v>-39</v>
      </c>
      <c r="B220" s="21" t="n">
        <f aca="false">B86</f>
        <v>41135</v>
      </c>
      <c r="C220" s="22" t="n">
        <f aca="false">100*(C86-C85)</f>
        <v>1.98088493249238</v>
      </c>
      <c r="D220" s="22" t="n">
        <f aca="false">100*(D86-D85)</f>
        <v>2.48562358342979</v>
      </c>
      <c r="E220" s="22" t="n">
        <f aca="false">100*(E86-E85)</f>
        <v>2.8596210316722</v>
      </c>
      <c r="F220" s="22" t="n">
        <f aca="false">100*(F86-F85)</f>
        <v>3.14032770178899</v>
      </c>
      <c r="G220" s="22" t="n">
        <f aca="false">100*(G86-G85)</f>
        <v>3.35565962087138</v>
      </c>
      <c r="H220" s="22" t="n">
        <f aca="false">100*(H86-H85)</f>
        <v>3.52449062593816</v>
      </c>
      <c r="I220" s="22" t="n">
        <f aca="false">100*(I86-I85)</f>
        <v>3.65883694294222</v>
      </c>
      <c r="J220" s="22" t="n">
        <f aca="false">100*(J86-J85)</f>
        <v>3.76623442755887</v>
      </c>
      <c r="K220" s="22" t="n">
        <f aca="false">100*(K86-K85)</f>
        <v>3.85134177847116</v>
      </c>
      <c r="L220" s="22" t="n">
        <f aca="false">100*(L86-L85)</f>
        <v>3.91754334410132</v>
      </c>
      <c r="M220" s="22" t="n">
        <f aca="false">100*(M86-M85)</f>
        <v>3.96724051178421</v>
      </c>
      <c r="N220" s="22" t="n">
        <f aca="false">100*(N86-N85)</f>
        <v>4.0021173877888</v>
      </c>
      <c r="O220" s="22" t="n">
        <f aca="false">100*(O86-O85)</f>
        <v>4.02342860713549</v>
      </c>
      <c r="P220" s="22" t="n">
        <f aca="false">100*(P86-P85)</f>
        <v>4.0323208149299</v>
      </c>
      <c r="Q220" s="22" t="n">
        <f aca="false">100*(Q86-Q85)</f>
        <v>4.02997300296371</v>
      </c>
      <c r="R220" s="22" t="n">
        <f aca="false">100*(R86-R85)</f>
        <v>4.0177222728246</v>
      </c>
      <c r="S220" s="22" t="n">
        <f aca="false">100*(S86-S85)</f>
        <v>3.99732221346789</v>
      </c>
      <c r="T220" s="22" t="n">
        <f aca="false">100*(T86-T85)</f>
        <v>3.9706217971279</v>
      </c>
      <c r="U220" s="22" t="n">
        <f aca="false">100*(U86-U85)</f>
        <v>3.93919028455201</v>
      </c>
      <c r="V220" s="22" t="n">
        <f aca="false">100*(V86-V85)</f>
        <v>3.9043434127972</v>
      </c>
      <c r="W220" s="22" t="n">
        <f aca="false">100*(W86-W85)</f>
        <v>3.86719622223821</v>
      </c>
      <c r="X220" s="22" t="n">
        <f aca="false">100*(X86-X85)</f>
        <v>3.82870319590301</v>
      </c>
      <c r="Y220" s="22" t="n">
        <f aca="false">100*(Y86-Y85)</f>
        <v>3.78968066135501</v>
      </c>
      <c r="Z220" s="22" t="n">
        <f aca="false">100*(Z86-Z85)</f>
        <v>3.75074366621777</v>
      </c>
      <c r="AA220" s="22" t="n">
        <f aca="false">100*(AA86-AA85)</f>
        <v>3.71226846552402</v>
      </c>
      <c r="AB220" s="22" t="n">
        <f aca="false">100*(AB86-AB85)</f>
        <v>3.67443093141477</v>
      </c>
      <c r="AC220" s="22" t="n">
        <f aca="false">100*(AC86-AC85)</f>
        <v>3.63723996269529</v>
      </c>
      <c r="AD220" s="22" t="n">
        <f aca="false">100*(AD86-AD85)</f>
        <v>3.6005643504875</v>
      </c>
      <c r="AE220" s="22" t="n">
        <f aca="false">100*(AE86-AE85)</f>
        <v>3.56416739539251</v>
      </c>
      <c r="AF220" s="22" t="n">
        <f aca="false">100*(AF86-AF85)</f>
        <v>3.5278061748651</v>
      </c>
      <c r="AG220" s="22" t="n">
        <f aca="false">100*(AG86-AG85)</f>
        <v>3.02361649689389</v>
      </c>
      <c r="AH220" s="22" t="n">
        <f aca="false">100*(AH86-AH85)</f>
        <v>2.98552939879699</v>
      </c>
      <c r="AI220" s="22" t="n">
        <f aca="false">100*(AI86-AI85)</f>
        <v>2.94855447109499</v>
      </c>
      <c r="AJ220" s="22" t="n">
        <f aca="false">100*(AJ86-AJ85)</f>
        <v>2.91290018805941</v>
      </c>
      <c r="AK220" s="22" t="n">
        <f aca="false">100*(AK86-AK85)</f>
        <v>2.87874518194911</v>
      </c>
      <c r="AL220" s="22" t="n">
        <f aca="false">AVERAGE(C220:AK220)</f>
        <v>3.54648545878645</v>
      </c>
    </row>
    <row r="221" customFormat="false" ht="15" hidden="false" customHeight="false" outlineLevel="0" collapsed="false">
      <c r="A221" s="20" t="n">
        <f aca="false">A87</f>
        <v>-38</v>
      </c>
      <c r="B221" s="21" t="n">
        <f aca="false">B87</f>
        <v>41136</v>
      </c>
      <c r="C221" s="22" t="n">
        <f aca="false">100*(C87-C86)</f>
        <v>3.77308003161297</v>
      </c>
      <c r="D221" s="22" t="n">
        <f aca="false">100*(D87-D86)</f>
        <v>4.45151169289304</v>
      </c>
      <c r="E221" s="22" t="n">
        <f aca="false">100*(E87-E86)</f>
        <v>4.93925287691194</v>
      </c>
      <c r="F221" s="22" t="n">
        <f aca="false">100*(F87-F86)</f>
        <v>5.32990301280638</v>
      </c>
      <c r="G221" s="22" t="n">
        <f aca="false">100*(G87-G86)</f>
        <v>5.67196371314122</v>
      </c>
      <c r="H221" s="22" t="n">
        <f aca="false">100*(H87-H86)</f>
        <v>5.98925060103492</v>
      </c>
      <c r="I221" s="22" t="n">
        <f aca="false">100*(I87-I86)</f>
        <v>6.29255672623685</v>
      </c>
      <c r="J221" s="22" t="n">
        <f aca="false">100*(J87-J86)</f>
        <v>6.58540784053743</v>
      </c>
      <c r="K221" s="22" t="n">
        <f aca="false">100*(K87-K86)</f>
        <v>6.86742981408901</v>
      </c>
      <c r="L221" s="22" t="n">
        <f aca="false">100*(L87-L86)</f>
        <v>7.1360711528927</v>
      </c>
      <c r="M221" s="22" t="n">
        <f aca="false">100*(M87-M86)</f>
        <v>7.38774967969609</v>
      </c>
      <c r="N221" s="22" t="n">
        <f aca="false">100*(N87-N86)</f>
        <v>7.6184424166734</v>
      </c>
      <c r="O221" s="22" t="n">
        <f aca="false">100*(O87-O86)</f>
        <v>7.8244271312033</v>
      </c>
      <c r="P221" s="22" t="n">
        <f aca="false">100*(P87-P86)</f>
        <v>8.0028412754108</v>
      </c>
      <c r="Q221" s="22" t="n">
        <f aca="false">100*(Q87-Q86)</f>
        <v>8.1518786789742</v>
      </c>
      <c r="R221" s="22" t="n">
        <f aca="false">100*(R87-R86)</f>
        <v>8.27103225483901</v>
      </c>
      <c r="S221" s="22" t="n">
        <f aca="false">100*(S87-S86)</f>
        <v>8.3611674949559</v>
      </c>
      <c r="T221" s="22" t="n">
        <f aca="false">100*(T87-T86)</f>
        <v>8.42398749945421</v>
      </c>
      <c r="U221" s="22" t="n">
        <f aca="false">100*(U87-U86)</f>
        <v>8.46156830050811</v>
      </c>
      <c r="V221" s="22" t="n">
        <f aca="false">100*(V87-V86)</f>
        <v>8.4762555611408</v>
      </c>
      <c r="W221" s="22" t="n">
        <f aca="false">100*(W87-W86)</f>
        <v>8.47060841354139</v>
      </c>
      <c r="X221" s="22" t="n">
        <f aca="false">100*(X87-X86)</f>
        <v>8.44735676523261</v>
      </c>
      <c r="Y221" s="22" t="n">
        <f aca="false">100*(Y87-Y86)</f>
        <v>8.4093554416369</v>
      </c>
      <c r="Z221" s="22" t="n">
        <f aca="false">100*(Z87-Z86)</f>
        <v>8.3594048194489</v>
      </c>
      <c r="AA221" s="22" t="n">
        <f aca="false">100*(AA87-AA86)</f>
        <v>8.30010309522788</v>
      </c>
      <c r="AB221" s="22" t="n">
        <f aca="false">100*(AB87-AB86)</f>
        <v>8.23386798995771</v>
      </c>
      <c r="AC221" s="22" t="n">
        <f aca="false">100*(AC87-AC86)</f>
        <v>8.162966837943</v>
      </c>
      <c r="AD221" s="22" t="n">
        <f aca="false">100*(AD87-AD86)</f>
        <v>8.08954060697169</v>
      </c>
      <c r="AE221" s="22" t="n">
        <f aca="false">100*(AE87-AE86)</f>
        <v>8.0156043302094</v>
      </c>
      <c r="AF221" s="22" t="n">
        <f aca="false">100*(AF87-AF86)</f>
        <v>7.9430177844726</v>
      </c>
      <c r="AG221" s="22" t="n">
        <f aca="false">100*(AG87-AG86)</f>
        <v>7.60675757284912</v>
      </c>
      <c r="AH221" s="22" t="n">
        <f aca="false">100*(AH87-AH86)</f>
        <v>7.63597509926668</v>
      </c>
      <c r="AI221" s="22" t="n">
        <f aca="false">100*(AI87-AI86)</f>
        <v>7.67080256739452</v>
      </c>
      <c r="AJ221" s="22" t="n">
        <f aca="false">100*(AJ87-AJ86)</f>
        <v>7.7103681966562</v>
      </c>
      <c r="AK221" s="22" t="n">
        <f aca="false">100*(AK87-AK86)</f>
        <v>7.75382393232369</v>
      </c>
      <c r="AL221" s="22" t="n">
        <f aca="false">AVERAGE(C221:AK221)</f>
        <v>7.39500946308985</v>
      </c>
    </row>
    <row r="222" customFormat="false" ht="15" hidden="false" customHeight="false" outlineLevel="0" collapsed="false">
      <c r="A222" s="20" t="n">
        <f aca="false">A88</f>
        <v>-37</v>
      </c>
      <c r="B222" s="21" t="n">
        <f aca="false">B88</f>
        <v>41137</v>
      </c>
      <c r="C222" s="22" t="n">
        <f aca="false">100*(C88-C87)</f>
        <v>0.678125222692919</v>
      </c>
      <c r="D222" s="22" t="n">
        <f aca="false">100*(D88-D87)</f>
        <v>0.892275785447438</v>
      </c>
      <c r="E222" s="22" t="n">
        <f aca="false">100*(E88-E87)</f>
        <v>1.08963523962918</v>
      </c>
      <c r="F222" s="22" t="n">
        <f aca="false">100*(F88-F87)</f>
        <v>1.24326260790434</v>
      </c>
      <c r="G222" s="22" t="n">
        <f aca="false">100*(G88-G87)</f>
        <v>1.35100411437052</v>
      </c>
      <c r="H222" s="22" t="n">
        <f aca="false">100*(H88-H87)</f>
        <v>1.41850589830514</v>
      </c>
      <c r="I222" s="22" t="n">
        <f aca="false">100*(I88-I87)</f>
        <v>1.45293449472922</v>
      </c>
      <c r="J222" s="22" t="n">
        <f aca="false">100*(J88-J87)</f>
        <v>1.46086024374825</v>
      </c>
      <c r="K222" s="22" t="n">
        <f aca="false">100*(K88-K87)</f>
        <v>1.44831676794974</v>
      </c>
      <c r="L222" s="22" t="n">
        <f aca="false">100*(L88-L87)</f>
        <v>1.4205468041079</v>
      </c>
      <c r="M222" s="22" t="n">
        <f aca="false">100*(M88-M87)</f>
        <v>1.382142188596</v>
      </c>
      <c r="N222" s="22" t="n">
        <f aca="false">100*(N88-N87)</f>
        <v>1.33697541636231</v>
      </c>
      <c r="O222" s="22" t="n">
        <f aca="false">100*(O88-O87)</f>
        <v>1.2881009084877</v>
      </c>
      <c r="P222" s="22" t="n">
        <f aca="false">100*(P88-P87)</f>
        <v>1.23773219359939</v>
      </c>
      <c r="Q222" s="22" t="n">
        <f aca="false">100*(Q88-Q87)</f>
        <v>1.18720236735308</v>
      </c>
      <c r="R222" s="22" t="n">
        <f aca="false">100*(R88-R87)</f>
        <v>1.1372836146778</v>
      </c>
      <c r="S222" s="22" t="n">
        <f aca="false">100*(S88-S87)</f>
        <v>1.08821339483611</v>
      </c>
      <c r="T222" s="22" t="n">
        <f aca="false">100*(T88-T87)</f>
        <v>1.03990053236018</v>
      </c>
      <c r="U222" s="22" t="n">
        <f aca="false">100*(U88-U87)</f>
        <v>0.992244119587893</v>
      </c>
      <c r="V222" s="22" t="n">
        <f aca="false">100*(V88-V87)</f>
        <v>0.945175587568503</v>
      </c>
      <c r="W222" s="22" t="n">
        <f aca="false">100*(W88-W87)</f>
        <v>0.898651987026211</v>
      </c>
      <c r="X222" s="22" t="n">
        <f aca="false">100*(X88-X87)</f>
        <v>0.852650864424698</v>
      </c>
      <c r="Y222" s="22" t="n">
        <f aca="false">100*(Y88-Y87)</f>
        <v>0.807167082359417</v>
      </c>
      <c r="Z222" s="22" t="n">
        <f aca="false">100*(Z88-Z87)</f>
        <v>0.762271644231216</v>
      </c>
      <c r="AA222" s="22" t="n">
        <f aca="false">100*(AA88-AA87)</f>
        <v>0.718220295087413</v>
      </c>
      <c r="AB222" s="22" t="n">
        <f aca="false">100*(AB88-AB87)</f>
        <v>0.675443756846583</v>
      </c>
      <c r="AC222" s="22" t="n">
        <f aca="false">100*(AC88-AC87)</f>
        <v>0.634518579525212</v>
      </c>
      <c r="AD222" s="22" t="n">
        <f aca="false">100*(AD88-AD87)</f>
        <v>0.596143450852305</v>
      </c>
      <c r="AE222" s="22" t="n">
        <f aca="false">100*(AE88-AE87)</f>
        <v>0.561114856973388</v>
      </c>
      <c r="AF222" s="22" t="n">
        <f aca="false">100*(AF88-AF87)</f>
        <v>0.530321527374822</v>
      </c>
      <c r="AG222" s="22" t="n">
        <f aca="false">100*(AG88-AG87)</f>
        <v>0.740228459248504</v>
      </c>
      <c r="AH222" s="22" t="n">
        <f aca="false">100*(AH88-AH87)</f>
        <v>0.796969707194828</v>
      </c>
      <c r="AI222" s="22" t="n">
        <f aca="false">100*(AI88-AI87)</f>
        <v>0.856205652976794</v>
      </c>
      <c r="AJ222" s="22" t="n">
        <f aca="false">100*(AJ88-AJ87)</f>
        <v>0.917149684627505</v>
      </c>
      <c r="AK222" s="22" t="n">
        <f aca="false">100*(AK88-AK87)</f>
        <v>0.979064398606688</v>
      </c>
      <c r="AL222" s="22" t="n">
        <f aca="false">AVERAGE(C222:AK222)</f>
        <v>1.01190169856198</v>
      </c>
    </row>
    <row r="223" customFormat="false" ht="15" hidden="false" customHeight="false" outlineLevel="0" collapsed="false">
      <c r="A223" s="20" t="n">
        <f aca="false">A89</f>
        <v>-36</v>
      </c>
      <c r="B223" s="21" t="n">
        <f aca="false">B89</f>
        <v>41138</v>
      </c>
      <c r="C223" s="22" t="n">
        <f aca="false">100*(C89-C88)</f>
        <v>-2.60035177146673</v>
      </c>
      <c r="D223" s="22" t="n">
        <f aca="false">100*(D89-D88)</f>
        <v>-2.84577076238868</v>
      </c>
      <c r="E223" s="22" t="n">
        <f aca="false">100*(E89-E88)</f>
        <v>-2.88273842854099</v>
      </c>
      <c r="F223" s="22" t="n">
        <f aca="false">100*(F89-F88)</f>
        <v>-2.81820944307461</v>
      </c>
      <c r="G223" s="22" t="n">
        <f aca="false">100*(G89-G88)</f>
        <v>-2.70957286464091</v>
      </c>
      <c r="H223" s="22" t="n">
        <f aca="false">100*(H89-H88)</f>
        <v>-2.58636794612128</v>
      </c>
      <c r="I223" s="22" t="n">
        <f aca="false">100*(I89-I88)</f>
        <v>-2.46350853356585</v>
      </c>
      <c r="J223" s="22" t="n">
        <f aca="false">100*(J89-J88)</f>
        <v>-2.34912311210533</v>
      </c>
      <c r="K223" s="22" t="n">
        <f aca="false">100*(K89-K88)</f>
        <v>-2.24705500299897</v>
      </c>
      <c r="L223" s="22" t="n">
        <f aca="false">100*(L89-L88)</f>
        <v>-2.15963797320289</v>
      </c>
      <c r="M223" s="22" t="n">
        <f aca="false">100*(M89-M88)</f>
        <v>-2.0876924975157</v>
      </c>
      <c r="N223" s="22" t="n">
        <f aca="false">100*(N89-N88)</f>
        <v>-2.0313538828977</v>
      </c>
      <c r="O223" s="22" t="n">
        <f aca="false">100*(O89-O88)</f>
        <v>-1.99025183944681</v>
      </c>
      <c r="P223" s="22" t="n">
        <f aca="false">100*(P89-P88)</f>
        <v>-1.96348593952309</v>
      </c>
      <c r="Q223" s="22" t="n">
        <f aca="false">100*(Q89-Q88)</f>
        <v>-1.95012591174519</v>
      </c>
      <c r="R223" s="22" t="n">
        <f aca="false">100*(R89-R88)</f>
        <v>-1.94902857185371</v>
      </c>
      <c r="S223" s="22" t="n">
        <f aca="false">100*(S89-S88)</f>
        <v>-1.95917050425292</v>
      </c>
      <c r="T223" s="22" t="n">
        <f aca="false">100*(T89-T88)</f>
        <v>-1.9795692610906</v>
      </c>
      <c r="U223" s="22" t="n">
        <f aca="false">100*(U89-U88)</f>
        <v>-2.00927248217331</v>
      </c>
      <c r="V223" s="22" t="n">
        <f aca="false">100*(V89-V88)</f>
        <v>-2.04733024042469</v>
      </c>
      <c r="W223" s="22" t="n">
        <f aca="false">100*(W89-W88)</f>
        <v>-2.09279450355</v>
      </c>
      <c r="X223" s="22" t="n">
        <f aca="false">100*(X89-X88)</f>
        <v>-2.14471875507942</v>
      </c>
      <c r="Y223" s="22" t="n">
        <f aca="false">100*(Y89-Y88)</f>
        <v>-2.2021707266795</v>
      </c>
      <c r="Z223" s="22" t="n">
        <f aca="false">100*(Z89-Z88)</f>
        <v>-2.26427650095111</v>
      </c>
      <c r="AA223" s="22" t="n">
        <f aca="false">100*(AA89-AA88)</f>
        <v>-2.33014110396761</v>
      </c>
      <c r="AB223" s="22" t="n">
        <f aca="false">100*(AB89-AB88)</f>
        <v>-2.39882438726928</v>
      </c>
      <c r="AC223" s="22" t="n">
        <f aca="false">100*(AC89-AC88)</f>
        <v>-2.46934852958689</v>
      </c>
      <c r="AD223" s="22" t="n">
        <f aca="false">100*(AD89-AD88)</f>
        <v>-2.54070471610728</v>
      </c>
      <c r="AE223" s="22" t="n">
        <f aca="false">100*(AE89-AE88)</f>
        <v>-2.61188223183018</v>
      </c>
      <c r="AF223" s="22" t="n">
        <f aca="false">100*(AF89-AF88)</f>
        <v>-2.6818726286979</v>
      </c>
      <c r="AG223" s="22" t="n">
        <f aca="false">100*(AG89-AG88)</f>
        <v>-3.17502013942832</v>
      </c>
      <c r="AH223" s="22" t="n">
        <f aca="false">100*(AH89-AH88)</f>
        <v>-3.17610202048302</v>
      </c>
      <c r="AI223" s="22" t="n">
        <f aca="false">100*(AI89-AI88)</f>
        <v>-3.1736144670425</v>
      </c>
      <c r="AJ223" s="22" t="n">
        <f aca="false">100*(AJ89-AJ88)</f>
        <v>-3.1681382108951</v>
      </c>
      <c r="AK223" s="22" t="n">
        <f aca="false">100*(AK89-AK88)</f>
        <v>-3.16021955601649</v>
      </c>
      <c r="AL223" s="22" t="n">
        <f aca="false">AVERAGE(C223:AK223)</f>
        <v>-2.4348412984747</v>
      </c>
    </row>
    <row r="224" customFormat="false" ht="15" hidden="false" customHeight="false" outlineLevel="0" collapsed="false">
      <c r="A224" s="20" t="n">
        <f aca="false">A90</f>
        <v>-35</v>
      </c>
      <c r="B224" s="21" t="n">
        <f aca="false">B90</f>
        <v>41141</v>
      </c>
      <c r="C224" s="22" t="n">
        <f aca="false">100*(C90-C89)</f>
        <v>0.56201581689673</v>
      </c>
      <c r="D224" s="22" t="n">
        <f aca="false">100*(D90-D89)</f>
        <v>0.608884510048632</v>
      </c>
      <c r="E224" s="22" t="n">
        <f aca="false">100*(E90-E89)</f>
        <v>0.61218035274791</v>
      </c>
      <c r="F224" s="22" t="n">
        <f aca="false">100*(F90-F89)</f>
        <v>0.578339532677291</v>
      </c>
      <c r="G224" s="22" t="n">
        <f aca="false">100*(G90-G89)</f>
        <v>0.510478758913169</v>
      </c>
      <c r="H224" s="22" t="n">
        <f aca="false">100*(H90-H89)</f>
        <v>0.412839865724191</v>
      </c>
      <c r="I224" s="22" t="n">
        <f aca="false">100*(I90-I89)</f>
        <v>0.291665055270296</v>
      </c>
      <c r="J224" s="22" t="n">
        <f aca="false">100*(J90-J89)</f>
        <v>0.154756484729301</v>
      </c>
      <c r="K224" s="22" t="n">
        <f aca="false">100*(K90-K89)</f>
        <v>0.0113061869386866</v>
      </c>
      <c r="L224" s="22" t="n">
        <f aca="false">100*(L90-L89)</f>
        <v>-0.130156459743414</v>
      </c>
      <c r="M224" s="22" t="n">
        <f aca="false">100*(M90-M89)</f>
        <v>-0.262664918679989</v>
      </c>
      <c r="N224" s="22" t="n">
        <f aca="false">100*(N90-N89)</f>
        <v>-0.381232343087312</v>
      </c>
      <c r="O224" s="22" t="n">
        <f aca="false">100*(O90-O89)</f>
        <v>-0.483177094100595</v>
      </c>
      <c r="P224" s="22" t="n">
        <f aca="false">100*(P90-P89)</f>
        <v>-0.567710046570413</v>
      </c>
      <c r="Q224" s="22" t="n">
        <f aca="false">100*(Q90-Q89)</f>
        <v>-0.635426630189895</v>
      </c>
      <c r="R224" s="22" t="n">
        <f aca="false">100*(R90-R89)</f>
        <v>-0.687667239120082</v>
      </c>
      <c r="S224" s="22" t="n">
        <f aca="false">100*(S90-S89)</f>
        <v>-0.726295791076992</v>
      </c>
      <c r="T224" s="22" t="n">
        <f aca="false">100*(T90-T89)</f>
        <v>-0.753420555919693</v>
      </c>
      <c r="U224" s="22" t="n">
        <f aca="false">100*(U90-U89)</f>
        <v>-0.77104039317959</v>
      </c>
      <c r="V224" s="22" t="n">
        <f aca="false">100*(V90-V89)</f>
        <v>-0.781024280559128</v>
      </c>
      <c r="W224" s="22" t="n">
        <f aca="false">100*(W90-W89)</f>
        <v>-0.785138362793303</v>
      </c>
      <c r="X224" s="22" t="n">
        <f aca="false">100*(X90-X89)</f>
        <v>-0.785066518242461</v>
      </c>
      <c r="Y224" s="22" t="n">
        <f aca="false">100*(Y90-Y89)</f>
        <v>-0.782420047067012</v>
      </c>
      <c r="Z224" s="22" t="n">
        <f aca="false">100*(Z90-Z89)</f>
        <v>-0.778613896891667</v>
      </c>
      <c r="AA224" s="22" t="n">
        <f aca="false">100*(AA90-AA89)</f>
        <v>-0.774695024968164</v>
      </c>
      <c r="AB224" s="22" t="n">
        <f aca="false">100*(AB90-AB89)</f>
        <v>-0.771375433675381</v>
      </c>
      <c r="AC224" s="22" t="n">
        <f aca="false">100*(AC90-AC89)</f>
        <v>-0.769087988150785</v>
      </c>
      <c r="AD224" s="22" t="n">
        <f aca="false">100*(AD90-AD89)</f>
        <v>-0.768031497208099</v>
      </c>
      <c r="AE224" s="22" t="n">
        <f aca="false">100*(AE90-AE89)</f>
        <v>-0.768191621492331</v>
      </c>
      <c r="AF224" s="22" t="n">
        <f aca="false">100*(AF90-AF89)</f>
        <v>-0.769283951152122</v>
      </c>
      <c r="AG224" s="22" t="n">
        <f aca="false">100*(AG90-AG89)</f>
        <v>-0.63572296053378</v>
      </c>
      <c r="AH224" s="22" t="n">
        <f aca="false">100*(AH90-AH89)</f>
        <v>-0.606221340849977</v>
      </c>
      <c r="AI224" s="22" t="n">
        <f aca="false">100*(AI90-AI89)</f>
        <v>-0.574828081915513</v>
      </c>
      <c r="AJ224" s="22" t="n">
        <f aca="false">100*(AJ90-AJ89)</f>
        <v>-0.541989314963587</v>
      </c>
      <c r="AK224" s="22" t="n">
        <f aca="false">100*(AK90-AK89)</f>
        <v>-0.508141507764304</v>
      </c>
      <c r="AL224" s="22" t="n">
        <f aca="false">AVERAGE(C224:AK224)</f>
        <v>-0.373033049598554</v>
      </c>
    </row>
    <row r="225" customFormat="false" ht="15" hidden="false" customHeight="false" outlineLevel="0" collapsed="false">
      <c r="A225" s="20" t="n">
        <f aca="false">A91</f>
        <v>-34</v>
      </c>
      <c r="B225" s="21" t="n">
        <f aca="false">B91</f>
        <v>41142</v>
      </c>
      <c r="C225" s="22" t="n">
        <f aca="false">100*(C91-C90)</f>
        <v>4.27981561974632</v>
      </c>
      <c r="D225" s="22" t="n">
        <f aca="false">100*(D91-D90)</f>
        <v>5.07803285423282</v>
      </c>
      <c r="E225" s="22" t="n">
        <f aca="false">100*(E91-E90)</f>
        <v>5.56242920179442</v>
      </c>
      <c r="F225" s="22" t="n">
        <f aca="false">100*(F91-F90)</f>
        <v>5.82888011070091</v>
      </c>
      <c r="G225" s="22" t="n">
        <f aca="false">100*(G91-G90)</f>
        <v>5.9455175112728</v>
      </c>
      <c r="H225" s="22" t="n">
        <f aca="false">100*(H91-H90)</f>
        <v>5.9581249966478</v>
      </c>
      <c r="I225" s="22" t="n">
        <f aca="false">100*(I91-I90)</f>
        <v>5.89780685307281</v>
      </c>
      <c r="J225" s="22" t="n">
        <f aca="false">100*(J91-J90)</f>
        <v>5.7864158006976</v>
      </c>
      <c r="K225" s="22" t="n">
        <f aca="false">100*(K91-K90)</f>
        <v>5.64083743100553</v>
      </c>
      <c r="L225" s="22" t="n">
        <f aca="false">100*(L91-L90)</f>
        <v>5.4745264741868</v>
      </c>
      <c r="M225" s="22" t="n">
        <f aca="false">100*(M91-M90)</f>
        <v>5.29895595912571</v>
      </c>
      <c r="N225" s="22" t="n">
        <f aca="false">100*(N91-N90)</f>
        <v>5.12411707878511</v>
      </c>
      <c r="O225" s="22" t="n">
        <f aca="false">100*(O91-O90)</f>
        <v>4.95846010081731</v>
      </c>
      <c r="P225" s="22" t="n">
        <f aca="false">100*(P91-P90)</f>
        <v>4.80864397473662</v>
      </c>
      <c r="Q225" s="22" t="n">
        <f aca="false">100*(Q91-Q90)</f>
        <v>4.679534774374</v>
      </c>
      <c r="R225" s="22" t="n">
        <f aca="false">100*(R91-R90)</f>
        <v>4.57445007078929</v>
      </c>
      <c r="S225" s="22" t="n">
        <f aca="false">100*(S91-S90)</f>
        <v>4.4952397131685</v>
      </c>
      <c r="T225" s="22" t="n">
        <f aca="false">100*(T91-T90)</f>
        <v>4.44259758362029</v>
      </c>
      <c r="U225" s="22" t="n">
        <f aca="false">100*(U91-U90)</f>
        <v>4.41640177841369</v>
      </c>
      <c r="V225" s="22" t="n">
        <f aca="false">100*(V91-V90)</f>
        <v>4.41590832482013</v>
      </c>
      <c r="W225" s="22" t="n">
        <f aca="false">100*(W91-W90)</f>
        <v>4.4398807854459</v>
      </c>
      <c r="X225" s="22" t="n">
        <f aca="false">100*(X91-X90)</f>
        <v>4.4866887511636</v>
      </c>
      <c r="Y225" s="22" t="n">
        <f aca="false">100*(Y91-Y90)</f>
        <v>4.55438296665141</v>
      </c>
      <c r="Z225" s="22" t="n">
        <f aca="false">100*(Z91-Z90)</f>
        <v>4.64079187205857</v>
      </c>
      <c r="AA225" s="22" t="n">
        <f aca="false">100*(AA91-AA90)</f>
        <v>4.74364505430209</v>
      </c>
      <c r="AB225" s="22" t="n">
        <f aca="false">100*(AB91-AB90)</f>
        <v>4.860605735275</v>
      </c>
      <c r="AC225" s="22" t="n">
        <f aca="false">100*(AC91-AC90)</f>
        <v>4.98928183846497</v>
      </c>
      <c r="AD225" s="22" t="n">
        <f aca="false">100*(AD91-AD90)</f>
        <v>5.12723471512286</v>
      </c>
      <c r="AE225" s="22" t="n">
        <f aca="false">100*(AE91-AE90)</f>
        <v>5.27198217334082</v>
      </c>
      <c r="AF225" s="22" t="n">
        <f aca="false">100*(AF91-AF90)</f>
        <v>5.42101840416258</v>
      </c>
      <c r="AG225" s="22" t="n">
        <f aca="false">100*(AG91-AG90)</f>
        <v>7.02543268677007</v>
      </c>
      <c r="AH225" s="22" t="n">
        <f aca="false">100*(AH91-AH90)</f>
        <v>7.10666610145769</v>
      </c>
      <c r="AI225" s="22" t="n">
        <f aca="false">100*(AI91-AI90)</f>
        <v>7.18335950994149</v>
      </c>
      <c r="AJ225" s="22" t="n">
        <f aca="false">100*(AJ91-AJ90)</f>
        <v>7.25608043445618</v>
      </c>
      <c r="AK225" s="22" t="n">
        <f aca="false">100*(AK91-AK90)</f>
        <v>7.32533460954641</v>
      </c>
      <c r="AL225" s="22" t="n">
        <f aca="false">AVERAGE(C225:AK225)</f>
        <v>5.34568805286195</v>
      </c>
    </row>
    <row r="226" customFormat="false" ht="15" hidden="false" customHeight="false" outlineLevel="0" collapsed="false">
      <c r="A226" s="20" t="n">
        <f aca="false">A92</f>
        <v>-33</v>
      </c>
      <c r="B226" s="21" t="n">
        <f aca="false">B92</f>
        <v>41143</v>
      </c>
      <c r="C226" s="22" t="n">
        <f aca="false">100*(C92-C91)</f>
        <v>-2.90030253732343</v>
      </c>
      <c r="D226" s="22" t="n">
        <f aca="false">100*(D92-D91)</f>
        <v>-3.54947647916329</v>
      </c>
      <c r="E226" s="22" t="n">
        <f aca="false">100*(E92-E91)</f>
        <v>-4.03459308165828</v>
      </c>
      <c r="F226" s="22" t="n">
        <f aca="false">100*(F92-F91)</f>
        <v>-4.42884036314526</v>
      </c>
      <c r="G226" s="22" t="n">
        <f aca="false">100*(G92-G91)</f>
        <v>-4.7803894783962</v>
      </c>
      <c r="H226" s="22" t="n">
        <f aca="false">100*(H92-H91)</f>
        <v>-5.11640585746886</v>
      </c>
      <c r="I226" s="22" t="n">
        <f aca="false">100*(I92-I91)</f>
        <v>-5.44933079809652</v>
      </c>
      <c r="J226" s="22" t="n">
        <f aca="false">100*(J92-J91)</f>
        <v>-5.78142652252697</v>
      </c>
      <c r="K226" s="22" t="n">
        <f aca="false">100*(K92-K91)</f>
        <v>-6.10790057597274</v>
      </c>
      <c r="L226" s="22" t="n">
        <f aca="false">100*(L92-L91)</f>
        <v>-6.42098333291759</v>
      </c>
      <c r="M226" s="22" t="n">
        <f aca="false">100*(M92-M91)</f>
        <v>-6.71226389845041</v>
      </c>
      <c r="N226" s="22" t="n">
        <f aca="false">100*(N92-N91)</f>
        <v>-6.97399220500479</v>
      </c>
      <c r="O226" s="22" t="n">
        <f aca="false">100*(O92-O91)</f>
        <v>-7.19996317689371</v>
      </c>
      <c r="P226" s="22" t="n">
        <f aca="false">100*(P92-P91)</f>
        <v>-7.38543833201282</v>
      </c>
      <c r="Q226" s="22" t="n">
        <f aca="false">100*(Q92-Q91)</f>
        <v>-7.5272781096307</v>
      </c>
      <c r="R226" s="22" t="n">
        <f aca="false">100*(R92-R91)</f>
        <v>-7.62398716937129</v>
      </c>
      <c r="S226" s="22" t="n">
        <f aca="false">100*(S92-S91)</f>
        <v>-7.6757747117389</v>
      </c>
      <c r="T226" s="22" t="n">
        <f aca="false">100*(T92-T91)</f>
        <v>-7.684141536011</v>
      </c>
      <c r="U226" s="22" t="n">
        <f aca="false">100*(U92-U91)</f>
        <v>-7.65138553747229</v>
      </c>
      <c r="V226" s="22" t="n">
        <f aca="false">100*(V92-V91)</f>
        <v>-7.58039839189073</v>
      </c>
      <c r="W226" s="22" t="n">
        <f aca="false">100*(W92-W91)</f>
        <v>-7.47454184529421</v>
      </c>
      <c r="X226" s="22" t="n">
        <f aca="false">100*(X92-X91)</f>
        <v>-7.33755369991793</v>
      </c>
      <c r="Y226" s="22" t="n">
        <f aca="false">100*(Y92-Y91)</f>
        <v>-7.1734690811009</v>
      </c>
      <c r="Z226" s="22" t="n">
        <f aca="false">100*(Z92-Z91)</f>
        <v>-6.9864305991072</v>
      </c>
      <c r="AA226" s="22" t="n">
        <f aca="false">100*(AA92-AA91)</f>
        <v>-6.78047266736672</v>
      </c>
      <c r="AB226" s="22" t="n">
        <f aca="false">100*(AB92-AB91)</f>
        <v>-6.55951228421512</v>
      </c>
      <c r="AC226" s="22" t="n">
        <f aca="false">100*(AC92-AC91)</f>
        <v>-6.32736859673559</v>
      </c>
      <c r="AD226" s="22" t="n">
        <f aca="false">100*(AD92-AD91)</f>
        <v>-6.08777870575059</v>
      </c>
      <c r="AE226" s="22" t="n">
        <f aca="false">100*(AE92-AE91)</f>
        <v>-5.84439037175359</v>
      </c>
      <c r="AF226" s="22" t="n">
        <f aca="false">100*(AF92-AF91)</f>
        <v>-5.6006723741866</v>
      </c>
      <c r="AG226" s="22" t="n">
        <f aca="false">100*(AG92-AG91)</f>
        <v>-3.33271036203247</v>
      </c>
      <c r="AH226" s="22" t="n">
        <f aca="false">100*(AH92-AH91)</f>
        <v>-3.2471125078978</v>
      </c>
      <c r="AI226" s="22" t="n">
        <f aca="false">100*(AI92-AI91)</f>
        <v>-3.1714304925027</v>
      </c>
      <c r="AJ226" s="22" t="n">
        <f aca="false">100*(AJ92-AJ91)</f>
        <v>-3.1045650090813</v>
      </c>
      <c r="AK226" s="22" t="n">
        <f aca="false">100*(AK92-AK91)</f>
        <v>-3.04546083973469</v>
      </c>
      <c r="AL226" s="22" t="n">
        <f aca="false">AVERAGE(C226:AK226)</f>
        <v>-5.84736404376638</v>
      </c>
    </row>
    <row r="227" customFormat="false" ht="15" hidden="false" customHeight="false" outlineLevel="0" collapsed="false">
      <c r="A227" s="20" t="n">
        <f aca="false">A93</f>
        <v>-32</v>
      </c>
      <c r="B227" s="21" t="n">
        <f aca="false">B93</f>
        <v>41144</v>
      </c>
      <c r="C227" s="22" t="n">
        <f aca="false">100*(C93-C92)</f>
        <v>-2.01361393401374</v>
      </c>
      <c r="D227" s="22" t="n">
        <f aca="false">100*(D93-D92)</f>
        <v>-2.38303219130847</v>
      </c>
      <c r="E227" s="22" t="n">
        <f aca="false">100*(E93-E92)</f>
        <v>-2.69349357735777</v>
      </c>
      <c r="F227" s="22" t="n">
        <f aca="false">100*(F93-F92)</f>
        <v>-2.97667709279519</v>
      </c>
      <c r="G227" s="22" t="n">
        <f aca="false">100*(G93-G92)</f>
        <v>-3.25220566413476</v>
      </c>
      <c r="H227" s="22" t="n">
        <f aca="false">100*(H93-H92)</f>
        <v>-3.53076091253557</v>
      </c>
      <c r="I227" s="22" t="n">
        <f aca="false">100*(I93-I92)</f>
        <v>-3.81712490592324</v>
      </c>
      <c r="J227" s="22" t="n">
        <f aca="false">100*(J93-J92)</f>
        <v>-4.11224457698237</v>
      </c>
      <c r="K227" s="22" t="n">
        <f aca="false">100*(K93-K92)</f>
        <v>-4.41376030968939</v>
      </c>
      <c r="L227" s="22" t="n">
        <f aca="false">100*(L93-L92)</f>
        <v>-4.71743175193311</v>
      </c>
      <c r="M227" s="22" t="n">
        <f aca="false">100*(M93-M92)</f>
        <v>-5.0175216229285</v>
      </c>
      <c r="N227" s="22" t="n">
        <f aca="false">100*(N93-N92)</f>
        <v>-5.30731338485571</v>
      </c>
      <c r="O227" s="22" t="n">
        <f aca="false">100*(O93-O92)</f>
        <v>-5.5797097583292</v>
      </c>
      <c r="P227" s="22" t="n">
        <f aca="false">100*(P93-P92)</f>
        <v>-5.8280109908107</v>
      </c>
      <c r="Q227" s="22" t="n">
        <f aca="false">100*(Q93-Q92)</f>
        <v>-6.04679084166471</v>
      </c>
      <c r="R227" s="22" t="n">
        <f aca="false">100*(R93-R92)</f>
        <v>-6.23244580888112</v>
      </c>
      <c r="S227" s="22" t="n">
        <f aca="false">100*(S93-S92)</f>
        <v>-6.38354808802799</v>
      </c>
      <c r="T227" s="22" t="n">
        <f aca="false">100*(T93-T92)</f>
        <v>-6.50038805073809</v>
      </c>
      <c r="U227" s="22" t="n">
        <f aca="false">100*(U93-U92)</f>
        <v>-6.5842362775788</v>
      </c>
      <c r="V227" s="22" t="n">
        <f aca="false">100*(V93-V92)</f>
        <v>-6.63708324242649</v>
      </c>
      <c r="W227" s="22" t="n">
        <f aca="false">100*(W93-W92)</f>
        <v>-6.6614893294819</v>
      </c>
      <c r="X227" s="22" t="n">
        <f aca="false">100*(X93-X92)</f>
        <v>-6.66047085120569</v>
      </c>
      <c r="Y227" s="22" t="n">
        <f aca="false">100*(Y93-Y92)</f>
        <v>-6.63739994422881</v>
      </c>
      <c r="Z227" s="22" t="n">
        <f aca="false">100*(Z93-Z92)</f>
        <v>-6.59572576794427</v>
      </c>
      <c r="AA227" s="22" t="n">
        <f aca="false">100*(AA93-AA92)</f>
        <v>-6.53867780341511</v>
      </c>
      <c r="AB227" s="22" t="n">
        <f aca="false">100*(AB93-AB92)</f>
        <v>-6.4692669374264</v>
      </c>
      <c r="AC227" s="22" t="n">
        <f aca="false">100*(AC93-AC92)</f>
        <v>-6.39032189031439</v>
      </c>
      <c r="AD227" s="22" t="n">
        <f aca="false">100*(AD93-AD92)</f>
        <v>-6.30451849138329</v>
      </c>
      <c r="AE227" s="22" t="n">
        <f aca="false">100*(AE93-AE92)</f>
        <v>-6.2143674372328</v>
      </c>
      <c r="AF227" s="22" t="n">
        <f aca="false">100*(AF93-AF92)</f>
        <v>-6.12208044664628</v>
      </c>
      <c r="AG227" s="22" t="n">
        <f aca="false">100*(AG93-AG92)</f>
        <v>-5.25250858511983</v>
      </c>
      <c r="AH227" s="22" t="n">
        <f aca="false">100*(AH93-AH92)</f>
        <v>-5.22499741818732</v>
      </c>
      <c r="AI227" s="22" t="n">
        <f aca="false">100*(AI93-AI92)</f>
        <v>-5.20268600230707</v>
      </c>
      <c r="AJ227" s="22" t="n">
        <f aca="false">100*(AJ93-AJ92)</f>
        <v>-5.1852427017959</v>
      </c>
      <c r="AK227" s="22" t="n">
        <f aca="false">100*(AK93-AK92)</f>
        <v>-5.17232629822662</v>
      </c>
      <c r="AL227" s="22" t="n">
        <f aca="false">AVERAGE(C227:AK227)</f>
        <v>-5.2759849396523</v>
      </c>
    </row>
    <row r="228" customFormat="false" ht="15" hidden="false" customHeight="false" outlineLevel="0" collapsed="false">
      <c r="A228" s="20" t="n">
        <f aca="false">A94</f>
        <v>-31</v>
      </c>
      <c r="B228" s="21" t="n">
        <f aca="false">B94</f>
        <v>41145</v>
      </c>
      <c r="C228" s="22" t="n">
        <f aca="false">100*(C94-C93)</f>
        <v>-3.15662853393746</v>
      </c>
      <c r="D228" s="22" t="n">
        <f aca="false">100*(D94-D93)</f>
        <v>-3.59276125407041</v>
      </c>
      <c r="E228" s="22" t="n">
        <f aca="false">100*(E94-E93)</f>
        <v>-3.84119002577921</v>
      </c>
      <c r="F228" s="22" t="n">
        <f aca="false">100*(F94-F93)</f>
        <v>-3.97789371523797</v>
      </c>
      <c r="G228" s="22" t="n">
        <f aca="false">100*(G94-G93)</f>
        <v>-4.04769239006329</v>
      </c>
      <c r="H228" s="22" t="n">
        <f aca="false">100*(H94-H93)</f>
        <v>-4.07685172418403</v>
      </c>
      <c r="I228" s="22" t="n">
        <f aca="false">100*(I94-I93)</f>
        <v>-4.08070525242315</v>
      </c>
      <c r="J228" s="22" t="n">
        <f aca="false">100*(J94-J93)</f>
        <v>-4.06989345614895</v>
      </c>
      <c r="K228" s="22" t="n">
        <f aca="false">100*(K94-K93)</f>
        <v>-4.05079382193272</v>
      </c>
      <c r="L228" s="22" t="n">
        <f aca="false">100*(L94-L93)</f>
        <v>-4.02846551802322</v>
      </c>
      <c r="M228" s="22" t="n">
        <f aca="false">100*(M94-M93)</f>
        <v>-4.00609748677869</v>
      </c>
      <c r="N228" s="22" t="n">
        <f aca="false">100*(N94-N93)</f>
        <v>-3.98526798864209</v>
      </c>
      <c r="O228" s="22" t="n">
        <f aca="false">100*(O94-O93)</f>
        <v>-3.96646572984369</v>
      </c>
      <c r="P228" s="22" t="n">
        <f aca="false">100*(P94-P93)</f>
        <v>-3.9494970359788</v>
      </c>
      <c r="Q228" s="22" t="n">
        <f aca="false">100*(Q94-Q93)</f>
        <v>-3.93361945712059</v>
      </c>
      <c r="R228" s="22" t="n">
        <f aca="false">100*(R94-R93)</f>
        <v>-3.9180857133293</v>
      </c>
      <c r="S228" s="22" t="n">
        <f aca="false">100*(S94-S93)</f>
        <v>-3.90232907945021</v>
      </c>
      <c r="T228" s="22" t="n">
        <f aca="false">100*(T94-T93)</f>
        <v>-3.8859661523073</v>
      </c>
      <c r="U228" s="22" t="n">
        <f aca="false">100*(U94-U93)</f>
        <v>-3.86876482690441</v>
      </c>
      <c r="V228" s="22" t="n">
        <f aca="false">100*(V94-V93)</f>
        <v>-3.85058687322348</v>
      </c>
      <c r="W228" s="22" t="n">
        <f aca="false">100*(W94-W93)</f>
        <v>-3.8313683699204</v>
      </c>
      <c r="X228" s="22" t="n">
        <f aca="false">100*(X94-X93)</f>
        <v>-3.8111048425884</v>
      </c>
      <c r="Y228" s="22" t="n">
        <f aca="false">100*(Y94-Y93)</f>
        <v>-3.78985640653919</v>
      </c>
      <c r="Z228" s="22" t="n">
        <f aca="false">100*(Z94-Z93)</f>
        <v>-3.76779458491692</v>
      </c>
      <c r="AA228" s="22" t="n">
        <f aca="false">100*(AA94-AA93)</f>
        <v>-3.74511976967988</v>
      </c>
      <c r="AB228" s="22" t="n">
        <f aca="false">100*(AB94-AB93)</f>
        <v>-3.722031485764</v>
      </c>
      <c r="AC228" s="22" t="n">
        <f aca="false">100*(AC94-AC93)</f>
        <v>-3.6987285278419</v>
      </c>
      <c r="AD228" s="22" t="n">
        <f aca="false">100*(AD94-AD93)</f>
        <v>-3.67540997512221</v>
      </c>
      <c r="AE228" s="22" t="n">
        <f aca="false">100*(AE94-AE93)</f>
        <v>-3.65230185184169</v>
      </c>
      <c r="AF228" s="22" t="n">
        <f aca="false">100*(AF94-AF93)</f>
        <v>-3.62964704857021</v>
      </c>
      <c r="AG228" s="22" t="n">
        <f aca="false">100*(AG94-AG93)</f>
        <v>-3.40766329849749</v>
      </c>
      <c r="AH228" s="22" t="n">
        <f aca="false">100*(AH94-AH93)</f>
        <v>-3.39330033663159</v>
      </c>
      <c r="AI228" s="22" t="n">
        <f aca="false">100*(AI94-AI93)</f>
        <v>-3.37861548482104</v>
      </c>
      <c r="AJ228" s="22" t="n">
        <f aca="false">100*(AJ94-AJ93)</f>
        <v>-3.36351765944851</v>
      </c>
      <c r="AK228" s="22" t="n">
        <f aca="false">100*(AK94-AK93)</f>
        <v>-3.34794799578599</v>
      </c>
      <c r="AL228" s="22" t="n">
        <f aca="false">AVERAGE(C228:AK228)</f>
        <v>-3.7829703906671</v>
      </c>
    </row>
    <row r="229" customFormat="false" ht="15" hidden="false" customHeight="false" outlineLevel="0" collapsed="false">
      <c r="A229" s="20" t="n">
        <f aca="false">A95</f>
        <v>-30</v>
      </c>
      <c r="B229" s="21" t="n">
        <f aca="false">B95</f>
        <v>41149</v>
      </c>
      <c r="C229" s="22" t="n">
        <f aca="false">100*(C95-C94)</f>
        <v>-1.53317148888821</v>
      </c>
      <c r="D229" s="22" t="n">
        <f aca="false">100*(D95-D94)</f>
        <v>-2.09953763596406</v>
      </c>
      <c r="E229" s="22" t="n">
        <f aca="false">100*(E95-E94)</f>
        <v>-2.60810521812907</v>
      </c>
      <c r="F229" s="22" t="n">
        <f aca="false">100*(F95-F94)</f>
        <v>-3.03298484466419</v>
      </c>
      <c r="G229" s="22" t="n">
        <f aca="false">100*(G95-G94)</f>
        <v>-3.37219363108511</v>
      </c>
      <c r="H229" s="22" t="n">
        <f aca="false">100*(H95-H94)</f>
        <v>-3.63343422605693</v>
      </c>
      <c r="I229" s="22" t="n">
        <f aca="false">100*(I95-I94)</f>
        <v>-3.82824187659591</v>
      </c>
      <c r="J229" s="22" t="n">
        <f aca="false">100*(J95-J94)</f>
        <v>-3.96852870137014</v>
      </c>
      <c r="K229" s="22" t="n">
        <f aca="false">100*(K95-K94)</f>
        <v>-4.06509798307571</v>
      </c>
      <c r="L229" s="22" t="n">
        <f aca="false">100*(L95-L94)</f>
        <v>-4.12703737118901</v>
      </c>
      <c r="M229" s="22" t="n">
        <f aca="false">100*(M95-M94)</f>
        <v>-4.16141828770711</v>
      </c>
      <c r="N229" s="22" t="n">
        <f aca="false">100*(N95-N94)</f>
        <v>-4.17339311171461</v>
      </c>
      <c r="O229" s="22" t="n">
        <f aca="false">100*(O95-O94)</f>
        <v>-4.16646913526191</v>
      </c>
      <c r="P229" s="22" t="n">
        <f aca="false">100*(P95-P94)</f>
        <v>-4.143115180018</v>
      </c>
      <c r="Q229" s="22" t="n">
        <f aca="false">100*(Q95-Q94)</f>
        <v>-4.10522207726001</v>
      </c>
      <c r="R229" s="22" t="n">
        <f aca="false">100*(R95-R94)</f>
        <v>-4.0545757931721</v>
      </c>
      <c r="S229" s="22" t="n">
        <f aca="false">100*(S95-S94)</f>
        <v>-3.99310648156981</v>
      </c>
      <c r="T229" s="22" t="n">
        <f aca="false">100*(T95-T94)</f>
        <v>-3.9228105334943</v>
      </c>
      <c r="U229" s="22" t="n">
        <f aca="false">100*(U95-U94)</f>
        <v>-3.8455008186693</v>
      </c>
      <c r="V229" s="22" t="n">
        <f aca="false">100*(V95-V94)</f>
        <v>-3.76281475388531</v>
      </c>
      <c r="W229" s="22" t="n">
        <f aca="false">100*(W95-W94)</f>
        <v>-3.67625085439089</v>
      </c>
      <c r="X229" s="22" t="n">
        <f aca="false">100*(X95-X94)</f>
        <v>-3.58719651420198</v>
      </c>
      <c r="Y229" s="22" t="n">
        <f aca="false">100*(Y95-Y94)</f>
        <v>-3.4969490868511</v>
      </c>
      <c r="Z229" s="22" t="n">
        <f aca="false">100*(Z95-Z94)</f>
        <v>-3.40668917707991</v>
      </c>
      <c r="AA229" s="22" t="n">
        <f aca="false">100*(AA95-AA94)</f>
        <v>-3.31742231023111</v>
      </c>
      <c r="AB229" s="22" t="n">
        <f aca="false">100*(AB95-AB94)</f>
        <v>-3.229996622761</v>
      </c>
      <c r="AC229" s="22" t="n">
        <f aca="false">100*(AC95-AC94)</f>
        <v>-3.14512909263951</v>
      </c>
      <c r="AD229" s="22" t="n">
        <f aca="false">100*(AD95-AD94)</f>
        <v>-3.06342700491369</v>
      </c>
      <c r="AE229" s="22" t="n">
        <f aca="false">100*(AE95-AE94)</f>
        <v>-2.98541900856271</v>
      </c>
      <c r="AF229" s="22" t="n">
        <f aca="false">100*(AF95-AF94)</f>
        <v>-2.91158953921551</v>
      </c>
      <c r="AG229" s="22" t="n">
        <f aca="false">100*(AG95-AG94)</f>
        <v>-2.4001618446253</v>
      </c>
      <c r="AH229" s="22" t="n">
        <f aca="false">100*(AH95-AH94)</f>
        <v>-2.38922840316369</v>
      </c>
      <c r="AI229" s="22" t="n">
        <f aca="false">100*(AI95-AI94)</f>
        <v>-2.38047912146437</v>
      </c>
      <c r="AJ229" s="22" t="n">
        <f aca="false">100*(AJ95-AJ94)</f>
        <v>-2.3734993957699</v>
      </c>
      <c r="AK229" s="22" t="n">
        <f aca="false">100*(AK95-AK94)</f>
        <v>-2.36791685682021</v>
      </c>
      <c r="AL229" s="22" t="n">
        <f aca="false">AVERAGE(C229:AK229)</f>
        <v>-3.35223182807033</v>
      </c>
    </row>
    <row r="230" customFormat="false" ht="15" hidden="false" customHeight="false" outlineLevel="0" collapsed="false">
      <c r="A230" s="20" t="n">
        <f aca="false">A96</f>
        <v>-29</v>
      </c>
      <c r="B230" s="21" t="n">
        <f aca="false">B96</f>
        <v>41150</v>
      </c>
      <c r="C230" s="22" t="n">
        <f aca="false">100*(C96-C95)</f>
        <v>2.06844191765887</v>
      </c>
      <c r="D230" s="22" t="n">
        <f aca="false">100*(D96-D95)</f>
        <v>2.31371447044944</v>
      </c>
      <c r="E230" s="22" t="n">
        <f aca="false">100*(E96-E95)</f>
        <v>2.41864660930431</v>
      </c>
      <c r="F230" s="22" t="n">
        <f aca="false">100*(F96-F95)</f>
        <v>2.43595755050226</v>
      </c>
      <c r="G230" s="22" t="n">
        <f aca="false">100*(G96-G95)</f>
        <v>2.39830316713156</v>
      </c>
      <c r="H230" s="22" t="n">
        <f aca="false">100*(H96-H95)</f>
        <v>2.32658320518144</v>
      </c>
      <c r="I230" s="22" t="n">
        <f aca="false">100*(I96-I95)</f>
        <v>2.23487099870476</v>
      </c>
      <c r="J230" s="22" t="n">
        <f aca="false">100*(J96-J95)</f>
        <v>2.13417797594184</v>
      </c>
      <c r="K230" s="22" t="n">
        <f aca="false">100*(K96-K95)</f>
        <v>2.03249115302859</v>
      </c>
      <c r="L230" s="22" t="n">
        <f aca="false">100*(L96-L95)</f>
        <v>1.93637471972663</v>
      </c>
      <c r="M230" s="22" t="n">
        <f aca="false">100*(M96-M95)</f>
        <v>1.85040286325551</v>
      </c>
      <c r="N230" s="22" t="n">
        <f aca="false">100*(N96-N95)</f>
        <v>1.77747453145209</v>
      </c>
      <c r="O230" s="22" t="n">
        <f aca="false">100*(O96-O95)</f>
        <v>1.71892757711611</v>
      </c>
      <c r="P230" s="22" t="n">
        <f aca="false">100*(P96-P95)</f>
        <v>1.67473107960969</v>
      </c>
      <c r="Q230" s="22" t="n">
        <f aca="false">100*(Q96-Q95)</f>
        <v>1.6437449928876</v>
      </c>
      <c r="R230" s="22" t="n">
        <f aca="false">100*(R96-R95)</f>
        <v>1.6238871770262</v>
      </c>
      <c r="S230" s="22" t="n">
        <f aca="false">100*(S96-S95)</f>
        <v>1.6121219092466</v>
      </c>
      <c r="T230" s="22" t="n">
        <f aca="false">100*(T96-T95)</f>
        <v>1.60491077748501</v>
      </c>
      <c r="U230" s="22" t="n">
        <f aca="false">100*(U96-U95)</f>
        <v>1.5991005310271</v>
      </c>
      <c r="V230" s="22" t="n">
        <f aca="false">100*(V96-V95)</f>
        <v>1.5919289456815</v>
      </c>
      <c r="W230" s="22" t="n">
        <f aca="false">100*(W96-W95)</f>
        <v>1.58094336103261</v>
      </c>
      <c r="X230" s="22" t="n">
        <f aca="false">100*(X96-X95)</f>
        <v>1.56393876768477</v>
      </c>
      <c r="Y230" s="22" t="n">
        <f aca="false">100*(Y96-Y95)</f>
        <v>1.53892919502328</v>
      </c>
      <c r="Z230" s="22" t="n">
        <f aca="false">100*(Z96-Z95)</f>
        <v>1.50438095243932</v>
      </c>
      <c r="AA230" s="22" t="n">
        <f aca="false">100*(AA96-AA95)</f>
        <v>1.45945845381741</v>
      </c>
      <c r="AB230" s="22" t="n">
        <f aca="false">100*(AB96-AB95)</f>
        <v>1.40394125646681</v>
      </c>
      <c r="AC230" s="22" t="n">
        <f aca="false">100*(AC96-AC95)</f>
        <v>1.33812153815112</v>
      </c>
      <c r="AD230" s="22" t="n">
        <f aca="false">100*(AD96-AD95)</f>
        <v>1.26272128632561</v>
      </c>
      <c r="AE230" s="22" t="n">
        <f aca="false">100*(AE96-AE95)</f>
        <v>1.17883173474298</v>
      </c>
      <c r="AF230" s="22" t="n">
        <f aca="false">100*(AF96-AF95)</f>
        <v>1.08790421527503</v>
      </c>
      <c r="AG230" s="22" t="n">
        <f aca="false">100*(AG96-AG95)</f>
        <v>-0.0341789899013012</v>
      </c>
      <c r="AH230" s="22" t="n">
        <f aca="false">100*(AH96-AH95)</f>
        <v>-0.0828202612620288</v>
      </c>
      <c r="AI230" s="22" t="n">
        <f aca="false">100*(AI96-AI95)</f>
        <v>-0.124812334554614</v>
      </c>
      <c r="AJ230" s="22" t="n">
        <f aca="false">100*(AJ96-AJ95)</f>
        <v>-0.160416185981793</v>
      </c>
      <c r="AK230" s="22" t="n">
        <f aca="false">100*(AK96-AK95)</f>
        <v>-0.189941266769678</v>
      </c>
      <c r="AL230" s="22" t="n">
        <f aca="false">AVERAGE(C230:AK230)</f>
        <v>1.49496553928305</v>
      </c>
    </row>
    <row r="231" customFormat="false" ht="15" hidden="false" customHeight="false" outlineLevel="0" collapsed="false">
      <c r="A231" s="20" t="n">
        <f aca="false">A97</f>
        <v>-28</v>
      </c>
      <c r="B231" s="21" t="n">
        <f aca="false">B97</f>
        <v>41151</v>
      </c>
      <c r="C231" s="22" t="n">
        <f aca="false">100*(C97-C96)</f>
        <v>-3.20218539613171</v>
      </c>
      <c r="D231" s="22" t="n">
        <f aca="false">100*(D97-D96)</f>
        <v>-3.75874620227415</v>
      </c>
      <c r="E231" s="22" t="n">
        <f aca="false">100*(E97-E96)</f>
        <v>-4.14174530275707</v>
      </c>
      <c r="F231" s="22" t="n">
        <f aca="false">100*(F97-F96)</f>
        <v>-4.42342805687576</v>
      </c>
      <c r="G231" s="22" t="n">
        <f aca="false">100*(G97-G96)</f>
        <v>-4.63953610189586</v>
      </c>
      <c r="H231" s="22" t="n">
        <f aca="false">100*(H97-H96)</f>
        <v>-4.80835418850968</v>
      </c>
      <c r="I231" s="22" t="n">
        <f aca="false">100*(I97-I96)</f>
        <v>-4.94106948168112</v>
      </c>
      <c r="J231" s="22" t="n">
        <f aca="false">100*(J97-J96)</f>
        <v>-5.04486810231509</v>
      </c>
      <c r="K231" s="22" t="n">
        <f aca="false">100*(K97-K96)</f>
        <v>-5.1256094791671</v>
      </c>
      <c r="L231" s="22" t="n">
        <f aca="false">100*(L97-L96)</f>
        <v>-5.18715573257403</v>
      </c>
      <c r="M231" s="22" t="n">
        <f aca="false">100*(M97-M96)</f>
        <v>-5.23243015611421</v>
      </c>
      <c r="N231" s="22" t="n">
        <f aca="false">100*(N97-N96)</f>
        <v>-5.26362927341679</v>
      </c>
      <c r="O231" s="22" t="n">
        <f aca="false">100*(O97-O96)</f>
        <v>-5.28244175464931</v>
      </c>
      <c r="P231" s="22" t="n">
        <f aca="false">100*(P97-P96)</f>
        <v>-5.29024001805809</v>
      </c>
      <c r="Q231" s="22" t="n">
        <f aca="false">100*(Q97-Q96)</f>
        <v>-5.2880841460917</v>
      </c>
      <c r="R231" s="22" t="n">
        <f aca="false">100*(R97-R96)</f>
        <v>-5.2768735396453</v>
      </c>
      <c r="S231" s="22" t="n">
        <f aca="false">100*(S97-S96)</f>
        <v>-5.25726746530919</v>
      </c>
      <c r="T231" s="22" t="n">
        <f aca="false">100*(T97-T96)</f>
        <v>-5.22982717111671</v>
      </c>
      <c r="U231" s="22" t="n">
        <f aca="false">100*(U97-U96)</f>
        <v>-5.19517763106678</v>
      </c>
      <c r="V231" s="22" t="n">
        <f aca="false">100*(V97-V96)</f>
        <v>-5.1540028717364</v>
      </c>
      <c r="W231" s="22" t="n">
        <f aca="false">100*(W97-W96)</f>
        <v>-5.10703366925029</v>
      </c>
      <c r="X231" s="22" t="n">
        <f aca="false">100*(X97-X96)</f>
        <v>-5.05503819937179</v>
      </c>
      <c r="Y231" s="22" t="n">
        <f aca="false">100*(Y97-Y96)</f>
        <v>-4.9988184393829</v>
      </c>
      <c r="Z231" s="22" t="n">
        <f aca="false">100*(Z97-Z96)</f>
        <v>-4.93921332931513</v>
      </c>
      <c r="AA231" s="22" t="n">
        <f aca="false">100*(AA97-AA96)</f>
        <v>-4.87707529525658</v>
      </c>
      <c r="AB231" s="22" t="n">
        <f aca="false">100*(AB97-AB96)</f>
        <v>-4.81326267415221</v>
      </c>
      <c r="AC231" s="22" t="n">
        <f aca="false">100*(AC97-AC96)</f>
        <v>-4.74863872817721</v>
      </c>
      <c r="AD231" s="22" t="n">
        <f aca="false">100*(AD97-AD96)</f>
        <v>-4.68407083572462</v>
      </c>
      <c r="AE231" s="22" t="n">
        <f aca="false">100*(AE97-AE96)</f>
        <v>-4.62040856394879</v>
      </c>
      <c r="AF231" s="22" t="n">
        <f aca="false">100*(AF97-AF96)</f>
        <v>-4.5583912054457</v>
      </c>
      <c r="AG231" s="22" t="n">
        <f aca="false">100*(AG97-AG96)</f>
        <v>-4.05962198709489</v>
      </c>
      <c r="AH231" s="22" t="n">
        <f aca="false">100*(AH97-AH96)</f>
        <v>-4.04749823072828</v>
      </c>
      <c r="AI231" s="22" t="n">
        <f aca="false">100*(AI97-AI96)</f>
        <v>-4.0385837588985</v>
      </c>
      <c r="AJ231" s="22" t="n">
        <f aca="false">100*(AJ97-AJ96)</f>
        <v>-4.03267064535791</v>
      </c>
      <c r="AK231" s="22" t="n">
        <f aca="false">100*(AK97-AK96)</f>
        <v>-4.02954570795782</v>
      </c>
      <c r="AL231" s="22" t="n">
        <f aca="false">AVERAGE(C231:AK231)</f>
        <v>-4.75292980975568</v>
      </c>
    </row>
    <row r="232" customFormat="false" ht="15" hidden="false" customHeight="false" outlineLevel="0" collapsed="false">
      <c r="A232" s="20" t="n">
        <f aca="false">A98</f>
        <v>-27</v>
      </c>
      <c r="B232" s="21" t="n">
        <f aca="false">B98</f>
        <v>41152</v>
      </c>
      <c r="C232" s="22" t="n">
        <f aca="false">100*(C98-C97)</f>
        <v>-2.00893187864727</v>
      </c>
      <c r="D232" s="22" t="n">
        <f aca="false">100*(D98-D97)</f>
        <v>-2.06254878981511</v>
      </c>
      <c r="E232" s="22" t="n">
        <f aca="false">100*(E98-E97)</f>
        <v>-1.93958488990877</v>
      </c>
      <c r="F232" s="22" t="n">
        <f aca="false">100*(F98-F97)</f>
        <v>-1.70525432387212</v>
      </c>
      <c r="G232" s="22" t="n">
        <f aca="false">100*(G98-G97)</f>
        <v>-1.40567030975996</v>
      </c>
      <c r="H232" s="22" t="n">
        <f aca="false">100*(H98-H97)</f>
        <v>-1.07156149417882</v>
      </c>
      <c r="I232" s="22" t="n">
        <f aca="false">100*(I98-I97)</f>
        <v>-0.724522262354255</v>
      </c>
      <c r="J232" s="22" t="n">
        <f aca="false">100*(J98-J97)</f>
        <v>-0.378558996527456</v>
      </c>
      <c r="K232" s="22" t="n">
        <f aca="false">100*(K98-K97)</f>
        <v>-0.045859981092633</v>
      </c>
      <c r="L232" s="22" t="n">
        <f aca="false">100*(L98-L97)</f>
        <v>0.266129754408562</v>
      </c>
      <c r="M232" s="22" t="n">
        <f aca="false">100*(M98-M97)</f>
        <v>0.552392964029114</v>
      </c>
      <c r="N232" s="22" t="n">
        <f aca="false">100*(N98-N97)</f>
        <v>0.81054996225749</v>
      </c>
      <c r="O232" s="22" t="n">
        <f aca="false">100*(O98-O97)</f>
        <v>1.04052712651801</v>
      </c>
      <c r="P232" s="22" t="n">
        <f aca="false">100*(P98-P97)</f>
        <v>1.2437345463856</v>
      </c>
      <c r="Q232" s="22" t="n">
        <f aca="false">100*(Q98-Q97)</f>
        <v>1.4226378370946</v>
      </c>
      <c r="R232" s="22" t="n">
        <f aca="false">100*(R98-R97)</f>
        <v>1.5801345740871</v>
      </c>
      <c r="S232" s="22" t="n">
        <f aca="false">100*(S98-S97)</f>
        <v>1.71984769664331</v>
      </c>
      <c r="T232" s="22" t="n">
        <f aca="false">100*(T98-T97)</f>
        <v>1.8452925569505</v>
      </c>
      <c r="U232" s="22" t="n">
        <f aca="false">100*(U98-U97)</f>
        <v>1.9594465130085</v>
      </c>
      <c r="V232" s="22" t="n">
        <f aca="false">100*(V98-V97)</f>
        <v>2.0648424948094</v>
      </c>
      <c r="W232" s="22" t="n">
        <f aca="false">100*(W98-W97)</f>
        <v>2.16366159411738</v>
      </c>
      <c r="X232" s="22" t="n">
        <f aca="false">100*(X98-X97)</f>
        <v>2.25780343211581</v>
      </c>
      <c r="Y232" s="22" t="n">
        <f aca="false">100*(Y98-Y97)</f>
        <v>2.34891317187662</v>
      </c>
      <c r="Z232" s="22" t="n">
        <f aca="false">100*(Z98-Z97)</f>
        <v>2.43821564377802</v>
      </c>
      <c r="AA232" s="22" t="n">
        <f aca="false">100*(AA98-AA97)</f>
        <v>2.52645030838989</v>
      </c>
      <c r="AB232" s="22" t="n">
        <f aca="false">100*(AB98-AB97)</f>
        <v>2.6139518526092</v>
      </c>
      <c r="AC232" s="22" t="n">
        <f aca="false">100*(AC98-AC97)</f>
        <v>2.70071765263191</v>
      </c>
      <c r="AD232" s="22" t="n">
        <f aca="false">100*(AD98-AD97)</f>
        <v>2.78646162428982</v>
      </c>
      <c r="AE232" s="22" t="n">
        <f aca="false">100*(AE98-AE97)</f>
        <v>2.87066132418912</v>
      </c>
      <c r="AF232" s="22" t="n">
        <f aca="false">100*(AF98-AF97)</f>
        <v>2.95267147763409</v>
      </c>
      <c r="AG232" s="22" t="n">
        <f aca="false">100*(AG98-AG97)</f>
        <v>3.63772754546079</v>
      </c>
      <c r="AH232" s="22" t="n">
        <f aca="false">100*(AH98-AH97)</f>
        <v>3.65983155824341</v>
      </c>
      <c r="AI232" s="22" t="n">
        <f aca="false">100*(AI98-AI97)</f>
        <v>3.67845767162849</v>
      </c>
      <c r="AJ232" s="22" t="n">
        <f aca="false">100*(AJ98-AJ97)</f>
        <v>3.69381156067692</v>
      </c>
      <c r="AK232" s="22" t="n">
        <f aca="false">100*(AK98-AK97)</f>
        <v>3.70609064728531</v>
      </c>
      <c r="AL232" s="22" t="n">
        <f aca="false">AVERAGE(C232:AK232)</f>
        <v>1.34852771899893</v>
      </c>
    </row>
    <row r="233" customFormat="false" ht="15" hidden="false" customHeight="false" outlineLevel="0" collapsed="false">
      <c r="A233" s="20" t="n">
        <f aca="false">A99</f>
        <v>-26</v>
      </c>
      <c r="B233" s="21" t="n">
        <f aca="false">B99</f>
        <v>41155</v>
      </c>
      <c r="C233" s="22" t="n">
        <f aca="false">100*(C99-C98)</f>
        <v>0.423142531814263</v>
      </c>
      <c r="D233" s="22" t="n">
        <f aca="false">100*(D99-D98)</f>
        <v>0.276631073343658</v>
      </c>
      <c r="E233" s="22" t="n">
        <f aca="false">100*(E99-E98)</f>
        <v>0.196942949452289</v>
      </c>
      <c r="F233" s="22" t="n">
        <f aca="false">100*(F99-F98)</f>
        <v>0.179836532630071</v>
      </c>
      <c r="G233" s="22" t="n">
        <f aca="false">100*(G99-G98)</f>
        <v>0.22037938031762</v>
      </c>
      <c r="H233" s="22" t="n">
        <f aca="false">100*(H99-H98)</f>
        <v>0.312662303281519</v>
      </c>
      <c r="I233" s="22" t="n">
        <f aca="false">100*(I99-I98)</f>
        <v>0.448693637575714</v>
      </c>
      <c r="J233" s="22" t="n">
        <f aca="false">100*(J99-J98)</f>
        <v>0.618052833493876</v>
      </c>
      <c r="K233" s="22" t="n">
        <f aca="false">100*(K99-K98)</f>
        <v>0.809106727198694</v>
      </c>
      <c r="L233" s="22" t="n">
        <f aca="false">100*(L99-L98)</f>
        <v>1.01063799462032</v>
      </c>
      <c r="M233" s="22" t="n">
        <f aca="false">100*(M99-M98)</f>
        <v>1.21295859658599</v>
      </c>
      <c r="N233" s="22" t="n">
        <f aca="false">100*(N99-N98)</f>
        <v>1.40829459855221</v>
      </c>
      <c r="O233" s="22" t="n">
        <f aca="false">100*(O99-O98)</f>
        <v>1.5909875877508</v>
      </c>
      <c r="P233" s="22" t="n">
        <f aca="false">100*(P99-P98)</f>
        <v>1.75733818438359</v>
      </c>
      <c r="Q233" s="22" t="n">
        <f aca="false">100*(Q99-Q98)</f>
        <v>1.90530135945191</v>
      </c>
      <c r="R233" s="22" t="n">
        <f aca="false">100*(R99-R98)</f>
        <v>2.0340553709657</v>
      </c>
      <c r="S233" s="22" t="n">
        <f aca="false">100*(S99-S98)</f>
        <v>2.1438931781411</v>
      </c>
      <c r="T233" s="22" t="n">
        <f aca="false">100*(T99-T98)</f>
        <v>2.2356842425447</v>
      </c>
      <c r="U233" s="22" t="n">
        <f aca="false">100*(U99-U98)</f>
        <v>2.31052630993789</v>
      </c>
      <c r="V233" s="22" t="n">
        <f aca="false">100*(V99-V98)</f>
        <v>2.36968246979941</v>
      </c>
      <c r="W233" s="22" t="n">
        <f aca="false">100*(W99-W98)</f>
        <v>2.41454670878361</v>
      </c>
      <c r="X233" s="22" t="n">
        <f aca="false">100*(X99-X98)</f>
        <v>2.44661773128501</v>
      </c>
      <c r="Y233" s="22" t="n">
        <f aca="false">100*(Y99-Y98)</f>
        <v>2.46746366619841</v>
      </c>
      <c r="Z233" s="22" t="n">
        <f aca="false">100*(Z99-Z98)</f>
        <v>2.47857397590798</v>
      </c>
      <c r="AA233" s="22" t="n">
        <f aca="false">100*(AA99-AA98)</f>
        <v>2.48126429166677</v>
      </c>
      <c r="AB233" s="22" t="n">
        <f aca="false">100*(AB99-AB98)</f>
        <v>2.47669965465298</v>
      </c>
      <c r="AC233" s="22" t="n">
        <f aca="false">100*(AC99-AC98)</f>
        <v>2.46591961440128</v>
      </c>
      <c r="AD233" s="22" t="n">
        <f aca="false">100*(AD99-AD98)</f>
        <v>2.4498581152979</v>
      </c>
      <c r="AE233" s="22" t="n">
        <f aca="false">100*(AE99-AE98)</f>
        <v>2.42934652179549</v>
      </c>
      <c r="AF233" s="22" t="n">
        <f aca="false">100*(AF99-AF98)</f>
        <v>2.4051086625172</v>
      </c>
      <c r="AG233" s="22" t="n">
        <f aca="false">100*(AG99-AG98)</f>
        <v>1.9656355125627</v>
      </c>
      <c r="AH233" s="22" t="n">
        <f aca="false">100*(AH99-AH98)</f>
        <v>1.93401117774918</v>
      </c>
      <c r="AI233" s="22" t="n">
        <f aca="false">100*(AI99-AI98)</f>
        <v>1.9040121378239</v>
      </c>
      <c r="AJ233" s="22" t="n">
        <f aca="false">100*(AJ99-AJ98)</f>
        <v>1.8758195345693</v>
      </c>
      <c r="AK233" s="22" t="n">
        <f aca="false">100*(AK99-AK98)</f>
        <v>1.84957870347318</v>
      </c>
      <c r="AL233" s="22" t="n">
        <f aca="false">AVERAGE(C233:AK233)</f>
        <v>1.64312182487218</v>
      </c>
    </row>
    <row r="234" customFormat="false" ht="15" hidden="false" customHeight="false" outlineLevel="0" collapsed="false">
      <c r="A234" s="20" t="n">
        <f aca="false">A100</f>
        <v>-25</v>
      </c>
      <c r="B234" s="21" t="n">
        <f aca="false">B100</f>
        <v>41156</v>
      </c>
      <c r="C234" s="22" t="n">
        <f aca="false">100*(C100-C99)</f>
        <v>-0.424800814568468</v>
      </c>
      <c r="D234" s="22" t="n">
        <f aca="false">100*(D100-D99)</f>
        <v>-0.767843982194949</v>
      </c>
      <c r="E234" s="22" t="n">
        <f aca="false">100*(E100-E99)</f>
        <v>-1.07255507854494</v>
      </c>
      <c r="F234" s="22" t="n">
        <f aca="false">100*(F100-F99)</f>
        <v>-1.33918298006855</v>
      </c>
      <c r="G234" s="22" t="n">
        <f aca="false">100*(G100-G99)</f>
        <v>-1.57262430107627</v>
      </c>
      <c r="H234" s="22" t="n">
        <f aca="false">100*(H100-H99)</f>
        <v>-1.77717331033598</v>
      </c>
      <c r="I234" s="22" t="n">
        <f aca="false">100*(I100-I99)</f>
        <v>-1.95557746162713</v>
      </c>
      <c r="J234" s="22" t="n">
        <f aca="false">100*(J100-J99)</f>
        <v>-2.10924616299111</v>
      </c>
      <c r="K234" s="22" t="n">
        <f aca="false">100*(K100-K99)</f>
        <v>-2.23816644800077</v>
      </c>
      <c r="L234" s="22" t="n">
        <f aca="false">100*(L100-L99)</f>
        <v>-2.34221588069503</v>
      </c>
      <c r="M234" s="22" t="n">
        <f aca="false">100*(M100-M99)</f>
        <v>-2.42164961455971</v>
      </c>
      <c r="N234" s="22" t="n">
        <f aca="false">100*(N100-N99)</f>
        <v>-2.4775154632166</v>
      </c>
      <c r="O234" s="22" t="n">
        <f aca="false">100*(O100-O99)</f>
        <v>-2.51170668393041</v>
      </c>
      <c r="P234" s="22" t="n">
        <f aca="false">100*(P100-P99)</f>
        <v>-2.52663168202629</v>
      </c>
      <c r="Q234" s="22" t="n">
        <f aca="false">100*(Q100-Q99)</f>
        <v>-2.52507347672131</v>
      </c>
      <c r="R234" s="22" t="n">
        <f aca="false">100*(R100-R99)</f>
        <v>-2.5098557468668</v>
      </c>
      <c r="S234" s="22" t="n">
        <f aca="false">100*(S100-S99)</f>
        <v>-2.48366036471381</v>
      </c>
      <c r="T234" s="22" t="n">
        <f aca="false">100*(T100-T99)</f>
        <v>-2.44908030521129</v>
      </c>
      <c r="U234" s="22" t="n">
        <f aca="false">100*(U100-U99)</f>
        <v>-2.40846975917159</v>
      </c>
      <c r="V234" s="22" t="n">
        <f aca="false">100*(V100-V99)</f>
        <v>-2.36397236679671</v>
      </c>
      <c r="W234" s="22" t="n">
        <f aca="false">100*(W100-W99)</f>
        <v>-2.31756508235679</v>
      </c>
      <c r="X234" s="22" t="n">
        <f aca="false">100*(X100-X99)</f>
        <v>-2.27109151137772</v>
      </c>
      <c r="Y234" s="22" t="n">
        <f aca="false">100*(Y100-Y99)</f>
        <v>-2.22628234589672</v>
      </c>
      <c r="Z234" s="22" t="n">
        <f aca="false">100*(Z100-Z99)</f>
        <v>-2.18467855006828</v>
      </c>
      <c r="AA234" s="22" t="n">
        <f aca="false">100*(AA100-AA99)</f>
        <v>-2.14753728062207</v>
      </c>
      <c r="AB234" s="22" t="n">
        <f aca="false">100*(AB100-AB99)</f>
        <v>-2.115865267319</v>
      </c>
      <c r="AC234" s="22" t="n">
        <f aca="false">100*(AC100-AC99)</f>
        <v>-2.09046055072921</v>
      </c>
      <c r="AD234" s="22" t="n">
        <f aca="false">100*(AD100-AD99)</f>
        <v>-2.07194600580389</v>
      </c>
      <c r="AE234" s="22" t="n">
        <f aca="false">100*(AE100-AE99)</f>
        <v>-2.0607669246246</v>
      </c>
      <c r="AF234" s="22" t="n">
        <f aca="false">100*(AF100-AF99)</f>
        <v>-2.0571029578857</v>
      </c>
      <c r="AG234" s="22" t="n">
        <f aca="false">100*(AG100-AG99)</f>
        <v>-2.50753936304879</v>
      </c>
      <c r="AH234" s="22" t="n">
        <f aca="false">100*(AH100-AH99)</f>
        <v>-2.55915187107609</v>
      </c>
      <c r="AI234" s="22" t="n">
        <f aca="false">100*(AI100-AI99)</f>
        <v>-2.61022312067047</v>
      </c>
      <c r="AJ234" s="22" t="n">
        <f aca="false">100*(AJ100-AJ99)</f>
        <v>-2.66029953731661</v>
      </c>
      <c r="AK234" s="22" t="n">
        <f aca="false">100*(AK100-AK99)</f>
        <v>-2.70898159414328</v>
      </c>
      <c r="AL234" s="22" t="n">
        <f aca="false">AVERAGE(C234:AK234)</f>
        <v>-2.13904268132163</v>
      </c>
    </row>
    <row r="235" customFormat="false" ht="15" hidden="false" customHeight="false" outlineLevel="0" collapsed="false">
      <c r="A235" s="20" t="n">
        <f aca="false">A101</f>
        <v>-24</v>
      </c>
      <c r="B235" s="21" t="n">
        <f aca="false">B101</f>
        <v>41157</v>
      </c>
      <c r="C235" s="22" t="n">
        <f aca="false">100*(C101-C100)</f>
        <v>2.49494861407347</v>
      </c>
      <c r="D235" s="22" t="n">
        <f aca="false">100*(D101-D100)</f>
        <v>2.73942377710327</v>
      </c>
      <c r="E235" s="22" t="n">
        <f aca="false">100*(E101-E100)</f>
        <v>2.77927988629042</v>
      </c>
      <c r="F235" s="22" t="n">
        <f aca="false">100*(F101-F100)</f>
        <v>2.71168676389853</v>
      </c>
      <c r="G235" s="22" t="n">
        <f aca="false">100*(G101-G100)</f>
        <v>2.59081316999631</v>
      </c>
      <c r="H235" s="22" t="n">
        <f aca="false">100*(H101-H100)</f>
        <v>2.44762247847024</v>
      </c>
      <c r="I235" s="22" t="n">
        <f aca="false">100*(I101-I100)</f>
        <v>2.30031867590461</v>
      </c>
      <c r="J235" s="22" t="n">
        <f aca="false">100*(J101-J100)</f>
        <v>2.15996131426983</v>
      </c>
      <c r="K235" s="22" t="n">
        <f aca="false">100*(K101-K100)</f>
        <v>2.03429574781703</v>
      </c>
      <c r="L235" s="22" t="n">
        <f aca="false">100*(L101-L100)</f>
        <v>1.928582185271</v>
      </c>
      <c r="M235" s="22" t="n">
        <f aca="false">100*(M101-M100)</f>
        <v>1.846347146449</v>
      </c>
      <c r="N235" s="22" t="n">
        <f aca="false">100*(N101-N100)</f>
        <v>1.78951649247838</v>
      </c>
      <c r="O235" s="22" t="n">
        <f aca="false">100*(O101-O100)</f>
        <v>1.7586085808015</v>
      </c>
      <c r="P235" s="22" t="n">
        <f aca="false">100*(P101-P100)</f>
        <v>1.75302311335059</v>
      </c>
      <c r="Q235" s="22" t="n">
        <f aca="false">100*(Q101-Q100)</f>
        <v>1.77113467847911</v>
      </c>
      <c r="R235" s="22" t="n">
        <f aca="false">100*(R101-R100)</f>
        <v>1.81063896887319</v>
      </c>
      <c r="S235" s="22" t="n">
        <f aca="false">100*(S101-S100)</f>
        <v>1.86867489196492</v>
      </c>
      <c r="T235" s="22" t="n">
        <f aca="false">100*(T101-T100)</f>
        <v>1.94201703723249</v>
      </c>
      <c r="U235" s="22" t="n">
        <f aca="false">100*(U101-U100)</f>
        <v>2.02750158967671</v>
      </c>
      <c r="V235" s="22" t="n">
        <f aca="false">100*(V101-V100)</f>
        <v>2.1220517660125</v>
      </c>
      <c r="W235" s="22" t="n">
        <f aca="false">100*(W101-W100)</f>
        <v>2.22265968307118</v>
      </c>
      <c r="X235" s="22" t="n">
        <f aca="false">100*(X101-X100)</f>
        <v>2.32637257777713</v>
      </c>
      <c r="Y235" s="22" t="n">
        <f aca="false">100*(Y101-Y100)</f>
        <v>2.4303012304784</v>
      </c>
      <c r="Z235" s="22" t="n">
        <f aca="false">100*(Z101-Z100)</f>
        <v>2.53185559919271</v>
      </c>
      <c r="AA235" s="22" t="n">
        <f aca="false">100*(AA101-AA100)</f>
        <v>2.62896537751387</v>
      </c>
      <c r="AB235" s="22" t="n">
        <f aca="false">100*(AB101-AB100)</f>
        <v>2.72001885430462</v>
      </c>
      <c r="AC235" s="22" t="n">
        <f aca="false">100*(AC101-AC100)</f>
        <v>2.80378648117123</v>
      </c>
      <c r="AD235" s="22" t="n">
        <f aca="false">100*(AD101-AD100)</f>
        <v>2.87935998241218</v>
      </c>
      <c r="AE235" s="22" t="n">
        <f aca="false">100*(AE101-AE100)</f>
        <v>2.94618124134178</v>
      </c>
      <c r="AF235" s="22" t="n">
        <f aca="false">100*(AF101-AF100)</f>
        <v>3.00425284561352</v>
      </c>
      <c r="AG235" s="22" t="n">
        <f aca="false">100*(AG101-AG100)</f>
        <v>3.39756317708111</v>
      </c>
      <c r="AH235" s="22" t="n">
        <f aca="false">100*(AH101-AH100)</f>
        <v>3.4347401164593</v>
      </c>
      <c r="AI235" s="22" t="n">
        <f aca="false">100*(AI101-AI100)</f>
        <v>3.4760190918282</v>
      </c>
      <c r="AJ235" s="22" t="n">
        <f aca="false">100*(AJ101-AJ100)</f>
        <v>3.5215272656409</v>
      </c>
      <c r="AK235" s="22" t="n">
        <f aca="false">100*(AK101-AK100)</f>
        <v>3.57127698778439</v>
      </c>
      <c r="AL235" s="22" t="n">
        <f aca="false">AVERAGE(C235:AK235)</f>
        <v>2.47918078257382</v>
      </c>
    </row>
    <row r="236" customFormat="false" ht="15" hidden="false" customHeight="false" outlineLevel="0" collapsed="false">
      <c r="A236" s="20" t="n">
        <f aca="false">A102</f>
        <v>-23</v>
      </c>
      <c r="B236" s="21" t="n">
        <f aca="false">B102</f>
        <v>41158</v>
      </c>
      <c r="C236" s="22" t="n">
        <f aca="false">100*(C102-C101)</f>
        <v>3.0947625622577</v>
      </c>
      <c r="D236" s="22" t="n">
        <f aca="false">100*(D102-D101)</f>
        <v>3.66059015995822</v>
      </c>
      <c r="E236" s="22" t="n">
        <f aca="false">100*(E102-E101)</f>
        <v>4.06872434226344</v>
      </c>
      <c r="F236" s="22" t="n">
        <f aca="false">100*(F102-F101)</f>
        <v>4.39490678322831</v>
      </c>
      <c r="G236" s="22" t="n">
        <f aca="false">100*(G102-G101)</f>
        <v>4.68060807721222</v>
      </c>
      <c r="H236" s="22" t="n">
        <f aca="false">100*(H102-H101)</f>
        <v>4.94670080850714</v>
      </c>
      <c r="I236" s="22" t="n">
        <f aca="false">100*(I102-I101)</f>
        <v>5.20282779728193</v>
      </c>
      <c r="J236" s="22" t="n">
        <f aca="false">100*(J102-J101)</f>
        <v>5.45231750875339</v>
      </c>
      <c r="K236" s="22" t="n">
        <f aca="false">100*(K102-K101)</f>
        <v>5.69555947847339</v>
      </c>
      <c r="L236" s="22" t="n">
        <f aca="false">100*(L102-L101)</f>
        <v>5.93138579000954</v>
      </c>
      <c r="M236" s="22" t="n">
        <f aca="false">100*(M102-M101)</f>
        <v>6.1581237020454</v>
      </c>
      <c r="N236" s="22" t="n">
        <f aca="false">100*(N102-N101)</f>
        <v>6.37387479282812</v>
      </c>
      <c r="O236" s="22" t="n">
        <f aca="false">100*(O102-O101)</f>
        <v>6.57676930302511</v>
      </c>
      <c r="P236" s="22" t="n">
        <f aca="false">100*(P102-P101)</f>
        <v>6.76502193193389</v>
      </c>
      <c r="Q236" s="22" t="n">
        <f aca="false">100*(Q102-Q101)</f>
        <v>6.9372087835349</v>
      </c>
      <c r="R236" s="22" t="n">
        <f aca="false">100*(R102-R101)</f>
        <v>7.09266709287382</v>
      </c>
      <c r="S236" s="22" t="n">
        <f aca="false">100*(S102-S101)</f>
        <v>7.23173232614809</v>
      </c>
      <c r="T236" s="22" t="n">
        <f aca="false">100*(T102-T101)</f>
        <v>7.35538899367469</v>
      </c>
      <c r="U236" s="22" t="n">
        <f aca="false">100*(U102-U101)</f>
        <v>7.46480033133099</v>
      </c>
      <c r="V236" s="22" t="n">
        <f aca="false">100*(V102-V101)</f>
        <v>7.56124397687259</v>
      </c>
      <c r="W236" s="22" t="n">
        <f aca="false">100*(W102-W101)</f>
        <v>7.64608813620862</v>
      </c>
      <c r="X236" s="22" t="n">
        <f aca="false">100*(X102-X101)</f>
        <v>7.72077346977218</v>
      </c>
      <c r="Y236" s="22" t="n">
        <f aca="false">100*(Y102-Y101)</f>
        <v>7.78677947580722</v>
      </c>
      <c r="Z236" s="22" t="n">
        <f aca="false">100*(Z102-Z101)</f>
        <v>7.84543734674577</v>
      </c>
      <c r="AA236" s="22" t="n">
        <f aca="false">100*(AA102-AA101)</f>
        <v>7.89780471153323</v>
      </c>
      <c r="AB236" s="22" t="n">
        <f aca="false">100*(AB102-AB101)</f>
        <v>7.944702171317</v>
      </c>
      <c r="AC236" s="22" t="n">
        <f aca="false">100*(AC102-AC101)</f>
        <v>7.98675280408641</v>
      </c>
      <c r="AD236" s="22" t="n">
        <f aca="false">100*(AD102-AD101)</f>
        <v>8.02441358717991</v>
      </c>
      <c r="AE236" s="22" t="n">
        <f aca="false">100*(AE102-AE101)</f>
        <v>8.05798049350681</v>
      </c>
      <c r="AF236" s="22" t="n">
        <f aca="false">100*(AF102-AF101)</f>
        <v>8.08756718502597</v>
      </c>
      <c r="AG236" s="22" t="n">
        <f aca="false">100*(AG102-AG101)</f>
        <v>8.12309568711438</v>
      </c>
      <c r="AH236" s="22" t="n">
        <f aca="false">100*(AH102-AH101)</f>
        <v>8.10769783090448</v>
      </c>
      <c r="AI236" s="22" t="n">
        <f aca="false">100*(AI102-AI101)</f>
        <v>8.09222875149098</v>
      </c>
      <c r="AJ236" s="22" t="n">
        <f aca="false">100*(AJ102-AJ101)</f>
        <v>8.07729996157072</v>
      </c>
      <c r="AK236" s="22" t="n">
        <f aca="false">100*(AK102-AK101)</f>
        <v>8.06346753381</v>
      </c>
      <c r="AL236" s="22" t="n">
        <f aca="false">AVERAGE(C236:AK236)</f>
        <v>6.74592296252247</v>
      </c>
    </row>
    <row r="237" customFormat="false" ht="15" hidden="false" customHeight="false" outlineLevel="0" collapsed="false">
      <c r="A237" s="20" t="n">
        <f aca="false">A103</f>
        <v>-22</v>
      </c>
      <c r="B237" s="21" t="n">
        <f aca="false">B103</f>
        <v>41159</v>
      </c>
      <c r="C237" s="22" t="n">
        <f aca="false">100*(C103-C102)</f>
        <v>-1.90942181115931</v>
      </c>
      <c r="D237" s="22" t="n">
        <f aca="false">100*(D103-D102)</f>
        <v>-2.24643250092573</v>
      </c>
      <c r="E237" s="22" t="n">
        <f aca="false">100*(E103-E102)</f>
        <v>-2.44062148863669</v>
      </c>
      <c r="F237" s="22" t="n">
        <f aca="false">100*(F103-F102)</f>
        <v>-2.57209117717338</v>
      </c>
      <c r="G237" s="22" t="n">
        <f aca="false">100*(G103-G102)</f>
        <v>-2.67670961718575</v>
      </c>
      <c r="H237" s="22" t="n">
        <f aca="false">100*(H103-H102)</f>
        <v>-2.76908851266864</v>
      </c>
      <c r="I237" s="22" t="n">
        <f aca="false">100*(I103-I102)</f>
        <v>-2.8538638176373</v>
      </c>
      <c r="J237" s="22" t="n">
        <f aca="false">100*(J103-J102)</f>
        <v>-2.93141501680643</v>
      </c>
      <c r="K237" s="22" t="n">
        <f aca="false">100*(K103-K102)</f>
        <v>-2.99905975145002</v>
      </c>
      <c r="L237" s="22" t="n">
        <f aca="false">100*(L103-L102)</f>
        <v>-3.05428644357035</v>
      </c>
      <c r="M237" s="22" t="n">
        <f aca="false">100*(M103-M102)</f>
        <v>-3.0946790344186</v>
      </c>
      <c r="N237" s="22" t="n">
        <f aca="false">100*(N103-N102)</f>
        <v>-3.11876915031561</v>
      </c>
      <c r="O237" s="22" t="n">
        <f aca="false">100*(O103-O102)</f>
        <v>-3.12613394443921</v>
      </c>
      <c r="P237" s="22" t="n">
        <f aca="false">100*(P103-P102)</f>
        <v>-3.11723155563328</v>
      </c>
      <c r="Q237" s="22" t="n">
        <f aca="false">100*(Q103-Q102)</f>
        <v>-3.09329491197381</v>
      </c>
      <c r="R237" s="22" t="n">
        <f aca="false">100*(R103-R102)</f>
        <v>-3.05590580699011</v>
      </c>
      <c r="S237" s="22" t="n">
        <f aca="false">100*(S103-S102)</f>
        <v>-3.0070148958762</v>
      </c>
      <c r="T237" s="22" t="n">
        <f aca="false">100*(T103-T102)</f>
        <v>-2.94870641322869</v>
      </c>
      <c r="U237" s="22" t="n">
        <f aca="false">100*(U103-U102)</f>
        <v>-2.8830523854805</v>
      </c>
      <c r="V237" s="22" t="n">
        <f aca="false">100*(V103-V102)</f>
        <v>-2.81209290627549</v>
      </c>
      <c r="W237" s="22" t="n">
        <f aca="false">100*(W103-W102)</f>
        <v>-2.73784278913221</v>
      </c>
      <c r="X237" s="22" t="n">
        <f aca="false">100*(X103-X102)</f>
        <v>-2.66229662346991</v>
      </c>
      <c r="Y237" s="22" t="n">
        <f aca="false">100*(Y103-Y102)</f>
        <v>-2.58742968835639</v>
      </c>
      <c r="Z237" s="22" t="n">
        <f aca="false">100*(Z103-Z102)</f>
        <v>-2.51506377721951</v>
      </c>
      <c r="AA237" s="22" t="n">
        <f aca="false">100*(AA103-AA102)</f>
        <v>-2.44668490261701</v>
      </c>
      <c r="AB237" s="22" t="n">
        <f aca="false">100*(AB103-AB102)</f>
        <v>-2.38347377812183</v>
      </c>
      <c r="AC237" s="22" t="n">
        <f aca="false">100*(AC103-AC102)</f>
        <v>-2.32635670148502</v>
      </c>
      <c r="AD237" s="22" t="n">
        <f aca="false">100*(AD103-AD102)</f>
        <v>-2.27604653097249</v>
      </c>
      <c r="AE237" s="22" t="n">
        <f aca="false">100*(AE103-AE102)</f>
        <v>-2.2330297079495</v>
      </c>
      <c r="AF237" s="22" t="n">
        <f aca="false">100*(AF103-AF102)</f>
        <v>-2.19741247850669</v>
      </c>
      <c r="AG237" s="22" t="n">
        <f aca="false">100*(AG103-AG102)</f>
        <v>-2.11957512938179</v>
      </c>
      <c r="AH237" s="22" t="n">
        <f aca="false">100*(AH103-AH102)</f>
        <v>-2.11707016058318</v>
      </c>
      <c r="AI237" s="22" t="n">
        <f aca="false">100*(AI103-AI102)</f>
        <v>-2.11219998107661</v>
      </c>
      <c r="AJ237" s="22" t="n">
        <f aca="false">100*(AJ103-AJ102)</f>
        <v>-2.10466547423342</v>
      </c>
      <c r="AK237" s="22" t="n">
        <f aca="false">100*(AK103-AK102)</f>
        <v>-2.0942361215408</v>
      </c>
      <c r="AL237" s="22" t="n">
        <f aca="false">AVERAGE(C237:AK237)</f>
        <v>-2.61780728532833</v>
      </c>
    </row>
    <row r="238" customFormat="false" ht="15" hidden="false" customHeight="false" outlineLevel="0" collapsed="false">
      <c r="A238" s="20" t="n">
        <f aca="false">A104</f>
        <v>-21</v>
      </c>
      <c r="B238" s="21" t="n">
        <f aca="false">B104</f>
        <v>41162</v>
      </c>
      <c r="C238" s="22" t="n">
        <f aca="false">100*(C104-C103)</f>
        <v>3.80469989588744</v>
      </c>
      <c r="D238" s="22" t="n">
        <f aca="false">100*(D104-D103)</f>
        <v>4.17424393738335</v>
      </c>
      <c r="E238" s="22" t="n">
        <f aca="false">100*(E104-E103)</f>
        <v>4.37276766341916</v>
      </c>
      <c r="F238" s="22" t="n">
        <f aca="false">100*(F104-F103)</f>
        <v>4.48184496827735</v>
      </c>
      <c r="G238" s="22" t="n">
        <f aca="false">100*(G104-G103)</f>
        <v>4.54569096831083</v>
      </c>
      <c r="H238" s="22" t="n">
        <f aca="false">100*(H104-H103)</f>
        <v>4.58856953960892</v>
      </c>
      <c r="I238" s="22" t="n">
        <f aca="false">100*(I104-I103)</f>
        <v>4.62359894853799</v>
      </c>
      <c r="J238" s="22" t="n">
        <f aca="false">100*(J104-J103)</f>
        <v>4.65702617326197</v>
      </c>
      <c r="K238" s="22" t="n">
        <f aca="false">100*(K104-K103)</f>
        <v>4.69146788904349</v>
      </c>
      <c r="L238" s="22" t="n">
        <f aca="false">100*(L104-L103)</f>
        <v>4.72743500757299</v>
      </c>
      <c r="M238" s="22" t="n">
        <f aca="false">100*(M104-M103)</f>
        <v>4.76478041377191</v>
      </c>
      <c r="N238" s="22" t="n">
        <f aca="false">100*(N104-N103)</f>
        <v>4.80325596325402</v>
      </c>
      <c r="O238" s="22" t="n">
        <f aca="false">100*(O104-O103)</f>
        <v>4.84285230130541</v>
      </c>
      <c r="P238" s="22" t="n">
        <f aca="false">100*(P104-P103)</f>
        <v>4.88368760914109</v>
      </c>
      <c r="Q238" s="22" t="n">
        <f aca="false">100*(Q104-Q103)</f>
        <v>4.9259449177198</v>
      </c>
      <c r="R238" s="22" t="n">
        <f aca="false">100*(R104-R103)</f>
        <v>4.96984739243032</v>
      </c>
      <c r="S238" s="22" t="n">
        <f aca="false">100*(S104-S103)</f>
        <v>5.0155939125087</v>
      </c>
      <c r="T238" s="22" t="n">
        <f aca="false">100*(T104-T103)</f>
        <v>5.06331244183089</v>
      </c>
      <c r="U238" s="22" t="n">
        <f aca="false">100*(U104-U103)</f>
        <v>5.1129575761403</v>
      </c>
      <c r="V238" s="22" t="n">
        <f aca="false">100*(V104-V103)</f>
        <v>5.16434178354559</v>
      </c>
      <c r="W238" s="22" t="n">
        <f aca="false">100*(W104-W103)</f>
        <v>5.217165014444</v>
      </c>
      <c r="X238" s="22" t="n">
        <f aca="false">100*(X104-X103)</f>
        <v>5.27103720505719</v>
      </c>
      <c r="Y238" s="22" t="n">
        <f aca="false">100*(Y104-Y103)</f>
        <v>5.32549223782159</v>
      </c>
      <c r="Z238" s="22" t="n">
        <f aca="false">100*(Z104-Z103)</f>
        <v>5.38000175668114</v>
      </c>
      <c r="AA238" s="22" t="n">
        <f aca="false">100*(AA104-AA103)</f>
        <v>5.43401026434882</v>
      </c>
      <c r="AB238" s="22" t="n">
        <f aca="false">100*(AB104-AB103)</f>
        <v>5.48694460623973</v>
      </c>
      <c r="AC238" s="22" t="n">
        <f aca="false">100*(AC104-AC103)</f>
        <v>5.53821691335319</v>
      </c>
      <c r="AD238" s="22" t="n">
        <f aca="false">100*(AD104-AD103)</f>
        <v>5.5872271942814</v>
      </c>
      <c r="AE238" s="22" t="n">
        <f aca="false">100*(AE104-AE103)</f>
        <v>5.633393419444</v>
      </c>
      <c r="AF238" s="22" t="n">
        <f aca="false">100*(AF104-AF103)</f>
        <v>5.67624572097971</v>
      </c>
      <c r="AG238" s="22" t="n">
        <f aca="false">100*(AG104-AG103)</f>
        <v>5.91537939181448</v>
      </c>
      <c r="AH238" s="22" t="n">
        <f aca="false">100*(AH104-AH103)</f>
        <v>5.91746774323099</v>
      </c>
      <c r="AI238" s="22" t="n">
        <f aca="false">100*(AI104-AI103)</f>
        <v>5.9190429102113</v>
      </c>
      <c r="AJ238" s="22" t="n">
        <f aca="false">100*(AJ104-AJ103)</f>
        <v>5.92048681506152</v>
      </c>
      <c r="AK238" s="22" t="n">
        <f aca="false">100*(AK104-AK103)</f>
        <v>5.92214568213363</v>
      </c>
      <c r="AL238" s="22" t="n">
        <f aca="false">AVERAGE(C238:AK238)</f>
        <v>5.09594789080155</v>
      </c>
    </row>
    <row r="239" customFormat="false" ht="15" hidden="false" customHeight="false" outlineLevel="0" collapsed="false">
      <c r="A239" s="20" t="n">
        <f aca="false">A105</f>
        <v>-20</v>
      </c>
      <c r="B239" s="21" t="n">
        <f aca="false">B105</f>
        <v>41163</v>
      </c>
      <c r="C239" s="22" t="n">
        <f aca="false">100*(C105-C104)</f>
        <v>2.16586537320699</v>
      </c>
      <c r="D239" s="22" t="n">
        <f aca="false">100*(D105-D104)</f>
        <v>2.41542995479363</v>
      </c>
      <c r="E239" s="22" t="n">
        <f aca="false">100*(E105-E104)</f>
        <v>2.50647070575998</v>
      </c>
      <c r="F239" s="22" t="n">
        <f aca="false">100*(F105-F104)</f>
        <v>2.47924442989957</v>
      </c>
      <c r="G239" s="22" t="n">
        <f aca="false">100*(G105-G104)</f>
        <v>2.36216411099591</v>
      </c>
      <c r="H239" s="22" t="n">
        <f aca="false">100*(H105-H104)</f>
        <v>2.17813950527643</v>
      </c>
      <c r="I239" s="22" t="n">
        <f aca="false">100*(I105-I104)</f>
        <v>1.94815023952306</v>
      </c>
      <c r="J239" s="22" t="n">
        <f aca="false">100*(J105-J104)</f>
        <v>1.69195565325698</v>
      </c>
      <c r="K239" s="22" t="n">
        <f aca="false">100*(K105-K104)</f>
        <v>1.42835403131847</v>
      </c>
      <c r="L239" s="22" t="n">
        <f aca="false">100*(L105-L104)</f>
        <v>1.17340428042971</v>
      </c>
      <c r="M239" s="22" t="n">
        <f aca="false">100*(M105-M104)</f>
        <v>0.940034995256101</v>
      </c>
      <c r="N239" s="22" t="n">
        <f aca="false">100*(N105-N104)</f>
        <v>0.737883480930801</v>
      </c>
      <c r="O239" s="22" t="n">
        <f aca="false">100*(O105-O104)</f>
        <v>0.573232674262303</v>
      </c>
      <c r="P239" s="22" t="n">
        <f aca="false">100*(P105-P104)</f>
        <v>0.449484651296817</v>
      </c>
      <c r="Q239" s="22" t="n">
        <f aca="false">100*(Q105-Q104)</f>
        <v>0.367568832925191</v>
      </c>
      <c r="R239" s="22" t="n">
        <f aca="false">100*(R105-R104)</f>
        <v>0.326430210684392</v>
      </c>
      <c r="S239" s="22" t="n">
        <f aca="false">100*(S105-S104)</f>
        <v>0.323200523442901</v>
      </c>
      <c r="T239" s="22" t="n">
        <f aca="false">100*(T105-T104)</f>
        <v>0.353920756339798</v>
      </c>
      <c r="U239" s="22" t="n">
        <f aca="false">100*(U105-U104)</f>
        <v>0.414340815186898</v>
      </c>
      <c r="V239" s="22" t="n">
        <f aca="false">100*(V105-V104)</f>
        <v>0.50003423319871</v>
      </c>
      <c r="W239" s="22" t="n">
        <f aca="false">100*(W105-W104)</f>
        <v>0.606434915283405</v>
      </c>
      <c r="X239" s="22" t="n">
        <f aca="false">100*(X105-X104)</f>
        <v>0.728865063688211</v>
      </c>
      <c r="Y239" s="22" t="n">
        <f aca="false">100*(Y105-Y104)</f>
        <v>0.862587170027673</v>
      </c>
      <c r="Z239" s="22" t="n">
        <f aca="false">100*(Z105-Z104)</f>
        <v>1.00315455451887</v>
      </c>
      <c r="AA239" s="22" t="n">
        <f aca="false">100*(AA105-AA104)</f>
        <v>1.14669732413368</v>
      </c>
      <c r="AB239" s="22" t="n">
        <f aca="false">100*(AB105-AB104)</f>
        <v>1.28985368094399</v>
      </c>
      <c r="AC239" s="22" t="n">
        <f aca="false">100*(AC105-AC104)</f>
        <v>1.42968523960549</v>
      </c>
      <c r="AD239" s="22" t="n">
        <f aca="false">100*(AD105-AD104)</f>
        <v>1.5636093677784</v>
      </c>
      <c r="AE239" s="22" t="n">
        <f aca="false">100*(AE105-AE104)</f>
        <v>1.68939877342669</v>
      </c>
      <c r="AF239" s="22" t="n">
        <f aca="false">100*(AF105-AF104)</f>
        <v>1.80529933507008</v>
      </c>
      <c r="AG239" s="22" t="n">
        <f aca="false">100*(AG105-AG104)</f>
        <v>2.28245266703273</v>
      </c>
      <c r="AH239" s="22" t="n">
        <f aca="false">100*(AH105-AH104)</f>
        <v>2.2630679160895</v>
      </c>
      <c r="AI239" s="22" t="n">
        <f aca="false">100*(AI105-AI104)</f>
        <v>2.24125306653833</v>
      </c>
      <c r="AJ239" s="22" t="n">
        <f aca="false">100*(AJ105-AJ104)</f>
        <v>2.21812962133958</v>
      </c>
      <c r="AK239" s="22" t="n">
        <f aca="false">100*(AK105-AK104)</f>
        <v>2.19469903849148</v>
      </c>
      <c r="AL239" s="22" t="n">
        <f aca="false">AVERAGE(C239:AK239)</f>
        <v>1.39029991977008</v>
      </c>
    </row>
    <row r="240" customFormat="false" ht="15" hidden="false" customHeight="false" outlineLevel="0" collapsed="false">
      <c r="A240" s="20" t="n">
        <f aca="false">A106</f>
        <v>-19</v>
      </c>
      <c r="B240" s="21" t="n">
        <f aca="false">B106</f>
        <v>41164</v>
      </c>
      <c r="C240" s="22" t="n">
        <f aca="false">100*(C106-C105)</f>
        <v>4.67224127122023</v>
      </c>
      <c r="D240" s="22" t="n">
        <f aca="false">100*(D106-D105)</f>
        <v>5.87688751838405</v>
      </c>
      <c r="E240" s="22" t="n">
        <f aca="false">100*(E106-E105)</f>
        <v>6.75891980026585</v>
      </c>
      <c r="F240" s="22" t="n">
        <f aca="false">100*(F106-F105)</f>
        <v>7.42699725712935</v>
      </c>
      <c r="G240" s="22" t="n">
        <f aca="false">100*(G106-G105)</f>
        <v>7.95423474830742</v>
      </c>
      <c r="H240" s="22" t="n">
        <f aca="false">100*(H106-H105)</f>
        <v>8.38527885515489</v>
      </c>
      <c r="I240" s="22" t="n">
        <f aca="false">100*(I106-I105)</f>
        <v>8.74597339893667</v>
      </c>
      <c r="J240" s="22" t="n">
        <f aca="false">100*(J106-J105)</f>
        <v>9.04971286935612</v>
      </c>
      <c r="K240" s="22" t="n">
        <f aca="false">100*(K106-K105)</f>
        <v>9.3028092932157</v>
      </c>
      <c r="L240" s="22" t="n">
        <f aca="false">100*(L106-L105)</f>
        <v>9.50780636731901</v>
      </c>
      <c r="M240" s="22" t="n">
        <f aca="false">100*(M106-M105)</f>
        <v>9.66599805946291</v>
      </c>
      <c r="N240" s="22" t="n">
        <f aca="false">100*(N106-N105)</f>
        <v>9.7785564159524</v>
      </c>
      <c r="O240" s="22" t="n">
        <f aca="false">100*(O106-O105)</f>
        <v>9.84720653064251</v>
      </c>
      <c r="P240" s="22" t="n">
        <f aca="false">100*(P106-P105)</f>
        <v>9.87408739214959</v>
      </c>
      <c r="Q240" s="22" t="n">
        <f aca="false">100*(Q106-Q105)</f>
        <v>9.86157734518971</v>
      </c>
      <c r="R240" s="22" t="n">
        <f aca="false">100*(R106-R105)</f>
        <v>9.8121771839832</v>
      </c>
      <c r="S240" s="22" t="n">
        <f aca="false">100*(S106-S105)</f>
        <v>9.7281686890023</v>
      </c>
      <c r="T240" s="22" t="n">
        <f aca="false">100*(T106-T105)</f>
        <v>9.6117285850283</v>
      </c>
      <c r="U240" s="22" t="n">
        <f aca="false">100*(U106-U105)</f>
        <v>9.4652401901721</v>
      </c>
      <c r="V240" s="22" t="n">
        <f aca="false">100*(V106-V105)</f>
        <v>9.29127686618589</v>
      </c>
      <c r="W240" s="22" t="n">
        <f aca="false">100*(W106-W105)</f>
        <v>9.09256242603869</v>
      </c>
      <c r="X240" s="22" t="n">
        <f aca="false">100*(X106-X105)</f>
        <v>8.8719410436322</v>
      </c>
      <c r="Y240" s="22" t="n">
        <f aca="false">100*(Y106-Y105)</f>
        <v>8.63235226069161</v>
      </c>
      <c r="Z240" s="22" t="n">
        <f aca="false">100*(Z106-Z105)</f>
        <v>8.37682344224642</v>
      </c>
      <c r="AA240" s="22" t="n">
        <f aca="false">100*(AA106-AA105)</f>
        <v>8.10848327124991</v>
      </c>
      <c r="AB240" s="22" t="n">
        <f aca="false">100*(AB106-AB105)</f>
        <v>7.8305488935587</v>
      </c>
      <c r="AC240" s="22" t="n">
        <f aca="false">100*(AC106-AC105)</f>
        <v>7.54631117411524</v>
      </c>
      <c r="AD240" s="22" t="n">
        <f aca="false">100*(AD106-AD105)</f>
        <v>7.25912188086642</v>
      </c>
      <c r="AE240" s="22" t="n">
        <f aca="false">100*(AE106-AE105)</f>
        <v>6.9723323556226</v>
      </c>
      <c r="AF240" s="22" t="n">
        <f aca="false">100*(AF106-AF105)</f>
        <v>6.6891586227845</v>
      </c>
      <c r="AG240" s="22" t="n">
        <f aca="false">100*(AG106-AG105)</f>
        <v>4.13838326849039</v>
      </c>
      <c r="AH240" s="22" t="n">
        <f aca="false">100*(AH106-AH105)</f>
        <v>4.03565905535248</v>
      </c>
      <c r="AI240" s="22" t="n">
        <f aca="false">100*(AI106-AI105)</f>
        <v>3.94151962100509</v>
      </c>
      <c r="AJ240" s="22" t="n">
        <f aca="false">100*(AJ106-AJ105)</f>
        <v>3.8545332640707</v>
      </c>
      <c r="AK240" s="22" t="n">
        <f aca="false">100*(AK106-AK105)</f>
        <v>3.77333665546908</v>
      </c>
      <c r="AL240" s="22" t="n">
        <f aca="false">AVERAGE(C240:AK240)</f>
        <v>7.82114131063578</v>
      </c>
    </row>
    <row r="241" customFormat="false" ht="15" hidden="false" customHeight="false" outlineLevel="0" collapsed="false">
      <c r="A241" s="20" t="n">
        <f aca="false">A107</f>
        <v>-18</v>
      </c>
      <c r="B241" s="21" t="n">
        <f aca="false">B107</f>
        <v>41165</v>
      </c>
      <c r="C241" s="22" t="n">
        <f aca="false">100*(C107-C106)</f>
        <v>-0.482714846816942</v>
      </c>
      <c r="D241" s="22" t="n">
        <f aca="false">100*(D107-D106)</f>
        <v>-0.405511923544211</v>
      </c>
      <c r="E241" s="22" t="n">
        <f aca="false">100*(E107-E106)</f>
        <v>-0.393244718876334</v>
      </c>
      <c r="F241" s="22" t="n">
        <f aca="false">100*(F107-F106)</f>
        <v>-0.443980127030791</v>
      </c>
      <c r="G241" s="22" t="n">
        <f aca="false">100*(G107-G106)</f>
        <v>-0.546252983968376</v>
      </c>
      <c r="H241" s="22" t="n">
        <f aca="false">100*(H107-H106)</f>
        <v>-0.687683291163876</v>
      </c>
      <c r="I241" s="22" t="n">
        <f aca="false">100*(I107-I106)</f>
        <v>-0.856923938731202</v>
      </c>
      <c r="J241" s="22" t="n">
        <f aca="false">100*(J107-J106)</f>
        <v>-1.04412906997666</v>
      </c>
      <c r="K241" s="22" t="n">
        <f aca="false">100*(K107-K106)</f>
        <v>-1.24034991000239</v>
      </c>
      <c r="L241" s="22" t="n">
        <f aca="false">100*(L107-L106)</f>
        <v>-1.438021124999</v>
      </c>
      <c r="M241" s="22" t="n">
        <f aca="false">100*(M107-M106)</f>
        <v>-1.63070578502662</v>
      </c>
      <c r="N241" s="22" t="n">
        <f aca="false">100*(N107-N106)</f>
        <v>-1.81307276696101</v>
      </c>
      <c r="O241" s="22" t="n">
        <f aca="false">100*(O107-O106)</f>
        <v>-1.98098868622911</v>
      </c>
      <c r="P241" s="22" t="n">
        <f aca="false">100*(P107-P106)</f>
        <v>-2.13163232163669</v>
      </c>
      <c r="Q241" s="22" t="n">
        <f aca="false">100*(Q107-Q106)</f>
        <v>-2.2635457213056</v>
      </c>
      <c r="R241" s="22" t="n">
        <f aca="false">100*(R107-R106)</f>
        <v>-2.37650792621951</v>
      </c>
      <c r="S241" s="22" t="n">
        <f aca="false">100*(S107-S106)</f>
        <v>-2.4715675502444</v>
      </c>
      <c r="T241" s="22" t="n">
        <f aca="false">100*(T107-T106)</f>
        <v>-2.55050451953021</v>
      </c>
      <c r="U241" s="22" t="n">
        <f aca="false">100*(U107-U106)</f>
        <v>-2.61521673020799</v>
      </c>
      <c r="V241" s="22" t="n">
        <f aca="false">100*(V107-V106)</f>
        <v>-2.66765439300798</v>
      </c>
      <c r="W241" s="22" t="n">
        <f aca="false">100*(W107-W106)</f>
        <v>-2.70980913438441</v>
      </c>
      <c r="X241" s="22" t="n">
        <f aca="false">100*(X107-X106)</f>
        <v>-2.7437057134359</v>
      </c>
      <c r="Y241" s="22" t="n">
        <f aca="false">100*(Y107-Y106)</f>
        <v>-2.7713816531032</v>
      </c>
      <c r="Z241" s="22" t="n">
        <f aca="false">100*(Z107-Z106)</f>
        <v>-2.79472086156782</v>
      </c>
      <c r="AA241" s="22" t="n">
        <f aca="false">100*(AA107-AA106)</f>
        <v>-2.81531338460832</v>
      </c>
      <c r="AB241" s="22" t="n">
        <f aca="false">100*(AB107-AB106)</f>
        <v>-2.83449043521258</v>
      </c>
      <c r="AC241" s="22" t="n">
        <f aca="false">100*(AC107-AC106)</f>
        <v>-2.85336753237684</v>
      </c>
      <c r="AD241" s="22" t="n">
        <f aca="false">100*(AD107-AD106)</f>
        <v>-2.87287968598551</v>
      </c>
      <c r="AE241" s="22" t="n">
        <f aca="false">100*(AE107-AE106)</f>
        <v>-2.89382388061621</v>
      </c>
      <c r="AF241" s="22" t="n">
        <f aca="false">100*(AF107-AF106)</f>
        <v>-2.91690584219726</v>
      </c>
      <c r="AG241" s="22" t="n">
        <f aca="false">100*(AG107-AG106)</f>
        <v>-3.5565277022803</v>
      </c>
      <c r="AH241" s="22" t="n">
        <f aca="false">100*(AH107-AH106)</f>
        <v>-3.6322729688306</v>
      </c>
      <c r="AI241" s="22" t="n">
        <f aca="false">100*(AI107-AI106)</f>
        <v>-3.7109232970308</v>
      </c>
      <c r="AJ241" s="22" t="n">
        <f aca="false">100*(AJ107-AJ106)</f>
        <v>-3.79221207210292</v>
      </c>
      <c r="AK241" s="22" t="n">
        <f aca="false">100*(AK107-AK106)</f>
        <v>-3.87587653792858</v>
      </c>
      <c r="AL241" s="22" t="n">
        <f aca="false">AVERAGE(C241:AK241)</f>
        <v>-2.19469768677543</v>
      </c>
    </row>
    <row r="242" customFormat="false" ht="15" hidden="false" customHeight="false" outlineLevel="0" collapsed="false">
      <c r="A242" s="20" t="n">
        <f aca="false">A108</f>
        <v>-17</v>
      </c>
      <c r="B242" s="21" t="n">
        <f aca="false">B108</f>
        <v>41166</v>
      </c>
      <c r="C242" s="22" t="n">
        <f aca="false">100*(C108-C107)</f>
        <v>7.34112636214132</v>
      </c>
      <c r="D242" s="22" t="n">
        <f aca="false">100*(D108-D107)</f>
        <v>8.96912982192896</v>
      </c>
      <c r="E242" s="22" t="n">
        <f aca="false">100*(E108-E107)</f>
        <v>10.221666351733</v>
      </c>
      <c r="F242" s="22" t="n">
        <f aca="false">100*(F108-F107)</f>
        <v>11.2262063826152</v>
      </c>
      <c r="G242" s="22" t="n">
        <f aca="false">100*(G108-G107)</f>
        <v>12.0606328211214</v>
      </c>
      <c r="H242" s="22" t="n">
        <f aca="false">100*(H108-H107)</f>
        <v>12.7708901934982</v>
      </c>
      <c r="I242" s="22" t="n">
        <f aca="false">100*(I108-I107)</f>
        <v>13.3838121244378</v>
      </c>
      <c r="J242" s="22" t="n">
        <f aca="false">100*(J108-J107)</f>
        <v>13.9135881239051</v>
      </c>
      <c r="K242" s="22" t="n">
        <f aca="false">100*(K108-K107)</f>
        <v>14.3675416179092</v>
      </c>
      <c r="L242" s="22" t="n">
        <f aca="false">100*(L108-L107)</f>
        <v>14.7488171872462</v>
      </c>
      <c r="M242" s="22" t="n">
        <f aca="false">100*(M108-M107)</f>
        <v>15.0595352740058</v>
      </c>
      <c r="N242" s="22" t="n">
        <f aca="false">100*(N108-N107)</f>
        <v>15.302161917119</v>
      </c>
      <c r="O242" s="22" t="n">
        <f aca="false">100*(O108-O107)</f>
        <v>15.4801010821552</v>
      </c>
      <c r="P242" s="22" t="n">
        <f aca="false">100*(P108-P107)</f>
        <v>15.5978037312329</v>
      </c>
      <c r="Q242" s="22" t="n">
        <f aca="false">100*(Q108-Q107)</f>
        <v>15.6608258340923</v>
      </c>
      <c r="R242" s="22" t="n">
        <f aca="false">100*(R108-R107)</f>
        <v>15.6753221224898</v>
      </c>
      <c r="S242" s="22" t="n">
        <f aca="false">100*(S108-S107)</f>
        <v>15.6480438839057</v>
      </c>
      <c r="T242" s="22" t="n">
        <f aca="false">100*(T108-T107)</f>
        <v>15.585858237139</v>
      </c>
      <c r="U242" s="22" t="n">
        <f aca="false">100*(U108-U107)</f>
        <v>15.4950522154171</v>
      </c>
      <c r="V242" s="22" t="n">
        <f aca="false">100*(V108-V107)</f>
        <v>15.3814134170042</v>
      </c>
      <c r="W242" s="22" t="n">
        <f aca="false">100*(W108-W107)</f>
        <v>15.2503340541514</v>
      </c>
      <c r="X242" s="22" t="n">
        <f aca="false">100*(X108-X107)</f>
        <v>15.106890029549</v>
      </c>
      <c r="Y242" s="22" t="n">
        <f aca="false">100*(Y108-Y107)</f>
        <v>14.9558550910463</v>
      </c>
      <c r="Z242" s="22" t="n">
        <f aca="false">100*(Z108-Z107)</f>
        <v>14.8013992793035</v>
      </c>
      <c r="AA242" s="22" t="n">
        <f aca="false">100*(AA108-AA107)</f>
        <v>14.6469374542805</v>
      </c>
      <c r="AB242" s="22" t="n">
        <f aca="false">100*(AB108-AB107)</f>
        <v>14.4952453537444</v>
      </c>
      <c r="AC242" s="22" t="n">
        <f aca="false">100*(AC108-AC107)</f>
        <v>14.3485661136358</v>
      </c>
      <c r="AD242" s="22" t="n">
        <f aca="false">100*(AD108-AD107)</f>
        <v>14.2086948398457</v>
      </c>
      <c r="AE242" s="22" t="n">
        <f aca="false">100*(AE108-AE107)</f>
        <v>14.0770030351359</v>
      </c>
      <c r="AF242" s="22" t="n">
        <f aca="false">100*(AF108-AF107)</f>
        <v>13.9544219453122</v>
      </c>
      <c r="AG242" s="22" t="n">
        <f aca="false">100*(AG108-AG107)</f>
        <v>13.0880629363733</v>
      </c>
      <c r="AH242" s="22" t="n">
        <f aca="false">100*(AH108-AH107)</f>
        <v>13.0466475969789</v>
      </c>
      <c r="AI242" s="22" t="n">
        <f aca="false">100*(AI108-AI107)</f>
        <v>13.0032772065843</v>
      </c>
      <c r="AJ242" s="22" t="n">
        <f aca="false">100*(AJ108-AJ107)</f>
        <v>12.9569457722838</v>
      </c>
      <c r="AK242" s="22" t="n">
        <f aca="false">100*(AK108-AK107)</f>
        <v>12.9067740586926</v>
      </c>
      <c r="AL242" s="22" t="n">
        <f aca="false">AVERAGE(C242:AK242)</f>
        <v>13.8496166705147</v>
      </c>
    </row>
    <row r="243" customFormat="false" ht="15" hidden="false" customHeight="false" outlineLevel="0" collapsed="false">
      <c r="A243" s="20" t="n">
        <f aca="false">A109</f>
        <v>-16</v>
      </c>
      <c r="B243" s="21" t="n">
        <f aca="false">B109</f>
        <v>41169</v>
      </c>
      <c r="C243" s="22" t="n">
        <f aca="false">100*(C109-C108)</f>
        <v>-2.17300874366954</v>
      </c>
      <c r="D243" s="22" t="n">
        <f aca="false">100*(D109-D108)</f>
        <v>-2.25502105195968</v>
      </c>
      <c r="E243" s="22" t="n">
        <f aca="false">100*(E109-E108)</f>
        <v>-2.2839389113928</v>
      </c>
      <c r="F243" s="22" t="n">
        <f aca="false">100*(F109-F108)</f>
        <v>-2.33603401187875</v>
      </c>
      <c r="G243" s="22" t="n">
        <f aca="false">100*(G109-G108)</f>
        <v>-2.43343783662147</v>
      </c>
      <c r="H243" s="22" t="n">
        <f aca="false">100*(H109-H108)</f>
        <v>-2.57672069076219</v>
      </c>
      <c r="I243" s="22" t="n">
        <f aca="false">100*(I109-I108)</f>
        <v>-2.75779092244116</v>
      </c>
      <c r="J243" s="22" t="n">
        <f aca="false">100*(J109-J108)</f>
        <v>-2.96430124488539</v>
      </c>
      <c r="K243" s="22" t="n">
        <f aca="false">100*(K109-K108)</f>
        <v>-3.18288841932519</v>
      </c>
      <c r="L243" s="22" t="n">
        <f aca="false">100*(L109-L108)</f>
        <v>-3.40095004771639</v>
      </c>
      <c r="M243" s="22" t="n">
        <f aca="false">100*(M109-M108)</f>
        <v>-3.6084409166472</v>
      </c>
      <c r="N243" s="22" t="n">
        <f aca="false">100*(N109-N108)</f>
        <v>-3.79831552429188</v>
      </c>
      <c r="O243" s="22" t="n">
        <f aca="false">100*(O109-O108)</f>
        <v>-3.9666525611008</v>
      </c>
      <c r="P243" s="22" t="n">
        <f aca="false">100*(P109-P108)</f>
        <v>-4.1118806238488</v>
      </c>
      <c r="Q243" s="22" t="n">
        <f aca="false">100*(Q109-Q108)</f>
        <v>-4.2341253816895</v>
      </c>
      <c r="R243" s="22" t="n">
        <f aca="false">100*(R109-R108)</f>
        <v>-4.3347459671945</v>
      </c>
      <c r="S243" s="22" t="n">
        <f aca="false">100*(S109-S108)</f>
        <v>-4.41608325877569</v>
      </c>
      <c r="T243" s="22" t="n">
        <f aca="false">100*(T109-T108)</f>
        <v>-4.48089020958133</v>
      </c>
      <c r="U243" s="22" t="n">
        <f aca="false">100*(U109-U108)</f>
        <v>-4.53170425443057</v>
      </c>
      <c r="V243" s="22" t="n">
        <f aca="false">100*(V109-V108)</f>
        <v>-4.57084916009269</v>
      </c>
      <c r="W243" s="22" t="n">
        <f aca="false">100*(W109-W108)</f>
        <v>-4.60047953946359</v>
      </c>
      <c r="X243" s="22" t="n">
        <f aca="false">100*(X109-X108)</f>
        <v>-4.62261468270504</v>
      </c>
      <c r="Y243" s="22" t="n">
        <f aca="false">100*(Y109-Y108)</f>
        <v>-4.63914861130981</v>
      </c>
      <c r="Z243" s="22" t="n">
        <f aca="false">100*(Z109-Z108)</f>
        <v>-4.6516968185248</v>
      </c>
      <c r="AA243" s="22" t="n">
        <f aca="false">100*(AA109-AA108)</f>
        <v>-4.6614734459518</v>
      </c>
      <c r="AB243" s="22" t="n">
        <f aca="false">100*(AB109-AB108)</f>
        <v>-4.66934532388912</v>
      </c>
      <c r="AC243" s="22" t="n">
        <f aca="false">100*(AC109-AC108)</f>
        <v>-4.67588985654919</v>
      </c>
      <c r="AD243" s="22" t="n">
        <f aca="false">100*(AD109-AD108)</f>
        <v>-4.68144227629361</v>
      </c>
      <c r="AE243" s="22" t="n">
        <f aca="false">100*(AE109-AE108)</f>
        <v>-4.6861540212511</v>
      </c>
      <c r="AF243" s="22" t="n">
        <f aca="false">100*(AF109-AF108)</f>
        <v>-4.69006023894472</v>
      </c>
      <c r="AG243" s="22" t="n">
        <f aca="false">100*(AG109-AG108)</f>
        <v>-4.6470647564353</v>
      </c>
      <c r="AH243" s="22" t="n">
        <f aca="false">100*(AH109-AH108)</f>
        <v>-4.63871936316918</v>
      </c>
      <c r="AI243" s="22" t="n">
        <f aca="false">100*(AI109-AI108)</f>
        <v>-4.63065381030003</v>
      </c>
      <c r="AJ243" s="22" t="n">
        <f aca="false">100*(AJ109-AJ108)</f>
        <v>-4.62312675780803</v>
      </c>
      <c r="AK243" s="22" t="n">
        <f aca="false">100*(AK109-AK108)</f>
        <v>-4.61637182569241</v>
      </c>
      <c r="AL243" s="22" t="n">
        <f aca="false">AVERAGE(C243:AK243)</f>
        <v>-3.94720060190266</v>
      </c>
    </row>
    <row r="244" customFormat="false" ht="15" hidden="false" customHeight="false" outlineLevel="0" collapsed="false">
      <c r="A244" s="20" t="n">
        <f aca="false">A110</f>
        <v>-15</v>
      </c>
      <c r="B244" s="21" t="n">
        <f aca="false">B110</f>
        <v>41170</v>
      </c>
      <c r="C244" s="22" t="n">
        <f aca="false">100*(C110-C109)</f>
        <v>-1.56543246828652</v>
      </c>
      <c r="D244" s="22" t="n">
        <f aca="false">100*(D110-D109)</f>
        <v>-1.98689495430492</v>
      </c>
      <c r="E244" s="22" t="n">
        <f aca="false">100*(E110-E109)</f>
        <v>-2.35067094338629</v>
      </c>
      <c r="F244" s="22" t="n">
        <f aca="false">100*(F110-F109)</f>
        <v>-2.68247108935435</v>
      </c>
      <c r="G244" s="22" t="n">
        <f aca="false">100*(G110-G109)</f>
        <v>-2.9926893193302</v>
      </c>
      <c r="H244" s="22" t="n">
        <f aca="false">100*(H110-H109)</f>
        <v>-3.28418378718565</v>
      </c>
      <c r="I244" s="22" t="n">
        <f aca="false">100*(I110-I109)</f>
        <v>-3.55703662291703</v>
      </c>
      <c r="J244" s="22" t="n">
        <f aca="false">100*(J110-J109)</f>
        <v>-3.80986619775581</v>
      </c>
      <c r="K244" s="22" t="n">
        <f aca="false">100*(K110-K109)</f>
        <v>-4.04193810271492</v>
      </c>
      <c r="L244" s="22" t="n">
        <f aca="false">100*(L110-L109)</f>
        <v>-4.25233704258621</v>
      </c>
      <c r="M244" s="22" t="n">
        <f aca="false">100*(M110-M109)</f>
        <v>-4.44068435955209</v>
      </c>
      <c r="N244" s="22" t="n">
        <f aca="false">100*(N110-N109)</f>
        <v>-4.60690224477711</v>
      </c>
      <c r="O244" s="22" t="n">
        <f aca="false">100*(O110-O109)</f>
        <v>-4.75114332092581</v>
      </c>
      <c r="P244" s="22" t="n">
        <f aca="false">100*(P110-P109)</f>
        <v>-4.87372660165191</v>
      </c>
      <c r="Q244" s="22" t="n">
        <f aca="false">100*(Q110-Q109)</f>
        <v>-4.9751004089859</v>
      </c>
      <c r="R244" s="22" t="n">
        <f aca="false">100*(R110-R109)</f>
        <v>-5.0559348522335</v>
      </c>
      <c r="S244" s="22" t="n">
        <f aca="false">100*(S110-S109)</f>
        <v>-5.11715020281711</v>
      </c>
      <c r="T244" s="22" t="n">
        <f aca="false">100*(T110-T109)</f>
        <v>-5.15980540698529</v>
      </c>
      <c r="U244" s="22" t="n">
        <f aca="false">100*(U110-U109)</f>
        <v>-5.18493648131901</v>
      </c>
      <c r="V244" s="22" t="n">
        <f aca="false">100*(V110-V109)</f>
        <v>-5.19354863945791</v>
      </c>
      <c r="W244" s="22" t="n">
        <f aca="false">100*(W110-W109)</f>
        <v>-5.18662270937957</v>
      </c>
      <c r="X244" s="22" t="n">
        <f aca="false">100*(X110-X109)</f>
        <v>-5.16512001116767</v>
      </c>
      <c r="Y244" s="22" t="n">
        <f aca="false">100*(Y110-Y109)</f>
        <v>-5.12999280087056</v>
      </c>
      <c r="Z244" s="22" t="n">
        <f aca="false">100*(Z110-Z109)</f>
        <v>-5.08221811317089</v>
      </c>
      <c r="AA244" s="22" t="n">
        <f aca="false">100*(AA110-AA109)</f>
        <v>-5.022802072788</v>
      </c>
      <c r="AB244" s="22" t="n">
        <f aca="false">100*(AB110-AB109)</f>
        <v>-4.95277359230202</v>
      </c>
      <c r="AC244" s="22" t="n">
        <f aca="false">100*(AC110-AC109)</f>
        <v>-4.87318057417712</v>
      </c>
      <c r="AD244" s="22" t="n">
        <f aca="false">100*(AD110-AD109)</f>
        <v>-4.78508797196628</v>
      </c>
      <c r="AE244" s="22" t="n">
        <f aca="false">100*(AE110-AE109)</f>
        <v>-4.6896252428029</v>
      </c>
      <c r="AF244" s="22" t="n">
        <f aca="false">100*(AF110-AF109)</f>
        <v>-4.58809128667848</v>
      </c>
      <c r="AG244" s="22" t="n">
        <f aca="false">100*(AG110-AG109)</f>
        <v>-3.26288965887378</v>
      </c>
      <c r="AH244" s="22" t="n">
        <f aca="false">100*(AH110-AH109)</f>
        <v>-3.18655617284542</v>
      </c>
      <c r="AI244" s="22" t="n">
        <f aca="false">100*(AI110-AI109)</f>
        <v>-3.11516132198957</v>
      </c>
      <c r="AJ244" s="22" t="n">
        <f aca="false">100*(AJ110-AJ109)</f>
        <v>-3.04859939131839</v>
      </c>
      <c r="AK244" s="22" t="n">
        <f aca="false">100*(AK110-AK109)</f>
        <v>-2.98672273659601</v>
      </c>
      <c r="AL244" s="22" t="n">
        <f aca="false">AVERAGE(C244:AK244)</f>
        <v>-4.14165419152726</v>
      </c>
    </row>
    <row r="245" customFormat="false" ht="15" hidden="false" customHeight="false" outlineLevel="0" collapsed="false">
      <c r="A245" s="20" t="n">
        <f aca="false">A111</f>
        <v>-14</v>
      </c>
      <c r="B245" s="21" t="n">
        <f aca="false">B111</f>
        <v>41171</v>
      </c>
      <c r="C245" s="22" t="n">
        <f aca="false">100*(C111-C110)</f>
        <v>-0.321710466560829</v>
      </c>
      <c r="D245" s="22" t="n">
        <f aca="false">100*(D111-D110)</f>
        <v>-0.811783272823546</v>
      </c>
      <c r="E245" s="22" t="n">
        <f aca="false">100*(E111-E110)</f>
        <v>-1.28281097314979</v>
      </c>
      <c r="F245" s="22" t="n">
        <f aca="false">100*(F111-F110)</f>
        <v>-1.71271721672278</v>
      </c>
      <c r="G245" s="22" t="n">
        <f aca="false">100*(G111-G110)</f>
        <v>-2.09562811500665</v>
      </c>
      <c r="H245" s="22" t="n">
        <f aca="false">100*(H111-H110)</f>
        <v>-2.43128285332196</v>
      </c>
      <c r="I245" s="22" t="n">
        <f aca="false">100*(I111-I110)</f>
        <v>-2.7220547314905</v>
      </c>
      <c r="J245" s="22" t="n">
        <f aca="false">100*(J111-J110)</f>
        <v>-2.9708756280495</v>
      </c>
      <c r="K245" s="22" t="n">
        <f aca="false">100*(K111-K110)</f>
        <v>-3.18161951781228</v>
      </c>
      <c r="L245" s="22" t="n">
        <f aca="false">100*(L111-L110)</f>
        <v>-3.35750664897809</v>
      </c>
      <c r="M245" s="22" t="n">
        <f aca="false">100*(M111-M110)</f>
        <v>-3.50155360673921</v>
      </c>
      <c r="N245" s="22" t="n">
        <f aca="false">100*(N111-N110)</f>
        <v>-3.61630989298569</v>
      </c>
      <c r="O245" s="22" t="n">
        <f aca="false">100*(O111-O110)</f>
        <v>-3.70385332543759</v>
      </c>
      <c r="P245" s="22" t="n">
        <f aca="false">100*(P111-P110)</f>
        <v>-3.76590939077941</v>
      </c>
      <c r="Q245" s="22" t="n">
        <f aca="false">100*(Q111-Q110)</f>
        <v>-3.80390552830829</v>
      </c>
      <c r="R245" s="22" t="n">
        <f aca="false">100*(R111-R110)</f>
        <v>-3.8191477132226</v>
      </c>
      <c r="S245" s="22" t="n">
        <f aca="false">100*(S111-S110)</f>
        <v>-3.81283617038319</v>
      </c>
      <c r="T245" s="22" t="n">
        <f aca="false">100*(T111-T110)</f>
        <v>-3.786167337714</v>
      </c>
      <c r="U245" s="22" t="n">
        <f aca="false">100*(U111-U110)</f>
        <v>-3.7404266805896</v>
      </c>
      <c r="V245" s="22" t="n">
        <f aca="false">100*(V111-V110)</f>
        <v>-3.67697349630789</v>
      </c>
      <c r="W245" s="22" t="n">
        <f aca="false">100*(W111-W110)</f>
        <v>-3.59722553244053</v>
      </c>
      <c r="X245" s="22" t="n">
        <f aca="false">100*(X111-X110)</f>
        <v>-3.50264729768641</v>
      </c>
      <c r="Y245" s="22" t="n">
        <f aca="false">100*(Y111-Y110)</f>
        <v>-3.39475194824161</v>
      </c>
      <c r="Z245" s="22" t="n">
        <f aca="false">100*(Z111-Z110)</f>
        <v>-3.2751601421503</v>
      </c>
      <c r="AA245" s="22" t="n">
        <f aca="false">100*(AA111-AA110)</f>
        <v>-3.14561915320808</v>
      </c>
      <c r="AB245" s="22" t="n">
        <f aca="false">100*(AB111-AB110)</f>
        <v>-3.0079819097212</v>
      </c>
      <c r="AC245" s="22" t="n">
        <f aca="false">100*(AC111-AC110)</f>
        <v>-2.86418938542061</v>
      </c>
      <c r="AD245" s="22" t="n">
        <f aca="false">100*(AD111-AD110)</f>
        <v>-2.71625703871061</v>
      </c>
      <c r="AE245" s="22" t="n">
        <f aca="false">100*(AE111-AE110)</f>
        <v>-2.56628394726728</v>
      </c>
      <c r="AF245" s="22" t="n">
        <f aca="false">100*(AF111-AF110)</f>
        <v>-2.41647562868041</v>
      </c>
      <c r="AG245" s="22" t="n">
        <f aca="false">100*(AG111-AG110)</f>
        <v>-1.20166506752883</v>
      </c>
      <c r="AH245" s="22" t="n">
        <f aca="false">100*(AH111-AH110)</f>
        <v>-1.1855763828029</v>
      </c>
      <c r="AI245" s="22" t="n">
        <f aca="false">100*(AI111-AI110)</f>
        <v>-1.17939718131601</v>
      </c>
      <c r="AJ245" s="22" t="n">
        <f aca="false">100*(AJ111-AJ110)</f>
        <v>-1.18242839383491</v>
      </c>
      <c r="AK245" s="22" t="n">
        <f aca="false">100*(AK111-AK110)</f>
        <v>-1.19396172683808</v>
      </c>
      <c r="AL245" s="22" t="n">
        <f aca="false">AVERAGE(C245:AK245)</f>
        <v>-2.70127695149232</v>
      </c>
    </row>
    <row r="246" customFormat="false" ht="15" hidden="false" customHeight="false" outlineLevel="0" collapsed="false">
      <c r="A246" s="20" t="n">
        <f aca="false">A112</f>
        <v>-13</v>
      </c>
      <c r="B246" s="21" t="n">
        <f aca="false">B112</f>
        <v>41172</v>
      </c>
      <c r="C246" s="22" t="n">
        <f aca="false">100*(C112-C111)</f>
        <v>-1.18607596443862</v>
      </c>
      <c r="D246" s="22" t="n">
        <f aca="false">100*(D112-D111)</f>
        <v>-1.52957801087248</v>
      </c>
      <c r="E246" s="22" t="n">
        <f aca="false">100*(E112-E111)</f>
        <v>-1.83968992021257</v>
      </c>
      <c r="F246" s="22" t="n">
        <f aca="false">100*(F112-F111)</f>
        <v>-2.12909399276163</v>
      </c>
      <c r="G246" s="22" t="n">
        <f aca="false">100*(G112-G111)</f>
        <v>-2.40507544149335</v>
      </c>
      <c r="H246" s="22" t="n">
        <f aca="false">100*(H112-H111)</f>
        <v>-2.6706418082333</v>
      </c>
      <c r="I246" s="22" t="n">
        <f aca="false">100*(I112-I111)</f>
        <v>-2.92648515328717</v>
      </c>
      <c r="J246" s="22" t="n">
        <f aca="false">100*(J112-J111)</f>
        <v>-3.17139329022212</v>
      </c>
      <c r="K246" s="22" t="n">
        <f aca="false">100*(K112-K111)</f>
        <v>-3.40374728773635</v>
      </c>
      <c r="L246" s="22" t="n">
        <f aca="false">100*(L112-L111)</f>
        <v>-3.62098582546622</v>
      </c>
      <c r="M246" s="22" t="n">
        <f aca="false">100*(M112-M111)</f>
        <v>-3.82050399295659</v>
      </c>
      <c r="N246" s="22" t="n">
        <f aca="false">100*(N112-N111)</f>
        <v>-3.99973231023651</v>
      </c>
      <c r="O246" s="22" t="n">
        <f aca="false">100*(O112-O111)</f>
        <v>-4.1565163271212</v>
      </c>
      <c r="P246" s="22" t="n">
        <f aca="false">100*(P112-P111)</f>
        <v>-4.2894565343206</v>
      </c>
      <c r="Q246" s="22" t="n">
        <f aca="false">100*(Q112-Q111)</f>
        <v>-4.39818888203629</v>
      </c>
      <c r="R246" s="22" t="n">
        <f aca="false">100*(R112-R111)</f>
        <v>-4.48349340051351</v>
      </c>
      <c r="S246" s="22" t="n">
        <f aca="false">100*(S112-S111)</f>
        <v>-4.5474050606769</v>
      </c>
      <c r="T246" s="22" t="n">
        <f aca="false">100*(T112-T111)</f>
        <v>-4.5927062001069</v>
      </c>
      <c r="U246" s="22" t="n">
        <f aca="false">100*(U112-U111)</f>
        <v>-4.6222476147564</v>
      </c>
      <c r="V246" s="22" t="n">
        <f aca="false">100*(V112-V111)</f>
        <v>-4.63889301703961</v>
      </c>
      <c r="W246" s="22" t="n">
        <f aca="false">100*(W112-W111)</f>
        <v>-4.64551634490089</v>
      </c>
      <c r="X246" s="22" t="n">
        <f aca="false">100*(X112-X111)</f>
        <v>-4.6449997171794</v>
      </c>
      <c r="Y246" s="22" t="n">
        <f aca="false">100*(Y112-Y111)</f>
        <v>-4.64020018961802</v>
      </c>
      <c r="Z246" s="22" t="n">
        <f aca="false">100*(Z112-Z111)</f>
        <v>-4.63364917532538</v>
      </c>
      <c r="AA246" s="22" t="n">
        <f aca="false">100*(AA112-AA111)</f>
        <v>-4.62733794523489</v>
      </c>
      <c r="AB246" s="22" t="n">
        <f aca="false">100*(AB112-AB111)</f>
        <v>-4.62278929372539</v>
      </c>
      <c r="AC246" s="22" t="n">
        <f aca="false">100*(AC112-AC111)</f>
        <v>-4.62113561804687</v>
      </c>
      <c r="AD246" s="22" t="n">
        <f aca="false">100*(AD112-AD111)</f>
        <v>-4.62318135560071</v>
      </c>
      <c r="AE246" s="22" t="n">
        <f aca="false">100*(AE112-AE111)</f>
        <v>-4.62941156358752</v>
      </c>
      <c r="AF246" s="22" t="n">
        <f aca="false">100*(AF112-AF111)</f>
        <v>-4.63991516180928</v>
      </c>
      <c r="AG246" s="22" t="n">
        <f aca="false">100*(AG112-AG111)</f>
        <v>-4.94399006813038</v>
      </c>
      <c r="AH246" s="22" t="n">
        <f aca="false">100*(AH112-AH111)</f>
        <v>-4.96248349678359</v>
      </c>
      <c r="AI246" s="22" t="n">
        <f aca="false">100*(AI112-AI111)</f>
        <v>-4.9785326417922</v>
      </c>
      <c r="AJ246" s="22" t="n">
        <f aca="false">100*(AJ112-AJ111)</f>
        <v>-4.99196727608737</v>
      </c>
      <c r="AK246" s="22" t="n">
        <f aca="false">100*(AK112-AK111)</f>
        <v>-5.00266136399832</v>
      </c>
      <c r="AL246" s="22" t="n">
        <f aca="false">AVERAGE(C246:AK246)</f>
        <v>-3.98970517846596</v>
      </c>
    </row>
    <row r="247" customFormat="false" ht="15" hidden="false" customHeight="false" outlineLevel="0" collapsed="false">
      <c r="A247" s="20" t="n">
        <f aca="false">A113</f>
        <v>-12</v>
      </c>
      <c r="B247" s="21" t="n">
        <f aca="false">B113</f>
        <v>41173</v>
      </c>
      <c r="C247" s="22" t="n">
        <f aca="false">100*(C113-C112)</f>
        <v>0.824469321109719</v>
      </c>
      <c r="D247" s="22" t="n">
        <f aca="false">100*(D113-D112)</f>
        <v>1.11823202989111</v>
      </c>
      <c r="E247" s="22" t="n">
        <f aca="false">100*(E113-E112)</f>
        <v>1.42027718765885</v>
      </c>
      <c r="F247" s="22" t="n">
        <f aca="false">100*(F113-F112)</f>
        <v>1.71789179882791</v>
      </c>
      <c r="G247" s="22" t="n">
        <f aca="false">100*(G113-G112)</f>
        <v>2.00776905254791</v>
      </c>
      <c r="H247" s="22" t="n">
        <f aca="false">100*(H113-H112)</f>
        <v>2.28919079059101</v>
      </c>
      <c r="I247" s="22" t="n">
        <f aca="false">100*(I113-I112)</f>
        <v>2.56101784838105</v>
      </c>
      <c r="J247" s="22" t="n">
        <f aca="false">100*(J113-J112)</f>
        <v>2.82116046827943</v>
      </c>
      <c r="K247" s="22" t="n">
        <f aca="false">100*(K113-K112)</f>
        <v>3.06612032849684</v>
      </c>
      <c r="L247" s="22" t="n">
        <f aca="false">100*(L113-L112)</f>
        <v>3.29230583784301</v>
      </c>
      <c r="M247" s="22" t="n">
        <f aca="false">100*(M113-M112)</f>
        <v>3.49612406019739</v>
      </c>
      <c r="N247" s="22" t="n">
        <f aca="false">100*(N113-N112)</f>
        <v>3.67486186133481</v>
      </c>
      <c r="O247" s="22" t="n">
        <f aca="false">100*(O113-O112)</f>
        <v>3.8269050600531</v>
      </c>
      <c r="P247" s="22" t="n">
        <f aca="false">100*(P113-P112)</f>
        <v>3.95200700036791</v>
      </c>
      <c r="Q247" s="22" t="n">
        <f aca="false">100*(Q113-Q112)</f>
        <v>4.05119932262779</v>
      </c>
      <c r="R247" s="22" t="n">
        <f aca="false">100*(R113-R112)</f>
        <v>4.126537051986</v>
      </c>
      <c r="S247" s="22" t="n">
        <f aca="false">100*(S113-S112)</f>
        <v>4.181382427241</v>
      </c>
      <c r="T247" s="22" t="n">
        <f aca="false">100*(T113-T112)</f>
        <v>4.2193512022507</v>
      </c>
      <c r="U247" s="22" t="n">
        <f aca="false">100*(U113-U112)</f>
        <v>4.2437208317256</v>
      </c>
      <c r="V247" s="22" t="n">
        <f aca="false">100*(V113-V112)</f>
        <v>4.25747617443633</v>
      </c>
      <c r="W247" s="22" t="n">
        <f aca="false">100*(W113-W112)</f>
        <v>4.26337045069989</v>
      </c>
      <c r="X247" s="22" t="n">
        <f aca="false">100*(X113-X112)</f>
        <v>4.2639715643026</v>
      </c>
      <c r="Y247" s="22" t="n">
        <f aca="false">100*(Y113-Y112)</f>
        <v>4.26165214114112</v>
      </c>
      <c r="Z247" s="22" t="n">
        <f aca="false">100*(Z113-Z112)</f>
        <v>4.25831879967329</v>
      </c>
      <c r="AA247" s="22" t="n">
        <f aca="false">100*(AA113-AA112)</f>
        <v>4.25529673416989</v>
      </c>
      <c r="AB247" s="22" t="n">
        <f aca="false">100*(AB113-AB112)</f>
        <v>4.2534211615413</v>
      </c>
      <c r="AC247" s="22" t="n">
        <f aca="false">100*(AC113-AC112)</f>
        <v>4.2531189842308</v>
      </c>
      <c r="AD247" s="22" t="n">
        <f aca="false">100*(AD113-AD112)</f>
        <v>4.25447381452782</v>
      </c>
      <c r="AE247" s="22" t="n">
        <f aca="false">100*(AE113-AE112)</f>
        <v>4.25727712408022</v>
      </c>
      <c r="AF247" s="22" t="n">
        <f aca="false">100*(AF113-AF112)</f>
        <v>4.26111336283639</v>
      </c>
      <c r="AG247" s="22" t="n">
        <f aca="false">100*(AG113-AG112)</f>
        <v>4.1889188612847</v>
      </c>
      <c r="AH247" s="22" t="n">
        <f aca="false">100*(AH113-AH112)</f>
        <v>4.1665189661789</v>
      </c>
      <c r="AI247" s="22" t="n">
        <f aca="false">100*(AI113-AI112)</f>
        <v>4.14225029356468</v>
      </c>
      <c r="AJ247" s="22" t="n">
        <f aca="false">100*(AJ113-AJ112)</f>
        <v>4.1164326876185</v>
      </c>
      <c r="AK247" s="22" t="n">
        <f aca="false">100*(AK113-AK112)</f>
        <v>4.08938488760193</v>
      </c>
      <c r="AL247" s="22" t="n">
        <f aca="false">AVERAGE(C247:AK247)</f>
        <v>3.55524341397998</v>
      </c>
    </row>
    <row r="248" customFormat="false" ht="15" hidden="false" customHeight="false" outlineLevel="0" collapsed="false">
      <c r="A248" s="20" t="n">
        <f aca="false">A114</f>
        <v>-11</v>
      </c>
      <c r="B248" s="21" t="n">
        <f aca="false">B114</f>
        <v>41176</v>
      </c>
      <c r="C248" s="22" t="n">
        <f aca="false">100*(C114-C113)</f>
        <v>-0.77984498041079</v>
      </c>
      <c r="D248" s="22" t="n">
        <f aca="false">100*(D114-D113)</f>
        <v>-0.966841558764892</v>
      </c>
      <c r="E248" s="22" t="n">
        <f aca="false">100*(E114-E113)</f>
        <v>-1.08726083381197</v>
      </c>
      <c r="F248" s="22" t="n">
        <f aca="false">100*(F114-F113)</f>
        <v>-1.18119112069163</v>
      </c>
      <c r="G248" s="22" t="n">
        <f aca="false">100*(G114-G113)</f>
        <v>-1.26849407687488</v>
      </c>
      <c r="H248" s="22" t="n">
        <f aca="false">100*(H114-H113)</f>
        <v>-1.35790136548714</v>
      </c>
      <c r="I248" s="22" t="n">
        <f aca="false">100*(I114-I113)</f>
        <v>-1.45215068779649</v>
      </c>
      <c r="J248" s="22" t="n">
        <f aca="false">100*(J114-J113)</f>
        <v>-1.55077385095878</v>
      </c>
      <c r="K248" s="22" t="n">
        <f aca="false">100*(K114-K113)</f>
        <v>-1.65117947883549</v>
      </c>
      <c r="L248" s="22" t="n">
        <f aca="false">100*(L114-L113)</f>
        <v>-1.75008986829159</v>
      </c>
      <c r="M248" s="22" t="n">
        <f aca="false">100*(M114-M113)</f>
        <v>-1.8440380036133</v>
      </c>
      <c r="N248" s="22" t="n">
        <f aca="false">100*(N114-N113)</f>
        <v>-1.92987642628759</v>
      </c>
      <c r="O248" s="22" t="n">
        <f aca="false">100*(O114-O113)</f>
        <v>-2.0049902543114</v>
      </c>
      <c r="P248" s="22" t="n">
        <f aca="false">100*(P114-P113)</f>
        <v>-2.0672921433204</v>
      </c>
      <c r="Q248" s="22" t="n">
        <f aca="false">100*(Q114-Q113)</f>
        <v>-2.11541116188541</v>
      </c>
      <c r="R248" s="22" t="n">
        <f aca="false">100*(R114-R113)</f>
        <v>-2.1486217752855</v>
      </c>
      <c r="S248" s="22" t="n">
        <f aca="false">100*(S114-S113)</f>
        <v>-2.1667595288583</v>
      </c>
      <c r="T248" s="22" t="n">
        <f aca="false">100*(T114-T113)</f>
        <v>-2.1701437867456</v>
      </c>
      <c r="U248" s="22" t="n">
        <f aca="false">100*(U114-U113)</f>
        <v>-2.15934084743981</v>
      </c>
      <c r="V248" s="22" t="n">
        <f aca="false">100*(V114-V113)</f>
        <v>-2.13509813491051</v>
      </c>
      <c r="W248" s="22" t="n">
        <f aca="false">100*(W114-W113)</f>
        <v>-2.0983064641293</v>
      </c>
      <c r="X248" s="22" t="n">
        <f aca="false">100*(X114-X113)</f>
        <v>-2.04997136505041</v>
      </c>
      <c r="Y248" s="22" t="n">
        <f aca="false">100*(Y114-Y113)</f>
        <v>-1.99118790414592</v>
      </c>
      <c r="Z248" s="22" t="n">
        <f aca="false">100*(Z114-Z113)</f>
        <v>-1.9230695113611</v>
      </c>
      <c r="AA248" s="22" t="n">
        <f aca="false">100*(AA114-AA113)</f>
        <v>-1.84668318232051</v>
      </c>
      <c r="AB248" s="22" t="n">
        <f aca="false">100*(AB114-AB113)</f>
        <v>-1.76305160403309</v>
      </c>
      <c r="AC248" s="22" t="n">
        <f aca="false">100*(AC114-AC113)</f>
        <v>-1.67316053966253</v>
      </c>
      <c r="AD248" s="22" t="n">
        <f aca="false">100*(AD114-AD113)</f>
        <v>-1.57796493373241</v>
      </c>
      <c r="AE248" s="22" t="n">
        <f aca="false">100*(AE114-AE113)</f>
        <v>-1.47838797236663</v>
      </c>
      <c r="AF248" s="22" t="n">
        <f aca="false">100*(AF114-AF113)</f>
        <v>-1.37529680084509</v>
      </c>
      <c r="AG248" s="22" t="n">
        <f aca="false">100*(AG114-AG113)</f>
        <v>-0.0185793488402197</v>
      </c>
      <c r="AH248" s="22" t="n">
        <f aca="false">100*(AH114-AH113)</f>
        <v>0.0699008054068084</v>
      </c>
      <c r="AI248" s="22" t="n">
        <f aca="false">100*(AI114-AI113)</f>
        <v>0.15443223511884</v>
      </c>
      <c r="AJ248" s="22" t="n">
        <f aca="false">100*(AJ114-AJ113)</f>
        <v>0.234815512708364</v>
      </c>
      <c r="AK248" s="22" t="n">
        <f aca="false">100*(AK114-AK113)</f>
        <v>0.310893003391488</v>
      </c>
      <c r="AL248" s="22" t="n">
        <f aca="false">AVERAGE(C248:AK248)</f>
        <v>-1.45179765584123</v>
      </c>
    </row>
    <row r="249" customFormat="false" ht="15" hidden="false" customHeight="false" outlineLevel="0" collapsed="false">
      <c r="A249" s="20" t="n">
        <f aca="false">A115</f>
        <v>-10</v>
      </c>
      <c r="B249" s="21" t="n">
        <f aca="false">B115</f>
        <v>41177</v>
      </c>
      <c r="C249" s="22" t="n">
        <f aca="false">100*(C115-C114)</f>
        <v>-0.481498230935098</v>
      </c>
      <c r="D249" s="22" t="n">
        <f aca="false">100*(D115-D114)</f>
        <v>-0.555522457813223</v>
      </c>
      <c r="E249" s="22" t="n">
        <f aca="false">100*(E115-E114)</f>
        <v>-0.606235445149628</v>
      </c>
      <c r="F249" s="22" t="n">
        <f aca="false">100*(F115-F114)</f>
        <v>-0.621321809026232</v>
      </c>
      <c r="G249" s="22" t="n">
        <f aca="false">100*(G115-G114)</f>
        <v>-0.598464953970312</v>
      </c>
      <c r="H249" s="22" t="n">
        <f aca="false">100*(H115-H114)</f>
        <v>-0.540967878124488</v>
      </c>
      <c r="I249" s="22" t="n">
        <f aca="false">100*(I115-I114)</f>
        <v>-0.45546191845135</v>
      </c>
      <c r="J249" s="22" t="n">
        <f aca="false">100*(J115-J114)</f>
        <v>-0.35026457518027</v>
      </c>
      <c r="K249" s="22" t="n">
        <f aca="false">100*(K115-K114)</f>
        <v>-0.233707642830505</v>
      </c>
      <c r="L249" s="22" t="n">
        <f aca="false">100*(L115-L114)</f>
        <v>-0.113439261923021</v>
      </c>
      <c r="M249" s="22" t="n">
        <f aca="false">100*(M115-M114)</f>
        <v>0.00395586462029751</v>
      </c>
      <c r="N249" s="22" t="n">
        <f aca="false">100*(N115-N114)</f>
        <v>0.112963861673188</v>
      </c>
      <c r="O249" s="22" t="n">
        <f aca="false">100*(O115-O114)</f>
        <v>0.209321110441296</v>
      </c>
      <c r="P249" s="22" t="n">
        <f aca="false">100*(P115-P114)</f>
        <v>0.289925374270794</v>
      </c>
      <c r="Q249" s="22" t="n">
        <f aca="false">100*(Q115-Q114)</f>
        <v>0.352540776962917</v>
      </c>
      <c r="R249" s="22" t="n">
        <f aca="false">100*(R115-R114)</f>
        <v>0.395669067010807</v>
      </c>
      <c r="S249" s="22" t="n">
        <f aca="false">100*(S115-S114)</f>
        <v>0.418298762653202</v>
      </c>
      <c r="T249" s="22" t="n">
        <f aca="false">100*(T115-T114)</f>
        <v>0.419853011711902</v>
      </c>
      <c r="U249" s="22" t="n">
        <f aca="false">100*(U115-U114)</f>
        <v>0.400365365914501</v>
      </c>
      <c r="V249" s="22" t="n">
        <f aca="false">100*(V115-V114)</f>
        <v>0.360368757064489</v>
      </c>
      <c r="W249" s="22" t="n">
        <f aca="false">100*(W115-W114)</f>
        <v>0.300791459524996</v>
      </c>
      <c r="X249" s="22" t="n">
        <f aca="false">100*(X115-X114)</f>
        <v>0.222878019341</v>
      </c>
      <c r="Y249" s="22" t="n">
        <f aca="false">100*(Y115-Y114)</f>
        <v>0.128133794663832</v>
      </c>
      <c r="Z249" s="22" t="n">
        <f aca="false">100*(Z115-Z114)</f>
        <v>0.0183480758778831</v>
      </c>
      <c r="AA249" s="22" t="n">
        <f aca="false">100*(AA115-AA114)</f>
        <v>-0.104383179010181</v>
      </c>
      <c r="AB249" s="22" t="n">
        <f aca="false">100*(AB115-AB114)</f>
        <v>-0.237703714534199</v>
      </c>
      <c r="AC249" s="22" t="n">
        <f aca="false">100*(AC115-AC114)</f>
        <v>-0.379040360677685</v>
      </c>
      <c r="AD249" s="22" t="n">
        <f aca="false">100*(AD115-AD114)</f>
        <v>-0.525638413110574</v>
      </c>
      <c r="AE249" s="22" t="n">
        <f aca="false">100*(AE115-AE114)</f>
        <v>-0.674595688851287</v>
      </c>
      <c r="AF249" s="22" t="n">
        <f aca="false">100*(AF115-AF114)</f>
        <v>-0.822886268939405</v>
      </c>
      <c r="AG249" s="22" t="n">
        <f aca="false">100*(AG115-AG114)</f>
        <v>-1.80566188764799</v>
      </c>
      <c r="AH249" s="22" t="n">
        <f aca="false">100*(AH115-AH114)</f>
        <v>-1.79354061751154</v>
      </c>
      <c r="AI249" s="22" t="n">
        <f aca="false">100*(AI115-AI114)</f>
        <v>-1.77259587374183</v>
      </c>
      <c r="AJ249" s="22" t="n">
        <f aca="false">100*(AJ115-AJ114)</f>
        <v>-1.74409002827889</v>
      </c>
      <c r="AK249" s="22" t="n">
        <f aca="false">100*(AK115-AK114)</f>
        <v>-1.709233481755</v>
      </c>
      <c r="AL249" s="22" t="n">
        <f aca="false">AVERAGE(C249:AK249)</f>
        <v>-0.356938296735189</v>
      </c>
    </row>
    <row r="250" customFormat="false" ht="15" hidden="false" customHeight="false" outlineLevel="0" collapsed="false">
      <c r="A250" s="20" t="n">
        <f aca="false">A116</f>
        <v>-9</v>
      </c>
      <c r="B250" s="21" t="n">
        <f aca="false">B116</f>
        <v>41178</v>
      </c>
      <c r="C250" s="22" t="n">
        <f aca="false">100*(C116-C115)</f>
        <v>-2.90195840045513</v>
      </c>
      <c r="D250" s="22" t="n">
        <f aca="false">100*(D116-D115)</f>
        <v>-4.19954311020785</v>
      </c>
      <c r="E250" s="22" t="n">
        <f aca="false">100*(E116-E115)</f>
        <v>-5.40246194368044</v>
      </c>
      <c r="F250" s="22" t="n">
        <f aca="false">100*(F116-F115)</f>
        <v>-6.513617142222</v>
      </c>
      <c r="G250" s="22" t="n">
        <f aca="false">100*(G116-G115)</f>
        <v>-7.54616012575317</v>
      </c>
      <c r="H250" s="22" t="n">
        <f aca="false">100*(H116-H115)</f>
        <v>-8.50935218255118</v>
      </c>
      <c r="I250" s="22" t="n">
        <f aca="false">100*(I116-I115)</f>
        <v>-9.40615492428826</v>
      </c>
      <c r="J250" s="22" t="n">
        <f aca="false">100*(J116-J115)</f>
        <v>-10.2343809712392</v>
      </c>
      <c r="K250" s="22" t="n">
        <f aca="false">100*(K116-K115)</f>
        <v>-10.9882737603216</v>
      </c>
      <c r="L250" s="22" t="n">
        <f aca="false">100*(L116-L115)</f>
        <v>-11.6618977638127</v>
      </c>
      <c r="M250" s="22" t="n">
        <f aca="false">100*(M116-M115)</f>
        <v>-12.250332073506</v>
      </c>
      <c r="N250" s="22" t="n">
        <f aca="false">100*(N116-N115)</f>
        <v>-12.7508527383212</v>
      </c>
      <c r="O250" s="22" t="n">
        <f aca="false">100*(O116-O115)</f>
        <v>-13.1632432840042</v>
      </c>
      <c r="P250" s="22" t="n">
        <f aca="false">100*(P116-P115)</f>
        <v>-13.4894795460875</v>
      </c>
      <c r="Q250" s="22" t="n">
        <f aca="false">100*(Q116-Q115)</f>
        <v>-13.7334976400435</v>
      </c>
      <c r="R250" s="22" t="n">
        <f aca="false">100*(R116-R115)</f>
        <v>-13.900659662434</v>
      </c>
      <c r="S250" s="22" t="n">
        <f aca="false">100*(S116-S115)</f>
        <v>-13.9976219556402</v>
      </c>
      <c r="T250" s="22" t="n">
        <f aca="false">100*(T116-T115)</f>
        <v>-14.0315715249148</v>
      </c>
      <c r="U250" s="22" t="n">
        <f aca="false">100*(U116-U115)</f>
        <v>-14.0094530148785</v>
      </c>
      <c r="V250" s="22" t="n">
        <f aca="false">100*(V116-V115)</f>
        <v>-13.9379762361121</v>
      </c>
      <c r="W250" s="22" t="n">
        <f aca="false">100*(W116-W115)</f>
        <v>-13.8236650889145</v>
      </c>
      <c r="X250" s="22" t="n">
        <f aca="false">100*(X116-X115)</f>
        <v>-13.672894746017</v>
      </c>
      <c r="Y250" s="22" t="n">
        <f aca="false">100*(Y116-Y115)</f>
        <v>-13.4918882752316</v>
      </c>
      <c r="Z250" s="22" t="n">
        <f aca="false">100*(Z116-Z115)</f>
        <v>-13.2864635880023</v>
      </c>
      <c r="AA250" s="22" t="n">
        <f aca="false">100*(AA116-AA115)</f>
        <v>-13.061871713612</v>
      </c>
      <c r="AB250" s="22" t="n">
        <f aca="false">100*(AB116-AB115)</f>
        <v>-12.8228778279821</v>
      </c>
      <c r="AC250" s="22" t="n">
        <f aca="false">100*(AC116-AC115)</f>
        <v>-12.573842229233</v>
      </c>
      <c r="AD250" s="22" t="n">
        <f aca="false">100*(AD116-AD115)</f>
        <v>-12.3187861438992</v>
      </c>
      <c r="AE250" s="22" t="n">
        <f aca="false">100*(AE116-AE115)</f>
        <v>-12.0614548665839</v>
      </c>
      <c r="AF250" s="22" t="n">
        <f aca="false">100*(AF116-AF115)</f>
        <v>-11.8053671838997</v>
      </c>
      <c r="AG250" s="22" t="n">
        <f aca="false">100*(AG116-AG115)</f>
        <v>-9.50685123896902</v>
      </c>
      <c r="AH250" s="22" t="n">
        <f aca="false">100*(AH116-AH115)</f>
        <v>-9.42931337408157</v>
      </c>
      <c r="AI250" s="22" t="n">
        <f aca="false">100*(AI116-AI115)</f>
        <v>-9.36380124359428</v>
      </c>
      <c r="AJ250" s="22" t="n">
        <f aca="false">100*(AJ116-AJ115)</f>
        <v>-9.30939847128069</v>
      </c>
      <c r="AK250" s="22" t="n">
        <f aca="false">100*(AK116-AK115)</f>
        <v>-9.2651880907582</v>
      </c>
      <c r="AL250" s="22" t="n">
        <f aca="false">AVERAGE(C250:AK250)</f>
        <v>-11.0977757737866</v>
      </c>
    </row>
    <row r="251" customFormat="false" ht="15" hidden="false" customHeight="false" outlineLevel="0" collapsed="false">
      <c r="A251" s="20" t="n">
        <f aca="false">A117</f>
        <v>-8</v>
      </c>
      <c r="B251" s="21" t="n">
        <f aca="false">B117</f>
        <v>41179</v>
      </c>
      <c r="C251" s="22" t="n">
        <f aca="false">100*(C117-C116)</f>
        <v>0.52658215341102</v>
      </c>
      <c r="D251" s="22" t="n">
        <f aca="false">100*(D117-D116)</f>
        <v>0.844077097920351</v>
      </c>
      <c r="E251" s="22" t="n">
        <f aca="false">100*(E117-E116)</f>
        <v>1.21760473437793</v>
      </c>
      <c r="F251" s="22" t="n">
        <f aca="false">100*(F117-F116)</f>
        <v>1.61267322683991</v>
      </c>
      <c r="G251" s="22" t="n">
        <f aca="false">100*(G117-G116)</f>
        <v>2.00764875352377</v>
      </c>
      <c r="H251" s="22" t="n">
        <f aca="false">100*(H117-H116)</f>
        <v>2.38827436550618</v>
      </c>
      <c r="I251" s="22" t="n">
        <f aca="false">100*(I117-I116)</f>
        <v>2.74469820746335</v>
      </c>
      <c r="J251" s="22" t="n">
        <f aca="false">100*(J117-J116)</f>
        <v>3.07020773734206</v>
      </c>
      <c r="K251" s="22" t="n">
        <f aca="false">100*(K117-K116)</f>
        <v>3.3606635833343</v>
      </c>
      <c r="L251" s="22" t="n">
        <f aca="false">100*(L117-L116)</f>
        <v>3.61396678392674</v>
      </c>
      <c r="M251" s="22" t="n">
        <f aca="false">100*(M117-M116)</f>
        <v>3.8299279532767</v>
      </c>
      <c r="N251" s="22" t="n">
        <f aca="false">100*(N117-N116)</f>
        <v>4.0098308155105</v>
      </c>
      <c r="O251" s="22" t="n">
        <f aca="false">100*(O117-O116)</f>
        <v>4.1562163713041</v>
      </c>
      <c r="P251" s="22" t="n">
        <f aca="false">100*(P117-P116)</f>
        <v>4.27243255907761</v>
      </c>
      <c r="Q251" s="22" t="n">
        <f aca="false">100*(Q117-Q116)</f>
        <v>4.36225728142559</v>
      </c>
      <c r="R251" s="22" t="n">
        <f aca="false">100*(R117-R116)</f>
        <v>4.42973004185721</v>
      </c>
      <c r="S251" s="22" t="n">
        <f aca="false">100*(S117-S116)</f>
        <v>4.4791038466709</v>
      </c>
      <c r="T251" s="22" t="n">
        <f aca="false">100*(T117-T116)</f>
        <v>4.5144176054071</v>
      </c>
      <c r="U251" s="22" t="n">
        <f aca="false">100*(U117-U116)</f>
        <v>4.53916737959819</v>
      </c>
      <c r="V251" s="22" t="n">
        <f aca="false">100*(V117-V116)</f>
        <v>4.5564014998341</v>
      </c>
      <c r="W251" s="22" t="n">
        <f aca="false">100*(W117-W116)</f>
        <v>4.56881384304158</v>
      </c>
      <c r="X251" s="22" t="n">
        <f aca="false">100*(X117-X116)</f>
        <v>4.57881471717401</v>
      </c>
      <c r="Y251" s="22" t="n">
        <f aca="false">100*(Y117-Y116)</f>
        <v>4.58855161979037</v>
      </c>
      <c r="Z251" s="22" t="n">
        <f aca="false">100*(Z117-Z116)</f>
        <v>4.59971614273789</v>
      </c>
      <c r="AA251" s="22" t="n">
        <f aca="false">100*(AA117-AA116)</f>
        <v>4.61345463878482</v>
      </c>
      <c r="AB251" s="22" t="n">
        <f aca="false">100*(AB117-AB116)</f>
        <v>4.63045266342959</v>
      </c>
      <c r="AC251" s="22" t="n">
        <f aca="false">100*(AC117-AC116)</f>
        <v>4.65101177444653</v>
      </c>
      <c r="AD251" s="22" t="n">
        <f aca="false">100*(AD117-AD116)</f>
        <v>4.67511038468302</v>
      </c>
      <c r="AE251" s="22" t="n">
        <f aca="false">100*(AE117-AE116)</f>
        <v>4.70241923769317</v>
      </c>
      <c r="AF251" s="22" t="n">
        <f aca="false">100*(AF117-AF116)</f>
        <v>4.73228249895072</v>
      </c>
      <c r="AG251" s="22" t="n">
        <f aca="false">100*(AG117-AG116)</f>
        <v>5.00928846049731</v>
      </c>
      <c r="AH251" s="22" t="n">
        <f aca="false">100*(AH117-AH116)</f>
        <v>5.00993867559258</v>
      </c>
      <c r="AI251" s="22" t="n">
        <f aca="false">100*(AI117-AI116)</f>
        <v>5.00811270185091</v>
      </c>
      <c r="AJ251" s="22" t="n">
        <f aca="false">100*(AJ117-AJ116)</f>
        <v>5.0041433600196</v>
      </c>
      <c r="AK251" s="22" t="n">
        <f aca="false">100*(AK117-AK116)</f>
        <v>4.9983556019559</v>
      </c>
      <c r="AL251" s="22" t="n">
        <f aca="false">AVERAGE(C251:AK251)</f>
        <v>3.88303852337873</v>
      </c>
    </row>
    <row r="252" customFormat="false" ht="15" hidden="false" customHeight="false" outlineLevel="0" collapsed="false">
      <c r="A252" s="20" t="n">
        <f aca="false">A118</f>
        <v>-7</v>
      </c>
      <c r="B252" s="21" t="n">
        <f aca="false">B118</f>
        <v>41180</v>
      </c>
      <c r="C252" s="22" t="n">
        <f aca="false">100*(C118-C117)</f>
        <v>-0.959218975393469</v>
      </c>
      <c r="D252" s="22" t="n">
        <f aca="false">100*(D118-D117)</f>
        <v>-1.19681087932389</v>
      </c>
      <c r="E252" s="22" t="n">
        <f aca="false">100*(E118-E117)</f>
        <v>-1.29244760073504</v>
      </c>
      <c r="F252" s="22" t="n">
        <f aca="false">100*(F118-F117)</f>
        <v>-1.29032573276201</v>
      </c>
      <c r="G252" s="22" t="n">
        <f aca="false">100*(G118-G117)</f>
        <v>-1.22768346658092</v>
      </c>
      <c r="H252" s="22" t="n">
        <f aca="false">100*(H118-H117)</f>
        <v>-1.13075780059112</v>
      </c>
      <c r="I252" s="22" t="n">
        <f aca="false">100*(I118-I117)</f>
        <v>-1.01734170036295</v>
      </c>
      <c r="J252" s="22" t="n">
        <f aca="false">100*(J118-J117)</f>
        <v>-0.90029495163485</v>
      </c>
      <c r="K252" s="22" t="n">
        <f aca="false">100*(K118-K117)</f>
        <v>-0.788270755440845</v>
      </c>
      <c r="L252" s="22" t="n">
        <f aca="false">100*(L118-L117)</f>
        <v>-0.687316809313598</v>
      </c>
      <c r="M252" s="22" t="n">
        <f aca="false">100*(M118-M117)</f>
        <v>-0.600488558430512</v>
      </c>
      <c r="N252" s="22" t="n">
        <f aca="false">100*(N118-N117)</f>
        <v>-0.528484848727495</v>
      </c>
      <c r="O252" s="22" t="n">
        <f aca="false">100*(O118-O117)</f>
        <v>-0.470039550194401</v>
      </c>
      <c r="P252" s="22" t="n">
        <f aca="false">100*(P118-P117)</f>
        <v>-0.422878601643406</v>
      </c>
      <c r="Q252" s="22" t="n">
        <f aca="false">100*(Q118-Q117)</f>
        <v>-0.384294850264588</v>
      </c>
      <c r="R252" s="22" t="n">
        <f aca="false">100*(R118-R117)</f>
        <v>-0.351495725584594</v>
      </c>
      <c r="S252" s="22" t="n">
        <f aca="false">100*(S118-S117)</f>
        <v>-0.321698891092082</v>
      </c>
      <c r="T252" s="22" t="n">
        <f aca="false">100*(T118-T117)</f>
        <v>-0.292389762205314</v>
      </c>
      <c r="U252" s="22" t="n">
        <f aca="false">100*(U118-U117)</f>
        <v>-0.26169841712369</v>
      </c>
      <c r="V252" s="22" t="n">
        <f aca="false">100*(V118-V117)</f>
        <v>-0.228282548477798</v>
      </c>
      <c r="W252" s="22" t="n">
        <f aca="false">100*(W118-W117)</f>
        <v>-0.191217543655675</v>
      </c>
      <c r="X252" s="22" t="n">
        <f aca="false">100*(X118-X117)</f>
        <v>-0.149912963430987</v>
      </c>
      <c r="Y252" s="22" t="n">
        <f aca="false">100*(Y118-Y117)</f>
        <v>-0.104074533054987</v>
      </c>
      <c r="Z252" s="22" t="n">
        <f aca="false">100*(Z118-Z117)</f>
        <v>-0.0537684258016036</v>
      </c>
      <c r="AA252" s="22" t="n">
        <f aca="false">100*(AA118-AA117)</f>
        <v>0.000602587435194479</v>
      </c>
      <c r="AB252" s="22" t="n">
        <f aca="false">100*(AB118-AB117)</f>
        <v>0.0583590561720193</v>
      </c>
      <c r="AC252" s="22" t="n">
        <f aca="false">100*(AC118-AC117)</f>
        <v>0.118590963599985</v>
      </c>
      <c r="AD252" s="22" t="n">
        <f aca="false">100*(AD118-AD117)</f>
        <v>0.180194702480785</v>
      </c>
      <c r="AE252" s="22" t="n">
        <f aca="false">100*(AE118-AE117)</f>
        <v>0.241933780864922</v>
      </c>
      <c r="AF252" s="22" t="n">
        <f aca="false">100*(AF118-AF117)</f>
        <v>0.302574468945194</v>
      </c>
      <c r="AG252" s="22" t="n">
        <f aca="false">100*(AG118-AG117)</f>
        <v>0.643124576684517</v>
      </c>
      <c r="AH252" s="22" t="n">
        <f aca="false">100*(AH118-AH117)</f>
        <v>0.629348003832009</v>
      </c>
      <c r="AI252" s="22" t="n">
        <f aca="false">100*(AI118-AI117)</f>
        <v>0.611725745347203</v>
      </c>
      <c r="AJ252" s="22" t="n">
        <f aca="false">100*(AJ118-AJ117)</f>
        <v>0.590912491172491</v>
      </c>
      <c r="AK252" s="22" t="n">
        <f aca="false">100*(AK118-AK117)</f>
        <v>0.567545490619015</v>
      </c>
      <c r="AL252" s="22" t="n">
        <f aca="false">AVERAGE(C252:AK252)</f>
        <v>-0.311608057847786</v>
      </c>
    </row>
    <row r="253" customFormat="false" ht="15" hidden="false" customHeight="false" outlineLevel="0" collapsed="false">
      <c r="A253" s="20" t="n">
        <f aca="false">A119</f>
        <v>-6</v>
      </c>
      <c r="B253" s="21" t="n">
        <f aca="false">B119</f>
        <v>41183</v>
      </c>
      <c r="C253" s="22" t="n">
        <f aca="false">100*(C119-C118)</f>
        <v>0.24352998325245</v>
      </c>
      <c r="D253" s="22" t="n">
        <f aca="false">100*(D119-D118)</f>
        <v>0.222949782322901</v>
      </c>
      <c r="E253" s="22" t="n">
        <f aca="false">100*(E119-E118)</f>
        <v>0.242308398658975</v>
      </c>
      <c r="F253" s="22" t="n">
        <f aca="false">100*(F119-F118)</f>
        <v>0.311216928725677</v>
      </c>
      <c r="G253" s="22" t="n">
        <f aca="false">100*(G119-G118)</f>
        <v>0.42142412968158</v>
      </c>
      <c r="H253" s="22" t="n">
        <f aca="false">100*(H119-H118)</f>
        <v>0.560932257532798</v>
      </c>
      <c r="I253" s="22" t="n">
        <f aca="false">100*(I119-I118)</f>
        <v>0.718014870889705</v>
      </c>
      <c r="J253" s="22" t="n">
        <f aca="false">100*(J119-J118)</f>
        <v>0.881953992146345</v>
      </c>
      <c r="K253" s="22" t="n">
        <f aca="false">100*(K119-K118)</f>
        <v>1.04364588534416</v>
      </c>
      <c r="L253" s="22" t="n">
        <f aca="false">100*(L119-L118)</f>
        <v>1.1955663057404</v>
      </c>
      <c r="M253" s="22" t="n">
        <f aca="false">100*(M119-M118)</f>
        <v>1.3320011117123</v>
      </c>
      <c r="N253" s="22" t="n">
        <f aca="false">100*(N119-N118)</f>
        <v>1.44889012321561</v>
      </c>
      <c r="O253" s="22" t="n">
        <f aca="false">100*(O119-O118)</f>
        <v>1.54376268843561</v>
      </c>
      <c r="P253" s="22" t="n">
        <f aca="false">100*(P119-P118)</f>
        <v>1.6153918111204</v>
      </c>
      <c r="Q253" s="22" t="n">
        <f aca="false">100*(Q119-Q118)</f>
        <v>1.66360229618279</v>
      </c>
      <c r="R253" s="22" t="n">
        <f aca="false">100*(R119-R118)</f>
        <v>1.68907767472659</v>
      </c>
      <c r="S253" s="22" t="n">
        <f aca="false">100*(S119-S118)</f>
        <v>1.6932176169306</v>
      </c>
      <c r="T253" s="22" t="n">
        <f aca="false">100*(T119-T118)</f>
        <v>1.67784888533702</v>
      </c>
      <c r="U253" s="22" t="n">
        <f aca="false">100*(U119-U118)</f>
        <v>1.64496732685369</v>
      </c>
      <c r="V253" s="22" t="n">
        <f aca="false">100*(V119-V118)</f>
        <v>1.5966933366063</v>
      </c>
      <c r="W253" s="22" t="n">
        <f aca="false">100*(W119-W118)</f>
        <v>1.5352459103926</v>
      </c>
      <c r="X253" s="22" t="n">
        <f aca="false">100*(X119-X118)</f>
        <v>1.4629229133087</v>
      </c>
      <c r="Y253" s="22" t="n">
        <f aca="false">100*(Y119-Y118)</f>
        <v>1.38205805342131</v>
      </c>
      <c r="Z253" s="22" t="n">
        <f aca="false">100*(Z119-Z118)</f>
        <v>1.29483661109293</v>
      </c>
      <c r="AA253" s="22" t="n">
        <f aca="false">100*(AA119-AA118)</f>
        <v>1.20320903074442</v>
      </c>
      <c r="AB253" s="22" t="n">
        <f aca="false">100*(AB119-AB118)</f>
        <v>1.10892616327098</v>
      </c>
      <c r="AC253" s="22" t="n">
        <f aca="false">100*(AC119-AC118)</f>
        <v>1.01357253163119</v>
      </c>
      <c r="AD253" s="22" t="n">
        <f aca="false">100*(AD119-AD118)</f>
        <v>0.918591522334911</v>
      </c>
      <c r="AE253" s="22" t="n">
        <f aca="false">100*(AE119-AE118)</f>
        <v>0.825254450453405</v>
      </c>
      <c r="AF253" s="22" t="n">
        <f aca="false">100*(AF119-AF118)</f>
        <v>0.734583022641999</v>
      </c>
      <c r="AG253" s="22" t="n">
        <f aca="false">100*(AG119-AG118)</f>
        <v>-0.0524737643770923</v>
      </c>
      <c r="AH253" s="22" t="n">
        <f aca="false">100*(AH119-AH118)</f>
        <v>-0.0853011114696933</v>
      </c>
      <c r="AI253" s="22" t="n">
        <f aca="false">100*(AI119-AI118)</f>
        <v>-0.115195257781497</v>
      </c>
      <c r="AJ253" s="22" t="n">
        <f aca="false">100*(AJ119-AJ118)</f>
        <v>-0.142326853558794</v>
      </c>
      <c r="AK253" s="22" t="n">
        <f aca="false">100*(AK119-AK118)</f>
        <v>-0.166848466102909</v>
      </c>
      <c r="AL253" s="22" t="n">
        <f aca="false">AVERAGE(C253:AK253)</f>
        <v>0.933258576040525</v>
      </c>
    </row>
    <row r="254" customFormat="false" ht="15" hidden="false" customHeight="false" outlineLevel="0" collapsed="false">
      <c r="A254" s="20" t="n">
        <f aca="false">A120</f>
        <v>-5</v>
      </c>
      <c r="B254" s="21" t="n">
        <f aca="false">B120</f>
        <v>41184</v>
      </c>
      <c r="C254" s="22" t="n">
        <f aca="false">100*(C120-C119)</f>
        <v>-1.37336127352775</v>
      </c>
      <c r="D254" s="22" t="n">
        <f aca="false">100*(D120-D119)</f>
        <v>-1.83899276956584</v>
      </c>
      <c r="E254" s="22" t="n">
        <f aca="false">100*(E120-E119)</f>
        <v>-2.23024459208746</v>
      </c>
      <c r="F254" s="22" t="n">
        <f aca="false">100*(F120-F119)</f>
        <v>-2.52887765342894</v>
      </c>
      <c r="G254" s="22" t="n">
        <f aca="false">100*(G120-G119)</f>
        <v>-2.73946632042804</v>
      </c>
      <c r="H254" s="22" t="n">
        <f aca="false">100*(H120-H119)</f>
        <v>-2.8734949737968</v>
      </c>
      <c r="I254" s="22" t="n">
        <f aca="false">100*(I120-I119)</f>
        <v>-2.94359292404833</v>
      </c>
      <c r="J254" s="22" t="n">
        <f aca="false">100*(J120-J119)</f>
        <v>-2.96192221933854</v>
      </c>
      <c r="K254" s="22" t="n">
        <f aca="false">100*(K120-K119)</f>
        <v>-2.93959814934934</v>
      </c>
      <c r="L254" s="22" t="n">
        <f aca="false">100*(L120-L119)</f>
        <v>-2.8866538115625</v>
      </c>
      <c r="M254" s="22" t="n">
        <f aca="false">100*(M120-M119)</f>
        <v>-2.81178330683138</v>
      </c>
      <c r="N254" s="22" t="n">
        <f aca="false">100*(N120-N119)</f>
        <v>-2.72239197716091</v>
      </c>
      <c r="O254" s="22" t="n">
        <f aca="false">100*(O120-O119)</f>
        <v>-2.62456845272121</v>
      </c>
      <c r="P254" s="22" t="n">
        <f aca="false">100*(P120-P119)</f>
        <v>-2.5233017980953</v>
      </c>
      <c r="Q254" s="22" t="n">
        <f aca="false">100*(Q120-Q119)</f>
        <v>-2.42244798914859</v>
      </c>
      <c r="R254" s="22" t="n">
        <f aca="false">100*(R120-R119)</f>
        <v>-2.32474575185648</v>
      </c>
      <c r="S254" s="22" t="n">
        <f aca="false">100*(S120-S119)</f>
        <v>-2.2318757922249</v>
      </c>
      <c r="T254" s="22" t="n">
        <f aca="false">100*(T120-T119)</f>
        <v>-2.14474022321312</v>
      </c>
      <c r="U254" s="22" t="n">
        <f aca="false">100*(U120-U119)</f>
        <v>-2.0637298232393</v>
      </c>
      <c r="V254" s="22" t="n">
        <f aca="false">100*(V120-V119)</f>
        <v>-1.9888384616815</v>
      </c>
      <c r="W254" s="22" t="n">
        <f aca="false">100*(W120-W119)</f>
        <v>-1.9197457882608</v>
      </c>
      <c r="X254" s="22" t="n">
        <f aca="false">100*(X120-X119)</f>
        <v>-1.85588008921052</v>
      </c>
      <c r="Y254" s="22" t="n">
        <f aca="false">100*(Y120-Y119)</f>
        <v>-1.79648834633541</v>
      </c>
      <c r="Z254" s="22" t="n">
        <f aca="false">100*(Z120-Z119)</f>
        <v>-1.74079724824709</v>
      </c>
      <c r="AA254" s="22" t="n">
        <f aca="false">100*(AA120-AA119)</f>
        <v>-1.68809073051039</v>
      </c>
      <c r="AB254" s="22" t="n">
        <f aca="false">100*(AB120-AB119)</f>
        <v>-1.6377028637395</v>
      </c>
      <c r="AC254" s="22" t="n">
        <f aca="false">100*(AC120-AC119)</f>
        <v>-1.58900949775629</v>
      </c>
      <c r="AD254" s="22" t="n">
        <f aca="false">100*(AD120-AD119)</f>
        <v>-1.5414230858116</v>
      </c>
      <c r="AE254" s="22" t="n">
        <f aca="false">100*(AE120-AE119)</f>
        <v>-1.49443439413051</v>
      </c>
      <c r="AF254" s="22" t="n">
        <f aca="false">100*(AF120-AF119)</f>
        <v>-1.44768893273413</v>
      </c>
      <c r="AG254" s="22" t="n">
        <f aca="false">100*(AG120-AG119)</f>
        <v>-0.827395137152109</v>
      </c>
      <c r="AH254" s="22" t="n">
        <f aca="false">100*(AH120-AH119)</f>
        <v>-0.779578778616497</v>
      </c>
      <c r="AI254" s="22" t="n">
        <f aca="false">100*(AI120-AI119)</f>
        <v>-0.732117719053838</v>
      </c>
      <c r="AJ254" s="22" t="n">
        <f aca="false">100*(AJ120-AJ119)</f>
        <v>-0.685126206459907</v>
      </c>
      <c r="AK254" s="22" t="n">
        <f aca="false">100*(AK120-AK119)</f>
        <v>-0.638716320597199</v>
      </c>
      <c r="AL254" s="22" t="n">
        <f aca="false">AVERAGE(C254:AK254)</f>
        <v>-1.98710924005491</v>
      </c>
    </row>
    <row r="255" customFormat="false" ht="15" hidden="false" customHeight="false" outlineLevel="0" collapsed="false">
      <c r="A255" s="20" t="n">
        <f aca="false">A121</f>
        <v>-4</v>
      </c>
      <c r="B255" s="21" t="n">
        <f aca="false">B121</f>
        <v>41185</v>
      </c>
      <c r="C255" s="22" t="n">
        <f aca="false">100*(C121-C120)</f>
        <v>-1.44309108473492</v>
      </c>
      <c r="D255" s="22" t="n">
        <f aca="false">100*(D121-D120)</f>
        <v>-1.74714293995823</v>
      </c>
      <c r="E255" s="22" t="n">
        <f aca="false">100*(E121-E120)</f>
        <v>-1.9898473041507</v>
      </c>
      <c r="F255" s="22" t="n">
        <f aca="false">100*(F121-F120)</f>
        <v>-2.18834083997292</v>
      </c>
      <c r="G255" s="22" t="n">
        <f aca="false">100*(G121-G120)</f>
        <v>-2.35157355753643</v>
      </c>
      <c r="H255" s="22" t="n">
        <f aca="false">100*(H121-H120)</f>
        <v>-2.48364312334034</v>
      </c>
      <c r="I255" s="22" t="n">
        <f aca="false">100*(I121-I120)</f>
        <v>-2.58635088821653</v>
      </c>
      <c r="J255" s="22" t="n">
        <f aca="false">100*(J121-J120)</f>
        <v>-2.6609941085847</v>
      </c>
      <c r="K255" s="22" t="n">
        <f aca="false">100*(K121-K120)</f>
        <v>-2.70892346997307</v>
      </c>
      <c r="L255" s="22" t="n">
        <f aca="false">100*(L121-L120)</f>
        <v>-2.73233641655046</v>
      </c>
      <c r="M255" s="22" t="n">
        <f aca="false">100*(M121-M120)</f>
        <v>-2.7342226330189</v>
      </c>
      <c r="N255" s="22" t="n">
        <f aca="false">100*(N121-N120)</f>
        <v>-2.71834454482269</v>
      </c>
      <c r="O255" s="22" t="n">
        <f aca="false">100*(O121-O120)</f>
        <v>-2.6888021892858</v>
      </c>
      <c r="P255" s="22" t="n">
        <f aca="false">100*(P121-P120)</f>
        <v>-2.64955355214529</v>
      </c>
      <c r="Q255" s="22" t="n">
        <f aca="false">100*(Q121-Q120)</f>
        <v>-2.60392017668329</v>
      </c>
      <c r="R255" s="22" t="n">
        <f aca="false">100*(R121-R120)</f>
        <v>-2.55438081583781</v>
      </c>
      <c r="S255" s="22" t="n">
        <f aca="false">100*(S121-S120)</f>
        <v>-2.50240988515411</v>
      </c>
      <c r="T255" s="22" t="n">
        <f aca="false">100*(T121-T120)</f>
        <v>-2.4488162232893</v>
      </c>
      <c r="U255" s="22" t="n">
        <f aca="false">100*(U121-U120)</f>
        <v>-2.39412719025769</v>
      </c>
      <c r="V255" s="22" t="n">
        <f aca="false">100*(V121-V120)</f>
        <v>-2.33866139316521</v>
      </c>
      <c r="W255" s="22" t="n">
        <f aca="false">100*(W121-W120)</f>
        <v>-2.28257217639891</v>
      </c>
      <c r="X255" s="22" t="n">
        <f aca="false">100*(X121-X120)</f>
        <v>-2.2258806886331</v>
      </c>
      <c r="Y255" s="22" t="n">
        <f aca="false">100*(Y121-Y120)</f>
        <v>-2.16852334220969</v>
      </c>
      <c r="Z255" s="22" t="n">
        <f aca="false">100*(Z121-Z120)</f>
        <v>-2.11049308533573</v>
      </c>
      <c r="AA255" s="22" t="n">
        <f aca="false">100*(AA121-AA120)</f>
        <v>-2.05189993285582</v>
      </c>
      <c r="AB255" s="22" t="n">
        <f aca="false">100*(AB121-AB120)</f>
        <v>-1.99295322028439</v>
      </c>
      <c r="AC255" s="22" t="n">
        <f aca="false">100*(AC121-AC120)</f>
        <v>-1.9339450503614</v>
      </c>
      <c r="AD255" s="22" t="n">
        <f aca="false">100*(AD121-AD120)</f>
        <v>-1.87523754877992</v>
      </c>
      <c r="AE255" s="22" t="n">
        <f aca="false">100*(AE121-AE120)</f>
        <v>-1.81726043771961</v>
      </c>
      <c r="AF255" s="22" t="n">
        <f aca="false">100*(AF121-AF120)</f>
        <v>-1.7605020548229</v>
      </c>
      <c r="AG255" s="22" t="n">
        <f aca="false">100*(AG121-AG120)</f>
        <v>-1.28880534518929</v>
      </c>
      <c r="AH255" s="22" t="n">
        <f aca="false">100*(AH121-AH120)</f>
        <v>-1.2755138220804</v>
      </c>
      <c r="AI255" s="22" t="n">
        <f aca="false">100*(AI121-AI120)</f>
        <v>-1.26476761290486</v>
      </c>
      <c r="AJ255" s="22" t="n">
        <f aca="false">100*(AJ121-AJ120)</f>
        <v>-1.25632000588638</v>
      </c>
      <c r="AK255" s="22" t="n">
        <f aca="false">100*(AK121-AK120)</f>
        <v>-1.2499308109458</v>
      </c>
      <c r="AL255" s="22" t="n">
        <f aca="false">AVERAGE(C255:AK255)</f>
        <v>-2.14514535631676</v>
      </c>
    </row>
    <row r="256" customFormat="false" ht="15" hidden="false" customHeight="false" outlineLevel="0" collapsed="false">
      <c r="A256" s="20" t="n">
        <f aca="false">A122</f>
        <v>-3</v>
      </c>
      <c r="B256" s="21" t="n">
        <f aca="false">B122</f>
        <v>41186</v>
      </c>
      <c r="C256" s="22" t="n">
        <f aca="false">100*(C122-C121)</f>
        <v>0.521537568815861</v>
      </c>
      <c r="D256" s="22" t="n">
        <f aca="false">100*(D122-D121)</f>
        <v>0.62588722867277</v>
      </c>
      <c r="E256" s="22" t="n">
        <f aca="false">100*(E122-E121)</f>
        <v>0.723242521256889</v>
      </c>
      <c r="F256" s="22" t="n">
        <f aca="false">100*(F122-F121)</f>
        <v>0.821274158305718</v>
      </c>
      <c r="G256" s="22" t="n">
        <f aca="false">100*(G122-G121)</f>
        <v>0.922324931572932</v>
      </c>
      <c r="H256" s="22" t="n">
        <f aca="false">100*(H122-H121)</f>
        <v>1.02657384560172</v>
      </c>
      <c r="I256" s="22" t="n">
        <f aca="false">100*(I122-I121)</f>
        <v>1.13297262471901</v>
      </c>
      <c r="J256" s="22" t="n">
        <f aca="false">100*(J122-J121)</f>
        <v>1.23966612935887</v>
      </c>
      <c r="K256" s="22" t="n">
        <f aca="false">100*(K122-K121)</f>
        <v>1.34444802083613</v>
      </c>
      <c r="L256" s="22" t="n">
        <f aca="false">100*(L122-L121)</f>
        <v>1.44492591602329</v>
      </c>
      <c r="M256" s="22" t="n">
        <f aca="false">100*(M122-M121)</f>
        <v>1.5389572813328</v>
      </c>
      <c r="N256" s="22" t="n">
        <f aca="false">100*(N122-N121)</f>
        <v>1.62468752257769</v>
      </c>
      <c r="O256" s="22" t="n">
        <f aca="false">100*(O122-O121)</f>
        <v>1.70055692495761</v>
      </c>
      <c r="P256" s="22" t="n">
        <f aca="false">100*(P122-P121)</f>
        <v>1.76520956204138</v>
      </c>
      <c r="Q256" s="22" t="n">
        <f aca="false">100*(Q122-Q121)</f>
        <v>1.81763390815179</v>
      </c>
      <c r="R256" s="22" t="n">
        <f aca="false">100*(R122-R121)</f>
        <v>1.85723451300559</v>
      </c>
      <c r="S256" s="22" t="n">
        <f aca="false">100*(S122-S121)</f>
        <v>1.8837792269417</v>
      </c>
      <c r="T256" s="22" t="n">
        <f aca="false">100*(T122-T121)</f>
        <v>1.89741449443841</v>
      </c>
      <c r="U256" s="22" t="n">
        <f aca="false">100*(U122-U121)</f>
        <v>1.8986783938453</v>
      </c>
      <c r="V256" s="22" t="n">
        <f aca="false">100*(V122-V121)</f>
        <v>1.88842357420331</v>
      </c>
      <c r="W256" s="22" t="n">
        <f aca="false">100*(W122-W121)</f>
        <v>1.86775171968381</v>
      </c>
      <c r="X256" s="22" t="n">
        <f aca="false">100*(X122-X121)</f>
        <v>1.83796372755132</v>
      </c>
      <c r="Y256" s="22" t="n">
        <f aca="false">100*(Y122-Y121)</f>
        <v>1.80050627466382</v>
      </c>
      <c r="Z256" s="22" t="n">
        <f aca="false">100*(Z122-Z121)</f>
        <v>1.75687208804503</v>
      </c>
      <c r="AA256" s="22" t="n">
        <f aca="false">100*(AA122-AA121)</f>
        <v>1.70856012289677</v>
      </c>
      <c r="AB256" s="22" t="n">
        <f aca="false">100*(AB122-AB121)</f>
        <v>1.65707436841371</v>
      </c>
      <c r="AC256" s="22" t="n">
        <f aca="false">100*(AC122-AC121)</f>
        <v>1.60392300878391</v>
      </c>
      <c r="AD256" s="22" t="n">
        <f aca="false">100*(AD122-AD121)</f>
        <v>1.55061541431989</v>
      </c>
      <c r="AE256" s="22" t="n">
        <f aca="false">100*(AE122-AE121)</f>
        <v>1.4985898251699</v>
      </c>
      <c r="AF256" s="22" t="n">
        <f aca="false">100*(AF122-AF121)</f>
        <v>1.44908602669394</v>
      </c>
      <c r="AG256" s="22" t="n">
        <f aca="false">100*(AG122-AG121)</f>
        <v>1.29342294766239</v>
      </c>
      <c r="AH256" s="22" t="n">
        <f aca="false">100*(AH122-AH121)</f>
        <v>1.31944125539216</v>
      </c>
      <c r="AI256" s="22" t="n">
        <f aca="false">100*(AI122-AI121)</f>
        <v>1.34899312629138</v>
      </c>
      <c r="AJ256" s="22" t="n">
        <f aca="false">100*(AJ122-AJ121)</f>
        <v>1.38153328882669</v>
      </c>
      <c r="AK256" s="22" t="n">
        <f aca="false">100*(AK122-AK121)</f>
        <v>1.41653509130859</v>
      </c>
      <c r="AL256" s="22" t="n">
        <f aca="false">AVERAGE(C256:AK256)</f>
        <v>1.46189418949606</v>
      </c>
    </row>
    <row r="257" customFormat="false" ht="15" hidden="false" customHeight="false" outlineLevel="0" collapsed="false">
      <c r="A257" s="20" t="n">
        <f aca="false">A123</f>
        <v>-2</v>
      </c>
      <c r="B257" s="21" t="n">
        <f aca="false">B123</f>
        <v>41187</v>
      </c>
      <c r="C257" s="22" t="n">
        <f aca="false">100*(C123-C122)</f>
        <v>2.87036406361456</v>
      </c>
      <c r="D257" s="22" t="n">
        <f aca="false">100*(D123-D122)</f>
        <v>3.59574210328914</v>
      </c>
      <c r="E257" s="22" t="n">
        <f aca="false">100*(E123-E122)</f>
        <v>4.14781322569409</v>
      </c>
      <c r="F257" s="22" t="n">
        <f aca="false">100*(F123-F122)</f>
        <v>4.58486244016983</v>
      </c>
      <c r="G257" s="22" t="n">
        <f aca="false">100*(G123-G122)</f>
        <v>4.94660109305031</v>
      </c>
      <c r="H257" s="22" t="n">
        <f aca="false">100*(H123-H122)</f>
        <v>5.2585768975808</v>
      </c>
      <c r="I257" s="22" t="n">
        <f aca="false">100*(I123-I122)</f>
        <v>5.53630152391716</v>
      </c>
      <c r="J257" s="22" t="n">
        <f aca="false">100*(J123-J122)</f>
        <v>5.78883655360174</v>
      </c>
      <c r="K257" s="22" t="n">
        <f aca="false">100*(K123-K122)</f>
        <v>6.02009091906217</v>
      </c>
      <c r="L257" s="22" t="n">
        <f aca="false">100*(L123-L122)</f>
        <v>6.23197019520506</v>
      </c>
      <c r="M257" s="22" t="n">
        <f aca="false">100*(M123-M122)</f>
        <v>6.425081018512</v>
      </c>
      <c r="N257" s="22" t="n">
        <f aca="false">100*(N123-N122)</f>
        <v>6.59977021260341</v>
      </c>
      <c r="O257" s="22" t="n">
        <f aca="false">100*(O123-O122)</f>
        <v>6.7561669000112</v>
      </c>
      <c r="P257" s="22" t="n">
        <f aca="false">100*(P123-P122)</f>
        <v>6.89433865027471</v>
      </c>
      <c r="Q257" s="22" t="n">
        <f aca="false">100*(Q123-Q122)</f>
        <v>7.0146706525871</v>
      </c>
      <c r="R257" s="22" t="n">
        <f aca="false">100*(R123-R122)</f>
        <v>7.11777415366151</v>
      </c>
      <c r="S257" s="22" t="n">
        <f aca="false">100*(S123-S122)</f>
        <v>7.20470097070081</v>
      </c>
      <c r="T257" s="22" t="n">
        <f aca="false">100*(T123-T122)</f>
        <v>7.27673592088869</v>
      </c>
      <c r="U257" s="22" t="n">
        <f aca="false">100*(U123-U122)</f>
        <v>7.33518020701169</v>
      </c>
      <c r="V257" s="22" t="n">
        <f aca="false">100*(V123-V122)</f>
        <v>7.38134584116499</v>
      </c>
      <c r="W257" s="22" t="n">
        <f aca="false">100*(W123-W122)</f>
        <v>7.4165533928134</v>
      </c>
      <c r="X257" s="22" t="n">
        <f aca="false">100*(X123-X122)</f>
        <v>7.44213022397018</v>
      </c>
      <c r="Y257" s="22" t="n">
        <f aca="false">100*(Y123-Y122)</f>
        <v>7.45937755858099</v>
      </c>
      <c r="Z257" s="22" t="n">
        <f aca="false">100*(Z123-Z122)</f>
        <v>7.46946485550448</v>
      </c>
      <c r="AA257" s="22" t="n">
        <f aca="false">100*(AA123-AA122)</f>
        <v>7.47343739709314</v>
      </c>
      <c r="AB257" s="22" t="n">
        <f aca="false">100*(AB123-AB122)</f>
        <v>7.47224179035571</v>
      </c>
      <c r="AC257" s="22" t="n">
        <f aca="false">100*(AC123-AC122)</f>
        <v>7.46674241284828</v>
      </c>
      <c r="AD257" s="22" t="n">
        <f aca="false">100*(AD123-AD122)</f>
        <v>7.45773257884252</v>
      </c>
      <c r="AE257" s="22" t="n">
        <f aca="false">100*(AE123-AE122)</f>
        <v>7.44591987741821</v>
      </c>
      <c r="AF257" s="22" t="n">
        <f aca="false">100*(AF123-AF122)</f>
        <v>7.43193989050499</v>
      </c>
      <c r="AG257" s="22" t="n">
        <f aca="false">100*(AG123-AG122)</f>
        <v>7.24976083263278</v>
      </c>
      <c r="AH257" s="22" t="n">
        <f aca="false">100*(AH123-AH122)</f>
        <v>7.24358764229502</v>
      </c>
      <c r="AI257" s="22" t="n">
        <f aca="false">100*(AI123-AI122)</f>
        <v>7.2386767254212</v>
      </c>
      <c r="AJ257" s="22" t="n">
        <f aca="false">100*(AJ123-AJ122)</f>
        <v>7.2348863461646</v>
      </c>
      <c r="AK257" s="22" t="n">
        <f aca="false">100*(AK123-AK122)</f>
        <v>7.23205860457998</v>
      </c>
      <c r="AL257" s="22" t="n">
        <f aca="false">AVERAGE(C257:AK257)</f>
        <v>6.56346953347504</v>
      </c>
    </row>
    <row r="258" customFormat="false" ht="15" hidden="false" customHeight="false" outlineLevel="0" collapsed="false">
      <c r="A258" s="20" t="n">
        <f aca="false">A124</f>
        <v>-1</v>
      </c>
      <c r="B258" s="21" t="n">
        <f aca="false">B124</f>
        <v>41190</v>
      </c>
      <c r="C258" s="22" t="n">
        <f aca="false">100*(C124-C123)</f>
        <v>-1.86873088803182</v>
      </c>
      <c r="D258" s="22" t="n">
        <f aca="false">100*(D124-D123)</f>
        <v>-2.42026755884341</v>
      </c>
      <c r="E258" s="22" t="n">
        <f aca="false">100*(E124-E123)</f>
        <v>-2.85449331541795</v>
      </c>
      <c r="F258" s="22" t="n">
        <f aca="false">100*(F124-F123)</f>
        <v>-3.18962115956134</v>
      </c>
      <c r="G258" s="22" t="n">
        <f aca="false">100*(G124-G123)</f>
        <v>-3.44430108302124</v>
      </c>
      <c r="H258" s="22" t="n">
        <f aca="false">100*(H124-H123)</f>
        <v>-3.63498585125192</v>
      </c>
      <c r="I258" s="22" t="n">
        <f aca="false">100*(I124-I123)</f>
        <v>-3.77576456931107</v>
      </c>
      <c r="J258" s="22" t="n">
        <f aca="false">100*(J124-J123)</f>
        <v>-3.87768531818289</v>
      </c>
      <c r="K258" s="22" t="n">
        <f aca="false">100*(K124-K123)</f>
        <v>-3.94979755271638</v>
      </c>
      <c r="L258" s="22" t="n">
        <f aca="false">100*(L124-L123)</f>
        <v>-3.9985842268466</v>
      </c>
      <c r="M258" s="22" t="n">
        <f aca="false">100*(M124-M123)</f>
        <v>-4.0291063701241</v>
      </c>
      <c r="N258" s="22" t="n">
        <f aca="false">100*(N124-N123)</f>
        <v>-4.04517182593731</v>
      </c>
      <c r="O258" s="22" t="n">
        <f aca="false">100*(O124-O123)</f>
        <v>-4.04964436516762</v>
      </c>
      <c r="P258" s="22" t="n">
        <f aca="false">100*(P124-P123)</f>
        <v>-4.04459901316101</v>
      </c>
      <c r="Q258" s="22" t="n">
        <f aca="false">100*(Q124-Q123)</f>
        <v>-4.03146032010009</v>
      </c>
      <c r="R258" s="22" t="n">
        <f aca="false">100*(R124-R123)</f>
        <v>-4.01126602462489</v>
      </c>
      <c r="S258" s="22" t="n">
        <f aca="false">100*(S124-S123)</f>
        <v>-3.98474564072591</v>
      </c>
      <c r="T258" s="22" t="n">
        <f aca="false">100*(T124-T123)</f>
        <v>-3.95248171017291</v>
      </c>
      <c r="U258" s="22" t="n">
        <f aca="false">100*(U124-U123)</f>
        <v>-3.91501563823979</v>
      </c>
      <c r="V258" s="22" t="n">
        <f aca="false">100*(V124-V123)</f>
        <v>-3.87285800215749</v>
      </c>
      <c r="W258" s="22" t="n">
        <f aca="false">100*(W124-W123)</f>
        <v>-3.82649497362291</v>
      </c>
      <c r="X258" s="22" t="n">
        <f aca="false">100*(X124-X123)</f>
        <v>-3.77639322040357</v>
      </c>
      <c r="Y258" s="22" t="n">
        <f aca="false">100*(Y124-Y123)</f>
        <v>-3.7230104358867</v>
      </c>
      <c r="Z258" s="22" t="n">
        <f aca="false">100*(Z124-Z123)</f>
        <v>-3.66680583614558</v>
      </c>
      <c r="AA258" s="22" t="n">
        <f aca="false">100*(AA124-AA123)</f>
        <v>-3.60822573031721</v>
      </c>
      <c r="AB258" s="22" t="n">
        <f aca="false">100*(AB124-AB123)</f>
        <v>-3.54770338382862</v>
      </c>
      <c r="AC258" s="22" t="n">
        <f aca="false">100*(AC124-AC123)</f>
        <v>-3.4856611923487</v>
      </c>
      <c r="AD258" s="22" t="n">
        <f aca="false">100*(AD124-AD123)</f>
        <v>-3.4225124072139</v>
      </c>
      <c r="AE258" s="22" t="n">
        <f aca="false">100*(AE124-AE123)</f>
        <v>-3.35864530960031</v>
      </c>
      <c r="AF258" s="22" t="n">
        <f aca="false">100*(AF124-AF123)</f>
        <v>-3.29437390551033</v>
      </c>
      <c r="AG258" s="22" t="n">
        <f aca="false">100*(AG124-AG123)</f>
        <v>-2.50662959148658</v>
      </c>
      <c r="AH258" s="22" t="n">
        <f aca="false">100*(AH124-AH123)</f>
        <v>-2.45487238684179</v>
      </c>
      <c r="AI258" s="22" t="n">
        <f aca="false">100*(AI124-AI123)</f>
        <v>-2.40505982544819</v>
      </c>
      <c r="AJ258" s="22" t="n">
        <f aca="false">100*(AJ124-AJ123)</f>
        <v>-2.35730686650619</v>
      </c>
      <c r="AK258" s="22" t="n">
        <f aca="false">100*(AK124-AK123)</f>
        <v>-2.31171104415089</v>
      </c>
      <c r="AL258" s="22" t="n">
        <f aca="false">AVERAGE(C258:AK258)</f>
        <v>-3.44845675836878</v>
      </c>
    </row>
    <row r="259" customFormat="false" ht="15" hidden="false" customHeight="false" outlineLevel="0" collapsed="false">
      <c r="A259" s="20" t="n">
        <f aca="false">A125</f>
        <v>0</v>
      </c>
      <c r="B259" s="21" t="n">
        <f aca="false">B125</f>
        <v>41191</v>
      </c>
      <c r="C259" s="22" t="n">
        <f aca="false">100*(C125-C124)</f>
        <v>0.0213961926169209</v>
      </c>
      <c r="D259" s="22" t="n">
        <f aca="false">100*(D125-D124)</f>
        <v>0.0584748342657093</v>
      </c>
      <c r="E259" s="22" t="n">
        <f aca="false">100*(E125-E124)</f>
        <v>0.0804284082155105</v>
      </c>
      <c r="F259" s="22" t="n">
        <f aca="false">100*(F125-F124)</f>
        <v>0.0828617060565251</v>
      </c>
      <c r="G259" s="22" t="n">
        <f aca="false">100*(G125-G124)</f>
        <v>0.0677382332589016</v>
      </c>
      <c r="H259" s="22" t="n">
        <f aca="false">100*(H125-H124)</f>
        <v>0.0388270791576884</v>
      </c>
      <c r="I259" s="22" t="n">
        <f aca="false">100*(I125-I124)</f>
        <v>5.93063158138563E-005</v>
      </c>
      <c r="J259" s="22" t="n">
        <f aca="false">100*(J125-J124)</f>
        <v>-0.0445976974988604</v>
      </c>
      <c r="K259" s="22" t="n">
        <f aca="false">100*(K125-K124)</f>
        <v>-0.0921135930177952</v>
      </c>
      <c r="L259" s="22" t="n">
        <f aca="false">100*(L125-L124)</f>
        <v>-0.139882568895189</v>
      </c>
      <c r="M259" s="22" t="n">
        <f aca="false">100*(M125-M124)</f>
        <v>-0.186373900164916</v>
      </c>
      <c r="N259" s="22" t="n">
        <f aca="false">100*(N125-N124)</f>
        <v>-0.230911173053006</v>
      </c>
      <c r="O259" s="22" t="n">
        <f aca="false">100*(O125-O124)</f>
        <v>-0.273621660786594</v>
      </c>
      <c r="P259" s="22" t="n">
        <f aca="false">100*(P125-P124)</f>
        <v>-0.315155806992395</v>
      </c>
      <c r="Q259" s="22" t="n">
        <f aca="false">100*(Q125-Q124)</f>
        <v>-0.356451673026004</v>
      </c>
      <c r="R259" s="22" t="n">
        <f aca="false">100*(R125-R124)</f>
        <v>-0.398651085357593</v>
      </c>
      <c r="S259" s="22" t="n">
        <f aca="false">100*(S125-S124)</f>
        <v>-0.443120742567182</v>
      </c>
      <c r="T259" s="22" t="n">
        <f aca="false">100*(T125-T124)</f>
        <v>-0.491159083543891</v>
      </c>
      <c r="U259" s="22" t="n">
        <f aca="false">100*(U125-U124)</f>
        <v>-0.54372785782919</v>
      </c>
      <c r="V259" s="22" t="n">
        <f aca="false">100*(V125-V124)</f>
        <v>-0.601508000471918</v>
      </c>
      <c r="W259" s="22" t="n">
        <f aca="false">100*(W125-W124)</f>
        <v>-0.664958135046678</v>
      </c>
      <c r="X259" s="22" t="n">
        <f aca="false">100*(X125-X124)</f>
        <v>-0.734359046218014</v>
      </c>
      <c r="Y259" s="22" t="n">
        <f aca="false">100*(Y125-Y124)</f>
        <v>-0.809829531647122</v>
      </c>
      <c r="Z259" s="22" t="n">
        <f aca="false">100*(Z125-Z124)</f>
        <v>-0.891199885334215</v>
      </c>
      <c r="AA259" s="22" t="n">
        <f aca="false">100*(AA125-AA124)</f>
        <v>-0.977939941149408</v>
      </c>
      <c r="AB259" s="22" t="n">
        <f aca="false">100*(AB125-AB124)</f>
        <v>-1.0692132902407</v>
      </c>
      <c r="AC259" s="22" t="n">
        <f aca="false">100*(AC125-AC124)</f>
        <v>-1.16392832148828</v>
      </c>
      <c r="AD259" s="22" t="n">
        <f aca="false">100*(AD125-AD124)</f>
        <v>-1.260779739397</v>
      </c>
      <c r="AE259" s="22" t="n">
        <f aca="false">100*(AE125-AE124)</f>
        <v>-1.3582779663972</v>
      </c>
      <c r="AF259" s="22" t="n">
        <f aca="false">100*(AF125-AF124)</f>
        <v>-1.45475400958777</v>
      </c>
      <c r="AG259" s="22" t="n">
        <f aca="false">100*(AG125-AG124)</f>
        <v>-2.0505049461347</v>
      </c>
      <c r="AH259" s="22" t="n">
        <f aca="false">100*(AH125-AH124)</f>
        <v>-2.03329810955553</v>
      </c>
      <c r="AI259" s="22" t="n">
        <f aca="false">100*(AI125-AI124)</f>
        <v>-2.00967234193032</v>
      </c>
      <c r="AJ259" s="22" t="n">
        <f aca="false">100*(AJ125-AJ124)</f>
        <v>-1.98067682127663</v>
      </c>
      <c r="AK259" s="22" t="n">
        <f aca="false">100*(AK125-AK124)</f>
        <v>-1.94733873401329</v>
      </c>
      <c r="AL259" s="22" t="n">
        <f aca="false">AVERAGE(C259:AK259)</f>
        <v>-0.690691997220981</v>
      </c>
    </row>
    <row r="260" customFormat="false" ht="15" hidden="false" customHeight="false" outlineLevel="0" collapsed="false">
      <c r="A260" s="20" t="n">
        <f aca="false">A126</f>
        <v>1</v>
      </c>
      <c r="B260" s="21" t="n">
        <f aca="false">B126</f>
        <v>41192</v>
      </c>
      <c r="C260" s="22" t="n">
        <f aca="false">100*(C126-C125)</f>
        <v>3.06003623521135</v>
      </c>
      <c r="D260" s="22" t="n">
        <f aca="false">100*(D126-D125)</f>
        <v>3.5832846695337</v>
      </c>
      <c r="E260" s="22" t="n">
        <f aca="false">100*(E126-E125)</f>
        <v>3.91369487289539</v>
      </c>
      <c r="F260" s="22" t="n">
        <f aca="false">100*(F126-F125)</f>
        <v>4.12153272455446</v>
      </c>
      <c r="G260" s="22" t="n">
        <f aca="false">100*(G126-G125)</f>
        <v>4.25127189566709</v>
      </c>
      <c r="H260" s="22" t="n">
        <f aca="false">100*(H126-H125)</f>
        <v>4.32973597628763</v>
      </c>
      <c r="I260" s="22" t="n">
        <f aca="false">100*(I126-I125)</f>
        <v>4.37277247779911</v>
      </c>
      <c r="J260" s="22" t="n">
        <f aca="false">100*(J126-J125)</f>
        <v>4.38970352964568</v>
      </c>
      <c r="K260" s="22" t="n">
        <f aca="false">100*(K126-K125)</f>
        <v>4.38525266380049</v>
      </c>
      <c r="L260" s="22" t="n">
        <f aca="false">100*(L126-L125)</f>
        <v>4.36253225680801</v>
      </c>
      <c r="M260" s="22" t="n">
        <f aca="false">100*(M126-M125)</f>
        <v>4.32360797035671</v>
      </c>
      <c r="N260" s="22" t="n">
        <f aca="false">100*(N126-N125)</f>
        <v>4.27047120043851</v>
      </c>
      <c r="O260" s="22" t="n">
        <f aca="false">100*(O126-O125)</f>
        <v>4.20518876410121</v>
      </c>
      <c r="P260" s="22" t="n">
        <f aca="false">100*(P126-P125)</f>
        <v>4.12981707598701</v>
      </c>
      <c r="Q260" s="22" t="n">
        <f aca="false">100*(Q126-Q125)</f>
        <v>4.04623220058711</v>
      </c>
      <c r="R260" s="22" t="n">
        <f aca="false">100*(R126-R125)</f>
        <v>3.95591890941318</v>
      </c>
      <c r="S260" s="22" t="n">
        <f aca="false">100*(S126-S125)</f>
        <v>3.8598452055848</v>
      </c>
      <c r="T260" s="22" t="n">
        <f aca="false">100*(T126-T125)</f>
        <v>3.7586582819904</v>
      </c>
      <c r="U260" s="22" t="n">
        <f aca="false">100*(U126-U125)</f>
        <v>3.652904792781</v>
      </c>
      <c r="V260" s="22" t="n">
        <f aca="false">100*(V126-V125)</f>
        <v>3.54306250322809</v>
      </c>
      <c r="W260" s="22" t="n">
        <f aca="false">100*(W126-W125)</f>
        <v>3.42955464157289</v>
      </c>
      <c r="X260" s="22" t="n">
        <f aca="false">100*(X126-X125)</f>
        <v>3.31276079213652</v>
      </c>
      <c r="Y260" s="22" t="n">
        <f aca="false">100*(Y126-Y125)</f>
        <v>3.1930351786511</v>
      </c>
      <c r="Z260" s="22" t="n">
        <f aca="false">100*(Z126-Z125)</f>
        <v>3.07080914942328</v>
      </c>
      <c r="AA260" s="22" t="n">
        <f aca="false">100*(AA126-AA125)</f>
        <v>2.9466597868113</v>
      </c>
      <c r="AB260" s="22" t="n">
        <f aca="false">100*(AB126-AB125)</f>
        <v>2.82129038776269</v>
      </c>
      <c r="AC260" s="22" t="n">
        <f aca="false">100*(AC126-AC125)</f>
        <v>2.69550942805039</v>
      </c>
      <c r="AD260" s="22" t="n">
        <f aca="false">100*(AD126-AD125)</f>
        <v>2.57021350569571</v>
      </c>
      <c r="AE260" s="22" t="n">
        <f aca="false">100*(AE126-AE125)</f>
        <v>2.44638614684032</v>
      </c>
      <c r="AF260" s="22" t="n">
        <f aca="false">100*(AF126-AF125)</f>
        <v>2.3251249742255</v>
      </c>
      <c r="AG260" s="22" t="n">
        <f aca="false">100*(AG126-AG125)</f>
        <v>1.34634167075371</v>
      </c>
      <c r="AH260" s="22" t="n">
        <f aca="false">100*(AH126-AH125)</f>
        <v>1.32554793157</v>
      </c>
      <c r="AI260" s="22" t="n">
        <f aca="false">100*(AI126-AI125)</f>
        <v>1.31130675725544</v>
      </c>
      <c r="AJ260" s="22" t="n">
        <f aca="false">100*(AJ126-AJ125)</f>
        <v>1.30309087623712</v>
      </c>
      <c r="AK260" s="22" t="n">
        <f aca="false">100*(AK126-AK125)</f>
        <v>1.3003721972737</v>
      </c>
      <c r="AL260" s="22" t="n">
        <f aca="false">AVERAGE(C260:AK260)</f>
        <v>3.31181507516945</v>
      </c>
    </row>
    <row r="261" customFormat="false" ht="15" hidden="false" customHeight="false" outlineLevel="0" collapsed="false">
      <c r="A261" s="20" t="n">
        <f aca="false">A127</f>
        <v>2</v>
      </c>
      <c r="B261" s="21" t="n">
        <f aca="false">B127</f>
        <v>41193</v>
      </c>
      <c r="C261" s="22" t="n">
        <f aca="false">100*(C127-C126)</f>
        <v>0.68849017316672</v>
      </c>
      <c r="D261" s="22" t="n">
        <f aca="false">100*(D127-D126)</f>
        <v>0.796092561447573</v>
      </c>
      <c r="E261" s="22" t="n">
        <f aca="false">100*(E127-E126)</f>
        <v>0.954426744611603</v>
      </c>
      <c r="F261" s="22" t="n">
        <f aca="false">100*(F127-F126)</f>
        <v>1.13599707842023</v>
      </c>
      <c r="G261" s="22" t="n">
        <f aca="false">100*(G127-G126)</f>
        <v>1.31889887622044</v>
      </c>
      <c r="H261" s="22" t="n">
        <f aca="false">100*(H127-H126)</f>
        <v>1.48889750170153</v>
      </c>
      <c r="I261" s="22" t="n">
        <f aca="false">100*(I127-I126)</f>
        <v>1.63764361210562</v>
      </c>
      <c r="J261" s="22" t="n">
        <f aca="false">100*(J127-J126)</f>
        <v>1.76090557637884</v>
      </c>
      <c r="K261" s="22" t="n">
        <f aca="false">100*(K127-K126)</f>
        <v>1.85711610730173</v>
      </c>
      <c r="L261" s="22" t="n">
        <f aca="false">100*(L127-L126)</f>
        <v>1.9269286925069</v>
      </c>
      <c r="M261" s="22" t="n">
        <f aca="false">100*(M127-M126)</f>
        <v>1.97241668922119</v>
      </c>
      <c r="N261" s="22" t="n">
        <f aca="false">100*(N127-N126)</f>
        <v>1.99682636467431</v>
      </c>
      <c r="O261" s="22" t="n">
        <f aca="false">100*(O127-O126)</f>
        <v>2.003957012803</v>
      </c>
      <c r="P261" s="22" t="n">
        <f aca="false">100*(P127-P126)</f>
        <v>1.99765204516069</v>
      </c>
      <c r="Q261" s="22" t="n">
        <f aca="false">100*(Q127-Q126)</f>
        <v>1.98137068766309</v>
      </c>
      <c r="R261" s="22" t="n">
        <f aca="false">100*(R127-R126)</f>
        <v>1.95792295000641</v>
      </c>
      <c r="S261" s="22" t="n">
        <f aca="false">100*(S127-S126)</f>
        <v>1.9293566219365</v>
      </c>
      <c r="T261" s="22" t="n">
        <f aca="false">100*(T127-T126)</f>
        <v>1.89715725439541</v>
      </c>
      <c r="U261" s="22" t="n">
        <f aca="false">100*(U127-U126)</f>
        <v>1.8624829654134</v>
      </c>
      <c r="V261" s="22" t="n">
        <f aca="false">100*(V127-V126)</f>
        <v>1.82624311262662</v>
      </c>
      <c r="W261" s="22" t="n">
        <f aca="false">100*(W127-W126)</f>
        <v>1.78915011835969</v>
      </c>
      <c r="X261" s="22" t="n">
        <f aca="false">100*(X127-X126)</f>
        <v>1.75175883209548</v>
      </c>
      <c r="Y261" s="22" t="n">
        <f aca="false">100*(Y127-Y126)</f>
        <v>1.71449007889093</v>
      </c>
      <c r="Z261" s="22" t="n">
        <f aca="false">100*(Z127-Z126)</f>
        <v>1.67764489979061</v>
      </c>
      <c r="AA261" s="22" t="n">
        <f aca="false">100*(AA127-AA126)</f>
        <v>1.64143657684628</v>
      </c>
      <c r="AB261" s="22" t="n">
        <f aca="false">100*(AB127-AB126)</f>
        <v>1.60600764823933</v>
      </c>
      <c r="AC261" s="22" t="n">
        <f aca="false">100*(AC127-AC126)</f>
        <v>1.57144169892618</v>
      </c>
      <c r="AD261" s="22" t="n">
        <f aca="false">100*(AD127-AD126)</f>
        <v>1.53777103477988</v>
      </c>
      <c r="AE261" s="22" t="n">
        <f aca="false">100*(AE127-AE126)</f>
        <v>1.50494175598719</v>
      </c>
      <c r="AF261" s="22" t="n">
        <f aca="false">100*(AF127-AF126)</f>
        <v>1.4727600041391</v>
      </c>
      <c r="AG261" s="22" t="n">
        <f aca="false">100*(AG127-AG126)</f>
        <v>1.0123017306845</v>
      </c>
      <c r="AH261" s="22" t="n">
        <f aca="false">100*(AH127-AH126)</f>
        <v>0.972406313173702</v>
      </c>
      <c r="AI261" s="22" t="n">
        <f aca="false">100*(AI127-AI126)</f>
        <v>0.932737136636597</v>
      </c>
      <c r="AJ261" s="22" t="n">
        <f aca="false">100*(AJ127-AJ126)</f>
        <v>0.893568058376015</v>
      </c>
      <c r="AK261" s="22" t="n">
        <f aca="false">100*(AK127-AK126)</f>
        <v>0.855142359243599</v>
      </c>
      <c r="AL261" s="22" t="n">
        <f aca="false">AVERAGE(C261:AK261)</f>
        <v>1.54069545354088</v>
      </c>
    </row>
    <row r="262" customFormat="false" ht="15" hidden="false" customHeight="false" outlineLevel="0" collapsed="false">
      <c r="A262" s="20" t="n">
        <f aca="false">A128</f>
        <v>3</v>
      </c>
      <c r="B262" s="21" t="n">
        <f aca="false">B128</f>
        <v>41194</v>
      </c>
      <c r="C262" s="22" t="n">
        <f aca="false">100*(C128-C127)</f>
        <v>-3.12187363460264</v>
      </c>
      <c r="D262" s="22" t="n">
        <f aca="false">100*(D128-D127)</f>
        <v>-3.83334338023329</v>
      </c>
      <c r="E262" s="22" t="n">
        <f aca="false">100*(E128-E127)</f>
        <v>-4.29745822047195</v>
      </c>
      <c r="F262" s="22" t="n">
        <f aca="false">100*(F128-F127)</f>
        <v>-4.61364709574846</v>
      </c>
      <c r="G262" s="22" t="n">
        <f aca="false">100*(G128-G127)</f>
        <v>-4.84410324923424</v>
      </c>
      <c r="H262" s="22" t="n">
        <f aca="false">100*(H128-H127)</f>
        <v>-5.02519477536851</v>
      </c>
      <c r="I262" s="22" t="n">
        <f aca="false">100*(I128-I127)</f>
        <v>-5.17730802909004</v>
      </c>
      <c r="J262" s="22" t="n">
        <f aca="false">100*(J128-J127)</f>
        <v>-5.31167305030962</v>
      </c>
      <c r="K262" s="22" t="n">
        <f aca="false">100*(K128-K127)</f>
        <v>-5.43337822833823</v>
      </c>
      <c r="L262" s="22" t="n">
        <f aca="false">100*(L128-L127)</f>
        <v>-5.54492022447111</v>
      </c>
      <c r="M262" s="22" t="n">
        <f aca="false">100*(M128-M127)</f>
        <v>-5.64719336942798</v>
      </c>
      <c r="N262" s="22" t="n">
        <f aca="false">100*(N128-N127)</f>
        <v>-5.74017950140351</v>
      </c>
      <c r="O262" s="22" t="n">
        <f aca="false">100*(O128-O127)</f>
        <v>-5.82340719048822</v>
      </c>
      <c r="P262" s="22" t="n">
        <f aca="false">100*(P128-P127)</f>
        <v>-5.89577268758599</v>
      </c>
      <c r="Q262" s="22" t="n">
        <f aca="false">100*(Q128-Q127)</f>
        <v>-5.95617583593551</v>
      </c>
      <c r="R262" s="22" t="n">
        <f aca="false">100*(R128-R127)</f>
        <v>-6.00368963401781</v>
      </c>
      <c r="S262" s="22" t="n">
        <f aca="false">100*(S128-S127)</f>
        <v>-6.0376080544954</v>
      </c>
      <c r="T262" s="22" t="n">
        <f aca="false">100*(T128-T127)</f>
        <v>-6.05781363459692</v>
      </c>
      <c r="U262" s="22" t="n">
        <f aca="false">100*(U128-U127)</f>
        <v>-6.0645759293396</v>
      </c>
      <c r="V262" s="22" t="n">
        <f aca="false">100*(V128-V127)</f>
        <v>-6.05845702768091</v>
      </c>
      <c r="W262" s="22" t="n">
        <f aca="false">100*(W128-W127)</f>
        <v>-6.04025060794831</v>
      </c>
      <c r="X262" s="22" t="n">
        <f aca="false">100*(X128-X127)</f>
        <v>-6.01093570813722</v>
      </c>
      <c r="Y262" s="22" t="n">
        <f aca="false">100*(Y128-Y127)</f>
        <v>-5.97166164598502</v>
      </c>
      <c r="Z262" s="22" t="n">
        <f aca="false">100*(Z128-Z127)</f>
        <v>-5.9237460423514</v>
      </c>
      <c r="AA262" s="22" t="n">
        <f aca="false">100*(AA128-AA127)</f>
        <v>-5.86861174682967</v>
      </c>
      <c r="AB262" s="22" t="n">
        <f aca="false">100*(AB128-AB127)</f>
        <v>-5.8077632065185</v>
      </c>
      <c r="AC262" s="22" t="n">
        <f aca="false">100*(AC128-AC127)</f>
        <v>-5.74277286643827</v>
      </c>
      <c r="AD262" s="22" t="n">
        <f aca="false">100*(AD128-AD127)</f>
        <v>-5.6752718471567</v>
      </c>
      <c r="AE262" s="22" t="n">
        <f aca="false">100*(AE128-AE127)</f>
        <v>-5.60694304983462</v>
      </c>
      <c r="AF262" s="22" t="n">
        <f aca="false">100*(AF128-AF127)</f>
        <v>-5.53946416044093</v>
      </c>
      <c r="AG262" s="22" t="n">
        <f aca="false">100*(AG128-AG127)</f>
        <v>-5.195356086349</v>
      </c>
      <c r="AH262" s="22" t="n">
        <f aca="false">100*(AH128-AH127)</f>
        <v>-5.21555526257997</v>
      </c>
      <c r="AI262" s="22" t="n">
        <f aca="false">100*(AI128-AI127)</f>
        <v>-5.23975768689944</v>
      </c>
      <c r="AJ262" s="22" t="n">
        <f aca="false">100*(AJ128-AJ127)</f>
        <v>-5.26709413197901</v>
      </c>
      <c r="AK262" s="22" t="n">
        <f aca="false">100*(AK128-AK127)</f>
        <v>-5.29672971645669</v>
      </c>
      <c r="AL262" s="22" t="n">
        <f aca="false">AVERAGE(C262:AK262)</f>
        <v>-5.45399104339271</v>
      </c>
    </row>
    <row r="263" customFormat="false" ht="15" hidden="false" customHeight="false" outlineLevel="0" collapsed="false">
      <c r="A263" s="20" t="n">
        <f aca="false">A129</f>
        <v>4</v>
      </c>
      <c r="B263" s="21" t="n">
        <f aca="false">B129</f>
        <v>41197</v>
      </c>
      <c r="C263" s="22" t="n">
        <f aca="false">100*(C129-C128)</f>
        <v>2.60958134395559</v>
      </c>
      <c r="D263" s="22" t="n">
        <f aca="false">100*(D129-D128)</f>
        <v>2.96728723950212</v>
      </c>
      <c r="E263" s="22" t="n">
        <f aca="false">100*(E129-E128)</f>
        <v>3.19109097586571</v>
      </c>
      <c r="F263" s="22" t="n">
        <f aca="false">100*(F129-F128)</f>
        <v>3.33676410323439</v>
      </c>
      <c r="G263" s="22" t="n">
        <f aca="false">100*(G129-G128)</f>
        <v>3.43728366891833</v>
      </c>
      <c r="H263" s="22" t="n">
        <f aca="false">100*(H129-H128)</f>
        <v>3.5112868304809</v>
      </c>
      <c r="I263" s="22" t="n">
        <f aca="false">100*(I129-I128)</f>
        <v>3.56913170303789</v>
      </c>
      <c r="J263" s="22" t="n">
        <f aca="false">100*(J129-J128)</f>
        <v>3.615986631318</v>
      </c>
      <c r="K263" s="22" t="n">
        <f aca="false">100*(K129-K128)</f>
        <v>3.65428599874834</v>
      </c>
      <c r="L263" s="22" t="n">
        <f aca="false">100*(L129-L128)</f>
        <v>3.6850113644193</v>
      </c>
      <c r="M263" s="22" t="n">
        <f aca="false">100*(M129-M128)</f>
        <v>3.7086062025417</v>
      </c>
      <c r="N263" s="22" t="n">
        <f aca="false">100*(N129-N128)</f>
        <v>3.7252523267425</v>
      </c>
      <c r="O263" s="22" t="n">
        <f aca="false">100*(O129-O128)</f>
        <v>3.73512031595411</v>
      </c>
      <c r="P263" s="22" t="n">
        <f aca="false">100*(P129-P128)</f>
        <v>3.73843178027469</v>
      </c>
      <c r="Q263" s="22" t="n">
        <f aca="false">100*(Q129-Q128)</f>
        <v>3.73530935884321</v>
      </c>
      <c r="R263" s="22" t="n">
        <f aca="false">100*(R129-R128)</f>
        <v>3.72586088093541</v>
      </c>
      <c r="S263" s="22" t="n">
        <f aca="false">100*(S129-S128)</f>
        <v>3.71018529067211</v>
      </c>
      <c r="T263" s="22" t="n">
        <f aca="false">100*(T129-T128)</f>
        <v>3.68834303550532</v>
      </c>
      <c r="U263" s="22" t="n">
        <f aca="false">100*(U129-U128)</f>
        <v>3.66046319984878</v>
      </c>
      <c r="V263" s="22" t="n">
        <f aca="false">100*(V129-V128)</f>
        <v>3.62673527950739</v>
      </c>
      <c r="W263" s="22" t="n">
        <f aca="false">100*(W129-W128)</f>
        <v>3.58739659597092</v>
      </c>
      <c r="X263" s="22" t="n">
        <f aca="false">100*(X129-X128)</f>
        <v>3.54272270522902</v>
      </c>
      <c r="Y263" s="22" t="n">
        <f aca="false">100*(Y129-Y128)</f>
        <v>3.49302285383288</v>
      </c>
      <c r="Z263" s="22" t="n">
        <f aca="false">100*(Z129-Z128)</f>
        <v>3.4386832594552</v>
      </c>
      <c r="AA263" s="22" t="n">
        <f aca="false">100*(AA129-AA128)</f>
        <v>3.38020083062007</v>
      </c>
      <c r="AB263" s="22" t="n">
        <f aca="false">100*(AB129-AB128)</f>
        <v>3.31816751411367</v>
      </c>
      <c r="AC263" s="22" t="n">
        <f aca="false">100*(AC129-AC128)</f>
        <v>3.25325445527369</v>
      </c>
      <c r="AD263" s="22" t="n">
        <f aca="false">100*(AD129-AD128)</f>
        <v>3.18619943937493</v>
      </c>
      <c r="AE263" s="22" t="n">
        <f aca="false">100*(AE129-AE128)</f>
        <v>3.1178183614692</v>
      </c>
      <c r="AF263" s="22" t="n">
        <f aca="false">100*(AF129-AF128)</f>
        <v>3.04904945687761</v>
      </c>
      <c r="AG263" s="22" t="n">
        <f aca="false">100*(AG129-AG128)</f>
        <v>2.46551899350389</v>
      </c>
      <c r="AH263" s="22" t="n">
        <f aca="false">100*(AH129-AH128)</f>
        <v>2.45600441300349</v>
      </c>
      <c r="AI263" s="22" t="n">
        <f aca="false">100*(AI129-AI128)</f>
        <v>2.451237075852</v>
      </c>
      <c r="AJ263" s="22" t="n">
        <f aca="false">100*(AJ129-AJ128)</f>
        <v>2.45093372917711</v>
      </c>
      <c r="AK263" s="22" t="n">
        <f aca="false">100*(AK129-AK128)</f>
        <v>2.45480212101281</v>
      </c>
      <c r="AL263" s="22" t="n">
        <f aca="false">AVERAGE(C263:AK263)</f>
        <v>3.32220083814492</v>
      </c>
    </row>
    <row r="264" customFormat="false" ht="15" hidden="false" customHeight="false" outlineLevel="0" collapsed="false">
      <c r="A264" s="20" t="n">
        <f aca="false">A130</f>
        <v>5</v>
      </c>
      <c r="B264" s="21" t="n">
        <f aca="false">B130</f>
        <v>41198</v>
      </c>
      <c r="C264" s="22" t="n">
        <f aca="false">100*(C130-C129)</f>
        <v>3.35123848515648</v>
      </c>
      <c r="D264" s="22" t="n">
        <f aca="false">100*(D130-D129)</f>
        <v>4.11135290312252</v>
      </c>
      <c r="E264" s="22" t="n">
        <f aca="false">100*(E130-E129)</f>
        <v>4.6438069796443</v>
      </c>
      <c r="F264" s="22" t="n">
        <f aca="false">100*(F130-F129)</f>
        <v>5.02423360074536</v>
      </c>
      <c r="G264" s="22" t="n">
        <f aca="false">100*(G130-G129)</f>
        <v>5.3053551797136</v>
      </c>
      <c r="H264" s="22" t="n">
        <f aca="false">100*(H130-H129)</f>
        <v>5.52135895220797</v>
      </c>
      <c r="I264" s="22" t="n">
        <f aca="false">100*(I130-I129)</f>
        <v>5.69407486029729</v>
      </c>
      <c r="J264" s="22" t="n">
        <f aca="false">100*(J130-J129)</f>
        <v>5.83720307237315</v>
      </c>
      <c r="K264" s="22" t="n">
        <f aca="false">100*(K130-K129)</f>
        <v>5.95951835885901</v>
      </c>
      <c r="L264" s="22" t="n">
        <f aca="false">100*(L130-L129)</f>
        <v>6.0664754280388</v>
      </c>
      <c r="M264" s="22" t="n">
        <f aca="false">100*(M130-M129)</f>
        <v>6.1616493638315</v>
      </c>
      <c r="N264" s="22" t="n">
        <f aca="false">100*(N130-N129)</f>
        <v>6.2471646434854</v>
      </c>
      <c r="O264" s="22" t="n">
        <f aca="false">100*(O130-O129)</f>
        <v>6.32426272905189</v>
      </c>
      <c r="P264" s="22" t="n">
        <f aca="false">100*(P130-P129)</f>
        <v>6.39359187908741</v>
      </c>
      <c r="Q264" s="22" t="n">
        <f aca="false">100*(Q130-Q129)</f>
        <v>6.4554684955477</v>
      </c>
      <c r="R264" s="22" t="n">
        <f aca="false">100*(R130-R129)</f>
        <v>6.51021043522571</v>
      </c>
      <c r="S264" s="22" t="n">
        <f aca="false">100*(S130-S129)</f>
        <v>6.5582132874547</v>
      </c>
      <c r="T264" s="22" t="n">
        <f aca="false">100*(T130-T129)</f>
        <v>6.59975556266699</v>
      </c>
      <c r="U264" s="22" t="n">
        <f aca="false">100*(U130-U129)</f>
        <v>6.63498075608351</v>
      </c>
      <c r="V264" s="22" t="n">
        <f aca="false">100*(V130-V129)</f>
        <v>6.66392667677074</v>
      </c>
      <c r="W264" s="22" t="n">
        <f aca="false">100*(W130-W129)</f>
        <v>6.68654746558839</v>
      </c>
      <c r="X264" s="22" t="n">
        <f aca="false">100*(X130-X129)</f>
        <v>6.70273030623658</v>
      </c>
      <c r="Y264" s="22" t="n">
        <f aca="false">100*(Y130-Y129)</f>
        <v>6.71231599695532</v>
      </c>
      <c r="Z264" s="22" t="n">
        <f aca="false">100*(Z130-Z129)</f>
        <v>6.71518496610499</v>
      </c>
      <c r="AA264" s="22" t="n">
        <f aca="false">100*(AA130-AA129)</f>
        <v>6.71131371624241</v>
      </c>
      <c r="AB264" s="22" t="n">
        <f aca="false">100*(AB130-AB129)</f>
        <v>6.70076231680654</v>
      </c>
      <c r="AC264" s="22" t="n">
        <f aca="false">100*(AC130-AC129)</f>
        <v>6.6836604763052</v>
      </c>
      <c r="AD264" s="22" t="n">
        <f aca="false">100*(AD130-AD129)</f>
        <v>6.66019871264347</v>
      </c>
      <c r="AE264" s="22" t="n">
        <f aca="false">100*(AE130-AE129)</f>
        <v>6.63070211532242</v>
      </c>
      <c r="AF264" s="22" t="n">
        <f aca="false">100*(AF130-AF129)</f>
        <v>6.5957779461153</v>
      </c>
      <c r="AG264" s="22" t="n">
        <f aca="false">100*(AG130-AG129)</f>
        <v>6.01522884478278</v>
      </c>
      <c r="AH264" s="22" t="n">
        <f aca="false">100*(AH130-AH129)</f>
        <v>5.98204605635031</v>
      </c>
      <c r="AI264" s="22" t="n">
        <f aca="false">100*(AI130-AI129)</f>
        <v>5.95206689134624</v>
      </c>
      <c r="AJ264" s="22" t="n">
        <f aca="false">100*(AJ130-AJ129)</f>
        <v>5.92534089088028</v>
      </c>
      <c r="AK264" s="22" t="n">
        <f aca="false">100*(AK130-AK129)</f>
        <v>5.90187686204189</v>
      </c>
      <c r="AL264" s="22" t="n">
        <f aca="false">AVERAGE(C264:AK264)</f>
        <v>6.07541700608818</v>
      </c>
    </row>
    <row r="265" customFormat="false" ht="15" hidden="false" customHeight="false" outlineLevel="0" collapsed="false">
      <c r="A265" s="20" t="n">
        <f aca="false">A131</f>
        <v>6</v>
      </c>
      <c r="B265" s="21" t="n">
        <f aca="false">B131</f>
        <v>41199</v>
      </c>
      <c r="C265" s="22" t="n">
        <f aca="false">100*(C131-C130)</f>
        <v>2.63081208298116</v>
      </c>
      <c r="D265" s="22" t="n">
        <f aca="false">100*(D131-D130)</f>
        <v>4.0665343929054</v>
      </c>
      <c r="E265" s="22" t="n">
        <f aca="false">100*(E131-E130)</f>
        <v>5.31494936597547</v>
      </c>
      <c r="F265" s="22" t="n">
        <f aca="false">100*(F131-F130)</f>
        <v>6.36261101071048</v>
      </c>
      <c r="G265" s="22" t="n">
        <f aca="false">100*(G131-G130)</f>
        <v>7.2207902531501</v>
      </c>
      <c r="H265" s="22" t="n">
        <f aca="false">100*(H131-H130)</f>
        <v>7.91016228673006</v>
      </c>
      <c r="I265" s="22" t="n">
        <f aca="false">100*(I131-I130)</f>
        <v>8.45479558637056</v>
      </c>
      <c r="J265" s="22" t="n">
        <f aca="false">100*(J131-J130)</f>
        <v>8.87873986108718</v>
      </c>
      <c r="K265" s="22" t="n">
        <f aca="false">100*(K131-K130)</f>
        <v>9.20461108861879</v>
      </c>
      <c r="L265" s="22" t="n">
        <f aca="false">100*(L131-L130)</f>
        <v>9.45179863458501</v>
      </c>
      <c r="M265" s="22" t="n">
        <f aca="false">100*(M131-M130)</f>
        <v>9.6366196945318</v>
      </c>
      <c r="N265" s="22" t="n">
        <f aca="false">100*(N131-N130)</f>
        <v>9.77198008955409</v>
      </c>
      <c r="O265" s="22" t="n">
        <f aca="false">100*(O131-O130)</f>
        <v>9.86771673128211</v>
      </c>
      <c r="P265" s="22" t="n">
        <f aca="false">100*(P131-P130)</f>
        <v>9.93113436032009</v>
      </c>
      <c r="Q265" s="22" t="n">
        <f aca="false">100*(Q131-Q130)</f>
        <v>9.9676656850888</v>
      </c>
      <c r="R265" s="22" t="n">
        <f aca="false">100*(R131-R130)</f>
        <v>9.98163015957569</v>
      </c>
      <c r="S265" s="22" t="n">
        <f aca="false">100*(S131-S130)</f>
        <v>9.9765326772614</v>
      </c>
      <c r="T265" s="22" t="n">
        <f aca="false">100*(T131-T130)</f>
        <v>9.955122033499</v>
      </c>
      <c r="U265" s="22" t="n">
        <f aca="false">100*(U131-U130)</f>
        <v>9.91958252975049</v>
      </c>
      <c r="V265" s="22" t="n">
        <f aca="false">100*(V131-V130)</f>
        <v>9.87165962076828</v>
      </c>
      <c r="W265" s="22" t="n">
        <f aca="false">100*(W131-W130)</f>
        <v>9.81275134099411</v>
      </c>
      <c r="X265" s="22" t="n">
        <f aca="false">100*(X131-X130)</f>
        <v>9.74397776017604</v>
      </c>
      <c r="Y265" s="22" t="n">
        <f aca="false">100*(Y131-Y130)</f>
        <v>9.6662369494775</v>
      </c>
      <c r="Z265" s="22" t="n">
        <f aca="false">100*(Z131-Z130)</f>
        <v>9.58029142262022</v>
      </c>
      <c r="AA265" s="22" t="n">
        <f aca="false">100*(AA131-AA130)</f>
        <v>9.4868352544137</v>
      </c>
      <c r="AB265" s="22" t="n">
        <f aca="false">100*(AB131-AB130)</f>
        <v>9.38650890279829</v>
      </c>
      <c r="AC265" s="22" t="n">
        <f aca="false">100*(AC131-AC130)</f>
        <v>9.27990814498858</v>
      </c>
      <c r="AD265" s="22" t="n">
        <f aca="false">100*(AD131-AD130)</f>
        <v>9.16759237732832</v>
      </c>
      <c r="AE265" s="22" t="n">
        <f aca="false">100*(AE131-AE130)</f>
        <v>9.0501338647409</v>
      </c>
      <c r="AF265" s="22" t="n">
        <f aca="false">100*(AF131-AF130)</f>
        <v>8.92820814723212</v>
      </c>
      <c r="AG265" s="22" t="n">
        <f aca="false">100*(AG131-AG130)</f>
        <v>7.23491805356793</v>
      </c>
      <c r="AH265" s="22" t="n">
        <f aca="false">100*(AH131-AH130)</f>
        <v>7.1135193317216</v>
      </c>
      <c r="AI265" s="22" t="n">
        <f aca="false">100*(AI131-AI130)</f>
        <v>6.9951846103161</v>
      </c>
      <c r="AJ265" s="22" t="n">
        <f aca="false">100*(AJ131-AJ130)</f>
        <v>6.88019262281459</v>
      </c>
      <c r="AK265" s="22" t="n">
        <f aca="false">100*(AK131-AK130)</f>
        <v>6.7687970225633</v>
      </c>
      <c r="AL265" s="22" t="n">
        <f aca="false">AVERAGE(C265:AK265)</f>
        <v>8.49915725572855</v>
      </c>
    </row>
    <row r="266" customFormat="false" ht="15" hidden="false" customHeight="false" outlineLevel="0" collapsed="false">
      <c r="A266" s="20" t="n">
        <f aca="false">A132</f>
        <v>7</v>
      </c>
      <c r="B266" s="21" t="n">
        <f aca="false">B132</f>
        <v>41200</v>
      </c>
      <c r="C266" s="22" t="n">
        <f aca="false">100*(C132-C131)</f>
        <v>0.379424452725957</v>
      </c>
      <c r="D266" s="22" t="n">
        <f aca="false">100*(D132-D131)</f>
        <v>0.348264799367748</v>
      </c>
      <c r="E266" s="22" t="n">
        <f aca="false">100*(E132-E131)</f>
        <v>0.34776987082874</v>
      </c>
      <c r="F266" s="22" t="n">
        <f aca="false">100*(F132-F131)</f>
        <v>0.371757335172773</v>
      </c>
      <c r="G266" s="22" t="n">
        <f aca="false">100*(G132-G131)</f>
        <v>0.409750212064541</v>
      </c>
      <c r="H266" s="22" t="n">
        <f aca="false">100*(H132-H131)</f>
        <v>0.452431843491652</v>
      </c>
      <c r="I266" s="22" t="n">
        <f aca="false">100*(I132-I131)</f>
        <v>0.49276589504279</v>
      </c>
      <c r="J266" s="22" t="n">
        <f aca="false">100*(J132-J131)</f>
        <v>0.52565177956847</v>
      </c>
      <c r="K266" s="22" t="n">
        <f aca="false">100*(K132-K131)</f>
        <v>0.547783576690608</v>
      </c>
      <c r="L266" s="22" t="n">
        <f aca="false">100*(L132-L131)</f>
        <v>0.557233183750894</v>
      </c>
      <c r="M266" s="22" t="n">
        <f aca="false">100*(M132-M131)</f>
        <v>0.553530942787184</v>
      </c>
      <c r="N266" s="22" t="n">
        <f aca="false">100*(N132-N131)</f>
        <v>0.537245638406914</v>
      </c>
      <c r="O266" s="22" t="n">
        <f aca="false">100*(O132-O131)</f>
        <v>0.509632325419207</v>
      </c>
      <c r="P266" s="22" t="n">
        <f aca="false">100*(P132-P131)</f>
        <v>0.472064794862903</v>
      </c>
      <c r="Q266" s="22" t="n">
        <f aca="false">100*(Q132-Q131)</f>
        <v>0.425710618562492</v>
      </c>
      <c r="R266" s="22" t="n">
        <f aca="false">100*(R132-R131)</f>
        <v>0.371549813872196</v>
      </c>
      <c r="S266" s="22" t="n">
        <f aca="false">100*(S132-S131)</f>
        <v>0.310228598615603</v>
      </c>
      <c r="T266" s="22" t="n">
        <f aca="false">100*(T132-T131)</f>
        <v>0.242171871374808</v>
      </c>
      <c r="U266" s="22" t="n">
        <f aca="false">100*(U132-U131)</f>
        <v>0.167782856081988</v>
      </c>
      <c r="V266" s="22" t="n">
        <f aca="false">100*(V132-V131)</f>
        <v>0.0874561496773119</v>
      </c>
      <c r="W266" s="22" t="n">
        <f aca="false">100*(W132-W131)</f>
        <v>0.00157951939918632</v>
      </c>
      <c r="X266" s="22" t="n">
        <f aca="false">100*(X132-X131)</f>
        <v>-0.0894647638215229</v>
      </c>
      <c r="Y266" s="22" t="n">
        <f aca="false">100*(Y132-Y131)</f>
        <v>-0.185298837118308</v>
      </c>
      <c r="Z266" s="22" t="n">
        <f aca="false">100*(Z132-Z131)</f>
        <v>-0.285518303288423</v>
      </c>
      <c r="AA266" s="22" t="n">
        <f aca="false">100*(AA132-AA131)</f>
        <v>-0.389663919819183</v>
      </c>
      <c r="AB266" s="22" t="n">
        <f aca="false">100*(AB132-AB131)</f>
        <v>-0.497228547271389</v>
      </c>
      <c r="AC266" s="22" t="n">
        <f aca="false">100*(AC132-AC131)</f>
        <v>-0.607665132099866</v>
      </c>
      <c r="AD266" s="22" t="n">
        <f aca="false">100*(AD132-AD131)</f>
        <v>-0.720394337197394</v>
      </c>
      <c r="AE266" s="22" t="n">
        <f aca="false">100*(AE132-AE131)</f>
        <v>-0.834829884283206</v>
      </c>
      <c r="AF266" s="22" t="n">
        <f aca="false">100*(AF132-AF131)</f>
        <v>-0.95040399892552</v>
      </c>
      <c r="AG266" s="22" t="n">
        <f aca="false">100*(AG132-AG131)</f>
        <v>-2.38043968377824</v>
      </c>
      <c r="AH266" s="22" t="n">
        <f aca="false">100*(AH132-AH131)</f>
        <v>-2.47700316963742</v>
      </c>
      <c r="AI266" s="22" t="n">
        <f aca="false">100*(AI132-AI131)</f>
        <v>-2.57085916641699</v>
      </c>
      <c r="AJ266" s="22" t="n">
        <f aca="false">100*(AJ132-AJ131)</f>
        <v>-2.66184532979716</v>
      </c>
      <c r="AK266" s="22" t="n">
        <f aca="false">100*(AK132-AK131)</f>
        <v>-2.74981287492682</v>
      </c>
      <c r="AL266" s="22" t="n">
        <f aca="false">AVERAGE(C266:AK266)</f>
        <v>-0.265389767731928</v>
      </c>
    </row>
    <row r="267" customFormat="false" ht="15" hidden="false" customHeight="false" outlineLevel="0" collapsed="false">
      <c r="A267" s="20" t="n">
        <f aca="false">A133</f>
        <v>8</v>
      </c>
      <c r="B267" s="21" t="n">
        <f aca="false">B133</f>
        <v>41201</v>
      </c>
      <c r="C267" s="22" t="n">
        <f aca="false">100*(C133-C132)</f>
        <v>-2.08083677480713</v>
      </c>
      <c r="D267" s="22" t="n">
        <f aca="false">100*(D133-D132)</f>
        <v>-2.55920040895744</v>
      </c>
      <c r="E267" s="22" t="n">
        <f aca="false">100*(E133-E132)</f>
        <v>-2.90816831577166</v>
      </c>
      <c r="F267" s="22" t="n">
        <f aca="false">100*(F133-F132)</f>
        <v>-3.15565705328416</v>
      </c>
      <c r="G267" s="22" t="n">
        <f aca="false">100*(G133-G132)</f>
        <v>-3.32329813450557</v>
      </c>
      <c r="H267" s="22" t="n">
        <f aca="false">100*(H133-H132)</f>
        <v>-3.42843686593933</v>
      </c>
      <c r="I267" s="22" t="n">
        <f aca="false">100*(I133-I132)</f>
        <v>-3.48565159906197</v>
      </c>
      <c r="J267" s="22" t="n">
        <f aca="false">100*(J133-J132)</f>
        <v>-3.50754729418579</v>
      </c>
      <c r="K267" s="22" t="n">
        <f aca="false">100*(K133-K132)</f>
        <v>-3.50387653231481</v>
      </c>
      <c r="L267" s="22" t="n">
        <f aca="false">100*(L133-L132)</f>
        <v>-3.48278723180171</v>
      </c>
      <c r="M267" s="22" t="n">
        <f aca="false">100*(M133-M132)</f>
        <v>-3.45041568381579</v>
      </c>
      <c r="N267" s="22" t="n">
        <f aca="false">100*(N133-N132)</f>
        <v>-3.41134686342601</v>
      </c>
      <c r="O267" s="22" t="n">
        <f aca="false">100*(O133-O132)</f>
        <v>-3.3686079914911</v>
      </c>
      <c r="P267" s="22" t="n">
        <f aca="false">100*(P133-P132)</f>
        <v>-3.3241103098101</v>
      </c>
      <c r="Q267" s="22" t="n">
        <f aca="false">100*(Q133-Q132)</f>
        <v>-3.27861539318348</v>
      </c>
      <c r="R267" s="22" t="n">
        <f aca="false">100*(R133-R132)</f>
        <v>-3.23195347679459</v>
      </c>
      <c r="S267" s="22" t="n">
        <f aca="false">100*(S133-S132)</f>
        <v>-3.18309949171409</v>
      </c>
      <c r="T267" s="22" t="n">
        <f aca="false">100*(T133-T132)</f>
        <v>-3.13068965548089</v>
      </c>
      <c r="U267" s="22" t="n">
        <f aca="false">100*(U133-U132)</f>
        <v>-3.0734297086318</v>
      </c>
      <c r="V267" s="22" t="n">
        <f aca="false">100*(V133-V132)</f>
        <v>-3.01008948688293</v>
      </c>
      <c r="W267" s="22" t="n">
        <f aca="false">100*(W133-W132)</f>
        <v>-2.93948956796797</v>
      </c>
      <c r="X267" s="22" t="n">
        <f aca="false">100*(X133-X132)</f>
        <v>-2.86049134042439</v>
      </c>
      <c r="Y267" s="22" t="n">
        <f aca="false">100*(Y133-Y132)</f>
        <v>-2.77206482962571</v>
      </c>
      <c r="Z267" s="22" t="n">
        <f aca="false">100*(Z133-Z132)</f>
        <v>-2.67359907148799</v>
      </c>
      <c r="AA267" s="22" t="n">
        <f aca="false">100*(AA133-AA132)</f>
        <v>-2.56497287056829</v>
      </c>
      <c r="AB267" s="22" t="n">
        <f aca="false">100*(AB133-AB132)</f>
        <v>-2.44647324690113</v>
      </c>
      <c r="AC267" s="22" t="n">
        <f aca="false">100*(AC133-AC132)</f>
        <v>-2.31872740008421</v>
      </c>
      <c r="AD267" s="22" t="n">
        <f aca="false">100*(AD133-AD132)</f>
        <v>-2.18265361183359</v>
      </c>
      <c r="AE267" s="22" t="n">
        <f aca="false">100*(AE133-AE132)</f>
        <v>-2.0395268555883</v>
      </c>
      <c r="AF267" s="22" t="n">
        <f aca="false">100*(AF133-AF132)</f>
        <v>-1.89107475504149</v>
      </c>
      <c r="AG267" s="22" t="n">
        <f aca="false">100*(AG133-AG132)</f>
        <v>-0.259455707588163</v>
      </c>
      <c r="AH267" s="22" t="n">
        <f aca="false">100*(AH133-AH132)</f>
        <v>-0.191454189814699</v>
      </c>
      <c r="AI267" s="22" t="n">
        <f aca="false">100*(AI133-AI132)</f>
        <v>-0.132539428643819</v>
      </c>
      <c r="AJ267" s="22" t="n">
        <f aca="false">100*(AJ133-AJ132)</f>
        <v>-0.0823047419373335</v>
      </c>
      <c r="AK267" s="22" t="n">
        <f aca="false">100*(AK133-AK132)</f>
        <v>-0.0402891354236878</v>
      </c>
      <c r="AL267" s="22" t="n">
        <f aca="false">AVERAGE(C267:AK267)</f>
        <v>-2.55122671499403</v>
      </c>
    </row>
    <row r="268" customFormat="false" ht="15" hidden="false" customHeight="false" outlineLevel="0" collapsed="false">
      <c r="A268" s="20" t="n">
        <f aca="false">A134</f>
        <v>9</v>
      </c>
      <c r="B268" s="21" t="n">
        <f aca="false">B134</f>
        <v>41204</v>
      </c>
      <c r="C268" s="22" t="n">
        <f aca="false">100*(C134-C133)</f>
        <v>1.02501718168081</v>
      </c>
      <c r="D268" s="22" t="n">
        <f aca="false">100*(D134-D133)</f>
        <v>1.48062677039927</v>
      </c>
      <c r="E268" s="22" t="n">
        <f aca="false">100*(E134-E133)</f>
        <v>1.79664284165035</v>
      </c>
      <c r="F268" s="22" t="n">
        <f aca="false">100*(F134-F133)</f>
        <v>2.01500848387757</v>
      </c>
      <c r="G268" s="22" t="n">
        <f aca="false">100*(G134-G133)</f>
        <v>2.16702704590288</v>
      </c>
      <c r="H268" s="22" t="n">
        <f aca="false">100*(H134-H133)</f>
        <v>2.27357044964571</v>
      </c>
      <c r="I268" s="22" t="n">
        <f aca="false">100*(I134-I133)</f>
        <v>2.34829069999133</v>
      </c>
      <c r="J268" s="22" t="n">
        <f aca="false">100*(J134-J133)</f>
        <v>2.39974692917077</v>
      </c>
      <c r="K268" s="22" t="n">
        <f aca="false">100*(K134-K133)</f>
        <v>2.43352816505531</v>
      </c>
      <c r="L268" s="22" t="n">
        <f aca="false">100*(L134-L133)</f>
        <v>2.45336299852081</v>
      </c>
      <c r="M268" s="22" t="n">
        <f aca="false">100*(M134-M133)</f>
        <v>2.46210474941619</v>
      </c>
      <c r="N268" s="22" t="n">
        <f aca="false">100*(N134-N133)</f>
        <v>2.4620965840445</v>
      </c>
      <c r="O268" s="22" t="n">
        <f aca="false">100*(O134-O133)</f>
        <v>2.45544375868061</v>
      </c>
      <c r="P268" s="22" t="n">
        <f aca="false">100*(P134-P133)</f>
        <v>2.4440043916113</v>
      </c>
      <c r="Q268" s="22" t="n">
        <f aca="false">100*(Q134-Q133)</f>
        <v>2.4295075508652</v>
      </c>
      <c r="R268" s="22" t="n">
        <f aca="false">100*(R134-R133)</f>
        <v>2.4135713234513</v>
      </c>
      <c r="S268" s="22" t="n">
        <f aca="false">100*(S134-S133)</f>
        <v>2.39777148999629</v>
      </c>
      <c r="T268" s="22" t="n">
        <f aca="false">100*(T134-T133)</f>
        <v>2.38350981179849</v>
      </c>
      <c r="U268" s="22" t="n">
        <f aca="false">100*(U134-U133)</f>
        <v>2.37192472970702</v>
      </c>
      <c r="V268" s="22" t="n">
        <f aca="false">100*(V134-V133)</f>
        <v>2.3639450009326</v>
      </c>
      <c r="W268" s="22" t="n">
        <f aca="false">100*(W134-W133)</f>
        <v>2.36033338313937</v>
      </c>
      <c r="X268" s="22" t="n">
        <f aca="false">100*(X134-X133)</f>
        <v>2.36171973824191</v>
      </c>
      <c r="Y268" s="22" t="n">
        <f aca="false">100*(Y134-Y133)</f>
        <v>2.36859559043929</v>
      </c>
      <c r="Z268" s="22" t="n">
        <f aca="false">100*(Z134-Z133)</f>
        <v>2.38120502997821</v>
      </c>
      <c r="AA268" s="22" t="n">
        <f aca="false">100*(AA134-AA133)</f>
        <v>2.39952915623189</v>
      </c>
      <c r="AB268" s="22" t="n">
        <f aca="false">100*(AB134-AB133)</f>
        <v>2.42333013827021</v>
      </c>
      <c r="AC268" s="22" t="n">
        <f aca="false">100*(AC134-AC133)</f>
        <v>2.45218770324298</v>
      </c>
      <c r="AD268" s="22" t="n">
        <f aca="false">100*(AD134-AD133)</f>
        <v>2.48552569527876</v>
      </c>
      <c r="AE268" s="22" t="n">
        <f aca="false">100*(AE134-AE133)</f>
        <v>2.52257908600879</v>
      </c>
      <c r="AF268" s="22" t="n">
        <f aca="false">100*(AF134-AF133)</f>
        <v>2.56234167956948</v>
      </c>
      <c r="AG268" s="22" t="n">
        <f aca="false">100*(AG134-AG133)</f>
        <v>2.88999277409721</v>
      </c>
      <c r="AH268" s="22" t="n">
        <f aca="false">100*(AH134-AH133)</f>
        <v>2.8841527278241</v>
      </c>
      <c r="AI268" s="22" t="n">
        <f aca="false">100*(AI134-AI133)</f>
        <v>2.87420183673408</v>
      </c>
      <c r="AJ268" s="22" t="n">
        <f aca="false">100*(AJ134-AJ133)</f>
        <v>2.86056815230431</v>
      </c>
      <c r="AK268" s="22" t="n">
        <f aca="false">100*(AK134-AK133)</f>
        <v>2.84369684911172</v>
      </c>
      <c r="AL268" s="22" t="n">
        <f aca="false">AVERAGE(C268:AK268)</f>
        <v>2.3784760141963</v>
      </c>
    </row>
    <row r="269" customFormat="false" ht="15" hidden="false" customHeight="false" outlineLevel="0" collapsed="false">
      <c r="A269" s="20" t="n">
        <f aca="false">A135</f>
        <v>10</v>
      </c>
      <c r="B269" s="21" t="n">
        <f aca="false">B135</f>
        <v>41205</v>
      </c>
      <c r="C269" s="22" t="n">
        <f aca="false">100*(C135-C134)</f>
        <v>-3.03509117568588</v>
      </c>
      <c r="D269" s="22" t="n">
        <f aca="false">100*(D135-D134)</f>
        <v>-3.90519153684648</v>
      </c>
      <c r="E269" s="22" t="n">
        <f aca="false">100*(E135-E134)</f>
        <v>-4.61583502697277</v>
      </c>
      <c r="F269" s="22" t="n">
        <f aca="false">100*(F135-F134)</f>
        <v>-5.19985771097044</v>
      </c>
      <c r="G269" s="22" t="n">
        <f aca="false">100*(G135-G134)</f>
        <v>-5.68834089954421</v>
      </c>
      <c r="H269" s="22" t="n">
        <f aca="false">100*(H135-H134)</f>
        <v>-6.10427261339479</v>
      </c>
      <c r="I269" s="22" t="n">
        <f aca="false">100*(I135-I134)</f>
        <v>-6.46362756367229</v>
      </c>
      <c r="J269" s="22" t="n">
        <f aca="false">100*(J135-J134)</f>
        <v>-6.77667730234401</v>
      </c>
      <c r="K269" s="22" t="n">
        <f aca="false">100*(K135-K134)</f>
        <v>-7.0496362436524</v>
      </c>
      <c r="L269" s="22" t="n">
        <f aca="false">100*(L135-L134)</f>
        <v>-7.28651063165671</v>
      </c>
      <c r="M269" s="22" t="n">
        <f aca="false">100*(M135-M134)</f>
        <v>-7.4899632572764</v>
      </c>
      <c r="N269" s="22" t="n">
        <f aca="false">100*(N135-N134)</f>
        <v>-7.6620359526496</v>
      </c>
      <c r="O269" s="22" t="n">
        <f aca="false">100*(O135-O134)</f>
        <v>-7.804435756703</v>
      </c>
      <c r="P269" s="22" t="n">
        <f aca="false">100*(P135-P134)</f>
        <v>-7.91878627689431</v>
      </c>
      <c r="Q269" s="22" t="n">
        <f aca="false">100*(Q135-Q134)</f>
        <v>-8.0068038307884</v>
      </c>
      <c r="R269" s="22" t="n">
        <f aca="false">100*(R135-R134)</f>
        <v>-8.0704620360708</v>
      </c>
      <c r="S269" s="22" t="n">
        <f aca="false">100*(S135-S134)</f>
        <v>-8.11209405489419</v>
      </c>
      <c r="T269" s="22" t="n">
        <f aca="false">100*(T135-T134)</f>
        <v>-8.1341763147494</v>
      </c>
      <c r="U269" s="22" t="n">
        <f aca="false">100*(U135-U134)</f>
        <v>-8.13919472207352</v>
      </c>
      <c r="V269" s="22" t="n">
        <f aca="false">100*(V135-V134)</f>
        <v>-8.12963700816787</v>
      </c>
      <c r="W269" s="22" t="n">
        <f aca="false">100*(W135-W134)</f>
        <v>-8.10799234901727</v>
      </c>
      <c r="X269" s="22" t="n">
        <f aca="false">100*(X135-X134)</f>
        <v>-8.07675109090411</v>
      </c>
      <c r="Y269" s="22" t="n">
        <f aca="false">100*(Y135-Y134)</f>
        <v>-8.03838079187438</v>
      </c>
      <c r="Z269" s="22" t="n">
        <f aca="false">100*(Z135-Z134)</f>
        <v>-7.99516754578651</v>
      </c>
      <c r="AA269" s="22" t="n">
        <f aca="false">100*(AA135-AA134)</f>
        <v>-7.94914001658702</v>
      </c>
      <c r="AB269" s="22" t="n">
        <f aca="false">100*(AB135-AB134)</f>
        <v>-7.90210842152468</v>
      </c>
      <c r="AC269" s="22" t="n">
        <f aca="false">100*(AC135-AC134)</f>
        <v>-7.85570093893409</v>
      </c>
      <c r="AD269" s="22" t="n">
        <f aca="false">100*(AD135-AD134)</f>
        <v>-7.81139165629097</v>
      </c>
      <c r="AE269" s="22" t="n">
        <f aca="false">100*(AE135-AE134)</f>
        <v>-7.77047443980559</v>
      </c>
      <c r="AF269" s="22" t="n">
        <f aca="false">100*(AF135-AF134)</f>
        <v>-7.73398862204018</v>
      </c>
      <c r="AG269" s="22" t="n">
        <f aca="false">100*(AG135-AG134)</f>
        <v>-7.80072859449681</v>
      </c>
      <c r="AH269" s="22" t="n">
        <f aca="false">100*(AH135-AH134)</f>
        <v>-7.84056246164591</v>
      </c>
      <c r="AI269" s="22" t="n">
        <f aca="false">100*(AI135-AI134)</f>
        <v>-7.88295326306159</v>
      </c>
      <c r="AJ269" s="22" t="n">
        <f aca="false">100*(AJ135-AJ134)</f>
        <v>-7.92735963476727</v>
      </c>
      <c r="AK269" s="22" t="n">
        <f aca="false">100*(AK135-AK134)</f>
        <v>-7.97328010781753</v>
      </c>
      <c r="AL269" s="22" t="n">
        <f aca="false">AVERAGE(C269:AK269)</f>
        <v>-7.26453170998747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6" t="s">
        <v>212</v>
      </c>
    </row>
    <row r="3" customFormat="false" ht="39.55" hidden="false" customHeight="false" outlineLevel="0" collapsed="false">
      <c r="A3" s="3" t="s">
        <v>85</v>
      </c>
      <c r="B3" s="3" t="s">
        <v>72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  <c r="I3" s="3" t="s">
        <v>164</v>
      </c>
      <c r="J3" s="3" t="s">
        <v>165</v>
      </c>
      <c r="K3" s="3" t="s">
        <v>166</v>
      </c>
    </row>
    <row r="4" customFormat="false" ht="15" hidden="false" customHeight="false" outlineLevel="0" collapsed="false">
      <c r="A4" s="10" t="n">
        <v>-121</v>
      </c>
      <c r="B4" s="8" t="n">
        <v>41016</v>
      </c>
      <c r="C4" s="15" t="n">
        <v>3.06256569347</v>
      </c>
      <c r="F4" s="10" t="n">
        <v>0</v>
      </c>
    </row>
    <row r="5" customFormat="false" ht="15" hidden="false" customHeight="false" outlineLevel="0" collapsed="false">
      <c r="A5" s="10" t="n">
        <v>-120</v>
      </c>
      <c r="B5" s="8" t="n">
        <v>41017</v>
      </c>
      <c r="C5" s="15" t="n">
        <v>3.07238214473</v>
      </c>
      <c r="D5" s="22" t="n">
        <f aca="false">100*(C5-C4)</f>
        <v>0.98164512600003</v>
      </c>
      <c r="E5" s="23" t="n">
        <f aca="false">'A3 control'!AL139</f>
        <v>3.02449167403237</v>
      </c>
      <c r="F5" s="10" t="n">
        <v>1</v>
      </c>
    </row>
    <row r="6" customFormat="false" ht="15" hidden="false" customHeight="false" outlineLevel="0" collapsed="false">
      <c r="A6" s="10" t="n">
        <v>-119</v>
      </c>
      <c r="B6" s="8" t="n">
        <v>41018</v>
      </c>
      <c r="C6" s="15" t="n">
        <v>3.0923836822</v>
      </c>
      <c r="D6" s="22" t="n">
        <f aca="false">100*(C6-C5)</f>
        <v>2.00015374699998</v>
      </c>
      <c r="E6" s="23" t="n">
        <f aca="false">'A3 control'!AL140</f>
        <v>2.00417031933543</v>
      </c>
      <c r="F6" s="10" t="n">
        <v>1</v>
      </c>
    </row>
    <row r="7" customFormat="false" ht="15" hidden="false" customHeight="false" outlineLevel="0" collapsed="false">
      <c r="A7" s="10" t="n">
        <v>-118</v>
      </c>
      <c r="B7" s="8" t="n">
        <v>41019</v>
      </c>
      <c r="C7" s="15" t="n">
        <v>3.10739700745</v>
      </c>
      <c r="D7" s="22" t="n">
        <f aca="false">100*(C7-C6)</f>
        <v>1.501332525</v>
      </c>
      <c r="E7" s="23" t="n">
        <f aca="false">'A3 control'!AL141</f>
        <v>2.76188171936753</v>
      </c>
      <c r="F7" s="10" t="n">
        <v>1</v>
      </c>
    </row>
    <row r="8" customFormat="false" ht="15" hidden="false" customHeight="false" outlineLevel="0" collapsed="false">
      <c r="A8" s="10" t="n">
        <v>-117</v>
      </c>
      <c r="B8" s="8" t="n">
        <v>41022</v>
      </c>
      <c r="C8" s="15" t="n">
        <v>3.08453800508</v>
      </c>
      <c r="D8" s="22" t="n">
        <f aca="false">100*(C8-C7)</f>
        <v>-2.28590023699997</v>
      </c>
      <c r="E8" s="23" t="n">
        <f aca="false">'A3 control'!AL142</f>
        <v>-3.86555191113789</v>
      </c>
      <c r="F8" s="10" t="n">
        <v>1</v>
      </c>
    </row>
    <row r="9" customFormat="false" ht="15" hidden="false" customHeight="false" outlineLevel="0" collapsed="false">
      <c r="A9" s="10" t="n">
        <v>-116</v>
      </c>
      <c r="B9" s="8" t="n">
        <v>41023</v>
      </c>
      <c r="C9" s="15" t="n">
        <v>3.06339504992</v>
      </c>
      <c r="D9" s="22" t="n">
        <f aca="false">100*(C9-C8)</f>
        <v>-2.11429551600002</v>
      </c>
      <c r="E9" s="23" t="n">
        <f aca="false">'A3 control'!AL143</f>
        <v>-2.69713860559085</v>
      </c>
      <c r="F9" s="10" t="n">
        <v>1</v>
      </c>
    </row>
    <row r="10" customFormat="false" ht="15" hidden="false" customHeight="false" outlineLevel="0" collapsed="false">
      <c r="A10" s="10" t="n">
        <v>-115</v>
      </c>
      <c r="B10" s="8" t="n">
        <v>41024</v>
      </c>
      <c r="C10" s="15" t="n">
        <v>3.07622325288</v>
      </c>
      <c r="D10" s="22" t="n">
        <f aca="false">100*(C10-C9)</f>
        <v>1.28282029600002</v>
      </c>
      <c r="E10" s="23" t="n">
        <f aca="false">'A3 control'!AL144</f>
        <v>2.3513399750071</v>
      </c>
      <c r="F10" s="10" t="n">
        <v>1</v>
      </c>
    </row>
    <row r="11" customFormat="false" ht="15" hidden="false" customHeight="false" outlineLevel="0" collapsed="false">
      <c r="A11" s="10" t="n">
        <v>-114</v>
      </c>
      <c r="B11" s="8" t="n">
        <v>41025</v>
      </c>
      <c r="C11" s="15" t="n">
        <v>3.05168307592</v>
      </c>
      <c r="D11" s="22" t="n">
        <f aca="false">100*(C11-C10)</f>
        <v>-2.454017696</v>
      </c>
      <c r="E11" s="23" t="n">
        <f aca="false">'A3 control'!AL145</f>
        <v>-3.26122788101441</v>
      </c>
      <c r="F11" s="10" t="n">
        <v>1</v>
      </c>
    </row>
    <row r="12" customFormat="false" ht="15" hidden="false" customHeight="false" outlineLevel="0" collapsed="false">
      <c r="A12" s="10" t="n">
        <v>-113</v>
      </c>
      <c r="B12" s="8" t="n">
        <v>41026</v>
      </c>
      <c r="C12" s="15" t="n">
        <v>3.07915082668</v>
      </c>
      <c r="D12" s="22" t="n">
        <f aca="false">100*(C12-C11)</f>
        <v>2.74677507599996</v>
      </c>
      <c r="E12" s="23" t="n">
        <f aca="false">'A3 control'!AL146</f>
        <v>2.71504608088617</v>
      </c>
      <c r="F12" s="10" t="n">
        <v>1</v>
      </c>
    </row>
    <row r="13" customFormat="false" ht="15" hidden="false" customHeight="false" outlineLevel="0" collapsed="false">
      <c r="A13" s="10" t="n">
        <v>-112</v>
      </c>
      <c r="B13" s="8" t="n">
        <v>41029</v>
      </c>
      <c r="C13" s="15" t="n">
        <v>3.0778837699</v>
      </c>
      <c r="D13" s="22" t="n">
        <f aca="false">100*(C13-C12)</f>
        <v>-0.126705677999972</v>
      </c>
      <c r="E13" s="23" t="n">
        <f aca="false">'A3 control'!AL147</f>
        <v>0.297496835828692</v>
      </c>
      <c r="F13" s="10" t="n">
        <v>1</v>
      </c>
    </row>
    <row r="14" customFormat="false" ht="15" hidden="false" customHeight="false" outlineLevel="0" collapsed="false">
      <c r="A14" s="10" t="n">
        <v>-111</v>
      </c>
      <c r="B14" s="8" t="n">
        <v>41030</v>
      </c>
      <c r="C14" s="15" t="n">
        <v>3.0592889284</v>
      </c>
      <c r="D14" s="22" t="n">
        <f aca="false">100*(C14-C13)</f>
        <v>-1.85948415000001</v>
      </c>
      <c r="E14" s="23" t="n">
        <f aca="false">'A3 control'!AL148</f>
        <v>-1.48095880833919</v>
      </c>
      <c r="F14" s="10" t="n">
        <v>1</v>
      </c>
    </row>
    <row r="15" customFormat="false" ht="15" hidden="false" customHeight="false" outlineLevel="0" collapsed="false">
      <c r="A15" s="10" t="n">
        <v>-110</v>
      </c>
      <c r="B15" s="8" t="n">
        <v>41031</v>
      </c>
      <c r="C15" s="15" t="n">
        <v>3.00989401425</v>
      </c>
      <c r="D15" s="22" t="n">
        <f aca="false">100*(C15-C14)</f>
        <v>-4.93949141500001</v>
      </c>
      <c r="E15" s="23" t="n">
        <f aca="false">'A3 control'!AL149</f>
        <v>-4.49904587778501</v>
      </c>
      <c r="F15" s="10" t="n">
        <v>1</v>
      </c>
    </row>
    <row r="16" customFormat="false" ht="15" hidden="false" customHeight="false" outlineLevel="0" collapsed="false">
      <c r="A16" s="10" t="n">
        <v>-109</v>
      </c>
      <c r="B16" s="8" t="n">
        <v>41032</v>
      </c>
      <c r="C16" s="15" t="n">
        <v>3.01056845335</v>
      </c>
      <c r="D16" s="22" t="n">
        <f aca="false">100*(C16-C15)</f>
        <v>0.0674439099999979</v>
      </c>
      <c r="E16" s="23" t="n">
        <f aca="false">'A3 control'!AL150</f>
        <v>-0.253140418007134</v>
      </c>
      <c r="F16" s="10" t="n">
        <v>1</v>
      </c>
    </row>
    <row r="17" customFormat="false" ht="15" hidden="false" customHeight="false" outlineLevel="0" collapsed="false">
      <c r="A17" s="10" t="n">
        <v>-108</v>
      </c>
      <c r="B17" s="8" t="n">
        <v>41033</v>
      </c>
      <c r="C17" s="15" t="n">
        <v>2.9781618727</v>
      </c>
      <c r="D17" s="22" t="n">
        <f aca="false">100*(C17-C16)</f>
        <v>-3.240658065</v>
      </c>
      <c r="E17" s="23" t="n">
        <f aca="false">'A3 control'!AL151</f>
        <v>-3.38213380572394</v>
      </c>
      <c r="F17" s="10" t="n">
        <v>1</v>
      </c>
    </row>
    <row r="18" customFormat="false" ht="15" hidden="false" customHeight="false" outlineLevel="0" collapsed="false">
      <c r="A18" s="10" t="n">
        <v>-107</v>
      </c>
      <c r="B18" s="8" t="n">
        <v>41037</v>
      </c>
      <c r="C18" s="15" t="n">
        <v>2.9309142942</v>
      </c>
      <c r="D18" s="22" t="n">
        <f aca="false">100*(C18-C17)</f>
        <v>-4.72475784999999</v>
      </c>
      <c r="E18" s="23" t="n">
        <f aca="false">'A3 control'!AL152</f>
        <v>-4.71101594531159</v>
      </c>
      <c r="F18" s="10" t="n">
        <v>1</v>
      </c>
    </row>
    <row r="19" customFormat="false" ht="15" hidden="false" customHeight="false" outlineLevel="0" collapsed="false">
      <c r="A19" s="10" t="n">
        <v>-106</v>
      </c>
      <c r="B19" s="8" t="n">
        <v>41038</v>
      </c>
      <c r="C19" s="15" t="n">
        <v>2.90863600334</v>
      </c>
      <c r="D19" s="22" t="n">
        <f aca="false">100*(C19-C18)</f>
        <v>-2.22782908600001</v>
      </c>
      <c r="E19" s="23" t="n">
        <f aca="false">'A3 control'!AL153</f>
        <v>-2.08258854389438</v>
      </c>
      <c r="F19" s="10" t="n">
        <v>1</v>
      </c>
    </row>
    <row r="20" customFormat="false" ht="15" hidden="false" customHeight="false" outlineLevel="0" collapsed="false">
      <c r="A20" s="10" t="n">
        <v>-105</v>
      </c>
      <c r="B20" s="8" t="n">
        <v>41039</v>
      </c>
      <c r="C20" s="15" t="n">
        <v>2.96783508217</v>
      </c>
      <c r="D20" s="22" t="n">
        <f aca="false">100*(C20-C19)</f>
        <v>5.91990788300003</v>
      </c>
      <c r="E20" s="23" t="n">
        <f aca="false">'A3 control'!AL154</f>
        <v>6.77805877908113</v>
      </c>
      <c r="F20" s="10" t="n">
        <v>1</v>
      </c>
    </row>
    <row r="21" customFormat="false" ht="15" hidden="false" customHeight="false" outlineLevel="0" collapsed="false">
      <c r="A21" s="10" t="n">
        <v>-104</v>
      </c>
      <c r="B21" s="8" t="n">
        <v>41040</v>
      </c>
      <c r="C21" s="15" t="n">
        <v>2.95515932003</v>
      </c>
      <c r="D21" s="22" t="n">
        <f aca="false">100*(C21-C20)</f>
        <v>-1.26757621400002</v>
      </c>
      <c r="E21" s="23" t="n">
        <f aca="false">'A3 control'!AL155</f>
        <v>-1.89194385942645</v>
      </c>
      <c r="F21" s="10" t="n">
        <v>1</v>
      </c>
    </row>
    <row r="22" customFormat="false" ht="15" hidden="false" customHeight="false" outlineLevel="0" collapsed="false">
      <c r="A22" s="10" t="n">
        <v>-103</v>
      </c>
      <c r="B22" s="8" t="n">
        <v>41043</v>
      </c>
      <c r="C22" s="15" t="n">
        <v>2.87582921079</v>
      </c>
      <c r="D22" s="22" t="n">
        <f aca="false">100*(C22-C21)</f>
        <v>-7.93301092399998</v>
      </c>
      <c r="E22" s="23" t="n">
        <f aca="false">'A3 control'!AL156</f>
        <v>-7.50298496342653</v>
      </c>
      <c r="F22" s="10" t="n">
        <v>1</v>
      </c>
    </row>
    <row r="23" customFormat="false" ht="15" hidden="false" customHeight="false" outlineLevel="0" collapsed="false">
      <c r="A23" s="10" t="n">
        <v>-102</v>
      </c>
      <c r="B23" s="8" t="n">
        <v>41044</v>
      </c>
      <c r="C23" s="15" t="n">
        <v>2.89540475414</v>
      </c>
      <c r="D23" s="22" t="n">
        <f aca="false">100*(C23-C22)</f>
        <v>1.95755433499998</v>
      </c>
      <c r="E23" s="23" t="n">
        <f aca="false">'A3 control'!AL157</f>
        <v>1.48481345515886</v>
      </c>
      <c r="F23" s="10" t="n">
        <v>1</v>
      </c>
    </row>
    <row r="24" customFormat="false" ht="15" hidden="false" customHeight="false" outlineLevel="0" collapsed="false">
      <c r="A24" s="10" t="n">
        <v>-101</v>
      </c>
      <c r="B24" s="8" t="n">
        <v>41045</v>
      </c>
      <c r="C24" s="15" t="n">
        <v>2.85979702065</v>
      </c>
      <c r="D24" s="22" t="n">
        <f aca="false">100*(C24-C23)</f>
        <v>-3.560773349</v>
      </c>
      <c r="E24" s="23" t="n">
        <f aca="false">'A3 control'!AL158</f>
        <v>-2.77626818241919</v>
      </c>
      <c r="F24" s="10" t="n">
        <v>1</v>
      </c>
    </row>
    <row r="25" customFormat="false" ht="15" hidden="false" customHeight="false" outlineLevel="0" collapsed="false">
      <c r="A25" s="10" t="n">
        <v>-100</v>
      </c>
      <c r="B25" s="8" t="n">
        <v>41046</v>
      </c>
      <c r="C25" s="15" t="n">
        <v>2.8205474731</v>
      </c>
      <c r="D25" s="22" t="n">
        <f aca="false">100*(C25-C24)</f>
        <v>-3.92495475499999</v>
      </c>
      <c r="E25" s="23" t="n">
        <f aca="false">'A3 control'!AL159</f>
        <v>-4.05556107249325</v>
      </c>
      <c r="F25" s="10" t="n">
        <v>1</v>
      </c>
    </row>
    <row r="26" customFormat="false" ht="15" hidden="false" customHeight="false" outlineLevel="0" collapsed="false">
      <c r="A26" s="10" t="n">
        <v>-99</v>
      </c>
      <c r="B26" s="8" t="n">
        <v>41047</v>
      </c>
      <c r="C26" s="15" t="n">
        <v>2.78012700056</v>
      </c>
      <c r="D26" s="22" t="n">
        <f aca="false">100*(C26-C25)</f>
        <v>-4.04204725400001</v>
      </c>
      <c r="E26" s="23" t="n">
        <f aca="false">'A3 control'!AL160</f>
        <v>-2.48923994078106</v>
      </c>
      <c r="F26" s="10" t="n">
        <v>1</v>
      </c>
    </row>
    <row r="27" customFormat="false" ht="15" hidden="false" customHeight="false" outlineLevel="0" collapsed="false">
      <c r="A27" s="10" t="n">
        <v>-98</v>
      </c>
      <c r="B27" s="8" t="n">
        <v>41050</v>
      </c>
      <c r="C27" s="15" t="n">
        <v>2.81024742276</v>
      </c>
      <c r="D27" s="22" t="n">
        <f aca="false">100*(C27-C26)</f>
        <v>3.01204222</v>
      </c>
      <c r="E27" s="23" t="n">
        <f aca="false">'A3 control'!AL161</f>
        <v>2.17415247921682</v>
      </c>
      <c r="F27" s="10" t="n">
        <v>1</v>
      </c>
    </row>
    <row r="28" customFormat="false" ht="15" hidden="false" customHeight="false" outlineLevel="0" collapsed="false">
      <c r="A28" s="10" t="n">
        <v>-97</v>
      </c>
      <c r="B28" s="8" t="n">
        <v>41051</v>
      </c>
      <c r="C28" s="15" t="n">
        <v>2.83733711213</v>
      </c>
      <c r="D28" s="22" t="n">
        <f aca="false">100*(C28-C27)</f>
        <v>2.70896893700003</v>
      </c>
      <c r="E28" s="23" t="n">
        <f aca="false">'A3 control'!AL162</f>
        <v>2.31563634188825</v>
      </c>
      <c r="F28" s="10" t="n">
        <v>1</v>
      </c>
    </row>
    <row r="29" customFormat="false" ht="15" hidden="false" customHeight="false" outlineLevel="0" collapsed="false">
      <c r="A29" s="10" t="n">
        <v>-96</v>
      </c>
      <c r="B29" s="8" t="n">
        <v>41052</v>
      </c>
      <c r="C29" s="15" t="n">
        <v>2.76556681291</v>
      </c>
      <c r="D29" s="22" t="n">
        <f aca="false">100*(C29-C28)</f>
        <v>-7.17702992200002</v>
      </c>
      <c r="E29" s="23" t="n">
        <f aca="false">'A3 control'!AL163</f>
        <v>-8.29847372485149</v>
      </c>
      <c r="F29" s="10" t="n">
        <v>1</v>
      </c>
    </row>
    <row r="30" customFormat="false" ht="15" hidden="false" customHeight="false" outlineLevel="0" collapsed="false">
      <c r="A30" s="10" t="n">
        <v>-95</v>
      </c>
      <c r="B30" s="8" t="n">
        <v>41053</v>
      </c>
      <c r="C30" s="15" t="n">
        <v>2.75174923995</v>
      </c>
      <c r="D30" s="22" t="n">
        <f aca="false">100*(C30-C29)</f>
        <v>-1.38175729599999</v>
      </c>
      <c r="E30" s="23" t="n">
        <f aca="false">'A3 control'!AL164</f>
        <v>-0.588025166594193</v>
      </c>
      <c r="F30" s="10" t="n">
        <v>1</v>
      </c>
    </row>
    <row r="31" customFormat="false" ht="15" hidden="false" customHeight="false" outlineLevel="0" collapsed="false">
      <c r="A31" s="10" t="n">
        <v>-94</v>
      </c>
      <c r="B31" s="8" t="n">
        <v>41054</v>
      </c>
      <c r="C31" s="15" t="n">
        <v>2.73787880051</v>
      </c>
      <c r="D31" s="22" t="n">
        <f aca="false">100*(C31-C30)</f>
        <v>-1.38704394400002</v>
      </c>
      <c r="E31" s="23" t="n">
        <f aca="false">'A3 control'!AL165</f>
        <v>-1.78659489835432</v>
      </c>
      <c r="F31" s="10" t="n">
        <v>1</v>
      </c>
    </row>
    <row r="32" customFormat="false" ht="15" hidden="false" customHeight="false" outlineLevel="0" collapsed="false">
      <c r="A32" s="10" t="n">
        <v>-93</v>
      </c>
      <c r="B32" s="8" t="n">
        <v>41057</v>
      </c>
      <c r="C32" s="15" t="n">
        <v>2.7570404201</v>
      </c>
      <c r="D32" s="22" t="n">
        <f aca="false">100*(C32-C31)</f>
        <v>1.91616195900002</v>
      </c>
      <c r="E32" s="23" t="n">
        <f aca="false">'A3 control'!AL166</f>
        <v>1.37224788630515</v>
      </c>
      <c r="F32" s="10" t="n">
        <v>1</v>
      </c>
    </row>
    <row r="33" customFormat="false" ht="15" hidden="false" customHeight="false" outlineLevel="0" collapsed="false">
      <c r="A33" s="10" t="n">
        <v>-92</v>
      </c>
      <c r="B33" s="8" t="n">
        <v>41058</v>
      </c>
      <c r="C33" s="15" t="n">
        <v>2.77439295702</v>
      </c>
      <c r="D33" s="22" t="n">
        <f aca="false">100*(C33-C32)</f>
        <v>1.73525369199998</v>
      </c>
      <c r="E33" s="23" t="n">
        <f aca="false">'A3 control'!AL167</f>
        <v>2.18357460342759</v>
      </c>
      <c r="F33" s="10" t="n">
        <v>1</v>
      </c>
    </row>
    <row r="34" customFormat="false" ht="15" hidden="false" customHeight="false" outlineLevel="0" collapsed="false">
      <c r="A34" s="10" t="n">
        <v>-91</v>
      </c>
      <c r="B34" s="8" t="n">
        <v>41059</v>
      </c>
      <c r="C34" s="15" t="n">
        <v>2.68172835084</v>
      </c>
      <c r="D34" s="22" t="n">
        <f aca="false">100*(C34-C33)</f>
        <v>-9.26646061800001</v>
      </c>
      <c r="E34" s="23" t="n">
        <f aca="false">'A3 control'!AL168</f>
        <v>-10.3858997325247</v>
      </c>
      <c r="F34" s="10" t="n">
        <v>1</v>
      </c>
    </row>
    <row r="35" customFormat="false" ht="15" hidden="false" customHeight="false" outlineLevel="0" collapsed="false">
      <c r="A35" s="10" t="n">
        <v>-90</v>
      </c>
      <c r="B35" s="8" t="n">
        <v>41060</v>
      </c>
      <c r="C35" s="15" t="n">
        <v>2.60237915825</v>
      </c>
      <c r="D35" s="22" t="n">
        <f aca="false">100*(C35-C34)</f>
        <v>-7.93491925899996</v>
      </c>
      <c r="E35" s="23" t="n">
        <f aca="false">'A3 control'!AL169</f>
        <v>-6.98054104574854</v>
      </c>
      <c r="F35" s="10" t="n">
        <v>1</v>
      </c>
    </row>
    <row r="36" customFormat="false" ht="15" hidden="false" customHeight="false" outlineLevel="0" collapsed="false">
      <c r="A36" s="10" t="n">
        <v>-89</v>
      </c>
      <c r="B36" s="8" t="n">
        <v>41061</v>
      </c>
      <c r="C36" s="15" t="n">
        <v>2.52376280019</v>
      </c>
      <c r="D36" s="22" t="n">
        <f aca="false">100*(C36-C35)</f>
        <v>-7.86163580600001</v>
      </c>
      <c r="E36" s="23" t="n">
        <f aca="false">'A3 control'!AL170</f>
        <v>-4.13456141791079</v>
      </c>
      <c r="F36" s="10" t="n">
        <v>1</v>
      </c>
    </row>
    <row r="37" customFormat="false" ht="15" hidden="false" customHeight="false" outlineLevel="0" collapsed="false">
      <c r="A37" s="10" t="n">
        <v>-88</v>
      </c>
      <c r="B37" s="8" t="n">
        <v>41066</v>
      </c>
      <c r="C37" s="15" t="n">
        <v>2.62506044839</v>
      </c>
      <c r="D37" s="22" t="n">
        <f aca="false">100*(C37-C36)</f>
        <v>10.12976482</v>
      </c>
      <c r="E37" s="23" t="n">
        <f aca="false">'A3 control'!AL171</f>
        <v>10.7219681740455</v>
      </c>
      <c r="F37" s="10" t="n">
        <v>1</v>
      </c>
    </row>
    <row r="38" customFormat="false" ht="15" hidden="false" customHeight="false" outlineLevel="0" collapsed="false">
      <c r="A38" s="10" t="n">
        <v>-87</v>
      </c>
      <c r="B38" s="8" t="n">
        <v>41067</v>
      </c>
      <c r="C38" s="15" t="n">
        <v>2.67909334182</v>
      </c>
      <c r="D38" s="22" t="n">
        <f aca="false">100*(C38-C37)</f>
        <v>5.40328934299996</v>
      </c>
      <c r="E38" s="23" t="n">
        <f aca="false">'A3 control'!AL172</f>
        <v>5.01646341792623</v>
      </c>
      <c r="F38" s="10" t="n">
        <v>1</v>
      </c>
    </row>
    <row r="39" customFormat="false" ht="15" hidden="false" customHeight="false" outlineLevel="0" collapsed="false">
      <c r="A39" s="10" t="n">
        <v>-86</v>
      </c>
      <c r="B39" s="8" t="n">
        <v>41068</v>
      </c>
      <c r="C39" s="15" t="n">
        <v>2.59234519712</v>
      </c>
      <c r="D39" s="22" t="n">
        <f aca="false">100*(C39-C38)</f>
        <v>-8.67481446999996</v>
      </c>
      <c r="E39" s="23" t="n">
        <f aca="false">'A3 control'!AL173</f>
        <v>-7.96817404379104</v>
      </c>
      <c r="F39" s="10" t="n">
        <v>1</v>
      </c>
    </row>
    <row r="40" customFormat="false" ht="15" hidden="false" customHeight="false" outlineLevel="0" collapsed="false">
      <c r="A40" s="10" t="n">
        <v>-85</v>
      </c>
      <c r="B40" s="8" t="n">
        <v>41071</v>
      </c>
      <c r="C40" s="15" t="n">
        <v>2.62565966917</v>
      </c>
      <c r="D40" s="22" t="n">
        <f aca="false">100*(C40-C39)</f>
        <v>3.33144720499998</v>
      </c>
      <c r="E40" s="23" t="n">
        <f aca="false">'A3 control'!AL174</f>
        <v>3.07462825554096</v>
      </c>
      <c r="F40" s="10" t="n">
        <v>1</v>
      </c>
    </row>
    <row r="41" customFormat="false" ht="15" hidden="false" customHeight="false" outlineLevel="0" collapsed="false">
      <c r="A41" s="10" t="n">
        <v>-84</v>
      </c>
      <c r="B41" s="8" t="n">
        <v>41072</v>
      </c>
      <c r="C41" s="15" t="n">
        <v>2.65427308676</v>
      </c>
      <c r="D41" s="22" t="n">
        <f aca="false">100*(C41-C40)</f>
        <v>2.86134175899999</v>
      </c>
      <c r="E41" s="23" t="n">
        <f aca="false">'A3 control'!AL175</f>
        <v>4.02211648282648</v>
      </c>
      <c r="F41" s="10" t="n">
        <v>1</v>
      </c>
    </row>
    <row r="42" customFormat="false" ht="15" hidden="false" customHeight="false" outlineLevel="0" collapsed="false">
      <c r="A42" s="10" t="n">
        <v>-83</v>
      </c>
      <c r="B42" s="8" t="n">
        <v>41073</v>
      </c>
      <c r="C42" s="15" t="n">
        <v>2.72597160937</v>
      </c>
      <c r="D42" s="22" t="n">
        <f aca="false">100*(C42-C41)</f>
        <v>7.16985226100002</v>
      </c>
      <c r="E42" s="23" t="n">
        <f aca="false">'A3 control'!AL176</f>
        <v>5.42943427641608</v>
      </c>
      <c r="F42" s="10" t="n">
        <v>1</v>
      </c>
    </row>
    <row r="43" customFormat="false" ht="15" hidden="false" customHeight="false" outlineLevel="0" collapsed="false">
      <c r="A43" s="10" t="n">
        <v>-82</v>
      </c>
      <c r="B43" s="8" t="n">
        <v>41074</v>
      </c>
      <c r="C43" s="15" t="n">
        <v>2.7468763497</v>
      </c>
      <c r="D43" s="22" t="n">
        <f aca="false">100*(C43-C42)</f>
        <v>2.09047403299998</v>
      </c>
      <c r="E43" s="23" t="n">
        <f aca="false">'A3 control'!AL177</f>
        <v>0.311440008762936</v>
      </c>
      <c r="F43" s="10" t="n">
        <v>1</v>
      </c>
    </row>
    <row r="44" customFormat="false" ht="15" hidden="false" customHeight="false" outlineLevel="0" collapsed="false">
      <c r="A44" s="10" t="n">
        <v>-81</v>
      </c>
      <c r="B44" s="8" t="n">
        <v>41075</v>
      </c>
      <c r="C44" s="15" t="n">
        <v>2.66645049321</v>
      </c>
      <c r="D44" s="22" t="n">
        <f aca="false">100*(C44-C43)</f>
        <v>-8.04258564899998</v>
      </c>
      <c r="E44" s="23" t="n">
        <f aca="false">'A3 control'!AL178</f>
        <v>-7.22388008182137</v>
      </c>
      <c r="F44" s="10" t="n">
        <v>1</v>
      </c>
    </row>
    <row r="45" customFormat="false" ht="15" hidden="false" customHeight="false" outlineLevel="0" collapsed="false">
      <c r="A45" s="10" t="n">
        <v>-80</v>
      </c>
      <c r="B45" s="8" t="n">
        <v>41078</v>
      </c>
      <c r="C45" s="15" t="n">
        <v>2.63932623496</v>
      </c>
      <c r="D45" s="22" t="n">
        <f aca="false">100*(C45-C44)</f>
        <v>-2.71242582500002</v>
      </c>
      <c r="E45" s="23" t="n">
        <f aca="false">'A3 control'!AL179</f>
        <v>-1.56808651278522</v>
      </c>
      <c r="F45" s="10" t="n">
        <v>1</v>
      </c>
    </row>
    <row r="46" customFormat="false" ht="15" hidden="false" customHeight="false" outlineLevel="0" collapsed="false">
      <c r="A46" s="10" t="n">
        <v>-79</v>
      </c>
      <c r="B46" s="8" t="n">
        <v>41079</v>
      </c>
      <c r="C46" s="15" t="n">
        <v>2.6953772778</v>
      </c>
      <c r="D46" s="22" t="n">
        <f aca="false">100*(C46-C45)</f>
        <v>5.60510428400001</v>
      </c>
      <c r="E46" s="23" t="n">
        <f aca="false">'A3 control'!AL180</f>
        <v>4.24478376991512</v>
      </c>
      <c r="F46" s="10" t="n">
        <v>1</v>
      </c>
    </row>
    <row r="47" customFormat="false" ht="15" hidden="false" customHeight="false" outlineLevel="0" collapsed="false">
      <c r="A47" s="10" t="n">
        <v>-78</v>
      </c>
      <c r="B47" s="8" t="n">
        <v>41080</v>
      </c>
      <c r="C47" s="15" t="n">
        <v>2.71480681172</v>
      </c>
      <c r="D47" s="22" t="n">
        <f aca="false">100*(C47-C46)</f>
        <v>1.94295339199999</v>
      </c>
      <c r="E47" s="23" t="n">
        <f aca="false">'A3 control'!AL181</f>
        <v>4.16515547816103</v>
      </c>
      <c r="F47" s="10" t="n">
        <v>1</v>
      </c>
    </row>
    <row r="48" customFormat="false" ht="15" hidden="false" customHeight="false" outlineLevel="0" collapsed="false">
      <c r="A48" s="10" t="n">
        <v>-77</v>
      </c>
      <c r="B48" s="8" t="n">
        <v>41081</v>
      </c>
      <c r="C48" s="15" t="n">
        <v>2.64113834755</v>
      </c>
      <c r="D48" s="22" t="n">
        <f aca="false">100*(C48-C47)</f>
        <v>-7.36684641699998</v>
      </c>
      <c r="E48" s="23" t="n">
        <f aca="false">'A3 control'!AL182</f>
        <v>-6.51994899990461</v>
      </c>
      <c r="F48" s="10" t="n">
        <v>1</v>
      </c>
    </row>
    <row r="49" customFormat="false" ht="15" hidden="false" customHeight="false" outlineLevel="0" collapsed="false">
      <c r="A49" s="10" t="n">
        <v>-76</v>
      </c>
      <c r="B49" s="8" t="n">
        <v>41082</v>
      </c>
      <c r="C49" s="15" t="n">
        <v>2.63009364118</v>
      </c>
      <c r="D49" s="22" t="n">
        <f aca="false">100*(C49-C48)</f>
        <v>-1.10447063699999</v>
      </c>
      <c r="E49" s="23" t="n">
        <f aca="false">'A3 control'!AL183</f>
        <v>1.21793175149039</v>
      </c>
      <c r="F49" s="10" t="n">
        <v>1</v>
      </c>
    </row>
    <row r="50" customFormat="false" ht="15" hidden="false" customHeight="false" outlineLevel="0" collapsed="false">
      <c r="A50" s="10" t="n">
        <v>-75</v>
      </c>
      <c r="B50" s="8" t="n">
        <v>41085</v>
      </c>
      <c r="C50" s="15" t="n">
        <v>2.59802482285</v>
      </c>
      <c r="D50" s="22" t="n">
        <f aca="false">100*(C50-C49)</f>
        <v>-3.20688183300004</v>
      </c>
      <c r="E50" s="23" t="n">
        <f aca="false">'A3 control'!AL184</f>
        <v>-4.17048043379082</v>
      </c>
      <c r="F50" s="10" t="n">
        <v>1</v>
      </c>
    </row>
    <row r="51" customFormat="false" ht="15" hidden="false" customHeight="false" outlineLevel="0" collapsed="false">
      <c r="A51" s="10" t="n">
        <v>-74</v>
      </c>
      <c r="B51" s="8" t="n">
        <v>41086</v>
      </c>
      <c r="C51" s="15" t="n">
        <v>2.6289050601</v>
      </c>
      <c r="D51" s="22" t="n">
        <f aca="false">100*(C51-C50)</f>
        <v>3.08802372500003</v>
      </c>
      <c r="E51" s="23" t="n">
        <f aca="false">'A3 control'!AL185</f>
        <v>1.89961794090079</v>
      </c>
      <c r="F51" s="10" t="n">
        <v>1</v>
      </c>
    </row>
    <row r="52" customFormat="false" ht="15" hidden="false" customHeight="false" outlineLevel="0" collapsed="false">
      <c r="A52" s="10" t="n">
        <v>-73</v>
      </c>
      <c r="B52" s="8" t="n">
        <v>41087</v>
      </c>
      <c r="C52" s="15" t="n">
        <v>2.63972721575</v>
      </c>
      <c r="D52" s="22" t="n">
        <f aca="false">100*(C52-C51)</f>
        <v>1.08221556499997</v>
      </c>
      <c r="E52" s="23" t="n">
        <f aca="false">'A3 control'!AL186</f>
        <v>0.649396063384276</v>
      </c>
      <c r="F52" s="10" t="n">
        <v>1</v>
      </c>
    </row>
    <row r="53" customFormat="false" ht="15" hidden="false" customHeight="false" outlineLevel="0" collapsed="false">
      <c r="A53" s="10" t="n">
        <v>-72</v>
      </c>
      <c r="B53" s="8" t="n">
        <v>41088</v>
      </c>
      <c r="C53" s="15" t="n">
        <v>2.60478847355</v>
      </c>
      <c r="D53" s="22" t="n">
        <f aca="false">100*(C53-C52)</f>
        <v>-3.49387421999996</v>
      </c>
      <c r="E53" s="23" t="n">
        <f aca="false">'A3 control'!AL187</f>
        <v>-3.85506391228691</v>
      </c>
      <c r="F53" s="10" t="n">
        <v>1</v>
      </c>
    </row>
    <row r="54" customFormat="false" ht="15" hidden="false" customHeight="false" outlineLevel="0" collapsed="false">
      <c r="A54" s="10" t="n">
        <v>-71</v>
      </c>
      <c r="B54" s="8" t="n">
        <v>41089</v>
      </c>
      <c r="C54" s="15" t="n">
        <v>2.69466709965</v>
      </c>
      <c r="D54" s="22" t="n">
        <f aca="false">100*(C54-C53)</f>
        <v>8.98786261</v>
      </c>
      <c r="E54" s="23" t="n">
        <f aca="false">'A3 control'!AL188</f>
        <v>8.26885196605769</v>
      </c>
      <c r="F54" s="10" t="n">
        <v>1</v>
      </c>
    </row>
    <row r="55" customFormat="false" ht="15" hidden="false" customHeight="false" outlineLevel="0" collapsed="false">
      <c r="A55" s="10" t="n">
        <v>-70</v>
      </c>
      <c r="B55" s="8" t="n">
        <v>41092</v>
      </c>
      <c r="C55" s="15" t="n">
        <v>2.66299172673</v>
      </c>
      <c r="D55" s="22" t="n">
        <f aca="false">100*(C55-C54)</f>
        <v>-3.16753729200001</v>
      </c>
      <c r="E55" s="23" t="n">
        <f aca="false">'A3 control'!AL189</f>
        <v>-2.84508456716574</v>
      </c>
      <c r="F55" s="10" t="n">
        <v>1</v>
      </c>
    </row>
    <row r="56" customFormat="false" ht="15" hidden="false" customHeight="false" outlineLevel="0" collapsed="false">
      <c r="A56" s="10" t="n">
        <v>-69</v>
      </c>
      <c r="B56" s="8" t="n">
        <v>41093</v>
      </c>
      <c r="C56" s="15" t="n">
        <v>2.72876584163</v>
      </c>
      <c r="D56" s="22" t="n">
        <f aca="false">100*(C56-C55)</f>
        <v>6.57741149</v>
      </c>
      <c r="E56" s="23" t="n">
        <f aca="false">'A3 control'!AL190</f>
        <v>6.20336245308758</v>
      </c>
      <c r="F56" s="10" t="n">
        <v>1</v>
      </c>
    </row>
    <row r="57" customFormat="false" ht="15" hidden="false" customHeight="false" outlineLevel="0" collapsed="false">
      <c r="A57" s="10" t="n">
        <v>-68</v>
      </c>
      <c r="B57" s="8" t="n">
        <v>41094</v>
      </c>
      <c r="C57" s="15" t="n">
        <v>2.69516391634</v>
      </c>
      <c r="D57" s="22" t="n">
        <f aca="false">100*(C57-C56)</f>
        <v>-3.36019252900002</v>
      </c>
      <c r="E57" s="23" t="n">
        <f aca="false">'A3 control'!AL191</f>
        <v>-2.95654521798219</v>
      </c>
      <c r="F57" s="10" t="n">
        <v>1</v>
      </c>
    </row>
    <row r="58" customFormat="false" ht="15" hidden="false" customHeight="false" outlineLevel="0" collapsed="false">
      <c r="A58" s="10" t="n">
        <v>-67</v>
      </c>
      <c r="B58" s="8" t="n">
        <v>41095</v>
      </c>
      <c r="C58" s="15" t="n">
        <v>2.66329008657</v>
      </c>
      <c r="D58" s="22" t="n">
        <f aca="false">100*(C58-C57)</f>
        <v>-3.18738297699999</v>
      </c>
      <c r="E58" s="23" t="n">
        <f aca="false">'A3 control'!AL192</f>
        <v>-5.72726945213913</v>
      </c>
      <c r="F58" s="10" t="n">
        <v>1</v>
      </c>
    </row>
    <row r="59" customFormat="false" ht="15" hidden="false" customHeight="false" outlineLevel="0" collapsed="false">
      <c r="A59" s="10" t="n">
        <v>-66</v>
      </c>
      <c r="B59" s="8" t="n">
        <v>41096</v>
      </c>
      <c r="C59" s="15" t="n">
        <v>2.61352469862</v>
      </c>
      <c r="D59" s="22" t="n">
        <f aca="false">100*(C59-C58)</f>
        <v>-4.976538795</v>
      </c>
      <c r="E59" s="23" t="n">
        <f aca="false">'A3 control'!AL193</f>
        <v>-5.49305893959748</v>
      </c>
      <c r="F59" s="10" t="n">
        <v>1</v>
      </c>
    </row>
    <row r="60" customFormat="false" ht="15" hidden="false" customHeight="false" outlineLevel="0" collapsed="false">
      <c r="A60" s="10" t="n">
        <v>-65</v>
      </c>
      <c r="B60" s="8" t="n">
        <v>41099</v>
      </c>
      <c r="C60" s="15" t="n">
        <v>2.59228452985</v>
      </c>
      <c r="D60" s="22" t="n">
        <f aca="false">100*(C60-C59)</f>
        <v>-2.12401687699999</v>
      </c>
      <c r="E60" s="23" t="n">
        <f aca="false">'A3 control'!AL194</f>
        <v>-1.30775482686865</v>
      </c>
      <c r="F60" s="10" t="n">
        <v>1</v>
      </c>
    </row>
    <row r="61" customFormat="false" ht="15" hidden="false" customHeight="false" outlineLevel="0" collapsed="false">
      <c r="A61" s="10" t="n">
        <v>-64</v>
      </c>
      <c r="B61" s="8" t="n">
        <v>41100</v>
      </c>
      <c r="C61" s="15" t="n">
        <v>2.59833529025</v>
      </c>
      <c r="D61" s="22" t="n">
        <f aca="false">100*(C61-C60)</f>
        <v>0.605076039999997</v>
      </c>
      <c r="E61" s="23" t="n">
        <f aca="false">'A3 control'!AL195</f>
        <v>0.682716898832897</v>
      </c>
      <c r="F61" s="10" t="n">
        <v>1</v>
      </c>
    </row>
    <row r="62" customFormat="false" ht="15" hidden="false" customHeight="false" outlineLevel="0" collapsed="false">
      <c r="A62" s="10" t="n">
        <v>-63</v>
      </c>
      <c r="B62" s="8" t="n">
        <v>41101</v>
      </c>
      <c r="C62" s="15" t="n">
        <v>2.5845895961</v>
      </c>
      <c r="D62" s="22" t="n">
        <f aca="false">100*(C62-C61)</f>
        <v>-1.37456941500003</v>
      </c>
      <c r="E62" s="23" t="n">
        <f aca="false">'A3 control'!AL196</f>
        <v>-1.61834539953249</v>
      </c>
      <c r="F62" s="10" t="n">
        <v>1</v>
      </c>
    </row>
    <row r="63" customFormat="false" ht="15" hidden="false" customHeight="false" outlineLevel="0" collapsed="false">
      <c r="A63" s="10" t="n">
        <v>-62</v>
      </c>
      <c r="B63" s="8" t="n">
        <v>41102</v>
      </c>
      <c r="C63" s="15" t="n">
        <v>2.53970583649</v>
      </c>
      <c r="D63" s="22" t="n">
        <f aca="false">100*(C63-C62)</f>
        <v>-4.48837596099998</v>
      </c>
      <c r="E63" s="23" t="n">
        <f aca="false">'A3 control'!AL197</f>
        <v>-3.27821340525427</v>
      </c>
      <c r="F63" s="10" t="n">
        <v>1</v>
      </c>
    </row>
    <row r="64" customFormat="false" ht="15" hidden="false" customHeight="false" outlineLevel="0" collapsed="false">
      <c r="A64" s="10" t="n">
        <v>-61</v>
      </c>
      <c r="B64" s="8" t="n">
        <v>41103</v>
      </c>
      <c r="C64" s="15" t="n">
        <v>2.53944363094</v>
      </c>
      <c r="D64" s="22" t="n">
        <f aca="false">100*(C64-C63)</f>
        <v>-0.0262205549999894</v>
      </c>
      <c r="E64" s="23" t="n">
        <f aca="false">'A3 control'!AL198</f>
        <v>1.02269349040264</v>
      </c>
      <c r="F64" s="10" t="n">
        <v>1</v>
      </c>
    </row>
    <row r="65" customFormat="false" ht="15" hidden="false" customHeight="false" outlineLevel="0" collapsed="false">
      <c r="A65" s="10" t="n">
        <v>-60</v>
      </c>
      <c r="B65" s="8" t="n">
        <v>41106</v>
      </c>
      <c r="C65" s="15" t="n">
        <v>2.48915784976</v>
      </c>
      <c r="D65" s="22" t="n">
        <f aca="false">100*(C65-C64)</f>
        <v>-5.02857811799999</v>
      </c>
      <c r="E65" s="23" t="n">
        <f aca="false">'A3 control'!AL199</f>
        <v>-4.89235959210725</v>
      </c>
      <c r="F65" s="10" t="n">
        <v>1</v>
      </c>
    </row>
    <row r="66" customFormat="false" ht="15" hidden="false" customHeight="false" outlineLevel="0" collapsed="false">
      <c r="A66" s="10" t="n">
        <v>-59</v>
      </c>
      <c r="B66" s="8" t="n">
        <v>41107</v>
      </c>
      <c r="C66" s="15" t="n">
        <v>2.50365623446</v>
      </c>
      <c r="D66" s="22" t="n">
        <f aca="false">100*(C66-C65)</f>
        <v>1.44983847</v>
      </c>
      <c r="E66" s="23" t="n">
        <f aca="false">'A3 control'!AL200</f>
        <v>0.726164440336583</v>
      </c>
      <c r="F66" s="10" t="n">
        <v>1</v>
      </c>
    </row>
    <row r="67" customFormat="false" ht="15" hidden="false" customHeight="false" outlineLevel="0" collapsed="false">
      <c r="A67" s="10" t="n">
        <v>-58</v>
      </c>
      <c r="B67" s="8" t="n">
        <v>41108</v>
      </c>
      <c r="C67" s="15" t="n">
        <v>2.47334576126</v>
      </c>
      <c r="D67" s="22" t="n">
        <f aca="false">100*(C67-C66)</f>
        <v>-3.03104732000001</v>
      </c>
      <c r="E67" s="23" t="n">
        <f aca="false">'A3 control'!AL201</f>
        <v>-3.55387663800471</v>
      </c>
      <c r="F67" s="10" t="n">
        <v>1</v>
      </c>
    </row>
    <row r="68" customFormat="false" ht="15" hidden="false" customHeight="false" outlineLevel="0" collapsed="false">
      <c r="A68" s="10" t="n">
        <v>-57</v>
      </c>
      <c r="B68" s="8" t="n">
        <v>41109</v>
      </c>
      <c r="C68" s="15" t="n">
        <v>2.52607479282</v>
      </c>
      <c r="D68" s="22" t="n">
        <f aca="false">100*(C68-C67)</f>
        <v>5.27290315599998</v>
      </c>
      <c r="E68" s="23" t="n">
        <f aca="false">'A3 control'!AL202</f>
        <v>4.45902402958576</v>
      </c>
      <c r="F68" s="10" t="n">
        <v>1</v>
      </c>
    </row>
    <row r="69" customFormat="false" ht="15" hidden="false" customHeight="false" outlineLevel="0" collapsed="false">
      <c r="A69" s="10" t="n">
        <v>-56</v>
      </c>
      <c r="B69" s="8" t="n">
        <v>41110</v>
      </c>
      <c r="C69" s="15" t="n">
        <v>2.50418305747</v>
      </c>
      <c r="D69" s="22" t="n">
        <f aca="false">100*(C69-C68)</f>
        <v>-2.18917353499997</v>
      </c>
      <c r="E69" s="23" t="n">
        <f aca="false">'A3 control'!AL203</f>
        <v>-3.2505310777291</v>
      </c>
      <c r="F69" s="10" t="n">
        <v>1</v>
      </c>
    </row>
    <row r="70" customFormat="false" ht="15" hidden="false" customHeight="false" outlineLevel="0" collapsed="false">
      <c r="A70" s="10" t="n">
        <v>-55</v>
      </c>
      <c r="B70" s="8" t="n">
        <v>41113</v>
      </c>
      <c r="C70" s="15" t="n">
        <v>2.50453500861</v>
      </c>
      <c r="D70" s="22" t="n">
        <f aca="false">100*(C70-C69)</f>
        <v>0.0351951139999862</v>
      </c>
      <c r="E70" s="23" t="n">
        <f aca="false">'A3 control'!AL204</f>
        <v>-0.896925595401336</v>
      </c>
      <c r="F70" s="10" t="n">
        <v>1</v>
      </c>
    </row>
    <row r="71" customFormat="false" ht="15" hidden="false" customHeight="false" outlineLevel="0" collapsed="false">
      <c r="A71" s="10" t="n">
        <v>-54</v>
      </c>
      <c r="B71" s="8" t="n">
        <v>41114</v>
      </c>
      <c r="C71" s="15" t="n">
        <v>2.49399643639</v>
      </c>
      <c r="D71" s="22" t="n">
        <f aca="false">100*(C71-C70)</f>
        <v>-1.05385722200002</v>
      </c>
      <c r="E71" s="23" t="n">
        <f aca="false">'A3 control'!AL205</f>
        <v>-0.735571605196509</v>
      </c>
      <c r="F71" s="10" t="n">
        <v>1</v>
      </c>
    </row>
    <row r="72" customFormat="false" ht="15" hidden="false" customHeight="false" outlineLevel="0" collapsed="false">
      <c r="A72" s="10" t="n">
        <v>-53</v>
      </c>
      <c r="B72" s="8" t="n">
        <v>41115</v>
      </c>
      <c r="C72" s="15" t="n">
        <v>2.4961292899</v>
      </c>
      <c r="D72" s="22" t="n">
        <f aca="false">100*(C72-C71)</f>
        <v>0.213285351000003</v>
      </c>
      <c r="E72" s="23" t="n">
        <f aca="false">'A3 control'!AL206</f>
        <v>-0.522118941458977</v>
      </c>
      <c r="F72" s="10" t="n">
        <v>1</v>
      </c>
    </row>
    <row r="73" customFormat="false" ht="15" hidden="false" customHeight="false" outlineLevel="0" collapsed="false">
      <c r="A73" s="10" t="n">
        <v>-52</v>
      </c>
      <c r="B73" s="8" t="n">
        <v>41116</v>
      </c>
      <c r="C73" s="15" t="n">
        <v>2.50249492009</v>
      </c>
      <c r="D73" s="22" t="n">
        <f aca="false">100*(C73-C72)</f>
        <v>0.636563019000036</v>
      </c>
      <c r="E73" s="23" t="n">
        <f aca="false">'A3 control'!AL207</f>
        <v>1.68739717127324</v>
      </c>
      <c r="F73" s="10" t="n">
        <v>1</v>
      </c>
    </row>
    <row r="74" customFormat="false" ht="15" hidden="false" customHeight="false" outlineLevel="0" collapsed="false">
      <c r="A74" s="10" t="n">
        <v>-51</v>
      </c>
      <c r="B74" s="8" t="n">
        <v>41117</v>
      </c>
      <c r="C74" s="15" t="n">
        <v>2.54708144562</v>
      </c>
      <c r="D74" s="22" t="n">
        <f aca="false">100*(C74-C73)</f>
        <v>4.45865255299998</v>
      </c>
      <c r="E74" s="23" t="n">
        <f aca="false">'A3 control'!AL208</f>
        <v>5.0823663054832</v>
      </c>
      <c r="F74" s="10" t="n">
        <v>1</v>
      </c>
    </row>
    <row r="75" customFormat="false" ht="15" hidden="false" customHeight="false" outlineLevel="0" collapsed="false">
      <c r="A75" s="10" t="n">
        <v>-50</v>
      </c>
      <c r="B75" s="8" t="n">
        <v>41120</v>
      </c>
      <c r="C75" s="15" t="n">
        <v>2.55491148882</v>
      </c>
      <c r="D75" s="22" t="n">
        <f aca="false">100*(C75-C74)</f>
        <v>0.783004320000025</v>
      </c>
      <c r="E75" s="23" t="n">
        <f aca="false">'A3 control'!AL209</f>
        <v>0.539369209319907</v>
      </c>
      <c r="F75" s="10" t="n">
        <v>1</v>
      </c>
    </row>
    <row r="76" customFormat="false" ht="15" hidden="false" customHeight="false" outlineLevel="0" collapsed="false">
      <c r="A76" s="10" t="n">
        <v>-49</v>
      </c>
      <c r="B76" s="8" t="n">
        <v>41121</v>
      </c>
      <c r="C76" s="15" t="n">
        <v>2.49222105723</v>
      </c>
      <c r="D76" s="22" t="n">
        <f aca="false">100*(C76-C75)</f>
        <v>-6.26904315900001</v>
      </c>
      <c r="E76" s="23" t="n">
        <f aca="false">'A3 control'!AL210</f>
        <v>-6.24610018783334</v>
      </c>
      <c r="F76" s="10" t="n">
        <v>1</v>
      </c>
    </row>
    <row r="77" customFormat="false" ht="15" hidden="false" customHeight="false" outlineLevel="0" collapsed="false">
      <c r="A77" s="10" t="n">
        <v>-48</v>
      </c>
      <c r="B77" s="8" t="n">
        <v>41122</v>
      </c>
      <c r="C77" s="15" t="n">
        <v>2.52530635201</v>
      </c>
      <c r="D77" s="22" t="n">
        <f aca="false">100*(C77-C76)</f>
        <v>3.30852947799998</v>
      </c>
      <c r="E77" s="23" t="n">
        <f aca="false">'A3 control'!AL211</f>
        <v>3.73597521092077</v>
      </c>
      <c r="F77" s="10" t="n">
        <v>1</v>
      </c>
    </row>
    <row r="78" customFormat="false" ht="15" hidden="false" customHeight="false" outlineLevel="0" collapsed="false">
      <c r="A78" s="10" t="n">
        <v>-47</v>
      </c>
      <c r="B78" s="8" t="n">
        <v>41123</v>
      </c>
      <c r="C78" s="15" t="n">
        <v>2.46449519277</v>
      </c>
      <c r="D78" s="22" t="n">
        <f aca="false">100*(C78-C77)</f>
        <v>-6.081115924</v>
      </c>
      <c r="E78" s="23" t="n">
        <f aca="false">'A3 control'!AL212</f>
        <v>-6.750642253659</v>
      </c>
      <c r="F78" s="10" t="n">
        <v>1</v>
      </c>
    </row>
    <row r="79" customFormat="false" ht="15" hidden="false" customHeight="false" outlineLevel="0" collapsed="false">
      <c r="A79" s="10" t="n">
        <v>-46</v>
      </c>
      <c r="B79" s="8" t="n">
        <v>41124</v>
      </c>
      <c r="C79" s="15" t="n">
        <v>2.55732463473</v>
      </c>
      <c r="D79" s="22" t="n">
        <f aca="false">100*(C79-C78)</f>
        <v>9.28294419600002</v>
      </c>
      <c r="E79" s="23" t="n">
        <f aca="false">'A3 control'!AL213</f>
        <v>10.4530104216946</v>
      </c>
      <c r="F79" s="10" t="n">
        <v>1</v>
      </c>
    </row>
    <row r="80" customFormat="false" ht="15" hidden="false" customHeight="false" outlineLevel="0" collapsed="false">
      <c r="A80" s="10" t="n">
        <v>-45</v>
      </c>
      <c r="B80" s="8" t="n">
        <v>41127</v>
      </c>
      <c r="C80" s="15" t="n">
        <v>2.47984620189</v>
      </c>
      <c r="D80" s="22" t="n">
        <f aca="false">100*(C80-C79)</f>
        <v>-7.747843284</v>
      </c>
      <c r="E80" s="23" t="n">
        <f aca="false">'A3 control'!AL214</f>
        <v>-6.41415829652212</v>
      </c>
      <c r="F80" s="10" t="n">
        <v>1</v>
      </c>
    </row>
    <row r="81" customFormat="false" ht="15" hidden="false" customHeight="false" outlineLevel="0" collapsed="false">
      <c r="A81" s="10" t="n">
        <v>-44</v>
      </c>
      <c r="B81" s="8" t="n">
        <v>41128</v>
      </c>
      <c r="C81" s="15" t="n">
        <v>2.56990899702</v>
      </c>
      <c r="D81" s="22" t="n">
        <f aca="false">100*(C81-C80)</f>
        <v>9.00627951300002</v>
      </c>
      <c r="E81" s="23" t="n">
        <f aca="false">'A3 control'!AL215</f>
        <v>9.09257728392107</v>
      </c>
      <c r="F81" s="10" t="n">
        <v>1</v>
      </c>
    </row>
    <row r="82" customFormat="false" ht="15" hidden="false" customHeight="false" outlineLevel="0" collapsed="false">
      <c r="A82" s="10" t="n">
        <v>-43</v>
      </c>
      <c r="B82" s="8" t="n">
        <v>41129</v>
      </c>
      <c r="C82" s="15" t="n">
        <v>2.5269090003</v>
      </c>
      <c r="D82" s="22" t="n">
        <f aca="false">100*(C82-C81)</f>
        <v>-4.29999967200003</v>
      </c>
      <c r="E82" s="23" t="n">
        <f aca="false">'A3 control'!AL216</f>
        <v>-3.30359899290988</v>
      </c>
      <c r="F82" s="10" t="n">
        <v>1</v>
      </c>
    </row>
    <row r="83" customFormat="false" ht="15" hidden="false" customHeight="false" outlineLevel="0" collapsed="false">
      <c r="A83" s="10" t="n">
        <v>-42</v>
      </c>
      <c r="B83" s="8" t="n">
        <v>41130</v>
      </c>
      <c r="C83" s="15" t="n">
        <v>2.56766948142</v>
      </c>
      <c r="D83" s="22" t="n">
        <f aca="false">100*(C83-C82)</f>
        <v>4.076048112</v>
      </c>
      <c r="E83" s="23" t="n">
        <f aca="false">'A3 control'!AL217</f>
        <v>4.40373737597073</v>
      </c>
      <c r="F83" s="10" t="n">
        <v>1</v>
      </c>
    </row>
    <row r="84" customFormat="false" ht="15" hidden="false" customHeight="false" outlineLevel="0" collapsed="false">
      <c r="A84" s="10" t="n">
        <v>-41</v>
      </c>
      <c r="B84" s="8" t="n">
        <v>41131</v>
      </c>
      <c r="C84" s="15" t="n">
        <v>2.50052514414</v>
      </c>
      <c r="D84" s="22" t="n">
        <f aca="false">100*(C84-C83)</f>
        <v>-6.71443372799998</v>
      </c>
      <c r="E84" s="23" t="n">
        <f aca="false">'A3 control'!AL218</f>
        <v>-6.98879289578606</v>
      </c>
      <c r="F84" s="10" t="n">
        <v>1</v>
      </c>
    </row>
    <row r="85" customFormat="false" ht="15" hidden="false" customHeight="false" outlineLevel="0" collapsed="false">
      <c r="A85" s="10" t="n">
        <v>-40</v>
      </c>
      <c r="B85" s="8" t="n">
        <v>41134</v>
      </c>
      <c r="C85" s="15" t="n">
        <v>2.53412346234</v>
      </c>
      <c r="D85" s="22" t="n">
        <f aca="false">100*(C85-C84)</f>
        <v>3.35983182000001</v>
      </c>
      <c r="E85" s="23" t="n">
        <f aca="false">'A3 control'!AL219</f>
        <v>2.55457747397844</v>
      </c>
      <c r="F85" s="10" t="n">
        <v>1</v>
      </c>
    </row>
    <row r="86" customFormat="false" ht="15" hidden="false" customHeight="false" outlineLevel="0" collapsed="false">
      <c r="A86" s="10" t="n">
        <v>-39</v>
      </c>
      <c r="B86" s="8" t="n">
        <v>41135</v>
      </c>
      <c r="C86" s="15" t="n">
        <v>2.56753110956</v>
      </c>
      <c r="D86" s="22" t="n">
        <f aca="false">100*(C86-C85)</f>
        <v>3.34076472199998</v>
      </c>
      <c r="E86" s="23" t="n">
        <f aca="false">'A3 control'!AL220</f>
        <v>3.54648545878645</v>
      </c>
      <c r="F86" s="10" t="n">
        <v>1</v>
      </c>
    </row>
    <row r="87" customFormat="false" ht="15" hidden="false" customHeight="false" outlineLevel="0" collapsed="false">
      <c r="A87" s="10" t="n">
        <v>-38</v>
      </c>
      <c r="B87" s="8" t="n">
        <v>41136</v>
      </c>
      <c r="C87" s="15" t="n">
        <v>2.64273561792</v>
      </c>
      <c r="D87" s="22" t="n">
        <f aca="false">100*(C87-C86)</f>
        <v>7.52045083600001</v>
      </c>
      <c r="E87" s="23" t="n">
        <f aca="false">'A3 control'!AL221</f>
        <v>7.39500946308985</v>
      </c>
      <c r="F87" s="10" t="n">
        <v>1</v>
      </c>
    </row>
    <row r="88" customFormat="false" ht="15" hidden="false" customHeight="false" outlineLevel="0" collapsed="false">
      <c r="A88" s="10" t="n">
        <v>-37</v>
      </c>
      <c r="B88" s="8" t="n">
        <v>41137</v>
      </c>
      <c r="C88" s="15" t="n">
        <v>2.64866965188</v>
      </c>
      <c r="D88" s="22" t="n">
        <f aca="false">100*(C88-C87)</f>
        <v>0.593403396000003</v>
      </c>
      <c r="E88" s="23" t="n">
        <f aca="false">'A3 control'!AL222</f>
        <v>1.01190169856198</v>
      </c>
      <c r="F88" s="10" t="n">
        <v>1</v>
      </c>
    </row>
    <row r="89" customFormat="false" ht="15" hidden="false" customHeight="false" outlineLevel="0" collapsed="false">
      <c r="A89" s="10" t="n">
        <v>-36</v>
      </c>
      <c r="B89" s="8" t="n">
        <v>41138</v>
      </c>
      <c r="C89" s="15" t="n">
        <v>2.62030307056</v>
      </c>
      <c r="D89" s="22" t="n">
        <f aca="false">100*(C89-C88)</f>
        <v>-2.83665813200003</v>
      </c>
      <c r="E89" s="23" t="n">
        <f aca="false">'A3 control'!AL223</f>
        <v>-2.4348412984747</v>
      </c>
      <c r="F89" s="10" t="n">
        <v>1</v>
      </c>
    </row>
    <row r="90" customFormat="false" ht="15" hidden="false" customHeight="false" outlineLevel="0" collapsed="false">
      <c r="A90" s="10" t="n">
        <v>-35</v>
      </c>
      <c r="B90" s="8" t="n">
        <v>41141</v>
      </c>
      <c r="C90" s="15" t="n">
        <v>2.61329416071</v>
      </c>
      <c r="D90" s="22" t="n">
        <f aca="false">100*(C90-C89)</f>
        <v>-0.700890984999969</v>
      </c>
      <c r="E90" s="23" t="n">
        <f aca="false">'A3 control'!AL224</f>
        <v>-0.373033049598554</v>
      </c>
      <c r="F90" s="10" t="n">
        <v>1</v>
      </c>
    </row>
    <row r="91" customFormat="false" ht="15" hidden="false" customHeight="false" outlineLevel="0" collapsed="false">
      <c r="A91" s="10" t="n">
        <v>-34</v>
      </c>
      <c r="B91" s="8" t="n">
        <v>41142</v>
      </c>
      <c r="C91" s="15" t="n">
        <v>2.6716700616</v>
      </c>
      <c r="D91" s="22" t="n">
        <f aca="false">100*(C91-C90)</f>
        <v>5.83759008899998</v>
      </c>
      <c r="E91" s="23" t="n">
        <f aca="false">'A3 control'!AL225</f>
        <v>5.34568805286195</v>
      </c>
      <c r="F91" s="10" t="n">
        <v>1</v>
      </c>
    </row>
    <row r="92" customFormat="false" ht="15" hidden="false" customHeight="false" outlineLevel="0" collapsed="false">
      <c r="A92" s="10" t="n">
        <v>-33</v>
      </c>
      <c r="B92" s="8" t="n">
        <v>41143</v>
      </c>
      <c r="C92" s="15" t="n">
        <v>2.62333538423</v>
      </c>
      <c r="D92" s="22" t="n">
        <f aca="false">100*(C92-C91)</f>
        <v>-4.83346773700002</v>
      </c>
      <c r="E92" s="23" t="n">
        <f aca="false">'A3 control'!AL226</f>
        <v>-5.84736404376638</v>
      </c>
      <c r="F92" s="10" t="n">
        <v>1</v>
      </c>
    </row>
    <row r="93" customFormat="false" ht="15" hidden="false" customHeight="false" outlineLevel="0" collapsed="false">
      <c r="A93" s="10" t="n">
        <v>-32</v>
      </c>
      <c r="B93" s="8" t="n">
        <v>41144</v>
      </c>
      <c r="C93" s="15" t="n">
        <v>2.56756770673</v>
      </c>
      <c r="D93" s="22" t="n">
        <f aca="false">100*(C93-C92)</f>
        <v>-5.57676775</v>
      </c>
      <c r="E93" s="23" t="n">
        <f aca="false">'A3 control'!AL227</f>
        <v>-5.2759849396523</v>
      </c>
      <c r="F93" s="10" t="n">
        <v>1</v>
      </c>
    </row>
    <row r="94" customFormat="false" ht="15" hidden="false" customHeight="false" outlineLevel="0" collapsed="false">
      <c r="A94" s="10" t="n">
        <v>-31</v>
      </c>
      <c r="B94" s="8" t="n">
        <v>41145</v>
      </c>
      <c r="C94" s="15" t="n">
        <v>2.53138571664</v>
      </c>
      <c r="D94" s="22" t="n">
        <f aca="false">100*(C94-C93)</f>
        <v>-3.61819900899998</v>
      </c>
      <c r="E94" s="23" t="n">
        <f aca="false">'A3 control'!AL228</f>
        <v>-3.7829703906671</v>
      </c>
      <c r="F94" s="10" t="n">
        <v>1</v>
      </c>
    </row>
    <row r="95" customFormat="false" ht="15" hidden="false" customHeight="false" outlineLevel="0" collapsed="false">
      <c r="A95" s="10" t="n">
        <v>-30</v>
      </c>
      <c r="B95" s="8" t="n">
        <v>41149</v>
      </c>
      <c r="C95" s="15" t="n">
        <v>2.50326108308</v>
      </c>
      <c r="D95" s="22" t="n">
        <f aca="false">100*(C95-C94)</f>
        <v>-2.81246335600001</v>
      </c>
      <c r="E95" s="23" t="n">
        <f aca="false">'A3 control'!AL229</f>
        <v>-3.35223182807033</v>
      </c>
      <c r="F95" s="10" t="n">
        <v>1</v>
      </c>
    </row>
    <row r="96" customFormat="false" ht="15" hidden="false" customHeight="false" outlineLevel="0" collapsed="false">
      <c r="A96" s="10" t="n">
        <v>-29</v>
      </c>
      <c r="B96" s="8" t="n">
        <v>41150</v>
      </c>
      <c r="C96" s="15" t="n">
        <v>2.51082753376</v>
      </c>
      <c r="D96" s="22" t="n">
        <f aca="false">100*(C96-C95)</f>
        <v>0.756645068000017</v>
      </c>
      <c r="E96" s="23" t="n">
        <f aca="false">'A3 control'!AL230</f>
        <v>1.49496553928305</v>
      </c>
      <c r="F96" s="10" t="n">
        <v>1</v>
      </c>
    </row>
    <row r="97" customFormat="false" ht="15" hidden="false" customHeight="false" outlineLevel="0" collapsed="false">
      <c r="A97" s="10" t="n">
        <v>-28</v>
      </c>
      <c r="B97" s="8" t="n">
        <v>41151</v>
      </c>
      <c r="C97" s="15" t="n">
        <v>2.4670084594</v>
      </c>
      <c r="D97" s="22" t="n">
        <f aca="false">100*(C97-C96)</f>
        <v>-4.381907436</v>
      </c>
      <c r="E97" s="23" t="n">
        <f aca="false">'A3 control'!AL231</f>
        <v>-4.75292980975568</v>
      </c>
      <c r="F97" s="10" t="n">
        <v>1</v>
      </c>
    </row>
    <row r="98" customFormat="false" ht="15" hidden="false" customHeight="false" outlineLevel="0" collapsed="false">
      <c r="A98" s="10" t="n">
        <v>-27</v>
      </c>
      <c r="B98" s="8" t="n">
        <v>41152</v>
      </c>
      <c r="C98" s="15" t="n">
        <v>2.49473637625</v>
      </c>
      <c r="D98" s="22" t="n">
        <f aca="false">100*(C98-C97)</f>
        <v>2.772791685</v>
      </c>
      <c r="E98" s="23" t="n">
        <f aca="false">'A3 control'!AL232</f>
        <v>1.34852771899893</v>
      </c>
      <c r="F98" s="10" t="n">
        <v>1</v>
      </c>
    </row>
    <row r="99" customFormat="false" ht="15" hidden="false" customHeight="false" outlineLevel="0" collapsed="false">
      <c r="A99" s="10" t="n">
        <v>-26</v>
      </c>
      <c r="B99" s="8" t="n">
        <v>41155</v>
      </c>
      <c r="C99" s="15" t="n">
        <v>2.51545402941</v>
      </c>
      <c r="D99" s="22" t="n">
        <f aca="false">100*(C99-C98)</f>
        <v>2.07176531599997</v>
      </c>
      <c r="E99" s="23" t="n">
        <f aca="false">'A3 control'!AL233</f>
        <v>1.64312182487218</v>
      </c>
      <c r="F99" s="10" t="n">
        <v>1</v>
      </c>
    </row>
    <row r="100" customFormat="false" ht="15" hidden="false" customHeight="false" outlineLevel="0" collapsed="false">
      <c r="A100" s="10" t="n">
        <v>-25</v>
      </c>
      <c r="B100" s="8" t="n">
        <v>41156</v>
      </c>
      <c r="C100" s="15" t="n">
        <v>2.49377201751</v>
      </c>
      <c r="D100" s="22" t="n">
        <f aca="false">100*(C100-C99)</f>
        <v>-2.16820118999999</v>
      </c>
      <c r="E100" s="23" t="n">
        <f aca="false">'A3 control'!AL234</f>
        <v>-2.13904268132163</v>
      </c>
      <c r="F100" s="10" t="n">
        <v>1</v>
      </c>
    </row>
    <row r="101" customFormat="false" ht="15" hidden="false" customHeight="false" outlineLevel="0" collapsed="false">
      <c r="A101" s="10" t="n">
        <v>-24</v>
      </c>
      <c r="B101" s="8" t="n">
        <v>41157</v>
      </c>
      <c r="C101" s="15" t="n">
        <v>2.52284500572</v>
      </c>
      <c r="D101" s="22" t="n">
        <f aca="false">100*(C101-C100)</f>
        <v>2.90729882099998</v>
      </c>
      <c r="E101" s="23" t="n">
        <f aca="false">'A3 control'!AL235</f>
        <v>2.47918078257382</v>
      </c>
      <c r="F101" s="10" t="n">
        <v>1</v>
      </c>
    </row>
    <row r="102" customFormat="false" ht="15" hidden="false" customHeight="false" outlineLevel="0" collapsed="false">
      <c r="A102" s="10" t="n">
        <v>-23</v>
      </c>
      <c r="B102" s="8" t="n">
        <v>41158</v>
      </c>
      <c r="C102" s="15" t="n">
        <v>2.59999023938</v>
      </c>
      <c r="D102" s="22" t="n">
        <f aca="false">100*(C102-C101)</f>
        <v>7.714523366</v>
      </c>
      <c r="E102" s="23" t="n">
        <f aca="false">'A3 control'!AL236</f>
        <v>6.74592296252247</v>
      </c>
      <c r="F102" s="10" t="n">
        <v>1</v>
      </c>
    </row>
    <row r="103" customFormat="false" ht="15" hidden="false" customHeight="false" outlineLevel="0" collapsed="false">
      <c r="A103" s="10" t="n">
        <v>-22</v>
      </c>
      <c r="B103" s="8" t="n">
        <v>41159</v>
      </c>
      <c r="C103" s="15" t="n">
        <v>2.57709504004</v>
      </c>
      <c r="D103" s="22" t="n">
        <f aca="false">100*(C103-C102)</f>
        <v>-2.28951993399997</v>
      </c>
      <c r="E103" s="23" t="n">
        <f aca="false">'A3 control'!AL237</f>
        <v>-2.61780728532833</v>
      </c>
      <c r="F103" s="10" t="n">
        <v>1</v>
      </c>
    </row>
    <row r="104" customFormat="false" ht="15" hidden="false" customHeight="false" outlineLevel="0" collapsed="false">
      <c r="A104" s="10" t="n">
        <v>-21</v>
      </c>
      <c r="B104" s="8" t="n">
        <v>41162</v>
      </c>
      <c r="C104" s="15" t="n">
        <v>2.63247703784</v>
      </c>
      <c r="D104" s="22" t="n">
        <f aca="false">100*(C104-C103)</f>
        <v>5.53819978000001</v>
      </c>
      <c r="E104" s="23" t="n">
        <f aca="false">'A3 control'!AL238</f>
        <v>5.09594789080155</v>
      </c>
      <c r="F104" s="10" t="n">
        <v>1</v>
      </c>
    </row>
    <row r="105" customFormat="false" ht="15" hidden="false" customHeight="false" outlineLevel="0" collapsed="false">
      <c r="A105" s="10" t="n">
        <v>-20</v>
      </c>
      <c r="B105" s="8" t="n">
        <v>41163</v>
      </c>
      <c r="C105" s="15" t="n">
        <v>2.65127994719</v>
      </c>
      <c r="D105" s="22" t="n">
        <f aca="false">100*(C105-C104)</f>
        <v>1.88029093499997</v>
      </c>
      <c r="E105" s="23" t="n">
        <f aca="false">'A3 control'!AL239</f>
        <v>1.39029991977008</v>
      </c>
      <c r="F105" s="10" t="n">
        <v>0</v>
      </c>
    </row>
    <row r="106" customFormat="false" ht="15" hidden="false" customHeight="false" outlineLevel="0" collapsed="false">
      <c r="A106" s="10" t="n">
        <v>-19</v>
      </c>
      <c r="B106" s="8" t="n">
        <v>41164</v>
      </c>
      <c r="C106" s="15" t="n">
        <v>2.71124537489</v>
      </c>
      <c r="D106" s="22" t="n">
        <f aca="false">100*(C106-C105)</f>
        <v>5.99654276999999</v>
      </c>
      <c r="E106" s="23" t="n">
        <f aca="false">'A3 control'!AL240</f>
        <v>7.82114131063578</v>
      </c>
      <c r="F106" s="10" t="n">
        <v>0</v>
      </c>
    </row>
    <row r="107" customFormat="false" ht="15" hidden="false" customHeight="false" outlineLevel="0" collapsed="false">
      <c r="A107" s="10" t="n">
        <v>-18</v>
      </c>
      <c r="B107" s="8" t="n">
        <v>41165</v>
      </c>
      <c r="C107" s="15" t="n">
        <v>2.68257779555</v>
      </c>
      <c r="D107" s="22" t="n">
        <f aca="false">100*(C107-C106)</f>
        <v>-2.866757934</v>
      </c>
      <c r="E107" s="23" t="n">
        <f aca="false">'A3 control'!AL241</f>
        <v>-2.19469768677543</v>
      </c>
      <c r="F107" s="10" t="n">
        <v>0</v>
      </c>
    </row>
    <row r="108" customFormat="false" ht="15" hidden="false" customHeight="false" outlineLevel="0" collapsed="false">
      <c r="A108" s="10" t="n">
        <v>-17</v>
      </c>
      <c r="B108" s="8" t="n">
        <v>41166</v>
      </c>
      <c r="C108" s="15" t="n">
        <v>2.81699494571</v>
      </c>
      <c r="D108" s="22" t="n">
        <f aca="false">100*(C108-C107)</f>
        <v>13.441715016</v>
      </c>
      <c r="E108" s="23" t="n">
        <f aca="false">'A3 control'!AL242</f>
        <v>13.8496166705147</v>
      </c>
      <c r="F108" s="10" t="n">
        <v>0</v>
      </c>
    </row>
    <row r="109" customFormat="false" ht="15" hidden="false" customHeight="false" outlineLevel="0" collapsed="false">
      <c r="A109" s="10" t="n">
        <v>-16</v>
      </c>
      <c r="B109" s="8" t="n">
        <v>41169</v>
      </c>
      <c r="C109" s="15" t="n">
        <v>2.77212285682</v>
      </c>
      <c r="D109" s="22" t="n">
        <f aca="false">100*(C109-C108)</f>
        <v>-4.48720888900001</v>
      </c>
      <c r="E109" s="23" t="n">
        <f aca="false">'A3 control'!AL243</f>
        <v>-3.94720060190266</v>
      </c>
      <c r="F109" s="10" t="n">
        <v>0</v>
      </c>
    </row>
    <row r="110" customFormat="false" ht="15" hidden="false" customHeight="false" outlineLevel="0" collapsed="false">
      <c r="A110" s="10" t="n">
        <v>-15</v>
      </c>
      <c r="B110" s="8" t="n">
        <v>41170</v>
      </c>
      <c r="C110" s="15" t="n">
        <v>2.73146148945</v>
      </c>
      <c r="D110" s="22" t="n">
        <f aca="false">100*(C110-C109)</f>
        <v>-4.06613673699998</v>
      </c>
      <c r="E110" s="23" t="n">
        <f aca="false">'A3 control'!AL244</f>
        <v>-4.14165419152726</v>
      </c>
      <c r="F110" s="10" t="n">
        <v>0</v>
      </c>
    </row>
    <row r="111" customFormat="false" ht="15" hidden="false" customHeight="false" outlineLevel="0" collapsed="false">
      <c r="A111" s="10" t="n">
        <v>-14</v>
      </c>
      <c r="B111" s="8" t="n">
        <v>41171</v>
      </c>
      <c r="C111" s="15" t="n">
        <v>2.71115759308</v>
      </c>
      <c r="D111" s="22" t="n">
        <f aca="false">100*(C111-C110)</f>
        <v>-2.03038963700002</v>
      </c>
      <c r="E111" s="23" t="n">
        <f aca="false">'A3 control'!AL245</f>
        <v>-2.70127695149232</v>
      </c>
      <c r="F111" s="10" t="n">
        <v>0</v>
      </c>
    </row>
    <row r="112" customFormat="false" ht="15" hidden="false" customHeight="false" outlineLevel="0" collapsed="false">
      <c r="A112" s="10" t="n">
        <v>-13</v>
      </c>
      <c r="B112" s="8" t="n">
        <v>41172</v>
      </c>
      <c r="C112" s="15" t="n">
        <v>2.66561810046</v>
      </c>
      <c r="D112" s="22" t="n">
        <f aca="false">100*(C112-C111)</f>
        <v>-4.55394926199997</v>
      </c>
      <c r="E112" s="23" t="n">
        <f aca="false">'A3 control'!AL246</f>
        <v>-3.98970517846596</v>
      </c>
      <c r="F112" s="10" t="n">
        <v>0</v>
      </c>
    </row>
    <row r="113" customFormat="false" ht="15" hidden="false" customHeight="false" outlineLevel="0" collapsed="false">
      <c r="A113" s="10" t="n">
        <v>-12</v>
      </c>
      <c r="B113" s="8" t="n">
        <v>41173</v>
      </c>
      <c r="C113" s="15" t="n">
        <v>2.70585391407</v>
      </c>
      <c r="D113" s="22" t="n">
        <f aca="false">100*(C113-C112)</f>
        <v>4.02358136099998</v>
      </c>
      <c r="E113" s="23" t="n">
        <f aca="false">'A3 control'!AL247</f>
        <v>3.55524341397998</v>
      </c>
      <c r="F113" s="10" t="n">
        <v>0</v>
      </c>
    </row>
    <row r="114" customFormat="false" ht="15" hidden="false" customHeight="false" outlineLevel="0" collapsed="false">
      <c r="A114" s="10" t="n">
        <v>-11</v>
      </c>
      <c r="B114" s="8" t="n">
        <v>41176</v>
      </c>
      <c r="C114" s="15" t="n">
        <v>2.69567749576</v>
      </c>
      <c r="D114" s="22" t="n">
        <f aca="false">100*(C114-C113)</f>
        <v>-1.01764183099999</v>
      </c>
      <c r="E114" s="23" t="n">
        <f aca="false">'A3 control'!AL248</f>
        <v>-1.45179765584123</v>
      </c>
      <c r="F114" s="10" t="n">
        <v>0</v>
      </c>
    </row>
    <row r="115" customFormat="false" ht="15" hidden="false" customHeight="false" outlineLevel="0" collapsed="false">
      <c r="A115" s="10" t="n">
        <v>-10</v>
      </c>
      <c r="B115" s="8" t="n">
        <v>41177</v>
      </c>
      <c r="C115" s="15" t="n">
        <v>2.68422087162</v>
      </c>
      <c r="D115" s="22" t="n">
        <f aca="false">100*(C115-C114)</f>
        <v>-1.145662414</v>
      </c>
      <c r="E115" s="23" t="n">
        <f aca="false">'A3 control'!AL249</f>
        <v>-0.356938296735189</v>
      </c>
      <c r="F115" s="10" t="n">
        <v>0</v>
      </c>
      <c r="G115" s="22" t="n">
        <f aca="false">D115-$B$137*E115</f>
        <v>-0.791739717285218</v>
      </c>
      <c r="H115" s="22" t="n">
        <f aca="false">H116-G116</f>
        <v>-1.13225310497628</v>
      </c>
      <c r="I115" s="22" t="n">
        <f aca="false">D115-E115</f>
        <v>-0.788724117264815</v>
      </c>
      <c r="J115" s="22" t="n">
        <f aca="false">J116-I116</f>
        <v>-1.18795492421518</v>
      </c>
      <c r="K115" s="22" t="n">
        <f aca="false">K116-D116</f>
        <v>5.405131808</v>
      </c>
    </row>
    <row r="116" customFormat="false" ht="15" hidden="false" customHeight="false" outlineLevel="0" collapsed="false">
      <c r="A116" s="10" t="n">
        <v>-9</v>
      </c>
      <c r="B116" s="8" t="n">
        <v>41178</v>
      </c>
      <c r="C116" s="15" t="n">
        <v>2.57634429864</v>
      </c>
      <c r="D116" s="22" t="n">
        <f aca="false">100*(C116-C115)</f>
        <v>-10.787657298</v>
      </c>
      <c r="E116" s="23" t="n">
        <f aca="false">'A3 control'!AL250</f>
        <v>-11.0977757737866</v>
      </c>
      <c r="F116" s="10" t="n">
        <v>0</v>
      </c>
      <c r="G116" s="22" t="n">
        <f aca="false">D116-$B$137*E116</f>
        <v>0.216358705103696</v>
      </c>
      <c r="H116" s="22" t="n">
        <f aca="false">H117-G117</f>
        <v>-0.915894399872584</v>
      </c>
      <c r="I116" s="22" t="n">
        <f aca="false">D116-E116</f>
        <v>0.310118475786648</v>
      </c>
      <c r="J116" s="22" t="n">
        <f aca="false">J117-I117</f>
        <v>-0.877836448428531</v>
      </c>
      <c r="K116" s="22" t="n">
        <f aca="false">K117-D117</f>
        <v>-5.38252549</v>
      </c>
    </row>
    <row r="117" customFormat="false" ht="15" hidden="false" customHeight="false" outlineLevel="0" collapsed="false">
      <c r="A117" s="10" t="n">
        <v>-8</v>
      </c>
      <c r="B117" s="8" t="n">
        <v>41179</v>
      </c>
      <c r="C117" s="15" t="n">
        <v>2.6223320259</v>
      </c>
      <c r="D117" s="22" t="n">
        <f aca="false">100*(C117-C116)</f>
        <v>4.598772726</v>
      </c>
      <c r="E117" s="23" t="n">
        <f aca="false">'A3 control'!AL251</f>
        <v>3.88303852337873</v>
      </c>
      <c r="F117" s="10" t="n">
        <v>0</v>
      </c>
      <c r="G117" s="22" t="n">
        <f aca="false">D117-$B$137*E117</f>
        <v>0.74854012778377</v>
      </c>
      <c r="H117" s="22" t="n">
        <f aca="false">H118-G118</f>
        <v>-0.167354272088813</v>
      </c>
      <c r="I117" s="22" t="n">
        <f aca="false">D117-E117</f>
        <v>0.715734202621269</v>
      </c>
      <c r="J117" s="22" t="n">
        <f aca="false">J118-I118</f>
        <v>-0.162102245807262</v>
      </c>
      <c r="K117" s="22" t="n">
        <f aca="false">K118-D118</f>
        <v>-0.783752764000001</v>
      </c>
    </row>
    <row r="118" customFormat="false" ht="15" hidden="false" customHeight="false" outlineLevel="0" collapsed="false">
      <c r="A118" s="10" t="n">
        <v>-7</v>
      </c>
      <c r="B118" s="8" t="n">
        <v>41180</v>
      </c>
      <c r="C118" s="15" t="n">
        <v>2.62510535514</v>
      </c>
      <c r="D118" s="22" t="n">
        <f aca="false">100*(C118-C117)</f>
        <v>0.277332924000007</v>
      </c>
      <c r="E118" s="23" t="n">
        <f aca="false">'A3 control'!AL252</f>
        <v>-0.311608057847786</v>
      </c>
      <c r="F118" s="10" t="n">
        <v>0</v>
      </c>
      <c r="G118" s="22" t="n">
        <f aca="false">D118-$B$137*E118</f>
        <v>0.586308355216807</v>
      </c>
      <c r="H118" s="22" t="n">
        <f aca="false">H119-G119</f>
        <v>0.418954083127994</v>
      </c>
      <c r="I118" s="22" t="n">
        <f aca="false">D118-E118</f>
        <v>0.588940981847792</v>
      </c>
      <c r="J118" s="22" t="n">
        <f aca="false">J119-I119</f>
        <v>0.42683873604053</v>
      </c>
      <c r="K118" s="22" t="n">
        <f aca="false">K119-D119</f>
        <v>-0.506419839999994</v>
      </c>
    </row>
    <row r="119" customFormat="false" ht="15" hidden="false" customHeight="false" outlineLevel="0" collapsed="false">
      <c r="A119" s="10" t="n">
        <v>-6</v>
      </c>
      <c r="B119" s="8" t="n">
        <v>41183</v>
      </c>
      <c r="C119" s="15" t="n">
        <v>2.63016955354</v>
      </c>
      <c r="D119" s="22" t="n">
        <f aca="false">100*(C119-C118)</f>
        <v>0.506419839999994</v>
      </c>
      <c r="E119" s="23" t="n">
        <f aca="false">'A3 control'!AL253</f>
        <v>0.933258576040525</v>
      </c>
      <c r="F119" s="10" t="n">
        <v>0</v>
      </c>
      <c r="G119" s="22" t="n">
        <f aca="false">D119-$B$137*E119</f>
        <v>-0.418954083127994</v>
      </c>
      <c r="H119" s="22" t="n">
        <v>0</v>
      </c>
      <c r="I119" s="22" t="n">
        <f aca="false">D119-E119</f>
        <v>-0.42683873604053</v>
      </c>
      <c r="J119" s="22" t="n">
        <v>0</v>
      </c>
      <c r="K119" s="22" t="n">
        <v>0</v>
      </c>
    </row>
    <row r="120" customFormat="false" ht="15" hidden="false" customHeight="false" outlineLevel="0" collapsed="false">
      <c r="A120" s="10" t="n">
        <v>-5</v>
      </c>
      <c r="B120" s="8" t="n">
        <v>41184</v>
      </c>
      <c r="C120" s="15" t="n">
        <v>2.61601709566</v>
      </c>
      <c r="D120" s="22" t="n">
        <f aca="false">100*(C120-C119)</f>
        <v>-1.41524578799999</v>
      </c>
      <c r="E120" s="23" t="n">
        <f aca="false">'A3 control'!AL254</f>
        <v>-1.98710924005491</v>
      </c>
      <c r="F120" s="10" t="n">
        <v>0</v>
      </c>
      <c r="G120" s="22" t="n">
        <f aca="false">D120-$B$137*E120</f>
        <v>0.555075321670317</v>
      </c>
      <c r="H120" s="22" t="n">
        <f aca="false">H119+G120</f>
        <v>0.555075321670317</v>
      </c>
      <c r="I120" s="22" t="n">
        <f aca="false">D120-E120</f>
        <v>0.571863452054929</v>
      </c>
      <c r="J120" s="22" t="n">
        <f aca="false">J119+I120</f>
        <v>0.571863452054929</v>
      </c>
      <c r="K120" s="22" t="n">
        <f aca="false">K119+D120</f>
        <v>-1.41524578799999</v>
      </c>
    </row>
    <row r="121" customFormat="false" ht="15" hidden="false" customHeight="false" outlineLevel="0" collapsed="false">
      <c r="A121" s="10" t="n">
        <v>-4</v>
      </c>
      <c r="B121" s="8" t="n">
        <v>41185</v>
      </c>
      <c r="C121" s="15" t="n">
        <v>2.59917775232</v>
      </c>
      <c r="D121" s="22" t="n">
        <f aca="false">100*(C121-C120)</f>
        <v>-1.683934334</v>
      </c>
      <c r="E121" s="23" t="n">
        <f aca="false">'A3 control'!AL255</f>
        <v>-2.14514535631676</v>
      </c>
      <c r="F121" s="10" t="n">
        <v>0</v>
      </c>
      <c r="G121" s="22" t="n">
        <f aca="false">D121-$B$137*E121</f>
        <v>0.443087720784126</v>
      </c>
      <c r="H121" s="22" t="n">
        <f aca="false">H120+G121</f>
        <v>0.998163042454442</v>
      </c>
      <c r="I121" s="22" t="n">
        <f aca="false">D121-E121</f>
        <v>0.461211022316756</v>
      </c>
      <c r="J121" s="22" t="n">
        <f aca="false">J120+I121</f>
        <v>1.03307447437169</v>
      </c>
      <c r="K121" s="22" t="n">
        <f aca="false">K120+D121</f>
        <v>-3.09918012199999</v>
      </c>
    </row>
    <row r="122" customFormat="false" ht="15" hidden="false" customHeight="false" outlineLevel="0" collapsed="false">
      <c r="A122" s="10" t="n">
        <v>-3</v>
      </c>
      <c r="B122" s="8" t="n">
        <v>41186</v>
      </c>
      <c r="C122" s="15" t="n">
        <v>2.61224582316</v>
      </c>
      <c r="D122" s="22" t="n">
        <f aca="false">100*(C122-C121)</f>
        <v>1.30680708399997</v>
      </c>
      <c r="E122" s="23" t="n">
        <f aca="false">'A3 control'!AL256</f>
        <v>1.46189418949606</v>
      </c>
      <c r="F122" s="10" t="n">
        <v>0</v>
      </c>
      <c r="G122" s="22" t="n">
        <f aca="false">D122-$B$137*E122</f>
        <v>-0.142736264502016</v>
      </c>
      <c r="H122" s="22" t="n">
        <f aca="false">H121+G122</f>
        <v>0.855426777952426</v>
      </c>
      <c r="I122" s="22" t="n">
        <f aca="false">D122-E122</f>
        <v>-0.155087105496087</v>
      </c>
      <c r="J122" s="22" t="n">
        <f aca="false">J121+I122</f>
        <v>0.877987368875598</v>
      </c>
      <c r="K122" s="22" t="n">
        <f aca="false">K121+D122</f>
        <v>-1.79237303800002</v>
      </c>
    </row>
    <row r="123" customFormat="false" ht="15" hidden="false" customHeight="false" outlineLevel="0" collapsed="false">
      <c r="A123" s="10" t="n">
        <v>-2</v>
      </c>
      <c r="B123" s="8" t="n">
        <v>41187</v>
      </c>
      <c r="C123" s="15" t="n">
        <v>2.68248341652</v>
      </c>
      <c r="D123" s="22" t="n">
        <f aca="false">100*(C123-C122)</f>
        <v>7.02375933600004</v>
      </c>
      <c r="E123" s="23" t="n">
        <f aca="false">'A3 control'!AL257</f>
        <v>6.56346953347504</v>
      </c>
      <c r="F123" s="10" t="n">
        <v>0</v>
      </c>
      <c r="G123" s="22" t="n">
        <f aca="false">D123-$B$137*E123</f>
        <v>0.515741400294408</v>
      </c>
      <c r="H123" s="22" t="n">
        <f aca="false">H122+G123</f>
        <v>1.37116817824683</v>
      </c>
      <c r="I123" s="22" t="n">
        <f aca="false">D123-E123</f>
        <v>0.460289802524994</v>
      </c>
      <c r="J123" s="22" t="n">
        <f aca="false">J122+I123</f>
        <v>1.33827717140059</v>
      </c>
      <c r="K123" s="22" t="n">
        <f aca="false">K122+D123</f>
        <v>5.23138629800002</v>
      </c>
    </row>
    <row r="124" customFormat="false" ht="15" hidden="false" customHeight="false" outlineLevel="0" collapsed="false">
      <c r="A124" s="10" t="n">
        <v>-1</v>
      </c>
      <c r="B124" s="8" t="n">
        <v>41190</v>
      </c>
      <c r="C124" s="15" t="n">
        <v>2.65153918879</v>
      </c>
      <c r="D124" s="22" t="n">
        <f aca="false">100*(C124-C123)</f>
        <v>-3.09442277300001</v>
      </c>
      <c r="E124" s="23" t="n">
        <f aca="false">'A3 control'!AL258</f>
        <v>-3.44845675836878</v>
      </c>
      <c r="F124" s="10" t="n">
        <v>0</v>
      </c>
      <c r="G124" s="22" t="n">
        <f aca="false">D124-$B$137*E124</f>
        <v>0.324899632552016</v>
      </c>
      <c r="H124" s="22" t="n">
        <f aca="false">H123+G124</f>
        <v>1.69606781079885</v>
      </c>
      <c r="I124" s="22" t="n">
        <f aca="false">D124-E124</f>
        <v>0.354033985368771</v>
      </c>
      <c r="J124" s="22" t="n">
        <f aca="false">J123+I124</f>
        <v>1.69231115676936</v>
      </c>
      <c r="K124" s="22" t="n">
        <f aca="false">K123+D124</f>
        <v>2.13696352500001</v>
      </c>
    </row>
    <row r="125" customFormat="false" ht="15" hidden="false" customHeight="false" outlineLevel="0" collapsed="false">
      <c r="A125" s="10" t="n">
        <v>0</v>
      </c>
      <c r="B125" s="8" t="n">
        <v>41191</v>
      </c>
      <c r="C125" s="15" t="n">
        <v>2.63599115159</v>
      </c>
      <c r="D125" s="22" t="n">
        <f aca="false">100*(C125-C124)</f>
        <v>-1.55480372000003</v>
      </c>
      <c r="E125" s="23" t="n">
        <f aca="false">'A3 control'!AL259</f>
        <v>-0.690691997220981</v>
      </c>
      <c r="F125" s="10" t="n">
        <v>0</v>
      </c>
      <c r="G125" s="22" t="n">
        <f aca="false">D125-$B$137*E125</f>
        <v>-0.869947047315427</v>
      </c>
      <c r="H125" s="22" t="n">
        <f aca="false">H124+G125</f>
        <v>0.826120763483422</v>
      </c>
      <c r="I125" s="22" t="n">
        <f aca="false">D125-E125</f>
        <v>-0.86411172277905</v>
      </c>
      <c r="J125" s="22" t="n">
        <f aca="false">J124+I125</f>
        <v>0.828199433990312</v>
      </c>
      <c r="K125" s="22" t="n">
        <f aca="false">K124+D125</f>
        <v>0.582159804999982</v>
      </c>
    </row>
    <row r="126" customFormat="false" ht="15" hidden="false" customHeight="false" outlineLevel="0" collapsed="false">
      <c r="A126" s="10" t="n">
        <v>1</v>
      </c>
      <c r="B126" s="8" t="n">
        <v>41192</v>
      </c>
      <c r="C126" s="15" t="n">
        <v>2.657474274</v>
      </c>
      <c r="D126" s="22" t="n">
        <f aca="false">100*(C126-C125)</f>
        <v>2.14831224100003</v>
      </c>
      <c r="E126" s="23" t="n">
        <f aca="false">'A3 control'!AL260</f>
        <v>3.31181507516945</v>
      </c>
      <c r="F126" s="10" t="n">
        <v>0</v>
      </c>
      <c r="G126" s="22" t="n">
        <f aca="false">D126-$B$137*E126</f>
        <v>-1.13552290122414</v>
      </c>
      <c r="H126" s="22" t="n">
        <f aca="false">H125+G126</f>
        <v>-0.309402137740722</v>
      </c>
      <c r="I126" s="22" t="n">
        <f aca="false">D126-E126</f>
        <v>-1.16350283416942</v>
      </c>
      <c r="J126" s="22" t="n">
        <f aca="false">J125+I126</f>
        <v>-0.335303400179105</v>
      </c>
      <c r="K126" s="22" t="n">
        <f aca="false">K125+D126</f>
        <v>2.73047204600001</v>
      </c>
    </row>
    <row r="127" customFormat="false" ht="15" hidden="false" customHeight="false" outlineLevel="0" collapsed="false">
      <c r="A127" s="10" t="n">
        <v>2</v>
      </c>
      <c r="B127" s="8" t="n">
        <v>41193</v>
      </c>
      <c r="C127" s="15" t="n">
        <v>2.67101280036</v>
      </c>
      <c r="D127" s="22" t="n">
        <f aca="false">100*(C127-C126)</f>
        <v>1.35385263600001</v>
      </c>
      <c r="E127" s="23" t="n">
        <f aca="false">'A3 control'!AL261</f>
        <v>1.54069545354088</v>
      </c>
      <c r="F127" s="10" t="n">
        <v>0</v>
      </c>
      <c r="G127" s="22" t="n">
        <f aca="false">D127-$B$137*E127</f>
        <v>-0.173826222561773</v>
      </c>
      <c r="H127" s="22" t="n">
        <f aca="false">H126+G127</f>
        <v>-0.483228360302495</v>
      </c>
      <c r="I127" s="22" t="n">
        <f aca="false">D127-E127</f>
        <v>-0.186842817540874</v>
      </c>
      <c r="J127" s="22" t="n">
        <f aca="false">J126+I127</f>
        <v>-0.52214621771998</v>
      </c>
      <c r="K127" s="22" t="n">
        <f aca="false">K126+D127</f>
        <v>4.08432468200002</v>
      </c>
    </row>
    <row r="128" customFormat="false" ht="15" hidden="false" customHeight="false" outlineLevel="0" collapsed="false">
      <c r="A128" s="10" t="n">
        <v>3</v>
      </c>
      <c r="B128" s="8" t="n">
        <v>41194</v>
      </c>
      <c r="C128" s="15" t="n">
        <v>2.61773934899</v>
      </c>
      <c r="D128" s="22" t="n">
        <f aca="false">100*(C128-C127)</f>
        <v>-5.32734513700004</v>
      </c>
      <c r="E128" s="23" t="n">
        <f aca="false">'A3 control'!AL262</f>
        <v>-5.45399104339271</v>
      </c>
      <c r="F128" s="10" t="n">
        <v>0</v>
      </c>
      <c r="G128" s="22" t="n">
        <f aca="false">D128-$B$137*E128</f>
        <v>0.0805677588468088</v>
      </c>
      <c r="H128" s="22" t="n">
        <f aca="false">H127+G128</f>
        <v>-0.402660601455686</v>
      </c>
      <c r="I128" s="22" t="n">
        <f aca="false">D128-E128</f>
        <v>0.126645906392666</v>
      </c>
      <c r="J128" s="22" t="n">
        <f aca="false">J127+I128</f>
        <v>-0.395500311327314</v>
      </c>
      <c r="K128" s="22" t="n">
        <f aca="false">K127+D128</f>
        <v>-1.24302045500002</v>
      </c>
    </row>
    <row r="129" customFormat="false" ht="15" hidden="false" customHeight="false" outlineLevel="0" collapsed="false">
      <c r="A129" s="10" t="n">
        <v>4</v>
      </c>
      <c r="B129" s="8" t="n">
        <v>41197</v>
      </c>
      <c r="C129" s="15" t="n">
        <v>2.64611694612</v>
      </c>
      <c r="D129" s="22" t="n">
        <f aca="false">100*(C129-C128)</f>
        <v>2.837759713</v>
      </c>
      <c r="E129" s="23" t="n">
        <f aca="false">'A3 control'!AL263</f>
        <v>3.32220083814492</v>
      </c>
      <c r="F129" s="10" t="n">
        <v>0</v>
      </c>
      <c r="G129" s="22" t="n">
        <f aca="false">D129-$B$137*E129</f>
        <v>-0.456373447882698</v>
      </c>
      <c r="H129" s="22" t="n">
        <f aca="false">H128+G129</f>
        <v>-0.859034049338384</v>
      </c>
      <c r="I129" s="22" t="n">
        <f aca="false">D129-E129</f>
        <v>-0.484441125144922</v>
      </c>
      <c r="J129" s="22" t="n">
        <f aca="false">J128+I129</f>
        <v>-0.879941436472236</v>
      </c>
      <c r="K129" s="22" t="n">
        <f aca="false">K128+D129</f>
        <v>1.59473925799998</v>
      </c>
    </row>
    <row r="130" customFormat="false" ht="15" hidden="false" customHeight="false" outlineLevel="0" collapsed="false">
      <c r="A130" s="10" t="n">
        <v>5</v>
      </c>
      <c r="B130" s="8" t="n">
        <v>41198</v>
      </c>
      <c r="C130" s="15" t="n">
        <v>2.70820389201</v>
      </c>
      <c r="D130" s="22" t="n">
        <f aca="false">100*(C130-C129)</f>
        <v>6.208694589</v>
      </c>
      <c r="E130" s="23" t="n">
        <f aca="false">'A3 control'!AL264</f>
        <v>6.07541700608818</v>
      </c>
      <c r="F130" s="10" t="n">
        <v>0</v>
      </c>
      <c r="G130" s="22" t="n">
        <f aca="false">D130-$B$137*E130</f>
        <v>0.18460585957782</v>
      </c>
      <c r="H130" s="22" t="n">
        <f aca="false">H129+G130</f>
        <v>-0.674428189760564</v>
      </c>
      <c r="I130" s="22" t="n">
        <f aca="false">D130-E130</f>
        <v>0.133277582911822</v>
      </c>
      <c r="J130" s="22" t="n">
        <f aca="false">J129+I130</f>
        <v>-0.746663853560415</v>
      </c>
      <c r="K130" s="22" t="n">
        <f aca="false">K129+D130</f>
        <v>7.80343384699997</v>
      </c>
    </row>
    <row r="131" customFormat="false" ht="15" hidden="false" customHeight="false" outlineLevel="0" collapsed="false">
      <c r="A131" s="10" t="n">
        <v>6</v>
      </c>
      <c r="B131" s="8" t="n">
        <v>41199</v>
      </c>
      <c r="C131" s="15" t="n">
        <v>2.79105471064</v>
      </c>
      <c r="D131" s="22" t="n">
        <f aca="false">100*(C131-C130)</f>
        <v>8.28508186300003</v>
      </c>
      <c r="E131" s="23" t="n">
        <f aca="false">'A3 control'!AL265</f>
        <v>8.49915725572855</v>
      </c>
      <c r="F131" s="10" t="n">
        <v>0</v>
      </c>
      <c r="G131" s="22" t="n">
        <f aca="false">D131-$B$137*E131</f>
        <v>-0.142270100250206</v>
      </c>
      <c r="H131" s="22" t="n">
        <f aca="false">H130+G131</f>
        <v>-0.81669829001077</v>
      </c>
      <c r="I131" s="22" t="n">
        <f aca="false">D131-E131</f>
        <v>-0.214075392728518</v>
      </c>
      <c r="J131" s="22" t="n">
        <f aca="false">J130+I131</f>
        <v>-0.960739246288932</v>
      </c>
      <c r="K131" s="22" t="n">
        <f aca="false">K130+D131</f>
        <v>16.08851571</v>
      </c>
    </row>
    <row r="132" customFormat="false" ht="15" hidden="false" customHeight="false" outlineLevel="0" collapsed="false">
      <c r="A132" s="10" t="n">
        <v>7</v>
      </c>
      <c r="B132" s="8" t="n">
        <v>41200</v>
      </c>
      <c r="C132" s="15" t="n">
        <v>2.77923217254</v>
      </c>
      <c r="D132" s="22" t="n">
        <f aca="false">100*(C132-C131)</f>
        <v>-1.18225381000001</v>
      </c>
      <c r="E132" s="23" t="n">
        <f aca="false">'A3 control'!AL266</f>
        <v>-0.265389767731928</v>
      </c>
      <c r="F132" s="10" t="n">
        <v>0</v>
      </c>
      <c r="G132" s="22" t="n">
        <f aca="false">D132-$B$137*E132</f>
        <v>-0.919106192791878</v>
      </c>
      <c r="H132" s="22" t="n">
        <f aca="false">H131+G132</f>
        <v>-1.73580448280265</v>
      </c>
      <c r="I132" s="22" t="n">
        <f aca="false">D132-E132</f>
        <v>-0.916864042268084</v>
      </c>
      <c r="J132" s="22" t="n">
        <f aca="false">J131+I132</f>
        <v>-1.87760328855702</v>
      </c>
      <c r="K132" s="22" t="n">
        <f aca="false">K131+D132</f>
        <v>14.9062619</v>
      </c>
    </row>
    <row r="133" customFormat="false" ht="15" hidden="false" customHeight="false" outlineLevel="0" collapsed="false">
      <c r="A133" s="10" t="n">
        <v>8</v>
      </c>
      <c r="B133" s="8" t="n">
        <v>41201</v>
      </c>
      <c r="C133" s="15" t="n">
        <v>2.76365633507</v>
      </c>
      <c r="D133" s="22" t="n">
        <f aca="false">100*(C133-C132)</f>
        <v>-1.55758374700001</v>
      </c>
      <c r="E133" s="23" t="n">
        <f aca="false">'A3 control'!AL267</f>
        <v>-2.55122671499403</v>
      </c>
      <c r="F133" s="10" t="n">
        <v>0</v>
      </c>
      <c r="G133" s="22" t="n">
        <f aca="false">D133-$B$137*E133</f>
        <v>0.972088880343134</v>
      </c>
      <c r="H133" s="22" t="n">
        <f aca="false">H132+G133</f>
        <v>-0.763715602459514</v>
      </c>
      <c r="I133" s="22" t="n">
        <f aca="false">D133-E133</f>
        <v>0.993642967994019</v>
      </c>
      <c r="J133" s="22" t="n">
        <f aca="false">J132+I133</f>
        <v>-0.883960320562997</v>
      </c>
      <c r="K133" s="22" t="n">
        <f aca="false">K132+D133</f>
        <v>13.348678153</v>
      </c>
    </row>
    <row r="134" customFormat="false" ht="15" hidden="false" customHeight="false" outlineLevel="0" collapsed="false">
      <c r="A134" s="10" t="n">
        <v>9</v>
      </c>
      <c r="B134" s="8" t="n">
        <v>41204</v>
      </c>
      <c r="C134" s="15" t="n">
        <v>2.78977773963</v>
      </c>
      <c r="D134" s="22" t="n">
        <f aca="false">100*(C134-C133)</f>
        <v>2.612140456</v>
      </c>
      <c r="E134" s="23" t="n">
        <f aca="false">'A3 control'!AL268</f>
        <v>2.3784760141963</v>
      </c>
      <c r="F134" s="10" t="n">
        <v>0</v>
      </c>
      <c r="G134" s="22" t="n">
        <f aca="false">D134-$B$137*E134</f>
        <v>0.253759041857944</v>
      </c>
      <c r="H134" s="22" t="n">
        <f aca="false">H133+G134</f>
        <v>-0.50995656060157</v>
      </c>
      <c r="I134" s="22" t="n">
        <f aca="false">D134-E134</f>
        <v>0.233664441803697</v>
      </c>
      <c r="J134" s="22" t="n">
        <f aca="false">J133+I134</f>
        <v>-0.650295878759299</v>
      </c>
      <c r="K134" s="22" t="n">
        <f aca="false">K133+D134</f>
        <v>15.960818609</v>
      </c>
    </row>
    <row r="135" customFormat="false" ht="15" hidden="false" customHeight="false" outlineLevel="0" collapsed="false">
      <c r="A135" s="10" t="n">
        <v>10</v>
      </c>
      <c r="B135" s="8" t="n">
        <v>41205</v>
      </c>
      <c r="C135" s="15" t="n">
        <v>2.71460044437</v>
      </c>
      <c r="D135" s="22" t="n">
        <f aca="false">100*(C135-C134)</f>
        <v>-7.51772952600001</v>
      </c>
      <c r="E135" s="23" t="n">
        <f aca="false">'A3 control'!AL269</f>
        <v>-7.26453170998747</v>
      </c>
      <c r="F135" s="10" t="n">
        <v>0</v>
      </c>
      <c r="G135" s="22" t="n">
        <f aca="false">D135-$B$137*E135</f>
        <v>-0.314572350976229</v>
      </c>
      <c r="H135" s="22" t="n">
        <f aca="false">H134+G135</f>
        <v>-0.824528911577799</v>
      </c>
      <c r="I135" s="22" t="n">
        <f aca="false">D135-E135</f>
        <v>-0.253197816012539</v>
      </c>
      <c r="J135" s="22" t="n">
        <f aca="false">J134+I135</f>
        <v>-0.903493694771838</v>
      </c>
      <c r="K135" s="22" t="n">
        <f aca="false">K134+D135</f>
        <v>8.44308908299998</v>
      </c>
    </row>
    <row r="137" customFormat="false" ht="15" hidden="false" customHeight="false" outlineLevel="0" collapsed="false">
      <c r="A137" s="7" t="s">
        <v>167</v>
      </c>
      <c r="B137" s="24" t="n">
        <f aca="false">SLOPE(D5:D104,E5:E104)</f>
        <v>0.991551480891836</v>
      </c>
    </row>
    <row r="138" customFormat="false" ht="15" hidden="false" customHeight="false" outlineLevel="0" collapsed="false">
      <c r="A138" s="7" t="s">
        <v>168</v>
      </c>
      <c r="B138" s="22" t="n">
        <f aca="false">INTERCEPT(D5:D104,E5:E104)</f>
        <v>-0.0280020157038148</v>
      </c>
    </row>
    <row r="139" customFormat="false" ht="15" hidden="false" customHeight="false" outlineLevel="0" collapsed="false">
      <c r="A139" s="7" t="s">
        <v>169</v>
      </c>
      <c r="B139" s="18" t="n">
        <f aca="false">RSQ(D5:D104,E5:E104)</f>
        <v>0.955683219418194</v>
      </c>
    </row>
    <row r="140" customFormat="false" ht="15" hidden="false" customHeight="false" outlineLevel="0" collapsed="false">
      <c r="A140" s="7" t="s">
        <v>170</v>
      </c>
      <c r="B140" s="19" t="n">
        <f aca="false">COUNT(D5:D104)</f>
        <v>100</v>
      </c>
    </row>
    <row r="141" customFormat="false" ht="15" hidden="false" customHeight="false" outlineLevel="0" collapsed="false">
      <c r="A141" s="7" t="s">
        <v>171</v>
      </c>
      <c r="B141" s="25" t="n">
        <v>0.991551480891836</v>
      </c>
    </row>
    <row r="143" customFormat="false" ht="26.85" hidden="false" customHeight="false" outlineLevel="0" collapsed="false">
      <c r="A143" s="3" t="s">
        <v>172</v>
      </c>
      <c r="B143" s="3" t="s">
        <v>173</v>
      </c>
      <c r="C143" s="3" t="s">
        <v>174</v>
      </c>
      <c r="D143" s="3" t="s">
        <v>175</v>
      </c>
      <c r="E143" s="3" t="s">
        <v>176</v>
      </c>
    </row>
    <row r="144" customFormat="false" ht="15" hidden="false" customHeight="false" outlineLevel="0" collapsed="false">
      <c r="A144" s="7" t="s">
        <v>177</v>
      </c>
      <c r="B144" s="17" t="n">
        <f aca="false">H124-H119</f>
        <v>1.69606781079885</v>
      </c>
      <c r="C144" s="18" t="n">
        <f aca="false">J124-J119</f>
        <v>1.69231115676936</v>
      </c>
      <c r="D144" s="18" t="n">
        <f aca="false">K124-K119</f>
        <v>2.13696352500001</v>
      </c>
      <c r="E144" s="9" t="n">
        <v>1.69606781079885</v>
      </c>
    </row>
    <row r="145" customFormat="false" ht="15" hidden="false" customHeight="false" outlineLevel="0" collapsed="false">
      <c r="A145" s="7" t="s">
        <v>178</v>
      </c>
      <c r="B145" s="17" t="n">
        <f aca="false">H125-H124</f>
        <v>-0.869947047315427</v>
      </c>
      <c r="C145" s="18" t="n">
        <f aca="false">J125-J124</f>
        <v>-0.86411172277905</v>
      </c>
      <c r="D145" s="18" t="n">
        <f aca="false">K125-K124</f>
        <v>-1.55480372000003</v>
      </c>
      <c r="E145" s="9" t="n">
        <v>-0.869947047315421</v>
      </c>
    </row>
    <row r="146" customFormat="false" ht="15" hidden="false" customHeight="false" outlineLevel="0" collapsed="false">
      <c r="A146" s="7" t="s">
        <v>179</v>
      </c>
      <c r="B146" s="17" t="n">
        <f aca="false">H130-H125</f>
        <v>-1.50054895324399</v>
      </c>
      <c r="C146" s="18" t="n">
        <f aca="false">J130-J125</f>
        <v>-1.57486328755073</v>
      </c>
      <c r="D146" s="18" t="n">
        <f aca="false">K130-K125</f>
        <v>7.22127404199999</v>
      </c>
      <c r="E146" s="9" t="n">
        <v>-1.50054895324398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6" t="s">
        <v>213</v>
      </c>
    </row>
    <row r="3" customFormat="false" ht="15" hidden="false" customHeight="false" outlineLevel="0" collapsed="false">
      <c r="A3" s="7" t="s">
        <v>33</v>
      </c>
      <c r="B3" s="8" t="n">
        <v>43174</v>
      </c>
    </row>
    <row r="4" customFormat="false" ht="15" hidden="false" customHeight="false" outlineLevel="0" collapsed="false">
      <c r="A4" s="7" t="s">
        <v>34</v>
      </c>
      <c r="B4" s="8" t="n">
        <v>43175</v>
      </c>
    </row>
    <row r="5" customFormat="false" ht="15" hidden="false" customHeight="false" outlineLevel="0" collapsed="false">
      <c r="A5" s="7" t="s">
        <v>35</v>
      </c>
      <c r="B5" s="8" t="n">
        <v>43175</v>
      </c>
    </row>
    <row r="6" customFormat="false" ht="15" hidden="false" customHeight="false" outlineLevel="0" collapsed="false">
      <c r="A6" s="7" t="s">
        <v>36</v>
      </c>
      <c r="B6" s="8" t="n">
        <v>43173</v>
      </c>
    </row>
    <row r="7" customFormat="false" ht="15" hidden="false" customHeight="false" outlineLevel="0" collapsed="false">
      <c r="A7" s="7" t="s">
        <v>37</v>
      </c>
      <c r="B7" s="9" t="n">
        <v>1.625</v>
      </c>
    </row>
    <row r="8" customFormat="false" ht="15" hidden="false" customHeight="false" outlineLevel="0" collapsed="false">
      <c r="A8" s="7" t="s">
        <v>38</v>
      </c>
      <c r="B8" s="8" t="n">
        <v>47048</v>
      </c>
    </row>
    <row r="9" customFormat="false" ht="15" hidden="false" customHeight="false" outlineLevel="0" collapsed="false">
      <c r="A9" s="7" t="s">
        <v>39</v>
      </c>
      <c r="B9" s="8" t="n">
        <v>43175</v>
      </c>
    </row>
    <row r="10" customFormat="false" ht="15" hidden="false" customHeight="false" outlineLevel="0" collapsed="false">
      <c r="A10" s="7" t="s">
        <v>40</v>
      </c>
      <c r="B10" s="8" t="n">
        <v>43395</v>
      </c>
    </row>
    <row r="11" customFormat="false" ht="15" hidden="false" customHeight="false" outlineLevel="0" collapsed="false">
      <c r="A11" s="7" t="s">
        <v>41</v>
      </c>
      <c r="B11" s="10" t="s">
        <v>214</v>
      </c>
    </row>
    <row r="12" customFormat="false" ht="15" hidden="false" customHeight="false" outlineLevel="0" collapsed="false">
      <c r="A12" s="7" t="s">
        <v>43</v>
      </c>
      <c r="B12" s="11" t="n">
        <v>0</v>
      </c>
    </row>
    <row r="13" customFormat="false" ht="15" hidden="false" customHeight="false" outlineLevel="0" collapsed="false">
      <c r="A13" s="7" t="s">
        <v>44</v>
      </c>
      <c r="B13" s="11" t="n">
        <v>1.579989</v>
      </c>
    </row>
    <row r="14" customFormat="false" ht="15" hidden="false" customHeight="false" outlineLevel="0" collapsed="false">
      <c r="A14" s="7" t="s">
        <v>45</v>
      </c>
      <c r="B14" s="12" t="n">
        <v>40</v>
      </c>
    </row>
    <row r="15" customFormat="false" ht="15" hidden="false" customHeight="false" outlineLevel="0" collapsed="false">
      <c r="A15" s="7" t="s">
        <v>46</v>
      </c>
      <c r="B15" s="11" t="n">
        <v>1.59003356518965</v>
      </c>
    </row>
    <row r="16" customFormat="false" ht="15" hidden="false" customHeight="false" outlineLevel="0" collapsed="false">
      <c r="A16" s="7" t="s">
        <v>47</v>
      </c>
      <c r="B16" s="11" t="n">
        <v>0.89605706301939</v>
      </c>
    </row>
    <row r="19" customFormat="false" ht="39.55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58</v>
      </c>
      <c r="L19" s="3" t="s">
        <v>59</v>
      </c>
      <c r="M19" s="3" t="s">
        <v>60</v>
      </c>
      <c r="N19" s="3" t="s">
        <v>61</v>
      </c>
    </row>
    <row r="20" customFormat="false" ht="15" hidden="false" customHeight="false" outlineLevel="0" collapsed="false">
      <c r="A20" s="8" t="n">
        <v>43212</v>
      </c>
      <c r="B20" s="11" t="n">
        <v>0</v>
      </c>
      <c r="C20" s="13" t="n">
        <f aca="false">(A20-$B$5)/365.25</f>
        <v>0.101300479123888</v>
      </c>
      <c r="D20" s="11" t="n">
        <v>0.432594783773851</v>
      </c>
      <c r="E20" s="14" t="n">
        <f aca="false">EXP(-D20/100*C20)</f>
        <v>0.99956187541599</v>
      </c>
      <c r="F20" s="13" t="n">
        <f aca="false">B20*E20</f>
        <v>0</v>
      </c>
      <c r="G20" s="11" t="n">
        <v>0.203296703296703</v>
      </c>
      <c r="H20" s="14" t="n">
        <f aca="false">(1/(1+$B$46/200))^G20</f>
        <v>0.99846227454981</v>
      </c>
      <c r="I20" s="13" t="n">
        <f aca="false">B20*H20</f>
        <v>0</v>
      </c>
    </row>
    <row r="21" customFormat="false" ht="15" hidden="false" customHeight="false" outlineLevel="0" collapsed="false">
      <c r="A21" s="8" t="n">
        <v>43395</v>
      </c>
      <c r="B21" s="11" t="n">
        <v>0.977678571428571</v>
      </c>
      <c r="C21" s="13" t="n">
        <f aca="false">(A21-$B$5)/365.25</f>
        <v>0.602327173169062</v>
      </c>
      <c r="D21" s="11" t="n">
        <v>0.506585670162041</v>
      </c>
      <c r="E21" s="14" t="n">
        <f aca="false">EXP(-D21/100*C21)</f>
        <v>0.996953347347455</v>
      </c>
      <c r="F21" s="13" t="n">
        <f aca="false">B21*E21</f>
        <v>0.974699924415592</v>
      </c>
      <c r="G21" s="11" t="n">
        <v>1.2032967032967</v>
      </c>
      <c r="H21" s="14" t="n">
        <f aca="false">(1/(1+$B$46/200))^G21</f>
        <v>0.990932680955298</v>
      </c>
      <c r="I21" s="13" t="n">
        <f aca="false">B21*H21</f>
        <v>0.96881364789826</v>
      </c>
      <c r="J21" s="9" t="n">
        <v>0.583333</v>
      </c>
      <c r="K21" s="11" t="n">
        <v>0.499871975890792</v>
      </c>
      <c r="L21" s="9" t="n">
        <v>0.666667</v>
      </c>
      <c r="M21" s="11" t="n">
        <v>0.528052565931591</v>
      </c>
      <c r="N21" s="13" t="n">
        <f aca="false">IF(L21=J21,K21,K21+(M21-K21)*(C21-J21)/(L21-J21))</f>
        <v>0.506295128592466</v>
      </c>
    </row>
    <row r="22" customFormat="false" ht="15" hidden="false" customHeight="false" outlineLevel="0" collapsed="false">
      <c r="A22" s="8" t="n">
        <v>43577</v>
      </c>
      <c r="B22" s="11" t="n">
        <v>0.8125</v>
      </c>
      <c r="C22" s="13" t="n">
        <f aca="false">(A22-$B$5)/365.25</f>
        <v>1.1006160164271</v>
      </c>
      <c r="D22" s="11" t="n">
        <v>0.630428967078168</v>
      </c>
      <c r="E22" s="14" t="n">
        <f aca="false">EXP(-D22/100*C22)</f>
        <v>0.993085414337143</v>
      </c>
      <c r="F22" s="13" t="n">
        <f aca="false">B22*E22</f>
        <v>0.806881899148929</v>
      </c>
      <c r="G22" s="11" t="n">
        <v>2.2032967032967</v>
      </c>
      <c r="H22" s="14" t="n">
        <f aca="false">(1/(1+$B$46/200))^G22</f>
        <v>0.983459869455758</v>
      </c>
      <c r="I22" s="13" t="n">
        <f aca="false">B22*H22</f>
        <v>0.799061143932804</v>
      </c>
      <c r="J22" s="9" t="n">
        <v>1.083333</v>
      </c>
      <c r="K22" s="11" t="n">
        <v>0.627398798606664</v>
      </c>
      <c r="L22" s="9" t="n">
        <v>1.166667</v>
      </c>
      <c r="M22" s="11" t="n">
        <v>0.641469578584908</v>
      </c>
      <c r="N22" s="13" t="n">
        <f aca="false">IF(L22=J22,K22,K22+(M22-K22)*(C22-J22)/(L22-J22))</f>
        <v>0.630317001519114</v>
      </c>
    </row>
    <row r="23" customFormat="false" ht="15" hidden="false" customHeight="false" outlineLevel="0" collapsed="false">
      <c r="A23" s="8" t="n">
        <v>43760</v>
      </c>
      <c r="B23" s="11" t="n">
        <v>0.8125</v>
      </c>
      <c r="C23" s="13" t="n">
        <f aca="false">(A23-$B$5)/365.25</f>
        <v>1.60164271047228</v>
      </c>
      <c r="D23" s="11" t="n">
        <v>0.699360552733456</v>
      </c>
      <c r="E23" s="14" t="n">
        <f aca="false">EXP(-D23/100*C23)</f>
        <v>0.988861243190846</v>
      </c>
      <c r="F23" s="13" t="n">
        <f aca="false">B23*E23</f>
        <v>0.803449760092563</v>
      </c>
      <c r="G23" s="11" t="n">
        <v>3.2032967032967</v>
      </c>
      <c r="H23" s="14" t="n">
        <f aca="false">(1/(1+$B$46/200))^G23</f>
        <v>0.97604341184663</v>
      </c>
      <c r="I23" s="13" t="n">
        <f aca="false">B23*H23</f>
        <v>0.793035272125386</v>
      </c>
      <c r="J23" s="9" t="n">
        <v>1.583333</v>
      </c>
      <c r="K23" s="11" t="n">
        <v>0.697273672070938</v>
      </c>
      <c r="L23" s="9" t="n">
        <v>1.666667</v>
      </c>
      <c r="M23" s="11" t="n">
        <v>0.706616531709524</v>
      </c>
      <c r="N23" s="13" t="n">
        <f aca="false">IF(L23=J23,K23,K23+(M23-K23)*(C23-J23)/(L23-J23))</f>
        <v>0.699326436308412</v>
      </c>
    </row>
    <row r="24" customFormat="false" ht="15" hidden="false" customHeight="false" outlineLevel="0" collapsed="false">
      <c r="A24" s="8" t="n">
        <v>43943</v>
      </c>
      <c r="B24" s="11" t="n">
        <v>0.8125</v>
      </c>
      <c r="C24" s="13" t="n">
        <f aca="false">(A24-$B$5)/365.25</f>
        <v>2.10266940451745</v>
      </c>
      <c r="D24" s="11" t="n">
        <v>0.751235222703384</v>
      </c>
      <c r="E24" s="14" t="n">
        <f aca="false">EXP(-D24/100*C24)</f>
        <v>0.984328109217124</v>
      </c>
      <c r="F24" s="13" t="n">
        <f aca="false">B24*E24</f>
        <v>0.799766588738913</v>
      </c>
      <c r="G24" s="11" t="n">
        <v>4.2032967032967</v>
      </c>
      <c r="H24" s="14" t="n">
        <f aca="false">(1/(1+$B$46/200))^G24</f>
        <v>0.968682883152524</v>
      </c>
      <c r="I24" s="13" t="n">
        <f aca="false">B24*H24</f>
        <v>0.787054842561426</v>
      </c>
      <c r="J24" s="9" t="n">
        <v>2.083333</v>
      </c>
      <c r="K24" s="11" t="n">
        <v>0.749348626680549</v>
      </c>
      <c r="L24" s="9" t="n">
        <v>2.166667</v>
      </c>
      <c r="M24" s="11" t="n">
        <v>0.757445863846916</v>
      </c>
      <c r="N24" s="13" t="n">
        <f aca="false">IF(L24=J24,K24,K24+(M24-K24)*(C24-J24)/(L24-J24))</f>
        <v>0.751227469089681</v>
      </c>
    </row>
    <row r="25" customFormat="false" ht="15" hidden="false" customHeight="false" outlineLevel="0" collapsed="false">
      <c r="A25" s="8" t="n">
        <v>44126</v>
      </c>
      <c r="B25" s="11" t="n">
        <v>0.8125</v>
      </c>
      <c r="C25" s="13" t="n">
        <f aca="false">(A25-$B$5)/365.25</f>
        <v>2.60369609856263</v>
      </c>
      <c r="D25" s="11" t="n">
        <v>0.799150348996642</v>
      </c>
      <c r="E25" s="14" t="n">
        <f aca="false">EXP(-D25/100*C25)</f>
        <v>0.979407534803366</v>
      </c>
      <c r="F25" s="13" t="n">
        <f aca="false">B25*E25</f>
        <v>0.795768622027735</v>
      </c>
      <c r="G25" s="11" t="n">
        <v>5.2032967032967</v>
      </c>
      <c r="H25" s="14" t="n">
        <f aca="false">(1/(1+$B$46/200))^G25</f>
        <v>0.961377861602875</v>
      </c>
      <c r="I25" s="13" t="n">
        <f aca="false">B25*H25</f>
        <v>0.781119512552336</v>
      </c>
      <c r="J25" s="9" t="n">
        <v>2.583333</v>
      </c>
      <c r="K25" s="11" t="n">
        <v>0.797217080642566</v>
      </c>
      <c r="L25" s="9" t="n">
        <v>2.666667</v>
      </c>
      <c r="M25" s="11" t="n">
        <v>0.805130631765541</v>
      </c>
      <c r="N25" s="13" t="n">
        <f aca="false">IF(L25=J25,K25,K25+(M25-K25)*(C25-J25)/(L25-J25))</f>
        <v>0.799150798230796</v>
      </c>
    </row>
    <row r="26" customFormat="false" ht="15" hidden="false" customHeight="false" outlineLevel="0" collapsed="false">
      <c r="A26" s="8" t="n">
        <v>44308</v>
      </c>
      <c r="B26" s="11" t="n">
        <v>0.8125</v>
      </c>
      <c r="C26" s="13" t="n">
        <f aca="false">(A26-$B$5)/365.25</f>
        <v>3.10198494182067</v>
      </c>
      <c r="D26" s="11" t="n">
        <v>0.846735919082034</v>
      </c>
      <c r="E26" s="14" t="n">
        <f aca="false">EXP(-D26/100*C26)</f>
        <v>0.97407632040223</v>
      </c>
      <c r="F26" s="13" t="n">
        <f aca="false">B26*E26</f>
        <v>0.791437010326812</v>
      </c>
      <c r="G26" s="11" t="n">
        <v>6.2032967032967</v>
      </c>
      <c r="H26" s="14" t="n">
        <f aca="false">(1/(1+$B$46/200))^G26</f>
        <v>0.954127928607767</v>
      </c>
      <c r="I26" s="13" t="n">
        <f aca="false">B26*H26</f>
        <v>0.77522894199381</v>
      </c>
      <c r="J26" s="9" t="n">
        <v>3.083333</v>
      </c>
      <c r="K26" s="11" t="n">
        <v>0.844939625884113</v>
      </c>
      <c r="L26" s="9" t="n">
        <v>3.166667</v>
      </c>
      <c r="M26" s="11" t="n">
        <v>0.852976441367332</v>
      </c>
      <c r="N26" s="13" t="n">
        <f aca="false">IF(L26=J26,K26,K26+(M26-K26)*(C26-J26)/(L26-J26))</f>
        <v>0.846738438071413</v>
      </c>
    </row>
    <row r="27" customFormat="false" ht="15" hidden="false" customHeight="false" outlineLevel="0" collapsed="false">
      <c r="A27" s="8" t="n">
        <v>44491</v>
      </c>
      <c r="B27" s="11" t="n">
        <v>0.8125</v>
      </c>
      <c r="C27" s="13" t="n">
        <f aca="false">(A27-$B$5)/365.25</f>
        <v>3.60301163586585</v>
      </c>
      <c r="D27" s="11" t="n">
        <v>0.895546234349457</v>
      </c>
      <c r="E27" s="14" t="n">
        <f aca="false">EXP(-D27/100*C27)</f>
        <v>0.968248378723962</v>
      </c>
      <c r="F27" s="13" t="n">
        <f aca="false">B27*E27</f>
        <v>0.786701807713219</v>
      </c>
      <c r="G27" s="11" t="n">
        <v>7.2032967032967</v>
      </c>
      <c r="H27" s="14" t="n">
        <f aca="false">(1/(1+$B$46/200))^G27</f>
        <v>0.946932668733949</v>
      </c>
      <c r="I27" s="13" t="n">
        <f aca="false">B27*H27</f>
        <v>0.769382793346333</v>
      </c>
      <c r="J27" s="9" t="n">
        <v>3.583333</v>
      </c>
      <c r="K27" s="11" t="n">
        <v>0.893609101018156</v>
      </c>
      <c r="L27" s="9" t="n">
        <v>3.666667</v>
      </c>
      <c r="M27" s="11" t="n">
        <v>0.901822809974455</v>
      </c>
      <c r="N27" s="13" t="n">
        <f aca="false">IF(L27=J27,K27,K27+(M27-K27)*(C27-J27)/(L27-J27))</f>
        <v>0.895548700553268</v>
      </c>
    </row>
    <row r="28" customFormat="false" ht="15" hidden="false" customHeight="false" outlineLevel="0" collapsed="false">
      <c r="A28" s="8" t="n">
        <v>44673</v>
      </c>
      <c r="B28" s="11" t="n">
        <v>0.8125</v>
      </c>
      <c r="C28" s="13" t="n">
        <f aca="false">(A28-$B$5)/365.25</f>
        <v>4.10130047912389</v>
      </c>
      <c r="D28" s="11" t="n">
        <v>0.945054398290471</v>
      </c>
      <c r="E28" s="14" t="n">
        <f aca="false">EXP(-D28/100*C28)</f>
        <v>0.961982018224871</v>
      </c>
      <c r="F28" s="13" t="n">
        <f aca="false">B28*E28</f>
        <v>0.781610389807708</v>
      </c>
      <c r="G28" s="11" t="n">
        <v>8.2032967032967</v>
      </c>
      <c r="H28" s="14" t="n">
        <f aca="false">(1/(1+$B$46/200))^G28</f>
        <v>0.939791669681033</v>
      </c>
      <c r="I28" s="13" t="n">
        <f aca="false">B28*H28</f>
        <v>0.763580731615839</v>
      </c>
      <c r="J28" s="9" t="n">
        <v>4.083333</v>
      </c>
      <c r="K28" s="11" t="n">
        <v>0.943256163130275</v>
      </c>
      <c r="L28" s="9" t="n">
        <v>4.166666</v>
      </c>
      <c r="M28" s="11" t="n">
        <v>0.951602794931261</v>
      </c>
      <c r="N28" s="13" t="n">
        <f aca="false">IF(L28=J28,K28,K28+(M28-K28)*(C28-J28)/(L28-J28))</f>
        <v>0.945055785520433</v>
      </c>
    </row>
    <row r="29" customFormat="false" ht="15" hidden="false" customHeight="false" outlineLevel="0" collapsed="false">
      <c r="A29" s="8" t="n">
        <v>44856</v>
      </c>
      <c r="B29" s="11" t="n">
        <v>0.8125</v>
      </c>
      <c r="C29" s="13" t="n">
        <f aca="false">(A29-$B$5)/365.25</f>
        <v>4.60232717316906</v>
      </c>
      <c r="D29" s="11" t="n">
        <v>0.995436653594914</v>
      </c>
      <c r="E29" s="14" t="n">
        <f aca="false">EXP(-D29/100*C29)</f>
        <v>0.955220331403571</v>
      </c>
      <c r="F29" s="13" t="n">
        <f aca="false">B29*E29</f>
        <v>0.776116519265401</v>
      </c>
      <c r="G29" s="11" t="n">
        <v>9.2032967032967</v>
      </c>
      <c r="H29" s="14" t="n">
        <f aca="false">(1/(1+$B$46/200))^G29</f>
        <v>0.932704522257866</v>
      </c>
      <c r="I29" s="13" t="n">
        <f aca="false">B29*H29</f>
        <v>0.757822424334516</v>
      </c>
      <c r="J29" s="9" t="n">
        <v>4.583333</v>
      </c>
      <c r="K29" s="11" t="n">
        <v>0.993521041595335</v>
      </c>
      <c r="L29" s="9" t="n">
        <v>4.666666</v>
      </c>
      <c r="M29" s="11" t="n">
        <v>1.00192681830353</v>
      </c>
      <c r="N29" s="13" t="n">
        <f aca="false">IF(L29=J29,K29,K29+(M29-K29)*(C29-J29)/(L29-J29))</f>
        <v>0.995436978600074</v>
      </c>
    </row>
    <row r="30" customFormat="false" ht="15" hidden="false" customHeight="false" outlineLevel="0" collapsed="false">
      <c r="A30" s="8" t="n">
        <v>45038</v>
      </c>
      <c r="B30" s="11" t="n">
        <v>0.8125</v>
      </c>
      <c r="C30" s="13" t="n">
        <f aca="false">(A30-$B$5)/365.25</f>
        <v>5.10061601642711</v>
      </c>
      <c r="D30" s="11" t="n">
        <v>1.04570087353649</v>
      </c>
      <c r="E30" s="14" t="n">
        <f aca="false">EXP(-D30/100*C30)</f>
        <v>0.948060285699018</v>
      </c>
      <c r="F30" s="13" t="n">
        <f aca="false">B30*E30</f>
        <v>0.770298982130452</v>
      </c>
      <c r="G30" s="11" t="n">
        <v>10.2032967032967</v>
      </c>
      <c r="H30" s="14" t="n">
        <f aca="false">(1/(1+$B$46/200))^G30</f>
        <v>0.925670820359082</v>
      </c>
      <c r="I30" s="13" t="n">
        <f aca="false">B30*H30</f>
        <v>0.752107541541754</v>
      </c>
      <c r="J30" s="9" t="n">
        <v>5</v>
      </c>
      <c r="K30" s="11" t="n">
        <v>1.03555820263977</v>
      </c>
      <c r="L30" s="9" t="n">
        <v>5.5</v>
      </c>
      <c r="M30" s="11" t="n">
        <v>1.08584826543859</v>
      </c>
      <c r="N30" s="13" t="n">
        <f aca="false">IF(L30=J30,K30,K30+(M30-K30)*(C30-J30)/(L30-J30))</f>
        <v>1.04567817420914</v>
      </c>
    </row>
    <row r="31" customFormat="false" ht="15" hidden="false" customHeight="false" outlineLevel="0" collapsed="false">
      <c r="A31" s="8" t="n">
        <v>45221</v>
      </c>
      <c r="B31" s="11" t="n">
        <v>0.8125</v>
      </c>
      <c r="C31" s="13" t="n">
        <f aca="false">(A31-$B$5)/365.25</f>
        <v>5.60164271047228</v>
      </c>
      <c r="D31" s="11" t="n">
        <v>1.09602467824566</v>
      </c>
      <c r="E31" s="14" t="n">
        <f aca="false">EXP(-D31/100*C31)</f>
        <v>0.940451324503814</v>
      </c>
      <c r="F31" s="13" t="n">
        <f aca="false">B31*E31</f>
        <v>0.764116701159349</v>
      </c>
      <c r="G31" s="11" t="n">
        <v>11.2032967032967</v>
      </c>
      <c r="H31" s="14" t="n">
        <f aca="false">(1/(1+$B$46/200))^G31</f>
        <v>0.918690160941836</v>
      </c>
      <c r="I31" s="13" t="n">
        <f aca="false">B31*H31</f>
        <v>0.746435755765241</v>
      </c>
      <c r="J31" s="9" t="n">
        <v>5.5</v>
      </c>
      <c r="K31" s="11" t="n">
        <v>1.08584826543859</v>
      </c>
      <c r="L31" s="9" t="n">
        <v>6</v>
      </c>
      <c r="M31" s="11" t="n">
        <v>1.13568998786057</v>
      </c>
      <c r="N31" s="13" t="n">
        <f aca="false">IF(L31=J31,K31,K31+(M31-K31)*(C31-J31)/(L31-J31))</f>
        <v>1.09598036096174</v>
      </c>
    </row>
    <row r="32" customFormat="false" ht="15" hidden="false" customHeight="false" outlineLevel="0" collapsed="false">
      <c r="A32" s="8" t="n">
        <v>45404</v>
      </c>
      <c r="B32" s="11" t="n">
        <v>0.8125</v>
      </c>
      <c r="C32" s="13" t="n">
        <f aca="false">(A32-$B$5)/365.25</f>
        <v>6.10266940451745</v>
      </c>
      <c r="D32" s="11" t="n">
        <v>1.14584824296529</v>
      </c>
      <c r="E32" s="14" t="n">
        <f aca="false">EXP(-D32/100*C32)</f>
        <v>0.932461579291046</v>
      </c>
      <c r="F32" s="13" t="n">
        <f aca="false">B32*E32</f>
        <v>0.757625033173975</v>
      </c>
      <c r="G32" s="11" t="n">
        <v>12.2032967032967</v>
      </c>
      <c r="H32" s="14" t="n">
        <f aca="false">(1/(1+$B$46/200))^G32</f>
        <v>0.911762144002701</v>
      </c>
      <c r="I32" s="13" t="n">
        <f aca="false">B32*H32</f>
        <v>0.740806742002194</v>
      </c>
      <c r="J32" s="9" t="n">
        <v>6</v>
      </c>
      <c r="K32" s="11" t="n">
        <v>1.13568998786057</v>
      </c>
      <c r="L32" s="9" t="n">
        <v>6.5</v>
      </c>
      <c r="M32" s="11" t="n">
        <v>1.18486680424716</v>
      </c>
      <c r="N32" s="13" t="n">
        <f aca="false">IF(L32=J32,K32,K32+(M32-K32)*(C32-J32)/(L32-J32))</f>
        <v>1.14578789676952</v>
      </c>
    </row>
    <row r="33" customFormat="false" ht="15" hidden="false" customHeight="false" outlineLevel="0" collapsed="false">
      <c r="A33" s="8" t="n">
        <v>45587</v>
      </c>
      <c r="B33" s="11" t="n">
        <v>0.8125</v>
      </c>
      <c r="C33" s="13" t="n">
        <f aca="false">(A33-$B$5)/365.25</f>
        <v>6.60369609856263</v>
      </c>
      <c r="D33" s="11" t="n">
        <v>1.19496590702377</v>
      </c>
      <c r="E33" s="14" t="n">
        <f aca="false">EXP(-D33/100*C33)</f>
        <v>0.92412132025579</v>
      </c>
      <c r="F33" s="13" t="n">
        <f aca="false">B33*E33</f>
        <v>0.750848572707829</v>
      </c>
      <c r="G33" s="11" t="n">
        <v>13.2032967032967</v>
      </c>
      <c r="H33" s="14" t="n">
        <f aca="false">(1/(1+$B$46/200))^G33</f>
        <v>0.904886372554755</v>
      </c>
      <c r="I33" s="13" t="n">
        <f aca="false">B33*H33</f>
        <v>0.735220177700738</v>
      </c>
      <c r="J33" s="9" t="n">
        <v>6.5</v>
      </c>
      <c r="K33" s="11" t="n">
        <v>1.18486680424716</v>
      </c>
      <c r="L33" s="9" t="n">
        <v>7</v>
      </c>
      <c r="M33" s="11" t="n">
        <v>1.23320249158798</v>
      </c>
      <c r="N33" s="13" t="n">
        <f aca="false">IF(L33=J33,K33,K33+(M33-K33)*(C33-J33)/(L33-J33))</f>
        <v>1.19489124864434</v>
      </c>
    </row>
    <row r="34" customFormat="false" ht="15" hidden="false" customHeight="false" outlineLevel="0" collapsed="false">
      <c r="A34" s="8" t="n">
        <v>45769</v>
      </c>
      <c r="B34" s="11" t="n">
        <v>0.8125</v>
      </c>
      <c r="C34" s="13" t="n">
        <f aca="false">(A34-$B$5)/365.25</f>
        <v>7.10198494182067</v>
      </c>
      <c r="D34" s="11" t="n">
        <v>1.24294328457142</v>
      </c>
      <c r="E34" s="14" t="n">
        <f aca="false">EXP(-D34/100*C34)</f>
        <v>0.915510317708294</v>
      </c>
      <c r="F34" s="13" t="n">
        <f aca="false">B34*E34</f>
        <v>0.743852133137989</v>
      </c>
      <c r="G34" s="11" t="n">
        <v>14.2032967032967</v>
      </c>
      <c r="H34" s="14" t="n">
        <f aca="false">(1/(1+$B$46/200))^G34</f>
        <v>0.898062452604829</v>
      </c>
      <c r="I34" s="13" t="n">
        <f aca="false">B34*H34</f>
        <v>0.729675742741424</v>
      </c>
      <c r="J34" s="9" t="n">
        <v>7</v>
      </c>
      <c r="K34" s="11" t="n">
        <v>1.23320249158798</v>
      </c>
      <c r="L34" s="9" t="n">
        <v>7.5</v>
      </c>
      <c r="M34" s="11" t="n">
        <v>1.28052908525771</v>
      </c>
      <c r="N34" s="13" t="n">
        <f aca="false">IF(L34=J34,K34,K34+(M34-K34)*(C34-J34)/(L34-J34))</f>
        <v>1.24285569139194</v>
      </c>
    </row>
    <row r="35" customFormat="false" ht="15" hidden="false" customHeight="false" outlineLevel="0" collapsed="false">
      <c r="A35" s="8" t="n">
        <v>45952</v>
      </c>
      <c r="B35" s="11" t="n">
        <v>0.8125</v>
      </c>
      <c r="C35" s="13" t="n">
        <f aca="false">(A35-$B$5)/365.25</f>
        <v>7.60301163586585</v>
      </c>
      <c r="D35" s="11" t="n">
        <v>1.29013787251787</v>
      </c>
      <c r="E35" s="14" t="n">
        <f aca="false">EXP(-D35/100*C35)</f>
        <v>0.906567914098226</v>
      </c>
      <c r="F35" s="13" t="n">
        <f aca="false">B35*E35</f>
        <v>0.736586430204808</v>
      </c>
      <c r="G35" s="11" t="n">
        <v>15.2032967032967</v>
      </c>
      <c r="H35" s="14" t="n">
        <f aca="false">(1/(1+$B$46/200))^G35</f>
        <v>0.891289993130932</v>
      </c>
      <c r="I35" s="13" t="n">
        <f aca="false">B35*H35</f>
        <v>0.724173119418882</v>
      </c>
      <c r="J35" s="9" t="n">
        <v>7.5</v>
      </c>
      <c r="K35" s="11" t="n">
        <v>1.28052908525771</v>
      </c>
      <c r="L35" s="9" t="n">
        <v>8</v>
      </c>
      <c r="M35" s="11" t="n">
        <v>1.32666636904398</v>
      </c>
      <c r="N35" s="13" t="n">
        <f aca="false">IF(L35=J35,K35,K35+(M35-K35)*(C35-J35)/(L35-J35))</f>
        <v>1.29003443941217</v>
      </c>
    </row>
    <row r="36" customFormat="false" ht="15" hidden="false" customHeight="false" outlineLevel="0" collapsed="false">
      <c r="A36" s="8" t="n">
        <v>46134</v>
      </c>
      <c r="B36" s="11" t="n">
        <v>0.8125</v>
      </c>
      <c r="C36" s="13" t="n">
        <f aca="false">(A36-$B$5)/365.25</f>
        <v>8.10130047912389</v>
      </c>
      <c r="D36" s="11" t="n">
        <v>1.33585200785657</v>
      </c>
      <c r="E36" s="14" t="n">
        <f aca="false">EXP(-D36/100*C36)</f>
        <v>0.897428897039039</v>
      </c>
      <c r="F36" s="13" t="n">
        <f aca="false">B36*E36</f>
        <v>0.729160978844219</v>
      </c>
      <c r="G36" s="11" t="n">
        <v>16.2032967032967</v>
      </c>
      <c r="H36" s="14" t="n">
        <f aca="false">(1/(1+$B$46/200))^G36</f>
        <v>0.884568606059841</v>
      </c>
      <c r="I36" s="13" t="n">
        <f aca="false">B36*H36</f>
        <v>0.718711992423621</v>
      </c>
      <c r="J36" s="9" t="n">
        <v>8</v>
      </c>
      <c r="K36" s="11" t="n">
        <v>1.32666636904398</v>
      </c>
      <c r="L36" s="9" t="n">
        <v>8.5</v>
      </c>
      <c r="M36" s="11" t="n">
        <v>1.37142372090176</v>
      </c>
      <c r="N36" s="13" t="n">
        <f aca="false">IF(L36=J36,K36,K36+(M36-K36)*(C36-J36)/(L36-J36))</f>
        <v>1.335734251419</v>
      </c>
    </row>
    <row r="37" customFormat="false" ht="15" hidden="false" customHeight="false" outlineLevel="0" collapsed="false">
      <c r="A37" s="8" t="n">
        <v>46317</v>
      </c>
      <c r="B37" s="11" t="n">
        <v>0.8125</v>
      </c>
      <c r="C37" s="13" t="n">
        <f aca="false">(A37-$B$5)/365.25</f>
        <v>8.60232717316906</v>
      </c>
      <c r="D37" s="11" t="n">
        <v>1.38039575485689</v>
      </c>
      <c r="E37" s="14" t="n">
        <f aca="false">EXP(-D37/100*C37)</f>
        <v>0.888033191283194</v>
      </c>
      <c r="F37" s="13" t="n">
        <f aca="false">B37*E37</f>
        <v>0.721526967917595</v>
      </c>
      <c r="G37" s="11" t="n">
        <v>17.2032967032967</v>
      </c>
      <c r="H37" s="14" t="n">
        <f aca="false">(1/(1+$B$46/200))^G37</f>
        <v>0.877897906244871</v>
      </c>
      <c r="I37" s="13" t="n">
        <f aca="false">B37*H37</f>
        <v>0.713292048823958</v>
      </c>
      <c r="J37" s="9" t="n">
        <v>8.5</v>
      </c>
      <c r="K37" s="11" t="n">
        <v>1.37142372090176</v>
      </c>
      <c r="L37" s="9" t="n">
        <v>9</v>
      </c>
      <c r="M37" s="11" t="n">
        <v>1.41460887665575</v>
      </c>
      <c r="N37" s="13" t="n">
        <f aca="false">IF(L37=J37,K37,K37+(M37-K37)*(C37-J37)/(L37-J37))</f>
        <v>1.3802617507241</v>
      </c>
    </row>
    <row r="38" customFormat="false" ht="15" hidden="false" customHeight="false" outlineLevel="0" collapsed="false">
      <c r="A38" s="8" t="n">
        <v>46499</v>
      </c>
      <c r="B38" s="11" t="n">
        <v>0.8125</v>
      </c>
      <c r="C38" s="13" t="n">
        <f aca="false">(A38-$B$5)/365.25</f>
        <v>9.10061601642711</v>
      </c>
      <c r="D38" s="11" t="n">
        <v>1.42309301805433</v>
      </c>
      <c r="E38" s="14" t="n">
        <f aca="false">EXP(-D38/100*C38)</f>
        <v>0.8785256000609</v>
      </c>
      <c r="F38" s="13" t="n">
        <f aca="false">B38*E38</f>
        <v>0.713802050049481</v>
      </c>
      <c r="G38" s="11" t="n">
        <v>18.2032967032967</v>
      </c>
      <c r="H38" s="14" t="n">
        <f aca="false">(1/(1+$B$46/200))^G38</f>
        <v>0.871277511443799</v>
      </c>
      <c r="I38" s="13" t="n">
        <f aca="false">B38*H38</f>
        <v>0.707912978048087</v>
      </c>
      <c r="J38" s="9" t="n">
        <v>9</v>
      </c>
      <c r="K38" s="11" t="n">
        <v>1.41460887665575</v>
      </c>
      <c r="L38" s="9" t="n">
        <v>9.5</v>
      </c>
      <c r="M38" s="11" t="n">
        <v>1.45604483420501</v>
      </c>
      <c r="N38" s="13" t="n">
        <f aca="false">IF(L38=J38,K38,K38+(M38-K38)*(C38-J38)/(L38-J38))</f>
        <v>1.42294711862665</v>
      </c>
    </row>
    <row r="39" customFormat="false" ht="15" hidden="false" customHeight="false" outlineLevel="0" collapsed="false">
      <c r="A39" s="8" t="n">
        <v>46682</v>
      </c>
      <c r="B39" s="11" t="n">
        <v>0.8125</v>
      </c>
      <c r="C39" s="13" t="n">
        <f aca="false">(A39-$B$5)/365.25</f>
        <v>9.60164271047228</v>
      </c>
      <c r="D39" s="11" t="n">
        <v>1.46423977517635</v>
      </c>
      <c r="E39" s="14" t="n">
        <f aca="false">EXP(-D39/100*C39)</f>
        <v>0.86884453423547</v>
      </c>
      <c r="F39" s="13" t="n">
        <f aca="false">B39*E39</f>
        <v>0.705936184066319</v>
      </c>
      <c r="G39" s="11" t="n">
        <v>19.2032967032967</v>
      </c>
      <c r="H39" s="14" t="n">
        <f aca="false">(1/(1+$B$46/200))^G39</f>
        <v>0.864707042296963</v>
      </c>
      <c r="I39" s="13" t="n">
        <f aca="false">B39*H39</f>
        <v>0.702574471866283</v>
      </c>
      <c r="J39" s="9" t="n">
        <v>9.5</v>
      </c>
      <c r="K39" s="11" t="n">
        <v>1.45604483420501</v>
      </c>
      <c r="L39" s="9" t="n">
        <v>10</v>
      </c>
      <c r="M39" s="11" t="n">
        <v>1.49557694914437</v>
      </c>
      <c r="N39" s="13" t="n">
        <f aca="false">IF(L39=J39,K39,K39+(M39-K39)*(C39-J39)/(L39-J39))</f>
        <v>1.46408113683128</v>
      </c>
    </row>
    <row r="40" customFormat="false" ht="15" hidden="false" customHeight="false" outlineLevel="0" collapsed="false">
      <c r="A40" s="8" t="n">
        <v>46865</v>
      </c>
      <c r="B40" s="11" t="n">
        <v>0.8125</v>
      </c>
      <c r="C40" s="13" t="n">
        <f aca="false">(A40-$B$5)/365.25</f>
        <v>10.1026694045175</v>
      </c>
      <c r="D40" s="11" t="n">
        <v>1.50344694122523</v>
      </c>
      <c r="E40" s="14" t="n">
        <f aca="false">EXP(-D40/100*C40)</f>
        <v>0.859084257303245</v>
      </c>
      <c r="F40" s="13" t="n">
        <f aca="false">B40*E40</f>
        <v>0.698005959058887</v>
      </c>
      <c r="G40" s="11" t="n">
        <v>20.2032967032967</v>
      </c>
      <c r="H40" s="14" t="n">
        <f aca="false">(1/(1+$B$46/200))^G40</f>
        <v>0.858186122305526</v>
      </c>
      <c r="I40" s="13" t="n">
        <f aca="false">B40*H40</f>
        <v>0.69727622437324</v>
      </c>
      <c r="J40" s="9" t="n">
        <v>10</v>
      </c>
      <c r="K40" s="11" t="n">
        <v>1.49557694914437</v>
      </c>
      <c r="L40" s="9" t="n">
        <v>10.5</v>
      </c>
      <c r="M40" s="11" t="n">
        <v>1.53308254402457</v>
      </c>
      <c r="N40" s="13" t="n">
        <f aca="false">IF(L40=J40,K40,K40+(M40-K40)*(C40-J40)/(L40-J40))</f>
        <v>1.50327830332922</v>
      </c>
    </row>
    <row r="41" customFormat="false" ht="15" hidden="false" customHeight="false" outlineLevel="0" collapsed="false">
      <c r="A41" s="8" t="n">
        <v>47048</v>
      </c>
      <c r="B41" s="11" t="n">
        <v>100.8125</v>
      </c>
      <c r="C41" s="13" t="n">
        <f aca="false">(A41-$B$5)/365.25</f>
        <v>10.6036960985626</v>
      </c>
      <c r="D41" s="11" t="n">
        <v>1.54059864803458</v>
      </c>
      <c r="E41" s="14" t="n">
        <f aca="false">EXP(-D41/100*C41)</f>
        <v>0.849285051992944</v>
      </c>
      <c r="F41" s="13" t="n">
        <f aca="false">B41*E41</f>
        <v>85.6185493040386</v>
      </c>
      <c r="G41" s="11" t="n">
        <v>21.2032967032967</v>
      </c>
      <c r="H41" s="14" t="n">
        <f aca="false">(1/(1+$B$46/200))^G41</f>
        <v>0.851714377809898</v>
      </c>
      <c r="I41" s="13" t="n">
        <f aca="false">B41*H41</f>
        <v>85.8634557129603</v>
      </c>
      <c r="J41" s="9" t="n">
        <v>10.5</v>
      </c>
      <c r="K41" s="11" t="n">
        <v>1.53308254402457</v>
      </c>
      <c r="L41" s="9" t="n">
        <v>11</v>
      </c>
      <c r="M41" s="11" t="n">
        <v>1.56847608089021</v>
      </c>
      <c r="N41" s="13" t="n">
        <f aca="false">IF(L41=J41,K41,K41+(M41-K41)*(C41-J41)/(L41-J41))</f>
        <v>1.54042288739917</v>
      </c>
    </row>
    <row r="43" customFormat="false" ht="15" hidden="false" customHeight="false" outlineLevel="0" collapsed="false">
      <c r="A43" s="7" t="s">
        <v>62</v>
      </c>
      <c r="B43" s="13" t="n">
        <f aca="false">SUM(F20:F41)</f>
        <v>101.026741818026</v>
      </c>
    </row>
    <row r="44" customFormat="false" ht="15" hidden="false" customHeight="false" outlineLevel="0" collapsed="false">
      <c r="A44" s="7" t="s">
        <v>63</v>
      </c>
      <c r="B44" s="13" t="n">
        <f aca="false">B12</f>
        <v>0</v>
      </c>
    </row>
    <row r="45" customFormat="false" ht="15" hidden="false" customHeight="false" outlineLevel="0" collapsed="false">
      <c r="A45" s="7" t="s">
        <v>64</v>
      </c>
      <c r="B45" s="13" t="n">
        <f aca="false">B43-B44</f>
        <v>101.026741818026</v>
      </c>
    </row>
    <row r="46" customFormat="false" ht="15" hidden="false" customHeight="false" outlineLevel="0" collapsed="false">
      <c r="A46" s="7" t="s">
        <v>65</v>
      </c>
      <c r="B46" s="15" t="n">
        <v>1.51969830831544</v>
      </c>
    </row>
    <row r="47" customFormat="false" ht="15" hidden="false" customHeight="false" outlineLevel="0" collapsed="false">
      <c r="A47" s="7" t="s">
        <v>66</v>
      </c>
      <c r="B47" s="13" t="n">
        <f aca="false">SUM(I20:I41)</f>
        <v>101.026741818026</v>
      </c>
    </row>
    <row r="48" customFormat="false" ht="15" hidden="false" customHeight="false" outlineLevel="0" collapsed="false">
      <c r="A48" s="7" t="s">
        <v>67</v>
      </c>
      <c r="B48" s="16" t="n">
        <f aca="false">B47-B43</f>
        <v>0</v>
      </c>
    </row>
    <row r="49" customFormat="false" ht="15" hidden="false" customHeight="false" outlineLevel="0" collapsed="false">
      <c r="A49" s="7" t="s">
        <v>68</v>
      </c>
      <c r="B49" s="17" t="n">
        <f aca="false">100*(B13-B46)</f>
        <v>6.02906916845591</v>
      </c>
    </row>
    <row r="50" customFormat="false" ht="15" hidden="false" customHeight="false" outlineLevel="0" collapsed="false">
      <c r="A50" s="7" t="s">
        <v>69</v>
      </c>
      <c r="B50" s="9" t="n">
        <v>6.02906916845591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6" t="s">
        <v>215</v>
      </c>
    </row>
    <row r="3" customFormat="false" ht="77.6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customFormat="false" ht="15" hidden="false" customHeight="false" outlineLevel="0" collapsed="false">
      <c r="A4" s="10" t="n">
        <v>-25</v>
      </c>
      <c r="B4" s="8" t="n">
        <v>43139</v>
      </c>
      <c r="C4" s="11"/>
      <c r="D4" s="11" t="n">
        <v>1.700776895</v>
      </c>
      <c r="E4" s="18" t="str">
        <f aca="false">IF(F4=1,100*(C4-D4),"")</f>
        <v/>
      </c>
      <c r="F4" s="10" t="n">
        <v>0</v>
      </c>
      <c r="G4" s="10" t="s">
        <v>216</v>
      </c>
    </row>
    <row r="5" customFormat="false" ht="15" hidden="false" customHeight="false" outlineLevel="0" collapsed="false">
      <c r="A5" s="10" t="n">
        <v>-24</v>
      </c>
      <c r="B5" s="8" t="n">
        <v>43140</v>
      </c>
      <c r="C5" s="11"/>
      <c r="D5" s="11" t="n">
        <v>1.671477198</v>
      </c>
      <c r="E5" s="18" t="str">
        <f aca="false">IF(F5=1,100*(C5-D5),"")</f>
        <v/>
      </c>
      <c r="F5" s="10" t="n">
        <v>0</v>
      </c>
      <c r="G5" s="10" t="s">
        <v>216</v>
      </c>
    </row>
    <row r="6" customFormat="false" ht="15" hidden="false" customHeight="false" outlineLevel="0" collapsed="false">
      <c r="A6" s="10" t="n">
        <v>-23</v>
      </c>
      <c r="B6" s="8" t="n">
        <v>43143</v>
      </c>
      <c r="C6" s="11"/>
      <c r="D6" s="11" t="n">
        <v>1.674160729</v>
      </c>
      <c r="E6" s="18" t="str">
        <f aca="false">IF(F6=1,100*(C6-D6),"")</f>
        <v/>
      </c>
      <c r="F6" s="10" t="n">
        <v>0</v>
      </c>
      <c r="G6" s="10" t="s">
        <v>216</v>
      </c>
    </row>
    <row r="7" customFormat="false" ht="15" hidden="false" customHeight="false" outlineLevel="0" collapsed="false">
      <c r="A7" s="10" t="n">
        <v>-22</v>
      </c>
      <c r="B7" s="8" t="n">
        <v>43144</v>
      </c>
      <c r="C7" s="11"/>
      <c r="D7" s="11" t="n">
        <v>1.695475121</v>
      </c>
      <c r="E7" s="18" t="str">
        <f aca="false">IF(F7=1,100*(C7-D7),"")</f>
        <v/>
      </c>
      <c r="F7" s="10" t="n">
        <v>0</v>
      </c>
      <c r="G7" s="10" t="s">
        <v>216</v>
      </c>
    </row>
    <row r="8" customFormat="false" ht="15" hidden="false" customHeight="false" outlineLevel="0" collapsed="false">
      <c r="A8" s="10" t="n">
        <v>-21</v>
      </c>
      <c r="B8" s="8" t="n">
        <v>43145</v>
      </c>
      <c r="C8" s="11"/>
      <c r="D8" s="11" t="n">
        <v>1.708647914</v>
      </c>
      <c r="E8" s="18" t="str">
        <f aca="false">IF(F8=1,100*(C8-D8),"")</f>
        <v/>
      </c>
      <c r="F8" s="10" t="n">
        <v>0</v>
      </c>
      <c r="G8" s="10" t="s">
        <v>216</v>
      </c>
    </row>
    <row r="9" customFormat="false" ht="15" hidden="false" customHeight="false" outlineLevel="0" collapsed="false">
      <c r="A9" s="10" t="n">
        <v>-20</v>
      </c>
      <c r="B9" s="8" t="n">
        <v>43146</v>
      </c>
      <c r="C9" s="11"/>
      <c r="D9" s="11" t="n">
        <v>1.734456575</v>
      </c>
      <c r="E9" s="18" t="str">
        <f aca="false">IF(F9=1,100*(C9-D9),"")</f>
        <v/>
      </c>
      <c r="F9" s="10" t="n">
        <v>0</v>
      </c>
      <c r="G9" s="10" t="s">
        <v>216</v>
      </c>
    </row>
    <row r="10" customFormat="false" ht="15" hidden="false" customHeight="false" outlineLevel="0" collapsed="false">
      <c r="A10" s="10" t="n">
        <v>-19</v>
      </c>
      <c r="B10" s="8" t="n">
        <v>43147</v>
      </c>
      <c r="C10" s="11"/>
      <c r="D10" s="11" t="n">
        <v>1.667660101</v>
      </c>
      <c r="E10" s="18" t="str">
        <f aca="false">IF(F10=1,100*(C10-D10),"")</f>
        <v/>
      </c>
      <c r="F10" s="10" t="n">
        <v>0</v>
      </c>
      <c r="G10" s="10" t="s">
        <v>216</v>
      </c>
    </row>
    <row r="11" customFormat="false" ht="15" hidden="false" customHeight="false" outlineLevel="0" collapsed="false">
      <c r="A11" s="10" t="n">
        <v>-18</v>
      </c>
      <c r="B11" s="8" t="n">
        <v>43150</v>
      </c>
      <c r="C11" s="11"/>
      <c r="D11" s="11" t="n">
        <v>1.68397514</v>
      </c>
      <c r="E11" s="18" t="str">
        <f aca="false">IF(F11=1,100*(C11-D11),"")</f>
        <v/>
      </c>
      <c r="F11" s="10" t="n">
        <v>0</v>
      </c>
      <c r="G11" s="10" t="s">
        <v>216</v>
      </c>
    </row>
    <row r="12" customFormat="false" ht="15" hidden="false" customHeight="false" outlineLevel="0" collapsed="false">
      <c r="A12" s="10" t="n">
        <v>-17</v>
      </c>
      <c r="B12" s="8" t="n">
        <v>43151</v>
      </c>
      <c r="C12" s="11"/>
      <c r="D12" s="11" t="n">
        <v>1.653577281</v>
      </c>
      <c r="E12" s="18" t="str">
        <f aca="false">IF(F12=1,100*(C12-D12),"")</f>
        <v/>
      </c>
      <c r="F12" s="10" t="n">
        <v>0</v>
      </c>
      <c r="G12" s="10" t="s">
        <v>216</v>
      </c>
    </row>
    <row r="13" customFormat="false" ht="15" hidden="false" customHeight="false" outlineLevel="0" collapsed="false">
      <c r="A13" s="10" t="n">
        <v>-16</v>
      </c>
      <c r="B13" s="8" t="n">
        <v>43152</v>
      </c>
      <c r="C13" s="11"/>
      <c r="D13" s="11" t="n">
        <v>1.63635074</v>
      </c>
      <c r="E13" s="18" t="str">
        <f aca="false">IF(F13=1,100*(C13-D13),"")</f>
        <v/>
      </c>
      <c r="F13" s="10" t="n">
        <v>0</v>
      </c>
      <c r="G13" s="10" t="s">
        <v>216</v>
      </c>
    </row>
    <row r="14" customFormat="false" ht="15" hidden="false" customHeight="false" outlineLevel="0" collapsed="false">
      <c r="A14" s="10" t="n">
        <v>-15</v>
      </c>
      <c r="B14" s="8" t="n">
        <v>43153</v>
      </c>
      <c r="C14" s="11"/>
      <c r="D14" s="11" t="n">
        <v>1.631234685</v>
      </c>
      <c r="E14" s="18" t="str">
        <f aca="false">IF(F14=1,100*(C14-D14),"")</f>
        <v/>
      </c>
      <c r="F14" s="10" t="n">
        <v>0</v>
      </c>
      <c r="G14" s="10" t="s">
        <v>216</v>
      </c>
    </row>
    <row r="15" customFormat="false" ht="15" hidden="false" customHeight="false" outlineLevel="0" collapsed="false">
      <c r="A15" s="10" t="n">
        <v>-14</v>
      </c>
      <c r="B15" s="8" t="n">
        <v>43154</v>
      </c>
      <c r="C15" s="11"/>
      <c r="D15" s="11" t="n">
        <v>1.613239558</v>
      </c>
      <c r="E15" s="18" t="str">
        <f aca="false">IF(F15=1,100*(C15-D15),"")</f>
        <v/>
      </c>
      <c r="F15" s="10" t="n">
        <v>0</v>
      </c>
      <c r="G15" s="10" t="s">
        <v>216</v>
      </c>
    </row>
    <row r="16" customFormat="false" ht="15" hidden="false" customHeight="false" outlineLevel="0" collapsed="false">
      <c r="A16" s="10" t="n">
        <v>-13</v>
      </c>
      <c r="B16" s="8" t="n">
        <v>43157</v>
      </c>
      <c r="C16" s="11"/>
      <c r="D16" s="11" t="n">
        <v>1.599053516</v>
      </c>
      <c r="E16" s="18" t="str">
        <f aca="false">IF(F16=1,100*(C16-D16),"")</f>
        <v/>
      </c>
      <c r="F16" s="10" t="n">
        <v>0</v>
      </c>
      <c r="G16" s="10" t="s">
        <v>216</v>
      </c>
    </row>
    <row r="17" customFormat="false" ht="15" hidden="false" customHeight="false" outlineLevel="0" collapsed="false">
      <c r="A17" s="10" t="n">
        <v>-12</v>
      </c>
      <c r="B17" s="8" t="n">
        <v>43158</v>
      </c>
      <c r="C17" s="11"/>
      <c r="D17" s="11" t="n">
        <v>1.64369058</v>
      </c>
      <c r="E17" s="18" t="str">
        <f aca="false">IF(F17=1,100*(C17-D17),"")</f>
        <v/>
      </c>
      <c r="F17" s="10" t="n">
        <v>0</v>
      </c>
      <c r="G17" s="10" t="s">
        <v>216</v>
      </c>
    </row>
    <row r="18" customFormat="false" ht="15" hidden="false" customHeight="false" outlineLevel="0" collapsed="false">
      <c r="A18" s="10" t="n">
        <v>-11</v>
      </c>
      <c r="B18" s="8" t="n">
        <v>43159</v>
      </c>
      <c r="C18" s="11"/>
      <c r="D18" s="11" t="n">
        <v>1.597848809</v>
      </c>
      <c r="E18" s="18" t="str">
        <f aca="false">IF(F18=1,100*(C18-D18),"")</f>
        <v/>
      </c>
      <c r="F18" s="10" t="n">
        <v>0</v>
      </c>
      <c r="G18" s="10" t="s">
        <v>216</v>
      </c>
    </row>
    <row r="19" customFormat="false" ht="15" hidden="false" customHeight="false" outlineLevel="0" collapsed="false">
      <c r="A19" s="10" t="n">
        <v>-10</v>
      </c>
      <c r="B19" s="8" t="n">
        <v>43160</v>
      </c>
      <c r="C19" s="11"/>
      <c r="D19" s="11" t="n">
        <v>1.559757792</v>
      </c>
      <c r="E19" s="18" t="str">
        <f aca="false">IF(F19=1,100*(C19-D19),"")</f>
        <v/>
      </c>
      <c r="F19" s="10" t="n">
        <v>0</v>
      </c>
      <c r="G19" s="10" t="s">
        <v>216</v>
      </c>
    </row>
    <row r="20" customFormat="false" ht="15" hidden="false" customHeight="false" outlineLevel="0" collapsed="false">
      <c r="A20" s="10" t="n">
        <v>-9</v>
      </c>
      <c r="B20" s="8" t="n">
        <v>43161</v>
      </c>
      <c r="C20" s="11"/>
      <c r="D20" s="11" t="n">
        <v>1.552176291</v>
      </c>
      <c r="E20" s="18" t="str">
        <f aca="false">IF(F20=1,100*(C20-D20),"")</f>
        <v/>
      </c>
      <c r="F20" s="10" t="n">
        <v>0</v>
      </c>
      <c r="G20" s="10" t="s">
        <v>216</v>
      </c>
    </row>
    <row r="21" customFormat="false" ht="15" hidden="false" customHeight="false" outlineLevel="0" collapsed="false">
      <c r="A21" s="10" t="n">
        <v>-8</v>
      </c>
      <c r="B21" s="8" t="n">
        <v>43164</v>
      </c>
      <c r="C21" s="11"/>
      <c r="D21" s="11" t="n">
        <v>1.584736708</v>
      </c>
      <c r="E21" s="18" t="str">
        <f aca="false">IF(F21=1,100*(C21-D21),"")</f>
        <v/>
      </c>
      <c r="F21" s="10" t="n">
        <v>0</v>
      </c>
      <c r="G21" s="10" t="s">
        <v>216</v>
      </c>
    </row>
    <row r="22" customFormat="false" ht="15" hidden="false" customHeight="false" outlineLevel="0" collapsed="false">
      <c r="A22" s="10" t="n">
        <v>-7</v>
      </c>
      <c r="B22" s="8" t="n">
        <v>43165</v>
      </c>
      <c r="C22" s="11"/>
      <c r="D22" s="11" t="n">
        <v>1.614401964</v>
      </c>
      <c r="E22" s="18" t="str">
        <f aca="false">IF(F22=1,100*(C22-D22),"")</f>
        <v/>
      </c>
      <c r="F22" s="10" t="n">
        <v>0</v>
      </c>
      <c r="G22" s="10" t="s">
        <v>216</v>
      </c>
    </row>
    <row r="23" customFormat="false" ht="15" hidden="false" customHeight="false" outlineLevel="0" collapsed="false">
      <c r="A23" s="10" t="n">
        <v>-6</v>
      </c>
      <c r="B23" s="8" t="n">
        <v>43166</v>
      </c>
      <c r="C23" s="11"/>
      <c r="D23" s="11" t="n">
        <v>1.592204622</v>
      </c>
      <c r="E23" s="18" t="str">
        <f aca="false">IF(F23=1,100*(C23-D23),"")</f>
        <v/>
      </c>
      <c r="F23" s="10" t="n">
        <v>0</v>
      </c>
      <c r="G23" s="10" t="s">
        <v>216</v>
      </c>
    </row>
    <row r="25" customFormat="false" ht="15" hidden="false" customHeight="false" outlineLevel="0" collapsed="false">
      <c r="A25" s="7" t="s">
        <v>78</v>
      </c>
      <c r="B25" s="19" t="n">
        <f aca="false">SUM(F4:F23)</f>
        <v>0</v>
      </c>
    </row>
    <row r="26" customFormat="false" ht="15" hidden="false" customHeight="false" outlineLevel="0" collapsed="false">
      <c r="A26" s="7" t="s">
        <v>79</v>
      </c>
      <c r="B26" s="18" t="str">
        <f aca="false">IF(B25&gt;=10,AVERAGEIF(F4:F23,1,E4:E23),"n/a")</f>
        <v>n/a</v>
      </c>
    </row>
    <row r="27" customFormat="false" ht="15" hidden="false" customHeight="false" outlineLevel="0" collapsed="false">
      <c r="A27" s="7" t="s">
        <v>80</v>
      </c>
      <c r="B27" s="18" t="n">
        <f aca="false">'A4 M1'!B49</f>
        <v>6.02906916845591</v>
      </c>
    </row>
    <row r="28" customFormat="false" ht="15" hidden="false" customHeight="false" outlineLevel="0" collapsed="false">
      <c r="A28" s="7" t="s">
        <v>81</v>
      </c>
      <c r="B28" s="17" t="str">
        <f aca="false">IF(B25&gt;=10,B27-B26,"n/a")</f>
        <v>n/a</v>
      </c>
    </row>
    <row r="29" customFormat="false" ht="15" hidden="false" customHeight="false" outlineLevel="0" collapsed="false">
      <c r="A29" s="7" t="s">
        <v>82</v>
      </c>
      <c r="B29" s="9"/>
    </row>
    <row r="30" customFormat="false" ht="15" hidden="false" customHeight="false" outlineLevel="0" collapsed="false">
      <c r="A30" s="7" t="s">
        <v>83</v>
      </c>
      <c r="B30" s="1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218</v>
      </c>
    </row>
    <row r="3" customFormat="false" ht="15" hidden="false" customHeight="false" outlineLevel="0" collapsed="false">
      <c r="A3" s="3" t="s">
        <v>85</v>
      </c>
      <c r="B3" s="3" t="s">
        <v>72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208</v>
      </c>
      <c r="N3" s="3" t="s">
        <v>209</v>
      </c>
      <c r="O3" s="3" t="s">
        <v>98</v>
      </c>
      <c r="P3" s="3" t="s">
        <v>99</v>
      </c>
      <c r="Q3" s="3" t="s">
        <v>100</v>
      </c>
      <c r="R3" s="3" t="s">
        <v>101</v>
      </c>
      <c r="S3" s="3" t="s">
        <v>102</v>
      </c>
      <c r="T3" s="3" t="s">
        <v>103</v>
      </c>
      <c r="U3" s="3" t="s">
        <v>104</v>
      </c>
      <c r="V3" s="3" t="s">
        <v>105</v>
      </c>
      <c r="W3" s="3" t="s">
        <v>106</v>
      </c>
      <c r="X3" s="3" t="s">
        <v>107</v>
      </c>
      <c r="Y3" s="3" t="s">
        <v>108</v>
      </c>
      <c r="Z3" s="3" t="s">
        <v>109</v>
      </c>
      <c r="AA3" s="3" t="s">
        <v>110</v>
      </c>
      <c r="AB3" s="3" t="s">
        <v>111</v>
      </c>
      <c r="AC3" s="3" t="s">
        <v>112</v>
      </c>
      <c r="AD3" s="3" t="s">
        <v>113</v>
      </c>
      <c r="AE3" s="3" t="s">
        <v>114</v>
      </c>
      <c r="AF3" s="3" t="s">
        <v>115</v>
      </c>
      <c r="AG3" s="3" t="s">
        <v>116</v>
      </c>
      <c r="AH3" s="3" t="s">
        <v>117</v>
      </c>
      <c r="AI3" s="3" t="s">
        <v>118</v>
      </c>
      <c r="AJ3" s="3" t="s">
        <v>119</v>
      </c>
      <c r="AK3" s="3" t="s">
        <v>120</v>
      </c>
      <c r="AL3" s="3" t="s">
        <v>219</v>
      </c>
      <c r="AM3" s="3" t="s">
        <v>220</v>
      </c>
      <c r="AN3" s="3" t="s">
        <v>221</v>
      </c>
      <c r="AO3" s="3" t="s">
        <v>222</v>
      </c>
      <c r="AP3" s="3" t="s">
        <v>223</v>
      </c>
      <c r="AQ3" s="3" t="s">
        <v>224</v>
      </c>
      <c r="AR3" s="3" t="s">
        <v>225</v>
      </c>
      <c r="AS3" s="3" t="s">
        <v>226</v>
      </c>
      <c r="AT3" s="3" t="s">
        <v>227</v>
      </c>
      <c r="AU3" s="3" t="s">
        <v>228</v>
      </c>
    </row>
    <row r="4" customFormat="false" ht="15" hidden="false" customHeight="false" outlineLevel="0" collapsed="false">
      <c r="A4" s="10" t="n">
        <v>-121</v>
      </c>
      <c r="B4" s="8" t="n">
        <v>43000</v>
      </c>
      <c r="C4" s="11" t="n">
        <v>0.430428856440405</v>
      </c>
      <c r="D4" s="11" t="n">
        <v>0.472376465459743</v>
      </c>
      <c r="E4" s="11" t="n">
        <v>0.523544556618276</v>
      </c>
      <c r="F4" s="11" t="n">
        <v>0.581415415173764</v>
      </c>
      <c r="G4" s="11" t="n">
        <v>0.64389449791978</v>
      </c>
      <c r="H4" s="11" t="n">
        <v>0.709344406619427</v>
      </c>
      <c r="I4" s="11" t="n">
        <v>0.776472664612879</v>
      </c>
      <c r="J4" s="11" t="n">
        <v>0.844282552572048</v>
      </c>
      <c r="K4" s="11" t="n">
        <v>0.912026925727766</v>
      </c>
      <c r="L4" s="11" t="n">
        <v>0.979150625098799</v>
      </c>
      <c r="M4" s="11" t="n">
        <v>1.04523896261319</v>
      </c>
      <c r="N4" s="11" t="n">
        <v>1.10996576036739</v>
      </c>
      <c r="O4" s="11" t="n">
        <v>1.75686513412805</v>
      </c>
      <c r="P4" s="11" t="n">
        <v>1.79050069396594</v>
      </c>
      <c r="Q4" s="11" t="n">
        <v>1.82199465535489</v>
      </c>
      <c r="R4" s="11" t="n">
        <v>1.85139669271989</v>
      </c>
      <c r="S4" s="11" t="n">
        <v>1.87875437103969</v>
      </c>
      <c r="T4" s="11" t="n">
        <v>1.90411305197083</v>
      </c>
      <c r="U4" s="11" t="n">
        <v>1.92751621468891</v>
      </c>
      <c r="V4" s="11" t="n">
        <v>1.94900567471775</v>
      </c>
      <c r="W4" s="11" t="n">
        <v>1.96862138441635</v>
      </c>
      <c r="X4" s="11" t="n">
        <v>1.9864013303791</v>
      </c>
      <c r="Y4" s="11" t="n">
        <v>2.00238193127203</v>
      </c>
      <c r="Z4" s="11" t="n">
        <v>2.01659964189871</v>
      </c>
      <c r="AA4" s="11" t="n">
        <v>2.0290920989696</v>
      </c>
      <c r="AB4" s="11" t="n">
        <v>2.03989805743747</v>
      </c>
      <c r="AC4" s="11" t="n">
        <v>2.04905725737333</v>
      </c>
      <c r="AD4" s="11" t="n">
        <v>2.05661032477547</v>
      </c>
      <c r="AE4" s="11" t="n">
        <v>2.06259944974842</v>
      </c>
      <c r="AF4" s="11" t="n">
        <v>2.06707012201614</v>
      </c>
      <c r="AG4" s="11" t="n">
        <v>2.07007093306725</v>
      </c>
      <c r="AH4" s="11" t="n">
        <v>2.07165294436756</v>
      </c>
      <c r="AI4" s="11" t="n">
        <v>2.07186966453056</v>
      </c>
      <c r="AJ4" s="11" t="n">
        <v>2.07077745248482</v>
      </c>
      <c r="AK4" s="11" t="n">
        <v>2.06843541309852</v>
      </c>
      <c r="AL4" s="11" t="n">
        <v>2.06490513381052</v>
      </c>
      <c r="AM4" s="11" t="n">
        <v>2.06025067698036</v>
      </c>
      <c r="AN4" s="11" t="n">
        <v>2.05453894230719</v>
      </c>
      <c r="AO4" s="11" t="n">
        <v>2.04783966274637</v>
      </c>
      <c r="AP4" s="11" t="n">
        <v>2.04022557127875</v>
      </c>
      <c r="AQ4" s="11" t="n">
        <v>2.03177222663665</v>
      </c>
      <c r="AR4" s="11" t="n">
        <v>2.02255722449351</v>
      </c>
      <c r="AS4" s="11" t="n">
        <v>2.01265974528025</v>
      </c>
      <c r="AT4" s="11" t="n">
        <v>2.00216040541645</v>
      </c>
      <c r="AU4" s="11" t="n">
        <v>1.9911408410874</v>
      </c>
    </row>
    <row r="5" customFormat="false" ht="15" hidden="false" customHeight="false" outlineLevel="0" collapsed="false">
      <c r="A5" s="10" t="n">
        <v>-120</v>
      </c>
      <c r="B5" s="8" t="n">
        <v>43003</v>
      </c>
      <c r="C5" s="11" t="n">
        <v>0.412343972503139</v>
      </c>
      <c r="D5" s="11" t="n">
        <v>0.453648604492985</v>
      </c>
      <c r="E5" s="11" t="n">
        <v>0.504094208950694</v>
      </c>
      <c r="F5" s="11" t="n">
        <v>0.561193178534222</v>
      </c>
      <c r="G5" s="11" t="n">
        <v>0.622864126527141</v>
      </c>
      <c r="H5" s="11" t="n">
        <v>0.687480100006282</v>
      </c>
      <c r="I5" s="11" t="n">
        <v>0.753758588873792</v>
      </c>
      <c r="J5" s="11" t="n">
        <v>0.820712144148471</v>
      </c>
      <c r="K5" s="11" t="n">
        <v>0.887604616208145</v>
      </c>
      <c r="L5" s="11" t="n">
        <v>0.953893463864268</v>
      </c>
      <c r="M5" s="11" t="n">
        <v>1.01917871410493</v>
      </c>
      <c r="N5" s="11" t="n">
        <v>1.08314776115259</v>
      </c>
      <c r="O5" s="11" t="n">
        <v>1.72616167572202</v>
      </c>
      <c r="P5" s="11" t="n">
        <v>1.75983174187901</v>
      </c>
      <c r="Q5" s="11" t="n">
        <v>1.79137367813994</v>
      </c>
      <c r="R5" s="11" t="n">
        <v>1.8208315248228</v>
      </c>
      <c r="S5" s="11" t="n">
        <v>1.84824821852677</v>
      </c>
      <c r="T5" s="11" t="n">
        <v>1.87366543395638</v>
      </c>
      <c r="U5" s="11" t="n">
        <v>1.89712376708884</v>
      </c>
      <c r="V5" s="11" t="n">
        <v>1.91866285483434</v>
      </c>
      <c r="W5" s="11" t="n">
        <v>1.93832121669177</v>
      </c>
      <c r="X5" s="11" t="n">
        <v>1.95613616864884</v>
      </c>
      <c r="Y5" s="11" t="n">
        <v>1.97214411055504</v>
      </c>
      <c r="Z5" s="11" t="n">
        <v>1.98638186791842</v>
      </c>
      <c r="AA5" s="11" t="n">
        <v>1.99888763054856</v>
      </c>
      <c r="AB5" s="11" t="n">
        <v>2.00970085440363</v>
      </c>
      <c r="AC5" s="11" t="n">
        <v>2.01886211085842</v>
      </c>
      <c r="AD5" s="11" t="n">
        <v>2.02641297120456</v>
      </c>
      <c r="AE5" s="11" t="n">
        <v>2.03239659428976</v>
      </c>
      <c r="AF5" s="11" t="n">
        <v>2.03685924685113</v>
      </c>
      <c r="AG5" s="11" t="n">
        <v>2.03985009749336</v>
      </c>
      <c r="AH5" s="11" t="n">
        <v>2.04142063947145</v>
      </c>
      <c r="AI5" s="11" t="n">
        <v>2.04162470177201</v>
      </c>
      <c r="AJ5" s="11" t="n">
        <v>2.04051889581422</v>
      </c>
      <c r="AK5" s="11" t="n">
        <v>2.03816252431349</v>
      </c>
      <c r="AL5" s="11" t="n">
        <v>2.03461732386446</v>
      </c>
      <c r="AM5" s="11" t="n">
        <v>2.02994748705313</v>
      </c>
      <c r="AN5" s="11" t="n">
        <v>2.02422008317094</v>
      </c>
      <c r="AO5" s="11" t="n">
        <v>2.01750506770801</v>
      </c>
      <c r="AP5" s="11" t="n">
        <v>2.00987545560955</v>
      </c>
      <c r="AQ5" s="11" t="n">
        <v>2.00140713655241</v>
      </c>
      <c r="AR5" s="11" t="n">
        <v>1.99217805110348</v>
      </c>
      <c r="AS5" s="11" t="n">
        <v>1.98226772534988</v>
      </c>
      <c r="AT5" s="11" t="n">
        <v>1.9717571214723</v>
      </c>
      <c r="AU5" s="11" t="n">
        <v>1.96072820807611</v>
      </c>
    </row>
    <row r="6" customFormat="false" ht="15" hidden="false" customHeight="false" outlineLevel="0" collapsed="false">
      <c r="A6" s="10" t="n">
        <v>-119</v>
      </c>
      <c r="B6" s="8" t="n">
        <v>43004</v>
      </c>
      <c r="C6" s="11" t="n">
        <v>0.42572548381106</v>
      </c>
      <c r="D6" s="11" t="n">
        <v>0.466371360389139</v>
      </c>
      <c r="E6" s="11" t="n">
        <v>0.516253126574038</v>
      </c>
      <c r="F6" s="11" t="n">
        <v>0.57284622838663</v>
      </c>
      <c r="G6" s="11" t="n">
        <v>0.634027700817968</v>
      </c>
      <c r="H6" s="11" t="n">
        <v>0.698135576916797</v>
      </c>
      <c r="I6" s="11" t="n">
        <v>0.763858942992646</v>
      </c>
      <c r="J6" s="11" t="n">
        <v>0.830188471167571</v>
      </c>
      <c r="K6" s="11" t="n">
        <v>0.896376186616487</v>
      </c>
      <c r="L6" s="11" t="n">
        <v>0.961877209304445</v>
      </c>
      <c r="M6" s="11" t="n">
        <v>1.02629795755158</v>
      </c>
      <c r="N6" s="11" t="n">
        <v>1.08933869471078</v>
      </c>
      <c r="O6" s="11" t="n">
        <v>1.72283202564152</v>
      </c>
      <c r="P6" s="11" t="n">
        <v>1.75627705807083</v>
      </c>
      <c r="Q6" s="11" t="n">
        <v>1.7876560683137</v>
      </c>
      <c r="R6" s="11" t="n">
        <v>1.81700568214699</v>
      </c>
      <c r="S6" s="11" t="n">
        <v>1.84436178508013</v>
      </c>
      <c r="T6" s="11" t="n">
        <v>1.869759470892</v>
      </c>
      <c r="U6" s="11" t="n">
        <v>1.89323315689921</v>
      </c>
      <c r="V6" s="11" t="n">
        <v>1.9148166777206</v>
      </c>
      <c r="W6" s="11" t="n">
        <v>1.93454334225641</v>
      </c>
      <c r="X6" s="11" t="n">
        <v>1.95244598549086</v>
      </c>
      <c r="Y6" s="11" t="n">
        <v>1.96855716704433</v>
      </c>
      <c r="Z6" s="11" t="n">
        <v>1.9829103465998</v>
      </c>
      <c r="AA6" s="11" t="n">
        <v>1.99554068404575</v>
      </c>
      <c r="AB6" s="11" t="n">
        <v>2.00648489385619</v>
      </c>
      <c r="AC6" s="11" t="n">
        <v>2.01578106002093</v>
      </c>
      <c r="AD6" s="11" t="n">
        <v>2.02346849113258</v>
      </c>
      <c r="AE6" s="11" t="n">
        <v>2.02958827072143</v>
      </c>
      <c r="AF6" s="11" t="n">
        <v>2.03418472789362</v>
      </c>
      <c r="AG6" s="11" t="n">
        <v>2.03730538331177</v>
      </c>
      <c r="AH6" s="11" t="n">
        <v>2.03900049712948</v>
      </c>
      <c r="AI6" s="11" t="n">
        <v>2.03932306602435</v>
      </c>
      <c r="AJ6" s="11" t="n">
        <v>2.03832926516031</v>
      </c>
      <c r="AK6" s="11" t="n">
        <v>2.03607832477133</v>
      </c>
      <c r="AL6" s="11" t="n">
        <v>2.03263223691253</v>
      </c>
      <c r="AM6" s="11" t="n">
        <v>2.02805573066229</v>
      </c>
      <c r="AN6" s="11" t="n">
        <v>2.02241661957999</v>
      </c>
      <c r="AO6" s="11" t="n">
        <v>2.01578576551752</v>
      </c>
      <c r="AP6" s="11" t="n">
        <v>2.00823717995005</v>
      </c>
      <c r="AQ6" s="11" t="n">
        <v>1.99984777584443</v>
      </c>
      <c r="AR6" s="11" t="n">
        <v>1.99069643048013</v>
      </c>
      <c r="AS6" s="11" t="n">
        <v>1.98086347679656</v>
      </c>
      <c r="AT6" s="11" t="n">
        <v>1.97043056269925</v>
      </c>
      <c r="AU6" s="11" t="n">
        <v>1.9594801940289</v>
      </c>
    </row>
    <row r="7" customFormat="false" ht="15" hidden="false" customHeight="false" outlineLevel="0" collapsed="false">
      <c r="A7" s="10" t="n">
        <v>-118</v>
      </c>
      <c r="B7" s="8" t="n">
        <v>43005</v>
      </c>
      <c r="C7" s="11" t="n">
        <v>0.444717965661827</v>
      </c>
      <c r="D7" s="11" t="n">
        <v>0.489358444623803</v>
      </c>
      <c r="E7" s="11" t="n">
        <v>0.543243079707177</v>
      </c>
      <c r="F7" s="11" t="n">
        <v>0.603519931439255</v>
      </c>
      <c r="G7" s="11" t="n">
        <v>0.667935444482207</v>
      </c>
      <c r="H7" s="11" t="n">
        <v>0.73480008613792</v>
      </c>
      <c r="I7" s="11" t="n">
        <v>0.802822983504971</v>
      </c>
      <c r="J7" s="11" t="n">
        <v>0.871035344873061</v>
      </c>
      <c r="K7" s="11" t="n">
        <v>0.938737694916153</v>
      </c>
      <c r="L7" s="11" t="n">
        <v>1.00543353299697</v>
      </c>
      <c r="M7" s="11" t="n">
        <v>1.07077385616821</v>
      </c>
      <c r="N7" s="11" t="n">
        <v>1.13449951647838</v>
      </c>
      <c r="O7" s="11" t="n">
        <v>1.76673412853258</v>
      </c>
      <c r="P7" s="11" t="n">
        <v>1.7997907155745</v>
      </c>
      <c r="Q7" s="11" t="n">
        <v>1.83077898314549</v>
      </c>
      <c r="R7" s="11" t="n">
        <v>1.85973846933882</v>
      </c>
      <c r="S7" s="11" t="n">
        <v>1.88670749043846</v>
      </c>
      <c r="T7" s="11" t="n">
        <v>1.91172325787616</v>
      </c>
      <c r="U7" s="11" t="n">
        <v>1.93482204024514</v>
      </c>
      <c r="V7" s="11" t="n">
        <v>1.95603931309491</v>
      </c>
      <c r="W7" s="11" t="n">
        <v>1.97540999308743</v>
      </c>
      <c r="X7" s="11" t="n">
        <v>1.99296861200198</v>
      </c>
      <c r="Y7" s="11" t="n">
        <v>2.00874949171615</v>
      </c>
      <c r="Z7" s="11" t="n">
        <v>2.02278773271707</v>
      </c>
      <c r="AA7" s="11" t="n">
        <v>2.03511987737707</v>
      </c>
      <c r="AB7" s="11" t="n">
        <v>2.04578378468455</v>
      </c>
      <c r="AC7" s="11" t="n">
        <v>2.05481847350395</v>
      </c>
      <c r="AD7" s="11" t="n">
        <v>2.06226400011093</v>
      </c>
      <c r="AE7" s="11" t="n">
        <v>2.06816192171712</v>
      </c>
      <c r="AF7" s="11" t="n">
        <v>2.07255652478909</v>
      </c>
      <c r="AG7" s="11" t="n">
        <v>2.0754948244596</v>
      </c>
      <c r="AH7" s="11" t="n">
        <v>2.07702622533858</v>
      </c>
      <c r="AI7" s="11" t="n">
        <v>2.07720258441526</v>
      </c>
      <c r="AJ7" s="11" t="n">
        <v>2.07607873412616</v>
      </c>
      <c r="AK7" s="11" t="n">
        <v>2.07371239058643</v>
      </c>
      <c r="AL7" s="11" t="n">
        <v>2.07016387797515</v>
      </c>
      <c r="AM7" s="11" t="n">
        <v>2.06549615199352</v>
      </c>
      <c r="AN7" s="11" t="n">
        <v>2.059775232939</v>
      </c>
      <c r="AO7" s="11" t="n">
        <v>2.05307018857253</v>
      </c>
      <c r="AP7" s="11" t="n">
        <v>2.04545322581132</v>
      </c>
      <c r="AQ7" s="11" t="n">
        <v>2.03699945081959</v>
      </c>
      <c r="AR7" s="11" t="n">
        <v>2.02778600570401</v>
      </c>
      <c r="AS7" s="11" t="n">
        <v>2.01789159383225</v>
      </c>
      <c r="AT7" s="11" t="n">
        <v>2.00739633204767</v>
      </c>
      <c r="AU7" s="11" t="n">
        <v>1.9963813146514</v>
      </c>
    </row>
    <row r="8" customFormat="false" ht="15" hidden="false" customHeight="false" outlineLevel="0" collapsed="false">
      <c r="A8" s="10" t="n">
        <v>-117</v>
      </c>
      <c r="B8" s="8" t="n">
        <v>43006</v>
      </c>
      <c r="C8" s="11" t="n">
        <v>0.440835379906399</v>
      </c>
      <c r="D8" s="11" t="n">
        <v>0.48604372418407</v>
      </c>
      <c r="E8" s="11" t="n">
        <v>0.540357441110334</v>
      </c>
      <c r="F8" s="11" t="n">
        <v>0.60101357985693</v>
      </c>
      <c r="G8" s="11" t="n">
        <v>0.665796630951947</v>
      </c>
      <c r="H8" s="11" t="n">
        <v>0.733028603947755</v>
      </c>
      <c r="I8" s="11" t="n">
        <v>0.801418609052647</v>
      </c>
      <c r="J8" s="11" t="n">
        <v>0.869992973007775</v>
      </c>
      <c r="K8" s="11" t="n">
        <v>0.938046016589863</v>
      </c>
      <c r="L8" s="11" t="n">
        <v>1.00507165830474</v>
      </c>
      <c r="M8" s="11" t="n">
        <v>1.07070837004155</v>
      </c>
      <c r="N8" s="11" t="n">
        <v>1.13468403434768</v>
      </c>
      <c r="O8" s="11" t="n">
        <v>1.76387706015181</v>
      </c>
      <c r="P8" s="11" t="n">
        <v>1.79642603179397</v>
      </c>
      <c r="Q8" s="11" t="n">
        <v>1.82692039860261</v>
      </c>
      <c r="R8" s="11" t="n">
        <v>1.85540679465879</v>
      </c>
      <c r="S8" s="11" t="n">
        <v>1.88192914880768</v>
      </c>
      <c r="T8" s="11" t="n">
        <v>1.90652899976578</v>
      </c>
      <c r="U8" s="11" t="n">
        <v>1.9292458469891</v>
      </c>
      <c r="V8" s="11" t="n">
        <v>1.9501174431914</v>
      </c>
      <c r="W8" s="11" t="n">
        <v>1.96918004661393</v>
      </c>
      <c r="X8" s="11" t="n">
        <v>1.98646863057502</v>
      </c>
      <c r="Y8" s="11" t="n">
        <v>2.00201717686246</v>
      </c>
      <c r="Z8" s="11" t="n">
        <v>2.0158597988818</v>
      </c>
      <c r="AA8" s="11" t="n">
        <v>2.02803150367828</v>
      </c>
      <c r="AB8" s="11" t="n">
        <v>2.03856813383714</v>
      </c>
      <c r="AC8" s="11" t="n">
        <v>2.0475062680146</v>
      </c>
      <c r="AD8" s="11" t="n">
        <v>2.05488314953986</v>
      </c>
      <c r="AE8" s="11" t="n">
        <v>2.06073725917134</v>
      </c>
      <c r="AF8" s="11" t="n">
        <v>2.06510972351428</v>
      </c>
      <c r="AG8" s="11" t="n">
        <v>2.06804442764961</v>
      </c>
      <c r="AH8" s="11" t="n">
        <v>2.06958773274324</v>
      </c>
      <c r="AI8" s="11" t="n">
        <v>2.0697885976762</v>
      </c>
      <c r="AJ8" s="11" t="n">
        <v>2.06869923197901</v>
      </c>
      <c r="AK8" s="11" t="n">
        <v>2.06637501186967</v>
      </c>
      <c r="AL8" s="11" t="n">
        <v>2.06287417802162</v>
      </c>
      <c r="AM8" s="11" t="n">
        <v>2.05825787214912</v>
      </c>
      <c r="AN8" s="11" t="n">
        <v>2.05259062894404</v>
      </c>
      <c r="AO8" s="11" t="n">
        <v>2.04594034841808</v>
      </c>
      <c r="AP8" s="11" t="n">
        <v>2.03837835295217</v>
      </c>
      <c r="AQ8" s="11" t="n">
        <v>2.02997910801221</v>
      </c>
      <c r="AR8" s="11" t="n">
        <v>2.02081930376771</v>
      </c>
      <c r="AS8" s="11" t="n">
        <v>2.01097735165833</v>
      </c>
      <c r="AT8" s="11" t="n">
        <v>2.0005332225991</v>
      </c>
      <c r="AU8" s="11" t="n">
        <v>1.98956799337966</v>
      </c>
    </row>
    <row r="9" customFormat="false" ht="15" hidden="false" customHeight="false" outlineLevel="0" collapsed="false">
      <c r="A9" s="10" t="n">
        <v>-116</v>
      </c>
      <c r="B9" s="8" t="n">
        <v>43007</v>
      </c>
      <c r="C9" s="11" t="n">
        <v>0.43372563839207</v>
      </c>
      <c r="D9" s="11" t="n">
        <v>0.477188440754549</v>
      </c>
      <c r="E9" s="11" t="n">
        <v>0.529597620147797</v>
      </c>
      <c r="F9" s="11" t="n">
        <v>0.588327093386104</v>
      </c>
      <c r="G9" s="11" t="n">
        <v>0.651292640030672</v>
      </c>
      <c r="H9" s="11" t="n">
        <v>0.716898080731536</v>
      </c>
      <c r="I9" s="11" t="n">
        <v>0.783891513927941</v>
      </c>
      <c r="J9" s="11" t="n">
        <v>0.851304944311665</v>
      </c>
      <c r="K9" s="11" t="n">
        <v>0.918421175708496</v>
      </c>
      <c r="L9" s="11" t="n">
        <v>0.984709119608647</v>
      </c>
      <c r="M9" s="11" t="n">
        <v>1.04977413548524</v>
      </c>
      <c r="N9" s="11" t="n">
        <v>1.11331018729265</v>
      </c>
      <c r="O9" s="11" t="n">
        <v>1.7401443482092</v>
      </c>
      <c r="P9" s="11" t="n">
        <v>1.77259637914714</v>
      </c>
      <c r="Q9" s="11" t="n">
        <v>1.80301008885873</v>
      </c>
      <c r="R9" s="11" t="n">
        <v>1.83143262388434</v>
      </c>
      <c r="S9" s="11" t="n">
        <v>1.85790798447646</v>
      </c>
      <c r="T9" s="11" t="n">
        <v>1.88247740876929</v>
      </c>
      <c r="U9" s="11" t="n">
        <v>1.90517977843753</v>
      </c>
      <c r="V9" s="11" t="n">
        <v>1.9260519554457</v>
      </c>
      <c r="W9" s="11" t="n">
        <v>1.94512906343118</v>
      </c>
      <c r="X9" s="11" t="n">
        <v>1.96244472328808</v>
      </c>
      <c r="Y9" s="11" t="n">
        <v>1.97803139195368</v>
      </c>
      <c r="Z9" s="11" t="n">
        <v>1.99192159584398</v>
      </c>
      <c r="AA9" s="11" t="n">
        <v>2.00414873971742</v>
      </c>
      <c r="AB9" s="11" t="n">
        <v>2.01474705029627</v>
      </c>
      <c r="AC9" s="11" t="n">
        <v>2.02375147841383</v>
      </c>
      <c r="AD9" s="11" t="n">
        <v>2.03119763120538</v>
      </c>
      <c r="AE9" s="11" t="n">
        <v>2.0371223916943</v>
      </c>
      <c r="AF9" s="11" t="n">
        <v>2.0415653689894</v>
      </c>
      <c r="AG9" s="11" t="n">
        <v>2.04456897345028</v>
      </c>
      <c r="AH9" s="11" t="n">
        <v>2.04617811079397</v>
      </c>
      <c r="AI9" s="11" t="n">
        <v>2.04644031810741</v>
      </c>
      <c r="AJ9" s="11" t="n">
        <v>2.04540642109407</v>
      </c>
      <c r="AK9" s="11" t="n">
        <v>2.04313043894751</v>
      </c>
      <c r="AL9" s="11" t="n">
        <v>2.03966928027992</v>
      </c>
      <c r="AM9" s="11" t="n">
        <v>2.03508280044549</v>
      </c>
      <c r="AN9" s="11" t="n">
        <v>2.02943431605561</v>
      </c>
      <c r="AO9" s="11" t="n">
        <v>2.02279057341461</v>
      </c>
      <c r="AP9" s="11" t="n">
        <v>2.01522179954272</v>
      </c>
      <c r="AQ9" s="11" t="n">
        <v>2.00680142349276</v>
      </c>
      <c r="AR9" s="11" t="n">
        <v>1.99760522957304</v>
      </c>
      <c r="AS9" s="11" t="n">
        <v>1.98771088968953</v>
      </c>
      <c r="AT9" s="11" t="n">
        <v>1.977197789381</v>
      </c>
      <c r="AU9" s="11" t="n">
        <v>1.96614658545544</v>
      </c>
    </row>
    <row r="10" customFormat="false" ht="15" hidden="false" customHeight="false" outlineLevel="0" collapsed="false">
      <c r="A10" s="10" t="n">
        <v>-115</v>
      </c>
      <c r="B10" s="8" t="n">
        <v>43010</v>
      </c>
      <c r="C10" s="11" t="n">
        <v>0.412851950418784</v>
      </c>
      <c r="D10" s="11" t="n">
        <v>0.455808928360163</v>
      </c>
      <c r="E10" s="11" t="n">
        <v>0.50768987094704</v>
      </c>
      <c r="F10" s="11" t="n">
        <v>0.565739429124227</v>
      </c>
      <c r="G10" s="11" t="n">
        <v>0.627885901284863</v>
      </c>
      <c r="H10" s="11" t="n">
        <v>0.692566918499045</v>
      </c>
      <c r="I10" s="11" t="n">
        <v>0.758566257385101</v>
      </c>
      <c r="J10" s="11" t="n">
        <v>0.82495214635307</v>
      </c>
      <c r="K10" s="11" t="n">
        <v>0.891044891949504</v>
      </c>
      <c r="L10" s="11" t="n">
        <v>0.95635023106015</v>
      </c>
      <c r="M10" s="11" t="n">
        <v>1.02050603512321</v>
      </c>
      <c r="N10" s="11" t="n">
        <v>1.08323241573656</v>
      </c>
      <c r="O10" s="11" t="n">
        <v>1.70850817025505</v>
      </c>
      <c r="P10" s="11" t="n">
        <v>1.74118852510999</v>
      </c>
      <c r="Q10" s="11" t="n">
        <v>1.77183880603472</v>
      </c>
      <c r="R10" s="11" t="n">
        <v>1.80050276389413</v>
      </c>
      <c r="S10" s="11" t="n">
        <v>1.82722176832869</v>
      </c>
      <c r="T10" s="11" t="n">
        <v>1.85203503236745</v>
      </c>
      <c r="U10" s="11" t="n">
        <v>1.87497992881811</v>
      </c>
      <c r="V10" s="11" t="n">
        <v>1.89609221954661</v>
      </c>
      <c r="W10" s="11" t="n">
        <v>1.91540602330505</v>
      </c>
      <c r="X10" s="11" t="n">
        <v>1.93295384637114</v>
      </c>
      <c r="Y10" s="11" t="n">
        <v>1.94876691856872</v>
      </c>
      <c r="Z10" s="11" t="n">
        <v>1.96287638403146</v>
      </c>
      <c r="AA10" s="11" t="n">
        <v>1.97531407720761</v>
      </c>
      <c r="AB10" s="11" t="n">
        <v>1.9861124853476</v>
      </c>
      <c r="AC10" s="11" t="n">
        <v>1.99530467078947</v>
      </c>
      <c r="AD10" s="11" t="n">
        <v>2.00292422148165</v>
      </c>
      <c r="AE10" s="11" t="n">
        <v>2.00900590993538</v>
      </c>
      <c r="AF10" s="11" t="n">
        <v>2.01358719450677</v>
      </c>
      <c r="AG10" s="11" t="n">
        <v>2.0167083402646</v>
      </c>
      <c r="AH10" s="11" t="n">
        <v>2.01841214290292</v>
      </c>
      <c r="AI10" s="11" t="n">
        <v>2.01874411884576</v>
      </c>
      <c r="AJ10" s="11" t="n">
        <v>2.01775327080118</v>
      </c>
      <c r="AK10" s="11" t="n">
        <v>2.01549199906105</v>
      </c>
      <c r="AL10" s="11" t="n">
        <v>2.01201577884665</v>
      </c>
      <c r="AM10" s="11" t="n">
        <v>2.00738324918979</v>
      </c>
      <c r="AN10" s="11" t="n">
        <v>2.00165681264723</v>
      </c>
      <c r="AO10" s="11" t="n">
        <v>1.99490261087695</v>
      </c>
      <c r="AP10" s="11" t="n">
        <v>1.98719058889678</v>
      </c>
      <c r="AQ10" s="11" t="n">
        <v>1.97859421893283</v>
      </c>
      <c r="AR10" s="11" t="n">
        <v>1.9691896967028</v>
      </c>
      <c r="AS10" s="11" t="n">
        <v>1.95905547788917</v>
      </c>
      <c r="AT10" s="11" t="n">
        <v>1.94827207399519</v>
      </c>
      <c r="AU10" s="11" t="n">
        <v>1.93692159902349</v>
      </c>
    </row>
    <row r="11" customFormat="false" ht="15" hidden="false" customHeight="false" outlineLevel="0" collapsed="false">
      <c r="A11" s="10" t="n">
        <v>-114</v>
      </c>
      <c r="B11" s="8" t="n">
        <v>43011</v>
      </c>
      <c r="C11" s="11" t="n">
        <v>0.432942131842245</v>
      </c>
      <c r="D11" s="11" t="n">
        <v>0.475826178115876</v>
      </c>
      <c r="E11" s="11" t="n">
        <v>0.528023778957428</v>
      </c>
      <c r="F11" s="11" t="n">
        <v>0.586671649777392</v>
      </c>
      <c r="G11" s="11" t="n">
        <v>0.649629310908677</v>
      </c>
      <c r="H11" s="11" t="n">
        <v>0.715276416860323</v>
      </c>
      <c r="I11" s="11" t="n">
        <v>0.782342994081713</v>
      </c>
      <c r="J11" s="11" t="n">
        <v>0.84984739937413</v>
      </c>
      <c r="K11" s="11" t="n">
        <v>0.917063138395029</v>
      </c>
      <c r="L11" s="11" t="n">
        <v>0.98345177335646</v>
      </c>
      <c r="M11" s="11" t="n">
        <v>1.04860999220284</v>
      </c>
      <c r="N11" s="11" t="n">
        <v>1.11222323402323</v>
      </c>
      <c r="O11" s="11" t="n">
        <v>1.73648895518682</v>
      </c>
      <c r="P11" s="11" t="n">
        <v>1.76853474264029</v>
      </c>
      <c r="Q11" s="11" t="n">
        <v>1.79854593231628</v>
      </c>
      <c r="R11" s="11" t="n">
        <v>1.82657703163654</v>
      </c>
      <c r="S11" s="11" t="n">
        <v>1.85267885996765</v>
      </c>
      <c r="T11" s="11" t="n">
        <v>1.87689897321806</v>
      </c>
      <c r="U11" s="11" t="n">
        <v>1.8992821430433</v>
      </c>
      <c r="V11" s="11" t="n">
        <v>1.91987073033305</v>
      </c>
      <c r="W11" s="11" t="n">
        <v>1.93870483803101</v>
      </c>
      <c r="X11" s="11" t="n">
        <v>1.95582248175533</v>
      </c>
      <c r="Y11" s="11" t="n">
        <v>1.97125995437774</v>
      </c>
      <c r="Z11" s="11" t="n">
        <v>1.9850527785141</v>
      </c>
      <c r="AA11" s="11" t="n">
        <v>1.99723634145534</v>
      </c>
      <c r="AB11" s="11" t="n">
        <v>2.00784594394978</v>
      </c>
      <c r="AC11" s="11" t="n">
        <v>2.01691681050582</v>
      </c>
      <c r="AD11" s="11" t="n">
        <v>2.02448411159631</v>
      </c>
      <c r="AE11" s="11" t="n">
        <v>2.03058350763798</v>
      </c>
      <c r="AF11" s="11" t="n">
        <v>2.03525230614107</v>
      </c>
      <c r="AG11" s="11" t="n">
        <v>2.03852961826869</v>
      </c>
      <c r="AH11" s="11" t="n">
        <v>2.04045621156349</v>
      </c>
      <c r="AI11" s="11" t="n">
        <v>2.04107476225644</v>
      </c>
      <c r="AJ11" s="11" t="n">
        <v>2.04043062204459</v>
      </c>
      <c r="AK11" s="11" t="n">
        <v>2.03857178698131</v>
      </c>
      <c r="AL11" s="11" t="n">
        <v>2.03554864990268</v>
      </c>
      <c r="AM11" s="11" t="n">
        <v>2.03141420632901</v>
      </c>
      <c r="AN11" s="11" t="n">
        <v>2.0262248157877</v>
      </c>
      <c r="AO11" s="11" t="n">
        <v>2.02004026910399</v>
      </c>
      <c r="AP11" s="11" t="n">
        <v>2.01292400114298</v>
      </c>
      <c r="AQ11" s="11" t="n">
        <v>2.00494292869275</v>
      </c>
      <c r="AR11" s="11" t="n">
        <v>1.99616686467009</v>
      </c>
      <c r="AS11" s="11" t="n">
        <v>1.98666813884289</v>
      </c>
      <c r="AT11" s="11" t="n">
        <v>1.97652137623328</v>
      </c>
      <c r="AU11" s="11" t="n">
        <v>1.96580309649751</v>
      </c>
    </row>
    <row r="12" customFormat="false" ht="15" hidden="false" customHeight="false" outlineLevel="0" collapsed="false">
      <c r="A12" s="10" t="n">
        <v>-113</v>
      </c>
      <c r="B12" s="8" t="n">
        <v>43012</v>
      </c>
      <c r="C12" s="11" t="n">
        <v>0.433619603527536</v>
      </c>
      <c r="D12" s="11" t="n">
        <v>0.476732885634673</v>
      </c>
      <c r="E12" s="11" t="n">
        <v>0.529473406746469</v>
      </c>
      <c r="F12" s="11" t="n">
        <v>0.58879020220787</v>
      </c>
      <c r="G12" s="11" t="n">
        <v>0.65246158080115</v>
      </c>
      <c r="H12" s="11" t="n">
        <v>0.718843664412288</v>
      </c>
      <c r="I12" s="11" t="n">
        <v>0.786667294479913</v>
      </c>
      <c r="J12" s="11" t="n">
        <v>0.85495662827738</v>
      </c>
      <c r="K12" s="11" t="n">
        <v>0.9229862035636</v>
      </c>
      <c r="L12" s="11" t="n">
        <v>0.990212449555519</v>
      </c>
      <c r="M12" s="11" t="n">
        <v>1.0562209425754</v>
      </c>
      <c r="N12" s="11" t="n">
        <v>1.12068531013593</v>
      </c>
      <c r="O12" s="11" t="n">
        <v>1.75429571257657</v>
      </c>
      <c r="P12" s="11" t="n">
        <v>1.78680358297349</v>
      </c>
      <c r="Q12" s="11" t="n">
        <v>1.81722735654872</v>
      </c>
      <c r="R12" s="11" t="n">
        <v>1.84562465879156</v>
      </c>
      <c r="S12" s="11" t="n">
        <v>1.87205012186395</v>
      </c>
      <c r="T12" s="11" t="n">
        <v>1.89655555664718</v>
      </c>
      <c r="U12" s="11" t="n">
        <v>1.91919036619246</v>
      </c>
      <c r="V12" s="11" t="n">
        <v>1.94000179653777</v>
      </c>
      <c r="W12" s="11" t="n">
        <v>1.95903454782214</v>
      </c>
      <c r="X12" s="11" t="n">
        <v>1.97633061553557</v>
      </c>
      <c r="Y12" s="11" t="n">
        <v>1.99192970559268</v>
      </c>
      <c r="Z12" s="11" t="n">
        <v>2.00587018221411</v>
      </c>
      <c r="AA12" s="11" t="n">
        <v>2.01818971166588</v>
      </c>
      <c r="AB12" s="11" t="n">
        <v>2.02892537540425</v>
      </c>
      <c r="AC12" s="11" t="n">
        <v>2.03811373969592</v>
      </c>
      <c r="AD12" s="11" t="n">
        <v>2.045790929286</v>
      </c>
      <c r="AE12" s="11" t="n">
        <v>2.05199321917436</v>
      </c>
      <c r="AF12" s="11" t="n">
        <v>2.0567582352949</v>
      </c>
      <c r="AG12" s="11" t="n">
        <v>2.06012522904309</v>
      </c>
      <c r="AH12" s="11" t="n">
        <v>2.06213501781739</v>
      </c>
      <c r="AI12" s="11" t="n">
        <v>2.06283030413605</v>
      </c>
      <c r="AJ12" s="11" t="n">
        <v>2.06225655289628</v>
      </c>
      <c r="AK12" s="11" t="n">
        <v>2.06046197468301</v>
      </c>
      <c r="AL12" s="11" t="n">
        <v>2.05749726905814</v>
      </c>
      <c r="AM12" s="11" t="n">
        <v>2.05341584098795</v>
      </c>
      <c r="AN12" s="11" t="n">
        <v>2.0482745843243</v>
      </c>
      <c r="AO12" s="11" t="n">
        <v>2.0421339338628</v>
      </c>
      <c r="AP12" s="11" t="n">
        <v>2.03505802781982</v>
      </c>
      <c r="AQ12" s="11" t="n">
        <v>2.02711450556101</v>
      </c>
      <c r="AR12" s="11" t="n">
        <v>2.01837386295383</v>
      </c>
      <c r="AS12" s="11" t="n">
        <v>2.00890905279355</v>
      </c>
      <c r="AT12" s="11" t="n">
        <v>1.99879526712525</v>
      </c>
      <c r="AU12" s="11" t="n">
        <v>1.98810952026131</v>
      </c>
    </row>
    <row r="13" customFormat="false" ht="15" hidden="false" customHeight="false" outlineLevel="0" collapsed="false">
      <c r="A13" s="10" t="n">
        <v>-112</v>
      </c>
      <c r="B13" s="8" t="n">
        <v>43013</v>
      </c>
      <c r="C13" s="11" t="n">
        <v>0.444459775668598</v>
      </c>
      <c r="D13" s="11" t="n">
        <v>0.486874391999314</v>
      </c>
      <c r="E13" s="11" t="n">
        <v>0.539034918601463</v>
      </c>
      <c r="F13" s="11" t="n">
        <v>0.597974636836445</v>
      </c>
      <c r="G13" s="11" t="n">
        <v>0.661473609442328</v>
      </c>
      <c r="H13" s="11" t="n">
        <v>0.727868853416321</v>
      </c>
      <c r="I13" s="11" t="n">
        <v>0.795867479588994</v>
      </c>
      <c r="J13" s="11" t="n">
        <v>0.864470644217293</v>
      </c>
      <c r="K13" s="11" t="n">
        <v>0.932934041427324</v>
      </c>
      <c r="L13" s="11" t="n">
        <v>1.00070293704966</v>
      </c>
      <c r="M13" s="11" t="n">
        <v>1.0673579804933</v>
      </c>
      <c r="N13" s="11" t="n">
        <v>1.1325729069928</v>
      </c>
      <c r="O13" s="11" t="n">
        <v>1.78261816768127</v>
      </c>
      <c r="P13" s="11" t="n">
        <v>1.81630305430761</v>
      </c>
      <c r="Q13" s="11" t="n">
        <v>1.84780397995032</v>
      </c>
      <c r="R13" s="11" t="n">
        <v>1.87717248504124</v>
      </c>
      <c r="S13" s="11" t="n">
        <v>1.90445994819356</v>
      </c>
      <c r="T13" s="11" t="n">
        <v>1.92971729114348</v>
      </c>
      <c r="U13" s="11" t="n">
        <v>1.9529950443676</v>
      </c>
      <c r="V13" s="11" t="n">
        <v>1.97434329503914</v>
      </c>
      <c r="W13" s="11" t="n">
        <v>1.99381096268528</v>
      </c>
      <c r="X13" s="11" t="n">
        <v>2.01144538984028</v>
      </c>
      <c r="Y13" s="11" t="n">
        <v>2.02729257667415</v>
      </c>
      <c r="Z13" s="11" t="n">
        <v>2.04139778886845</v>
      </c>
      <c r="AA13" s="11" t="n">
        <v>2.05380596268151</v>
      </c>
      <c r="AB13" s="11" t="n">
        <v>2.06456176324259</v>
      </c>
      <c r="AC13" s="11" t="n">
        <v>2.07370961682914</v>
      </c>
      <c r="AD13" s="11" t="n">
        <v>2.08129374886428</v>
      </c>
      <c r="AE13" s="11" t="n">
        <v>2.08735859954978</v>
      </c>
      <c r="AF13" s="11" t="n">
        <v>2.09194966494613</v>
      </c>
      <c r="AG13" s="11" t="n">
        <v>2.09511362620812</v>
      </c>
      <c r="AH13" s="11" t="n">
        <v>2.09689826464829</v>
      </c>
      <c r="AI13" s="11" t="n">
        <v>2.09735273269566</v>
      </c>
      <c r="AJ13" s="11" t="n">
        <v>2.09652826548932</v>
      </c>
      <c r="AK13" s="11" t="n">
        <v>2.09447817649898</v>
      </c>
      <c r="AL13" s="11" t="n">
        <v>2.09125766491142</v>
      </c>
      <c r="AM13" s="11" t="n">
        <v>2.08692404010798</v>
      </c>
      <c r="AN13" s="11" t="n">
        <v>2.08153743623469</v>
      </c>
      <c r="AO13" s="11" t="n">
        <v>2.07516088763809</v>
      </c>
      <c r="AP13" s="11" t="n">
        <v>2.06786052559465</v>
      </c>
      <c r="AQ13" s="11" t="n">
        <v>2.05970542565089</v>
      </c>
      <c r="AR13" s="11" t="n">
        <v>2.050767049876</v>
      </c>
      <c r="AS13" s="11" t="n">
        <v>2.04111890667471</v>
      </c>
      <c r="AT13" s="11" t="n">
        <v>2.03083636845412</v>
      </c>
      <c r="AU13" s="11" t="n">
        <v>2.01999629058742</v>
      </c>
    </row>
    <row r="14" customFormat="false" ht="15" hidden="false" customHeight="false" outlineLevel="0" collapsed="false">
      <c r="A14" s="10" t="n">
        <v>-111</v>
      </c>
      <c r="B14" s="8" t="n">
        <v>43014</v>
      </c>
      <c r="C14" s="11" t="n">
        <v>0.407134257739826</v>
      </c>
      <c r="D14" s="11" t="n">
        <v>0.45144865902839</v>
      </c>
      <c r="E14" s="11" t="n">
        <v>0.505616636965734</v>
      </c>
      <c r="F14" s="11" t="n">
        <v>0.566471378392818</v>
      </c>
      <c r="G14" s="11" t="n">
        <v>0.631726326537295</v>
      </c>
      <c r="H14" s="11" t="n">
        <v>0.699699695657431</v>
      </c>
      <c r="I14" s="11" t="n">
        <v>0.76909772380571</v>
      </c>
      <c r="J14" s="11" t="n">
        <v>0.838932472396003</v>
      </c>
      <c r="K14" s="11" t="n">
        <v>0.908473802595589</v>
      </c>
      <c r="L14" s="11" t="n">
        <v>0.977185368686454</v>
      </c>
      <c r="M14" s="11" t="n">
        <v>1.04466671432071</v>
      </c>
      <c r="N14" s="11" t="n">
        <v>1.11061230900442</v>
      </c>
      <c r="O14" s="11" t="n">
        <v>1.7679498912163</v>
      </c>
      <c r="P14" s="11" t="n">
        <v>1.80214746837631</v>
      </c>
      <c r="Q14" s="11" t="n">
        <v>1.83413715381798</v>
      </c>
      <c r="R14" s="11" t="n">
        <v>1.86396690800674</v>
      </c>
      <c r="S14" s="11" t="n">
        <v>1.89168496138165</v>
      </c>
      <c r="T14" s="11" t="n">
        <v>1.91733944741706</v>
      </c>
      <c r="U14" s="11" t="n">
        <v>1.94097841546916</v>
      </c>
      <c r="V14" s="11" t="n">
        <v>1.96264970716783</v>
      </c>
      <c r="W14" s="11" t="n">
        <v>1.98240004064693</v>
      </c>
      <c r="X14" s="11" t="n">
        <v>2.00027450475263</v>
      </c>
      <c r="Y14" s="11" t="n">
        <v>2.0163168606551</v>
      </c>
      <c r="Z14" s="11" t="n">
        <v>2.03057056807797</v>
      </c>
      <c r="AA14" s="11" t="n">
        <v>2.04307941662821</v>
      </c>
      <c r="AB14" s="11" t="n">
        <v>2.05388751811157</v>
      </c>
      <c r="AC14" s="11" t="n">
        <v>2.06303926817553</v>
      </c>
      <c r="AD14" s="11" t="n">
        <v>2.07057933075239</v>
      </c>
      <c r="AE14" s="11" t="n">
        <v>2.07655323213613</v>
      </c>
      <c r="AF14" s="11" t="n">
        <v>2.08100856467744</v>
      </c>
      <c r="AG14" s="11" t="n">
        <v>2.0839949348033</v>
      </c>
      <c r="AH14" s="11" t="n">
        <v>2.08556367018399</v>
      </c>
      <c r="AI14" s="11" t="n">
        <v>2.08576797585029</v>
      </c>
      <c r="AJ14" s="11" t="n">
        <v>2.08466347081803</v>
      </c>
      <c r="AK14" s="11" t="n">
        <v>2.08230811420593</v>
      </c>
      <c r="AL14" s="11" t="n">
        <v>2.07876198577714</v>
      </c>
      <c r="AM14" s="11" t="n">
        <v>2.07408742702586</v>
      </c>
      <c r="AN14" s="11" t="n">
        <v>2.06834957654181</v>
      </c>
      <c r="AO14" s="11" t="n">
        <v>2.06161637339169</v>
      </c>
      <c r="AP14" s="11" t="n">
        <v>2.05395863907027</v>
      </c>
      <c r="AQ14" s="11" t="n">
        <v>2.04544984686939</v>
      </c>
      <c r="AR14" s="11" t="n">
        <v>2.03616544711317</v>
      </c>
      <c r="AS14" s="11" t="n">
        <v>2.02618250705878</v>
      </c>
      <c r="AT14" s="11" t="n">
        <v>2.01557956256509</v>
      </c>
      <c r="AU14" s="11" t="n">
        <v>2.00443623500872</v>
      </c>
    </row>
    <row r="15" customFormat="false" ht="15" hidden="false" customHeight="false" outlineLevel="0" collapsed="false">
      <c r="A15" s="10" t="n">
        <v>-110</v>
      </c>
      <c r="B15" s="8" t="n">
        <v>43017</v>
      </c>
      <c r="C15" s="11" t="n">
        <v>0.407219475182276</v>
      </c>
      <c r="D15" s="11" t="n">
        <v>0.449584909281027</v>
      </c>
      <c r="E15" s="11" t="n">
        <v>0.501979205883437</v>
      </c>
      <c r="F15" s="11" t="n">
        <v>0.561319532216411</v>
      </c>
      <c r="G15" s="11" t="n">
        <v>0.625337227848501</v>
      </c>
      <c r="H15" s="11" t="n">
        <v>0.692337491919465</v>
      </c>
      <c r="I15" s="11" t="n">
        <v>0.76100174147812</v>
      </c>
      <c r="J15" s="11" t="n">
        <v>0.830314529633173</v>
      </c>
      <c r="K15" s="11" t="n">
        <v>0.899517407770218</v>
      </c>
      <c r="L15" s="11" t="n">
        <v>0.968047397832458</v>
      </c>
      <c r="M15" s="11" t="n">
        <v>1.03548030912423</v>
      </c>
      <c r="N15" s="11" t="n">
        <v>1.10148840638645</v>
      </c>
      <c r="O15" s="11" t="n">
        <v>1.76337368344139</v>
      </c>
      <c r="P15" s="11" t="n">
        <v>1.79790309763756</v>
      </c>
      <c r="Q15" s="11" t="n">
        <v>1.83020050221684</v>
      </c>
      <c r="R15" s="11" t="n">
        <v>1.86031467128769</v>
      </c>
      <c r="S15" s="11" t="n">
        <v>1.88829513496833</v>
      </c>
      <c r="T15" s="11" t="n">
        <v>1.91419165005804</v>
      </c>
      <c r="U15" s="11" t="n">
        <v>1.93805416497083</v>
      </c>
      <c r="V15" s="11" t="n">
        <v>1.95993259308411</v>
      </c>
      <c r="W15" s="11" t="n">
        <v>1.97987544992906</v>
      </c>
      <c r="X15" s="11" t="n">
        <v>1.99792910125349</v>
      </c>
      <c r="Y15" s="11" t="n">
        <v>2.01413808762822</v>
      </c>
      <c r="Z15" s="11" t="n">
        <v>2.02854599177198</v>
      </c>
      <c r="AA15" s="11" t="n">
        <v>2.04119599227431</v>
      </c>
      <c r="AB15" s="11" t="n">
        <v>2.05213093624531</v>
      </c>
      <c r="AC15" s="11" t="n">
        <v>2.06139337877745</v>
      </c>
      <c r="AD15" s="11" t="n">
        <v>2.06902563375201</v>
      </c>
      <c r="AE15" s="11" t="n">
        <v>2.07507039064593</v>
      </c>
      <c r="AF15" s="11" t="n">
        <v>2.07957191869444</v>
      </c>
      <c r="AG15" s="11" t="n">
        <v>2.08257629552763</v>
      </c>
      <c r="AH15" s="11" t="n">
        <v>2.0841313194419</v>
      </c>
      <c r="AI15" s="11" t="n">
        <v>2.08428688485022</v>
      </c>
      <c r="AJ15" s="11" t="n">
        <v>2.08309593005127</v>
      </c>
      <c r="AK15" s="11" t="n">
        <v>2.08061439651186</v>
      </c>
      <c r="AL15" s="11" t="n">
        <v>2.07690094882482</v>
      </c>
      <c r="AM15" s="11" t="n">
        <v>2.07201719769716</v>
      </c>
      <c r="AN15" s="11" t="n">
        <v>2.06602846129101</v>
      </c>
      <c r="AO15" s="11" t="n">
        <v>2.05900375723908</v>
      </c>
      <c r="AP15" s="11" t="n">
        <v>2.05101583002514</v>
      </c>
      <c r="AQ15" s="11" t="n">
        <v>2.04214082065421</v>
      </c>
      <c r="AR15" s="11" t="n">
        <v>2.03245740137883</v>
      </c>
      <c r="AS15" s="11" t="n">
        <v>2.02204631741659</v>
      </c>
      <c r="AT15" s="11" t="n">
        <v>2.01099019768302</v>
      </c>
      <c r="AU15" s="11" t="n">
        <v>1.99937309688574</v>
      </c>
    </row>
    <row r="16" customFormat="false" ht="15" hidden="false" customHeight="false" outlineLevel="0" collapsed="false">
      <c r="A16" s="10" t="n">
        <v>-109</v>
      </c>
      <c r="B16" s="8" t="n">
        <v>43018</v>
      </c>
      <c r="C16" s="11" t="n">
        <v>0.42707677523992</v>
      </c>
      <c r="D16" s="11" t="n">
        <v>0.469196495208622</v>
      </c>
      <c r="E16" s="11" t="n">
        <v>0.521227168494256</v>
      </c>
      <c r="F16" s="11" t="n">
        <v>0.580080102119894</v>
      </c>
      <c r="G16" s="11" t="n">
        <v>0.643481257601202</v>
      </c>
      <c r="H16" s="11" t="n">
        <v>0.709742587311327</v>
      </c>
      <c r="I16" s="11" t="n">
        <v>0.77756257335371</v>
      </c>
      <c r="J16" s="11" t="n">
        <v>0.845951022996859</v>
      </c>
      <c r="K16" s="11" t="n">
        <v>0.914175685286916</v>
      </c>
      <c r="L16" s="11" t="n">
        <v>0.981698681356209</v>
      </c>
      <c r="M16" s="11" t="n">
        <v>1.04811763053132</v>
      </c>
      <c r="N16" s="11" t="n">
        <v>1.11312146430575</v>
      </c>
      <c r="O16" s="11" t="n">
        <v>1.76520240230305</v>
      </c>
      <c r="P16" s="11" t="n">
        <v>1.79935378590264</v>
      </c>
      <c r="Q16" s="11" t="n">
        <v>1.83133707041934</v>
      </c>
      <c r="R16" s="11" t="n">
        <v>1.86119786233313</v>
      </c>
      <c r="S16" s="11" t="n">
        <v>1.88898151621614</v>
      </c>
      <c r="T16" s="11" t="n">
        <v>1.91473281675009</v>
      </c>
      <c r="U16" s="11" t="n">
        <v>1.93849606110436</v>
      </c>
      <c r="V16" s="11" t="n">
        <v>1.96031494534309</v>
      </c>
      <c r="W16" s="11" t="n">
        <v>1.98023140865145</v>
      </c>
      <c r="X16" s="11" t="n">
        <v>1.99828502842131</v>
      </c>
      <c r="Y16" s="11" t="n">
        <v>2.01451342264894</v>
      </c>
      <c r="Z16" s="11" t="n">
        <v>2.02895341951555</v>
      </c>
      <c r="AA16" s="11" t="n">
        <v>2.04164177795029</v>
      </c>
      <c r="AB16" s="11" t="n">
        <v>2.052615228951</v>
      </c>
      <c r="AC16" s="11" t="n">
        <v>2.06191047890937</v>
      </c>
      <c r="AD16" s="11" t="n">
        <v>2.06956423418458</v>
      </c>
      <c r="AE16" s="11" t="n">
        <v>2.07561394331565</v>
      </c>
      <c r="AF16" s="11" t="n">
        <v>2.08009926080517</v>
      </c>
      <c r="AG16" s="11" t="n">
        <v>2.08306227326967</v>
      </c>
      <c r="AH16" s="11" t="n">
        <v>2.08454735037699</v>
      </c>
      <c r="AI16" s="11" t="n">
        <v>2.08460157774967</v>
      </c>
      <c r="AJ16" s="11" t="n">
        <v>2.08327586964066</v>
      </c>
      <c r="AK16" s="11" t="n">
        <v>2.08062489731283</v>
      </c>
      <c r="AL16" s="11" t="n">
        <v>2.07670673739826</v>
      </c>
      <c r="AM16" s="11" t="n">
        <v>2.07158309557252</v>
      </c>
      <c r="AN16" s="11" t="n">
        <v>2.06532013116805</v>
      </c>
      <c r="AO16" s="11" t="n">
        <v>2.05798840709441</v>
      </c>
      <c r="AP16" s="11" t="n">
        <v>2.04966285260203</v>
      </c>
      <c r="AQ16" s="11" t="n">
        <v>2.04042233771728</v>
      </c>
      <c r="AR16" s="11" t="n">
        <v>2.0303486288318</v>
      </c>
      <c r="AS16" s="11" t="n">
        <v>2.01952584732541</v>
      </c>
      <c r="AT16" s="11" t="n">
        <v>2.00804025427257</v>
      </c>
      <c r="AU16" s="11" t="n">
        <v>1.99597973773935</v>
      </c>
    </row>
    <row r="17" customFormat="false" ht="15" hidden="false" customHeight="false" outlineLevel="0" collapsed="false">
      <c r="A17" s="10" t="n">
        <v>-108</v>
      </c>
      <c r="B17" s="8" t="n">
        <v>43019</v>
      </c>
      <c r="C17" s="11" t="n">
        <v>0.444312432773849</v>
      </c>
      <c r="D17" s="11" t="n">
        <v>0.486828545781176</v>
      </c>
      <c r="E17" s="11" t="n">
        <v>0.538950755862834</v>
      </c>
      <c r="F17" s="11" t="n">
        <v>0.597665264488953</v>
      </c>
      <c r="G17" s="11" t="n">
        <v>0.660763634103894</v>
      </c>
      <c r="H17" s="11" t="n">
        <v>0.726619068192629</v>
      </c>
      <c r="I17" s="11" t="n">
        <v>0.793980946791909</v>
      </c>
      <c r="J17" s="11" t="n">
        <v>0.861897130557499</v>
      </c>
      <c r="K17" s="11" t="n">
        <v>0.929659307725416</v>
      </c>
      <c r="L17" s="11" t="n">
        <v>0.996743177170484</v>
      </c>
      <c r="M17" s="11" t="n">
        <v>1.06275280808612</v>
      </c>
      <c r="N17" s="11" t="n">
        <v>1.1273782321382</v>
      </c>
      <c r="O17" s="11" t="n">
        <v>1.7762822255731</v>
      </c>
      <c r="P17" s="11" t="n">
        <v>1.81026109280787</v>
      </c>
      <c r="Q17" s="11" t="n">
        <v>1.84207201274819</v>
      </c>
      <c r="R17" s="11" t="n">
        <v>1.87175715624048</v>
      </c>
      <c r="S17" s="11" t="n">
        <v>1.89935887611642</v>
      </c>
      <c r="T17" s="11" t="n">
        <v>1.92491945515923</v>
      </c>
      <c r="U17" s="11" t="n">
        <v>1.94848111553039</v>
      </c>
      <c r="V17" s="11" t="n">
        <v>1.97008588876063</v>
      </c>
      <c r="W17" s="11" t="n">
        <v>1.98977471801991</v>
      </c>
      <c r="X17" s="11" t="n">
        <v>2.00758698449019</v>
      </c>
      <c r="Y17" s="11" t="n">
        <v>2.02356079231296</v>
      </c>
      <c r="Z17" s="11" t="n">
        <v>2.03773387416163</v>
      </c>
      <c r="AA17" s="11" t="n">
        <v>2.05014413400773</v>
      </c>
      <c r="AB17" s="11" t="n">
        <v>2.06082965199525</v>
      </c>
      <c r="AC17" s="11" t="n">
        <v>2.06982866346774</v>
      </c>
      <c r="AD17" s="11" t="n">
        <v>2.07717955989609</v>
      </c>
      <c r="AE17" s="11" t="n">
        <v>2.08292150515647</v>
      </c>
      <c r="AF17" s="11" t="n">
        <v>2.08709566472897</v>
      </c>
      <c r="AG17" s="11" t="n">
        <v>2.08974544510157</v>
      </c>
      <c r="AH17" s="11" t="n">
        <v>2.09091639616578</v>
      </c>
      <c r="AI17" s="11" t="n">
        <v>2.09065664622184</v>
      </c>
      <c r="AJ17" s="11" t="n">
        <v>2.08901798290033</v>
      </c>
      <c r="AK17" s="11" t="n">
        <v>2.08605578418638</v>
      </c>
      <c r="AL17" s="11" t="n">
        <v>2.08182868323122</v>
      </c>
      <c r="AM17" s="11" t="n">
        <v>2.07639880217183</v>
      </c>
      <c r="AN17" s="11" t="n">
        <v>2.06983256686605</v>
      </c>
      <c r="AO17" s="11" t="n">
        <v>2.06220066367742</v>
      </c>
      <c r="AP17" s="11" t="n">
        <v>2.05357801675182</v>
      </c>
      <c r="AQ17" s="11" t="n">
        <v>2.04404338363799</v>
      </c>
      <c r="AR17" s="11" t="n">
        <v>2.03367837061587</v>
      </c>
      <c r="AS17" s="11" t="n">
        <v>2.02256691969788</v>
      </c>
      <c r="AT17" s="11" t="n">
        <v>2.01079509582745</v>
      </c>
      <c r="AU17" s="11" t="n">
        <v>1.99845058900165</v>
      </c>
    </row>
    <row r="18" customFormat="false" ht="15" hidden="false" customHeight="false" outlineLevel="0" collapsed="false">
      <c r="A18" s="10" t="n">
        <v>-107</v>
      </c>
      <c r="B18" s="8" t="n">
        <v>43020</v>
      </c>
      <c r="C18" s="11" t="n">
        <v>0.456598097422636</v>
      </c>
      <c r="D18" s="11" t="n">
        <v>0.499793428548805</v>
      </c>
      <c r="E18" s="11" t="n">
        <v>0.552208637955949</v>
      </c>
      <c r="F18" s="11" t="n">
        <v>0.610823260484772</v>
      </c>
      <c r="G18" s="11" t="n">
        <v>0.673478487820378</v>
      </c>
      <c r="H18" s="11" t="n">
        <v>0.738609859938206</v>
      </c>
      <c r="I18" s="11" t="n">
        <v>0.805029220010525</v>
      </c>
      <c r="J18" s="11" t="n">
        <v>0.871844771422502</v>
      </c>
      <c r="K18" s="11" t="n">
        <v>0.938403487377019</v>
      </c>
      <c r="L18" s="11" t="n">
        <v>1.00423112840091</v>
      </c>
      <c r="M18" s="11" t="n">
        <v>1.06897503844425</v>
      </c>
      <c r="N18" s="11" t="n">
        <v>1.13235973333265</v>
      </c>
      <c r="O18" s="11" t="n">
        <v>1.77124354289961</v>
      </c>
      <c r="P18" s="11" t="n">
        <v>1.80489242222167</v>
      </c>
      <c r="Q18" s="11" t="n">
        <v>1.83641811947821</v>
      </c>
      <c r="R18" s="11" t="n">
        <v>1.86585701847843</v>
      </c>
      <c r="S18" s="11" t="n">
        <v>1.89324616283307</v>
      </c>
      <c r="T18" s="11" t="n">
        <v>1.91862307820792</v>
      </c>
      <c r="U18" s="11" t="n">
        <v>1.94202570111155</v>
      </c>
      <c r="V18" s="11" t="n">
        <v>1.96349221232627</v>
      </c>
      <c r="W18" s="11" t="n">
        <v>1.98306029442166</v>
      </c>
      <c r="X18" s="11" t="n">
        <v>2.0007667288828</v>
      </c>
      <c r="Y18" s="11" t="n">
        <v>2.01664759057532</v>
      </c>
      <c r="Z18" s="11" t="n">
        <v>2.03073899208788</v>
      </c>
      <c r="AA18" s="11" t="n">
        <v>2.04307751120184</v>
      </c>
      <c r="AB18" s="11" t="n">
        <v>2.05370015618579</v>
      </c>
      <c r="AC18" s="11" t="n">
        <v>2.06264431454708</v>
      </c>
      <c r="AD18" s="11" t="n">
        <v>2.06994772707277</v>
      </c>
      <c r="AE18" s="11" t="n">
        <v>2.07564904025889</v>
      </c>
      <c r="AF18" s="11" t="n">
        <v>2.07978891820918</v>
      </c>
      <c r="AG18" s="11" t="n">
        <v>2.08241022827568</v>
      </c>
      <c r="AH18" s="11" t="n">
        <v>2.08355792795395</v>
      </c>
      <c r="AI18" s="11" t="n">
        <v>2.08327950064731</v>
      </c>
      <c r="AJ18" s="11" t="n">
        <v>2.08162601826594</v>
      </c>
      <c r="AK18" s="11" t="n">
        <v>2.07865207018512</v>
      </c>
      <c r="AL18" s="11" t="n">
        <v>2.07441543588281</v>
      </c>
      <c r="AM18" s="11" t="n">
        <v>2.06897733921391</v>
      </c>
      <c r="AN18" s="11" t="n">
        <v>2.06240328294212</v>
      </c>
      <c r="AO18" s="11" t="n">
        <v>2.05476301941347</v>
      </c>
      <c r="AP18" s="11" t="n">
        <v>2.04613056631425</v>
      </c>
      <c r="AQ18" s="11" t="n">
        <v>2.03658382820683</v>
      </c>
      <c r="AR18" s="11" t="n">
        <v>2.02620367327486</v>
      </c>
      <c r="AS18" s="11" t="n">
        <v>2.01507344042911</v>
      </c>
      <c r="AT18" s="11" t="n">
        <v>2.00327871625098</v>
      </c>
      <c r="AU18" s="11" t="n">
        <v>1.99090684744477</v>
      </c>
    </row>
    <row r="19" customFormat="false" ht="15" hidden="false" customHeight="false" outlineLevel="0" collapsed="false">
      <c r="A19" s="10" t="n">
        <v>-106</v>
      </c>
      <c r="B19" s="8" t="n">
        <v>43021</v>
      </c>
      <c r="C19" s="11" t="n">
        <v>0.460234266296311</v>
      </c>
      <c r="D19" s="11" t="n">
        <v>0.504891671695116</v>
      </c>
      <c r="E19" s="11" t="n">
        <v>0.558024439614405</v>
      </c>
      <c r="F19" s="11" t="n">
        <v>0.616656691987117</v>
      </c>
      <c r="G19" s="11" t="n">
        <v>0.678774159663113</v>
      </c>
      <c r="H19" s="11" t="n">
        <v>0.742961645679281</v>
      </c>
      <c r="I19" s="11" t="n">
        <v>0.808156883701002</v>
      </c>
      <c r="J19" s="11" t="n">
        <v>0.873564746564512</v>
      </c>
      <c r="K19" s="11" t="n">
        <v>0.938607832894577</v>
      </c>
      <c r="L19" s="11" t="n">
        <v>1.00287097629974</v>
      </c>
      <c r="M19" s="11" t="n">
        <v>1.06604991863905</v>
      </c>
      <c r="N19" s="11" t="n">
        <v>1.12790504521113</v>
      </c>
      <c r="O19" s="11" t="n">
        <v>1.75396380752373</v>
      </c>
      <c r="P19" s="11" t="n">
        <v>1.78706101425635</v>
      </c>
      <c r="Q19" s="11" t="n">
        <v>1.81807090200455</v>
      </c>
      <c r="R19" s="11" t="n">
        <v>1.84702567090728</v>
      </c>
      <c r="S19" s="11" t="n">
        <v>1.8739587184581</v>
      </c>
      <c r="T19" s="11" t="n">
        <v>1.89890442210582</v>
      </c>
      <c r="U19" s="11" t="n">
        <v>1.9218979949916</v>
      </c>
      <c r="V19" s="11" t="n">
        <v>1.94297529882382</v>
      </c>
      <c r="W19" s="11" t="n">
        <v>1.96217232783792</v>
      </c>
      <c r="X19" s="11" t="n">
        <v>1.97952491822315</v>
      </c>
      <c r="Y19" s="11" t="n">
        <v>1.99506883461863</v>
      </c>
      <c r="Z19" s="11" t="n">
        <v>2.0088402731885</v>
      </c>
      <c r="AA19" s="11" t="n">
        <v>2.02087612266771</v>
      </c>
      <c r="AB19" s="11" t="n">
        <v>2.03121389508237</v>
      </c>
      <c r="AC19" s="11" t="n">
        <v>2.03989165154849</v>
      </c>
      <c r="AD19" s="11" t="n">
        <v>2.04694795479151</v>
      </c>
      <c r="AE19" s="11" t="n">
        <v>2.05242231244112</v>
      </c>
      <c r="AF19" s="11" t="n">
        <v>2.05635606679514</v>
      </c>
      <c r="AG19" s="11" t="n">
        <v>2.05879256090452</v>
      </c>
      <c r="AH19" s="11" t="n">
        <v>2.05977705436068</v>
      </c>
      <c r="AI19" s="11" t="n">
        <v>2.05935715217212</v>
      </c>
      <c r="AJ19" s="11" t="n">
        <v>2.0575837893085</v>
      </c>
      <c r="AK19" s="11" t="n">
        <v>2.05451115383295</v>
      </c>
      <c r="AL19" s="11" t="n">
        <v>2.0501963861289</v>
      </c>
      <c r="AM19" s="11" t="n">
        <v>2.04469984946679</v>
      </c>
      <c r="AN19" s="11" t="n">
        <v>2.03808593101037</v>
      </c>
      <c r="AO19" s="11" t="n">
        <v>2.0304230255793</v>
      </c>
      <c r="AP19" s="11" t="n">
        <v>2.02178359729781</v>
      </c>
      <c r="AQ19" s="11" t="n">
        <v>2.01224384358345</v>
      </c>
      <c r="AR19" s="11" t="n">
        <v>2.00188288533253</v>
      </c>
      <c r="AS19" s="11" t="n">
        <v>1.9907823252652</v>
      </c>
      <c r="AT19" s="11" t="n">
        <v>1.97902602588492</v>
      </c>
      <c r="AU19" s="11" t="n">
        <v>1.96669966015552</v>
      </c>
    </row>
    <row r="20" customFormat="false" ht="15" hidden="false" customHeight="false" outlineLevel="0" collapsed="false">
      <c r="A20" s="10" t="n">
        <v>-105</v>
      </c>
      <c r="B20" s="8" t="n">
        <v>43024</v>
      </c>
      <c r="C20" s="11" t="n">
        <v>0.444115490826321</v>
      </c>
      <c r="D20" s="11" t="n">
        <v>0.487686130282668</v>
      </c>
      <c r="E20" s="11" t="n">
        <v>0.540077558014563</v>
      </c>
      <c r="F20" s="11" t="n">
        <v>0.598121443371239</v>
      </c>
      <c r="G20" s="11" t="n">
        <v>0.659721330151487</v>
      </c>
      <c r="H20" s="11" t="n">
        <v>0.723421380354409</v>
      </c>
      <c r="I20" s="11" t="n">
        <v>0.788134043496476</v>
      </c>
      <c r="J20" s="11" t="n">
        <v>0.853044613744434</v>
      </c>
      <c r="K20" s="11" t="n">
        <v>0.91756125119535</v>
      </c>
      <c r="L20" s="11" t="n">
        <v>0.981259070561093</v>
      </c>
      <c r="M20" s="11" t="n">
        <v>1.04383085440391</v>
      </c>
      <c r="N20" s="11" t="n">
        <v>1.10503913003688</v>
      </c>
      <c r="O20" s="11" t="n">
        <v>1.72415576141933</v>
      </c>
      <c r="P20" s="11" t="n">
        <v>1.75704814080313</v>
      </c>
      <c r="Q20" s="11" t="n">
        <v>1.78789465607243</v>
      </c>
      <c r="R20" s="11" t="n">
        <v>1.81672319120891</v>
      </c>
      <c r="S20" s="11" t="n">
        <v>1.84356302213613</v>
      </c>
      <c r="T20" s="11" t="n">
        <v>1.86844461685797</v>
      </c>
      <c r="U20" s="11" t="n">
        <v>1.89139946013381</v>
      </c>
      <c r="V20" s="11" t="n">
        <v>1.91245984346788</v>
      </c>
      <c r="W20" s="11" t="n">
        <v>1.9316583516853</v>
      </c>
      <c r="X20" s="11" t="n">
        <v>1.94902756946341</v>
      </c>
      <c r="Y20" s="11" t="n">
        <v>1.96460018086739</v>
      </c>
      <c r="Z20" s="11" t="n">
        <v>1.97840964492775</v>
      </c>
      <c r="AA20" s="11" t="n">
        <v>1.99049053251587</v>
      </c>
      <c r="AB20" s="11" t="n">
        <v>2.00087841126694</v>
      </c>
      <c r="AC20" s="11" t="n">
        <v>2.00960972691759</v>
      </c>
      <c r="AD20" s="11" t="n">
        <v>2.01672172253104</v>
      </c>
      <c r="AE20" s="11" t="n">
        <v>2.02225298579434</v>
      </c>
      <c r="AF20" s="11" t="n">
        <v>2.02624452421593</v>
      </c>
      <c r="AG20" s="11" t="n">
        <v>2.02873977574353</v>
      </c>
      <c r="AH20" s="11" t="n">
        <v>2.02978438653449</v>
      </c>
      <c r="AI20" s="11" t="n">
        <v>2.0294265677098</v>
      </c>
      <c r="AJ20" s="11" t="n">
        <v>2.02771797061554</v>
      </c>
      <c r="AK20" s="11" t="n">
        <v>2.02471357752115</v>
      </c>
      <c r="AL20" s="11" t="n">
        <v>2.02047139178393</v>
      </c>
      <c r="AM20" s="11" t="n">
        <v>2.01505264830285</v>
      </c>
      <c r="AN20" s="11" t="n">
        <v>2.0085224951108</v>
      </c>
      <c r="AO20" s="11" t="n">
        <v>2.00094995219422</v>
      </c>
      <c r="AP20" s="11" t="n">
        <v>1.99240795492683</v>
      </c>
      <c r="AQ20" s="11" t="n">
        <v>1.98297300842541</v>
      </c>
      <c r="AR20" s="11" t="n">
        <v>1.97272436265702</v>
      </c>
      <c r="AS20" s="11" t="n">
        <v>1.96174357729195</v>
      </c>
      <c r="AT20" s="11" t="n">
        <v>1.95011431332684</v>
      </c>
      <c r="AU20" s="11" t="n">
        <v>1.93792187578358</v>
      </c>
    </row>
    <row r="21" customFormat="false" ht="15" hidden="false" customHeight="false" outlineLevel="0" collapsed="false">
      <c r="A21" s="10" t="n">
        <v>-104</v>
      </c>
      <c r="B21" s="8" t="n">
        <v>43025</v>
      </c>
      <c r="C21" s="11" t="n">
        <v>0.403148760621896</v>
      </c>
      <c r="D21" s="11" t="n">
        <v>0.443457318276599</v>
      </c>
      <c r="E21" s="11" t="n">
        <v>0.493104324930978</v>
      </c>
      <c r="F21" s="11" t="n">
        <v>0.548862398148307</v>
      </c>
      <c r="G21" s="11" t="n">
        <v>0.608598422593949</v>
      </c>
      <c r="H21" s="11" t="n">
        <v>0.670808439766869</v>
      </c>
      <c r="I21" s="11" t="n">
        <v>0.73435182713145</v>
      </c>
      <c r="J21" s="11" t="n">
        <v>0.798362937133007</v>
      </c>
      <c r="K21" s="11" t="n">
        <v>0.862205681055428</v>
      </c>
      <c r="L21" s="11" t="n">
        <v>0.925417356630831</v>
      </c>
      <c r="M21" s="11" t="n">
        <v>0.987660161237861</v>
      </c>
      <c r="N21" s="11" t="n">
        <v>1.0486725567482</v>
      </c>
      <c r="O21" s="11" t="n">
        <v>1.67255749781914</v>
      </c>
      <c r="P21" s="11" t="n">
        <v>1.70611533619032</v>
      </c>
      <c r="Q21" s="11" t="n">
        <v>1.73763597918607</v>
      </c>
      <c r="R21" s="11" t="n">
        <v>1.76714400910182</v>
      </c>
      <c r="S21" s="11" t="n">
        <v>1.79466575886346</v>
      </c>
      <c r="T21" s="11" t="n">
        <v>1.8202289614975</v>
      </c>
      <c r="U21" s="11" t="n">
        <v>1.84386254388545</v>
      </c>
      <c r="V21" s="11" t="n">
        <v>1.86559630403988</v>
      </c>
      <c r="W21" s="11" t="n">
        <v>1.88545986045122</v>
      </c>
      <c r="X21" s="11" t="n">
        <v>1.90348209540047</v>
      </c>
      <c r="Y21" s="11" t="n">
        <v>1.919691420227</v>
      </c>
      <c r="Z21" s="11" t="n">
        <v>1.93411702452688</v>
      </c>
      <c r="AA21" s="11" t="n">
        <v>1.9467895190807</v>
      </c>
      <c r="AB21" s="11" t="n">
        <v>1.95774079688757</v>
      </c>
      <c r="AC21" s="11" t="n">
        <v>1.96700388052009</v>
      </c>
      <c r="AD21" s="11" t="n">
        <v>1.97461282382471</v>
      </c>
      <c r="AE21" s="11" t="n">
        <v>1.98060356184956</v>
      </c>
      <c r="AF21" s="11" t="n">
        <v>1.9850155126491</v>
      </c>
      <c r="AG21" s="11" t="n">
        <v>1.98789145671682</v>
      </c>
      <c r="AH21" s="11" t="n">
        <v>1.98927713061734</v>
      </c>
      <c r="AI21" s="11" t="n">
        <v>1.98922149607029</v>
      </c>
      <c r="AJ21" s="11" t="n">
        <v>1.98777752329957</v>
      </c>
      <c r="AK21" s="11" t="n">
        <v>1.98500201671572</v>
      </c>
      <c r="AL21" s="11" t="n">
        <v>1.98095525412264</v>
      </c>
      <c r="AM21" s="11" t="n">
        <v>1.97570109513646</v>
      </c>
      <c r="AN21" s="11" t="n">
        <v>1.96930750406682</v>
      </c>
      <c r="AO21" s="11" t="n">
        <v>1.96184645771608</v>
      </c>
      <c r="AP21" s="11" t="n">
        <v>1.9533939550713</v>
      </c>
      <c r="AQ21" s="11" t="n">
        <v>1.94402961412125</v>
      </c>
      <c r="AR21" s="11" t="n">
        <v>1.93383571401394</v>
      </c>
      <c r="AS21" s="11" t="n">
        <v>1.92289672064434</v>
      </c>
      <c r="AT21" s="11" t="n">
        <v>1.91129908545442</v>
      </c>
      <c r="AU21" s="11" t="n">
        <v>1.89913072745394</v>
      </c>
    </row>
    <row r="22" customFormat="false" ht="15" hidden="false" customHeight="false" outlineLevel="0" collapsed="false">
      <c r="A22" s="10" t="n">
        <v>-103</v>
      </c>
      <c r="B22" s="8" t="n">
        <v>43026</v>
      </c>
      <c r="C22" s="11" t="n">
        <v>0.428321296156807</v>
      </c>
      <c r="D22" s="11" t="n">
        <v>0.469207965739445</v>
      </c>
      <c r="E22" s="11" t="n">
        <v>0.51969672655628</v>
      </c>
      <c r="F22" s="11" t="n">
        <v>0.576451090915177</v>
      </c>
      <c r="G22" s="11" t="n">
        <v>0.63721107000842</v>
      </c>
      <c r="H22" s="11" t="n">
        <v>0.700365937135545</v>
      </c>
      <c r="I22" s="11" t="n">
        <v>0.764708427423949</v>
      </c>
      <c r="J22" s="11" t="n">
        <v>0.829347063821678</v>
      </c>
      <c r="K22" s="11" t="n">
        <v>0.893647249177152</v>
      </c>
      <c r="L22" s="11" t="n">
        <v>0.957162468209286</v>
      </c>
      <c r="M22" s="11" t="n">
        <v>1.01957784521514</v>
      </c>
      <c r="N22" s="11" t="n">
        <v>1.08065715568515</v>
      </c>
      <c r="O22" s="11" t="n">
        <v>1.70257030702064</v>
      </c>
      <c r="P22" s="11" t="n">
        <v>1.73594500604759</v>
      </c>
      <c r="Q22" s="11" t="n">
        <v>1.7672792029574</v>
      </c>
      <c r="R22" s="11" t="n">
        <v>1.79659655612933</v>
      </c>
      <c r="S22" s="11" t="n">
        <v>1.82392301305378</v>
      </c>
      <c r="T22" s="11" t="n">
        <v>1.84928644345451</v>
      </c>
      <c r="U22" s="11" t="n">
        <v>1.87271635642914</v>
      </c>
      <c r="V22" s="11" t="n">
        <v>1.89424352475235</v>
      </c>
      <c r="W22" s="11" t="n">
        <v>1.9138989572398</v>
      </c>
      <c r="X22" s="11" t="n">
        <v>1.93171334068506</v>
      </c>
      <c r="Y22" s="11" t="n">
        <v>1.94771720002337</v>
      </c>
      <c r="Z22" s="11" t="n">
        <v>1.96194176958686</v>
      </c>
      <c r="AA22" s="11" t="n">
        <v>1.97441942767567</v>
      </c>
      <c r="AB22" s="11" t="n">
        <v>1.98518358087162</v>
      </c>
      <c r="AC22" s="11" t="n">
        <v>1.99426854162374</v>
      </c>
      <c r="AD22" s="11" t="n">
        <v>2.00170945135925</v>
      </c>
      <c r="AE22" s="11" t="n">
        <v>2.00754300105619</v>
      </c>
      <c r="AF22" s="11" t="n">
        <v>2.01180878004572</v>
      </c>
      <c r="AG22" s="11" t="n">
        <v>2.01454925752339</v>
      </c>
      <c r="AH22" s="11" t="n">
        <v>2.01580949632531</v>
      </c>
      <c r="AI22" s="11" t="n">
        <v>2.0156375304315</v>
      </c>
      <c r="AJ22" s="11" t="n">
        <v>2.01408528864702</v>
      </c>
      <c r="AK22" s="11" t="n">
        <v>2.01120845154699</v>
      </c>
      <c r="AL22" s="11" t="n">
        <v>2.00706610153161</v>
      </c>
      <c r="AM22" s="11" t="n">
        <v>2.00172091107591</v>
      </c>
      <c r="AN22" s="11" t="n">
        <v>1.99523979472506</v>
      </c>
      <c r="AO22" s="11" t="n">
        <v>1.98769384452851</v>
      </c>
      <c r="AP22" s="11" t="n">
        <v>1.97915837481037</v>
      </c>
      <c r="AQ22" s="11" t="n">
        <v>1.96971251619672</v>
      </c>
      <c r="AR22" s="11" t="n">
        <v>1.95943824351918</v>
      </c>
      <c r="AS22" s="11" t="n">
        <v>1.94841988971857</v>
      </c>
      <c r="AT22" s="11" t="n">
        <v>1.93674392975431</v>
      </c>
      <c r="AU22" s="11" t="n">
        <v>1.92449843967279</v>
      </c>
    </row>
    <row r="23" customFormat="false" ht="15" hidden="false" customHeight="false" outlineLevel="0" collapsed="false">
      <c r="A23" s="10" t="n">
        <v>-102</v>
      </c>
      <c r="B23" s="8" t="n">
        <v>43027</v>
      </c>
      <c r="C23" s="11" t="n">
        <v>0.401259767475009</v>
      </c>
      <c r="D23" s="11" t="n">
        <v>0.440727740583653</v>
      </c>
      <c r="E23" s="11" t="n">
        <v>0.489844171877303</v>
      </c>
      <c r="F23" s="11" t="n">
        <v>0.545320381047854</v>
      </c>
      <c r="G23" s="11" t="n">
        <v>0.604903865292035</v>
      </c>
      <c r="H23" s="11" t="n">
        <v>0.666975290389341</v>
      </c>
      <c r="I23" s="11" t="n">
        <v>0.730316743919834</v>
      </c>
      <c r="J23" s="11" t="n">
        <v>0.794028200451108</v>
      </c>
      <c r="K23" s="11" t="n">
        <v>0.857472710559347</v>
      </c>
      <c r="L23" s="11" t="n">
        <v>0.92020673634376</v>
      </c>
      <c r="M23" s="11" t="n">
        <v>0.981921974118527</v>
      </c>
      <c r="N23" s="11" t="n">
        <v>1.04239045679794</v>
      </c>
      <c r="O23" s="11" t="n">
        <v>1.66425678868133</v>
      </c>
      <c r="P23" s="11" t="n">
        <v>1.69797325207603</v>
      </c>
      <c r="Q23" s="11" t="n">
        <v>1.72965482531012</v>
      </c>
      <c r="R23" s="11" t="n">
        <v>1.75932083696147</v>
      </c>
      <c r="S23" s="11" t="n">
        <v>1.7869940830107</v>
      </c>
      <c r="T23" s="11" t="n">
        <v>1.8127002623936</v>
      </c>
      <c r="U23" s="11" t="n">
        <v>1.83646754982148</v>
      </c>
      <c r="V23" s="11" t="n">
        <v>1.85832605659035</v>
      </c>
      <c r="W23" s="11" t="n">
        <v>1.87830646036509</v>
      </c>
      <c r="X23" s="11" t="n">
        <v>1.8964392567095</v>
      </c>
      <c r="Y23" s="11" t="n">
        <v>1.91275486962251</v>
      </c>
      <c r="Z23" s="11" t="n">
        <v>1.92728435077164</v>
      </c>
      <c r="AA23" s="11" t="n">
        <v>1.94005972050768</v>
      </c>
      <c r="AB23" s="11" t="n">
        <v>1.95111386846666</v>
      </c>
      <c r="AC23" s="11" t="n">
        <v>1.96048045008347</v>
      </c>
      <c r="AD23" s="11" t="n">
        <v>1.96819382516492</v>
      </c>
      <c r="AE23" s="11" t="n">
        <v>1.97428975234206</v>
      </c>
      <c r="AF23" s="11" t="n">
        <v>1.97880668956948</v>
      </c>
      <c r="AG23" s="11" t="n">
        <v>1.98178594248368</v>
      </c>
      <c r="AH23" s="11" t="n">
        <v>1.98327148977339</v>
      </c>
      <c r="AI23" s="11" t="n">
        <v>1.98331046490375</v>
      </c>
      <c r="AJ23" s="11" t="n">
        <v>1.98195424779309</v>
      </c>
      <c r="AK23" s="11" t="n">
        <v>1.97925832022473</v>
      </c>
      <c r="AL23" s="11" t="n">
        <v>1.9752818833714</v>
      </c>
      <c r="AM23" s="11" t="n">
        <v>1.97008805560544</v>
      </c>
      <c r="AN23" s="11" t="n">
        <v>1.96374455772014</v>
      </c>
      <c r="AO23" s="11" t="n">
        <v>1.95632361561388</v>
      </c>
      <c r="AP23" s="11" t="n">
        <v>1.94790193767387</v>
      </c>
      <c r="AQ23" s="11" t="n">
        <v>1.93856022913809</v>
      </c>
      <c r="AR23" s="11" t="n">
        <v>1.92838207206262</v>
      </c>
      <c r="AS23" s="11" t="n">
        <v>1.91745339041334</v>
      </c>
      <c r="AT23" s="11" t="n">
        <v>1.90586223205683</v>
      </c>
      <c r="AU23" s="11" t="n">
        <v>1.89369816022019</v>
      </c>
    </row>
    <row r="24" customFormat="false" ht="15" hidden="false" customHeight="false" outlineLevel="0" collapsed="false">
      <c r="A24" s="10" t="n">
        <v>-101</v>
      </c>
      <c r="B24" s="8" t="n">
        <v>43028</v>
      </c>
      <c r="C24" s="11" t="n">
        <v>0.430300264956612</v>
      </c>
      <c r="D24" s="11" t="n">
        <v>0.471812801216219</v>
      </c>
      <c r="E24" s="11" t="n">
        <v>0.523319245319742</v>
      </c>
      <c r="F24" s="11" t="n">
        <v>0.581357302266497</v>
      </c>
      <c r="G24" s="11" t="n">
        <v>0.643538114178235</v>
      </c>
      <c r="H24" s="11" t="n">
        <v>0.708151871131291</v>
      </c>
      <c r="I24" s="11" t="n">
        <v>0.773925538392348</v>
      </c>
      <c r="J24" s="11" t="n">
        <v>0.83992442695675</v>
      </c>
      <c r="K24" s="11" t="n">
        <v>0.905492570698575</v>
      </c>
      <c r="L24" s="11" t="n">
        <v>0.970173387247513</v>
      </c>
      <c r="M24" s="11" t="n">
        <v>1.03365107617089</v>
      </c>
      <c r="N24" s="11" t="n">
        <v>1.09569724821491</v>
      </c>
      <c r="O24" s="11" t="n">
        <v>1.72644692855283</v>
      </c>
      <c r="P24" s="11" t="n">
        <v>1.76026893172522</v>
      </c>
      <c r="Q24" s="11" t="n">
        <v>1.79199967465342</v>
      </c>
      <c r="R24" s="11" t="n">
        <v>1.82166387516736</v>
      </c>
      <c r="S24" s="11" t="n">
        <v>1.84928987171504</v>
      </c>
      <c r="T24" s="11" t="n">
        <v>1.87490899848531</v>
      </c>
      <c r="U24" s="11" t="n">
        <v>1.89855514441886</v>
      </c>
      <c r="V24" s="11" t="n">
        <v>1.92026415686046</v>
      </c>
      <c r="W24" s="11" t="n">
        <v>1.940072253503</v>
      </c>
      <c r="X24" s="11" t="n">
        <v>1.95801519769069</v>
      </c>
      <c r="Y24" s="11" t="n">
        <v>1.97412838784814</v>
      </c>
      <c r="Z24" s="11" t="n">
        <v>1.9884472582441</v>
      </c>
      <c r="AA24" s="11" t="n">
        <v>2.0010074820739</v>
      </c>
      <c r="AB24" s="11" t="n">
        <v>2.01184495106616</v>
      </c>
      <c r="AC24" s="11" t="n">
        <v>2.020995749467</v>
      </c>
      <c r="AD24" s="11" t="n">
        <v>2.02849615664744</v>
      </c>
      <c r="AE24" s="11" t="n">
        <v>2.03438328308349</v>
      </c>
      <c r="AF24" s="11" t="n">
        <v>2.0386962011318</v>
      </c>
      <c r="AG24" s="11" t="n">
        <v>2.04147625309283</v>
      </c>
      <c r="AH24" s="11" t="n">
        <v>2.04276702373615</v>
      </c>
      <c r="AI24" s="11" t="n">
        <v>2.04261498845272</v>
      </c>
      <c r="AJ24" s="11" t="n">
        <v>2.04107079511482</v>
      </c>
      <c r="AK24" s="11" t="n">
        <v>2.03818914653515</v>
      </c>
      <c r="AL24" s="11" t="n">
        <v>2.03402842714968</v>
      </c>
      <c r="AM24" s="11" t="n">
        <v>2.02865099787054</v>
      </c>
      <c r="AN24" s="11" t="n">
        <v>2.02212400930625</v>
      </c>
      <c r="AO24" s="11" t="n">
        <v>2.01451931740788</v>
      </c>
      <c r="AP24" s="11" t="n">
        <v>2.00591346961514</v>
      </c>
      <c r="AQ24" s="11" t="n">
        <v>1.99638719455957</v>
      </c>
      <c r="AR24" s="11" t="n">
        <v>1.98602426107577</v>
      </c>
      <c r="AS24" s="11" t="n">
        <v>1.97491093809703</v>
      </c>
      <c r="AT24" s="11" t="n">
        <v>1.96313576155538</v>
      </c>
      <c r="AU24" s="11" t="n">
        <v>1.95078887749292</v>
      </c>
    </row>
    <row r="25" customFormat="false" ht="15" hidden="false" customHeight="false" outlineLevel="0" collapsed="false">
      <c r="A25" s="10" t="n">
        <v>-100</v>
      </c>
      <c r="B25" s="8" t="n">
        <v>43031</v>
      </c>
      <c r="C25" s="11" t="n">
        <v>0.421386491041512</v>
      </c>
      <c r="D25" s="11" t="n">
        <v>0.462710801706654</v>
      </c>
      <c r="E25" s="11" t="n">
        <v>0.513772434812002</v>
      </c>
      <c r="F25" s="11" t="n">
        <v>0.571145679379109</v>
      </c>
      <c r="G25" s="11" t="n">
        <v>0.632479857006305</v>
      </c>
      <c r="H25" s="11" t="n">
        <v>0.696105853482083</v>
      </c>
      <c r="I25" s="11" t="n">
        <v>0.760795510862798</v>
      </c>
      <c r="J25" s="11" t="n">
        <v>0.825661463665863</v>
      </c>
      <c r="K25" s="11" t="n">
        <v>0.890094954693843</v>
      </c>
      <c r="L25" s="11" t="n">
        <v>0.953684108154788</v>
      </c>
      <c r="M25" s="11" t="n">
        <v>1.01615117844731</v>
      </c>
      <c r="N25" s="11" t="n">
        <v>1.07729859683887</v>
      </c>
      <c r="O25" s="11" t="n">
        <v>1.70665399112263</v>
      </c>
      <c r="P25" s="11" t="n">
        <v>1.74062629550622</v>
      </c>
      <c r="Q25" s="11" t="n">
        <v>1.77246871866615</v>
      </c>
      <c r="R25" s="11" t="n">
        <v>1.80220120744905</v>
      </c>
      <c r="S25" s="11" t="n">
        <v>1.82985011776113</v>
      </c>
      <c r="T25" s="11" t="n">
        <v>1.85544719681699</v>
      </c>
      <c r="U25" s="11" t="n">
        <v>1.87902878988426</v>
      </c>
      <c r="V25" s="11" t="n">
        <v>1.90063494055086</v>
      </c>
      <c r="W25" s="11" t="n">
        <v>1.92030751514584</v>
      </c>
      <c r="X25" s="11" t="n">
        <v>1.93808916411078</v>
      </c>
      <c r="Y25" s="11" t="n">
        <v>1.95402307622584</v>
      </c>
      <c r="Z25" s="11" t="n">
        <v>1.96815229786405</v>
      </c>
      <c r="AA25" s="11" t="n">
        <v>1.98051939637894</v>
      </c>
      <c r="AB25" s="11" t="n">
        <v>1.99116650388254</v>
      </c>
      <c r="AC25" s="11" t="n">
        <v>2.00013536905983</v>
      </c>
      <c r="AD25" s="11" t="n">
        <v>2.0074674076999</v>
      </c>
      <c r="AE25" s="11" t="n">
        <v>2.01320389405684</v>
      </c>
      <c r="AF25" s="11" t="n">
        <v>2.01738636780811</v>
      </c>
      <c r="AG25" s="11" t="n">
        <v>2.02005735072618</v>
      </c>
      <c r="AH25" s="11" t="n">
        <v>2.02126069159122</v>
      </c>
      <c r="AI25" s="11" t="n">
        <v>2.02104242939224</v>
      </c>
      <c r="AJ25" s="11" t="n">
        <v>2.01945232381027</v>
      </c>
      <c r="AK25" s="11" t="n">
        <v>2.01654381192863</v>
      </c>
      <c r="AL25" s="11" t="n">
        <v>2.01237367646091</v>
      </c>
      <c r="AM25" s="11" t="n">
        <v>2.00700248115958</v>
      </c>
      <c r="AN25" s="11" t="n">
        <v>2.0004955840444</v>
      </c>
      <c r="AO25" s="11" t="n">
        <v>1.99292309608061</v>
      </c>
      <c r="AP25" s="11" t="n">
        <v>1.98435989590979</v>
      </c>
      <c r="AQ25" s="11" t="n">
        <v>1.97488513340884</v>
      </c>
      <c r="AR25" s="11" t="n">
        <v>1.96458112695378</v>
      </c>
      <c r="AS25" s="11" t="n">
        <v>1.95353283201056</v>
      </c>
      <c r="AT25" s="11" t="n">
        <v>1.9418275965726</v>
      </c>
      <c r="AU25" s="11" t="n">
        <v>1.92955449510531</v>
      </c>
    </row>
    <row r="26" customFormat="false" ht="15" hidden="false" customHeight="false" outlineLevel="0" collapsed="false">
      <c r="A26" s="10" t="n">
        <v>-99</v>
      </c>
      <c r="B26" s="8" t="n">
        <v>43032</v>
      </c>
      <c r="C26" s="11" t="n">
        <v>0.45166000967008</v>
      </c>
      <c r="D26" s="11" t="n">
        <v>0.494328772741137</v>
      </c>
      <c r="E26" s="11" t="n">
        <v>0.546806758572611</v>
      </c>
      <c r="F26" s="11" t="n">
        <v>0.605682796415296</v>
      </c>
      <c r="G26" s="11" t="n">
        <v>0.668567595882531</v>
      </c>
      <c r="H26" s="11" t="n">
        <v>0.733743284389193</v>
      </c>
      <c r="I26" s="11" t="n">
        <v>0.799934819607083</v>
      </c>
      <c r="J26" s="11" t="n">
        <v>0.866210880708253</v>
      </c>
      <c r="K26" s="11" t="n">
        <v>0.931923930440838</v>
      </c>
      <c r="L26" s="11" t="n">
        <v>0.996630017916064</v>
      </c>
      <c r="M26" s="11" t="n">
        <v>1.06002732097864</v>
      </c>
      <c r="N26" s="11" t="n">
        <v>1.12190327628425</v>
      </c>
      <c r="O26" s="11" t="n">
        <v>1.74688597230555</v>
      </c>
      <c r="P26" s="11" t="n">
        <v>1.78012590209504</v>
      </c>
      <c r="Q26" s="11" t="n">
        <v>1.81125989870991</v>
      </c>
      <c r="R26" s="11" t="n">
        <v>1.84031324461442</v>
      </c>
      <c r="S26" s="11" t="n">
        <v>1.86731556020109</v>
      </c>
      <c r="T26" s="11" t="n">
        <v>1.89230016225385</v>
      </c>
      <c r="U26" s="11" t="n">
        <v>1.91530352013534</v>
      </c>
      <c r="V26" s="11" t="n">
        <v>1.93636463481427</v>
      </c>
      <c r="W26" s="11" t="n">
        <v>1.95552374399983</v>
      </c>
      <c r="X26" s="11" t="n">
        <v>1.97282161284677</v>
      </c>
      <c r="Y26" s="11" t="n">
        <v>1.98829938650274</v>
      </c>
      <c r="Z26" s="11" t="n">
        <v>2.00199823368298</v>
      </c>
      <c r="AA26" s="11" t="n">
        <v>2.01395916758028</v>
      </c>
      <c r="AB26" s="11" t="n">
        <v>2.02422305769862</v>
      </c>
      <c r="AC26" s="11" t="n">
        <v>2.03283064695894</v>
      </c>
      <c r="AD26" s="11" t="n">
        <v>2.03982257592599</v>
      </c>
      <c r="AE26" s="11" t="n">
        <v>2.04523963481927</v>
      </c>
      <c r="AF26" s="11" t="n">
        <v>2.04912325697014</v>
      </c>
      <c r="AG26" s="11" t="n">
        <v>2.05151604818972</v>
      </c>
      <c r="AH26" s="11" t="n">
        <v>2.05246200333393</v>
      </c>
      <c r="AI26" s="11" t="n">
        <v>2.05200727801196</v>
      </c>
      <c r="AJ26" s="11" t="n">
        <v>2.05020155967451</v>
      </c>
      <c r="AK26" s="11" t="n">
        <v>2.04709800864111</v>
      </c>
      <c r="AL26" s="11" t="n">
        <v>2.04275294538848</v>
      </c>
      <c r="AM26" s="11" t="n">
        <v>2.03722626494906</v>
      </c>
      <c r="AN26" s="11" t="n">
        <v>2.03058238389689</v>
      </c>
      <c r="AO26" s="11" t="n">
        <v>2.02289020474272</v>
      </c>
      <c r="AP26" s="11" t="n">
        <v>2.01422314994979</v>
      </c>
      <c r="AQ26" s="11" t="n">
        <v>2.0046587172295</v>
      </c>
      <c r="AR26" s="11" t="n">
        <v>1.99427750980861</v>
      </c>
      <c r="AS26" s="11" t="n">
        <v>1.98316275415458</v>
      </c>
      <c r="AT26" s="11" t="n">
        <v>1.97140005957059</v>
      </c>
      <c r="AU26" s="11" t="n">
        <v>1.95907682020794</v>
      </c>
    </row>
    <row r="27" customFormat="false" ht="15" hidden="false" customHeight="false" outlineLevel="0" collapsed="false">
      <c r="A27" s="10" t="n">
        <v>-98</v>
      </c>
      <c r="B27" s="8" t="n">
        <v>43033</v>
      </c>
      <c r="C27" s="11" t="n">
        <v>0.497815367894971</v>
      </c>
      <c r="D27" s="11" t="n">
        <v>0.543240853423621</v>
      </c>
      <c r="E27" s="11" t="n">
        <v>0.598252009670493</v>
      </c>
      <c r="F27" s="11" t="n">
        <v>0.659451033522115</v>
      </c>
      <c r="G27" s="11" t="n">
        <v>0.724403079355859</v>
      </c>
      <c r="H27" s="11" t="n">
        <v>0.79134964437156</v>
      </c>
      <c r="I27" s="11" t="n">
        <v>0.858994923941344</v>
      </c>
      <c r="J27" s="11" t="n">
        <v>0.926408791220105</v>
      </c>
      <c r="K27" s="11" t="n">
        <v>0.992960926111635</v>
      </c>
      <c r="L27" s="11" t="n">
        <v>1.05823429480129</v>
      </c>
      <c r="M27" s="11" t="n">
        <v>1.12195680490468</v>
      </c>
      <c r="N27" s="11" t="n">
        <v>1.18394667800673</v>
      </c>
      <c r="O27" s="11" t="n">
        <v>1.80058307760598</v>
      </c>
      <c r="P27" s="11" t="n">
        <v>1.83286357338304</v>
      </c>
      <c r="Q27" s="11" t="n">
        <v>1.86303751022887</v>
      </c>
      <c r="R27" s="11" t="n">
        <v>1.89113700126785</v>
      </c>
      <c r="S27" s="11" t="n">
        <v>1.9171978025677</v>
      </c>
      <c r="T27" s="11" t="n">
        <v>1.94125873839573</v>
      </c>
      <c r="U27" s="11" t="n">
        <v>1.96336124964562</v>
      </c>
      <c r="V27" s="11" t="n">
        <v>1.98354881094359</v>
      </c>
      <c r="W27" s="11" t="n">
        <v>2.00186550834478</v>
      </c>
      <c r="X27" s="11" t="n">
        <v>2.01835530933337</v>
      </c>
      <c r="Y27" s="11" t="n">
        <v>2.03306196294057</v>
      </c>
      <c r="Z27" s="11" t="n">
        <v>2.04602854173414</v>
      </c>
      <c r="AA27" s="11" t="n">
        <v>2.05729725148883</v>
      </c>
      <c r="AB27" s="11" t="n">
        <v>2.06690952598232</v>
      </c>
      <c r="AC27" s="11" t="n">
        <v>2.07490611889966</v>
      </c>
      <c r="AD27" s="11" t="n">
        <v>2.08132719081842</v>
      </c>
      <c r="AE27" s="11" t="n">
        <v>2.08621257246885</v>
      </c>
      <c r="AF27" s="11" t="n">
        <v>2.08960223615998</v>
      </c>
      <c r="AG27" s="11" t="n">
        <v>2.09153689072576</v>
      </c>
      <c r="AH27" s="11" t="n">
        <v>2.09205825897746</v>
      </c>
      <c r="AI27" s="11" t="n">
        <v>2.09120994002864</v>
      </c>
      <c r="AJ27" s="11" t="n">
        <v>2.08903887963691</v>
      </c>
      <c r="AK27" s="11" t="n">
        <v>2.08559533847322</v>
      </c>
      <c r="AL27" s="11" t="n">
        <v>2.08093259855945</v>
      </c>
      <c r="AM27" s="11" t="n">
        <v>2.07510747169572</v>
      </c>
      <c r="AN27" s="11" t="n">
        <v>2.06818137799563</v>
      </c>
      <c r="AO27" s="11" t="n">
        <v>2.06022034777642</v>
      </c>
      <c r="AP27" s="11" t="n">
        <v>2.05129511694163</v>
      </c>
      <c r="AQ27" s="11" t="n">
        <v>2.04148071702373</v>
      </c>
      <c r="AR27" s="11" t="n">
        <v>2.0308555854381</v>
      </c>
      <c r="AS27" s="11" t="n">
        <v>2.0195010941573</v>
      </c>
      <c r="AT27" s="11" t="n">
        <v>2.00750128465109</v>
      </c>
      <c r="AU27" s="11" t="n">
        <v>1.99494228181504</v>
      </c>
    </row>
    <row r="28" customFormat="false" ht="15" hidden="false" customHeight="false" outlineLevel="0" collapsed="false">
      <c r="A28" s="10" t="n">
        <v>-97</v>
      </c>
      <c r="B28" s="8" t="n">
        <v>43034</v>
      </c>
      <c r="C28" s="11" t="n">
        <v>0.483520285869927</v>
      </c>
      <c r="D28" s="11" t="n">
        <v>0.528449377058896</v>
      </c>
      <c r="E28" s="11" t="n">
        <v>0.583309665958963</v>
      </c>
      <c r="F28" s="11" t="n">
        <v>0.644601216613395</v>
      </c>
      <c r="G28" s="11" t="n">
        <v>0.709822118179437</v>
      </c>
      <c r="H28" s="11" t="n">
        <v>0.777168326837886</v>
      </c>
      <c r="I28" s="11" t="n">
        <v>0.845308249285003</v>
      </c>
      <c r="J28" s="11" t="n">
        <v>0.913280368152581</v>
      </c>
      <c r="K28" s="11" t="n">
        <v>0.980425449470682</v>
      </c>
      <c r="L28" s="11" t="n">
        <v>1.04630104649411</v>
      </c>
      <c r="M28" s="11" t="n">
        <v>1.11061414037109</v>
      </c>
      <c r="N28" s="11" t="n">
        <v>1.17316902819116</v>
      </c>
      <c r="O28" s="11" t="n">
        <v>1.79557371892838</v>
      </c>
      <c r="P28" s="11" t="n">
        <v>1.8282707714674</v>
      </c>
      <c r="Q28" s="11" t="n">
        <v>1.85885994493612</v>
      </c>
      <c r="R28" s="11" t="n">
        <v>1.88737305996184</v>
      </c>
      <c r="S28" s="11" t="n">
        <v>1.91384570093255</v>
      </c>
      <c r="T28" s="11" t="n">
        <v>1.93831663532372</v>
      </c>
      <c r="U28" s="11" t="n">
        <v>1.9608273452146</v>
      </c>
      <c r="V28" s="11" t="n">
        <v>1.98142142388467</v>
      </c>
      <c r="W28" s="11" t="n">
        <v>2.00014312367001</v>
      </c>
      <c r="X28" s="11" t="n">
        <v>2.01703661651572</v>
      </c>
      <c r="Y28" s="11" t="n">
        <v>2.03214586721613</v>
      </c>
      <c r="Z28" s="11" t="n">
        <v>2.04551406170126</v>
      </c>
      <c r="AA28" s="11" t="n">
        <v>2.05718337006666</v>
      </c>
      <c r="AB28" s="11" t="n">
        <v>2.06719505745053</v>
      </c>
      <c r="AC28" s="11" t="n">
        <v>2.07558959176671</v>
      </c>
      <c r="AD28" s="11" t="n">
        <v>2.08240674288968</v>
      </c>
      <c r="AE28" s="11" t="n">
        <v>2.0876858195184</v>
      </c>
      <c r="AF28" s="11" t="n">
        <v>2.09146611336799</v>
      </c>
      <c r="AG28" s="11" t="n">
        <v>2.09378764014517</v>
      </c>
      <c r="AH28" s="11" t="n">
        <v>2.09469149828617</v>
      </c>
      <c r="AI28" s="11" t="n">
        <v>2.09422077608061</v>
      </c>
      <c r="AJ28" s="11" t="n">
        <v>2.0924220749667</v>
      </c>
      <c r="AK28" s="11" t="n">
        <v>2.08934546854019</v>
      </c>
      <c r="AL28" s="11" t="n">
        <v>2.08504419428042</v>
      </c>
      <c r="AM28" s="11" t="n">
        <v>2.07957515052637</v>
      </c>
      <c r="AN28" s="11" t="n">
        <v>2.07299994959044</v>
      </c>
      <c r="AO28" s="11" t="n">
        <v>2.06538489131333</v>
      </c>
      <c r="AP28" s="11" t="n">
        <v>2.05680100625327</v>
      </c>
      <c r="AQ28" s="11" t="n">
        <v>2.04732359731924</v>
      </c>
      <c r="AR28" s="11" t="n">
        <v>2.03703126739351</v>
      </c>
      <c r="AS28" s="11" t="n">
        <v>2.0260054306322</v>
      </c>
      <c r="AT28" s="11" t="n">
        <v>2.01433005520376</v>
      </c>
      <c r="AU28" s="11" t="n">
        <v>2.00209103436726</v>
      </c>
    </row>
    <row r="29" customFormat="false" ht="15" hidden="false" customHeight="false" outlineLevel="0" collapsed="false">
      <c r="A29" s="10" t="n">
        <v>-96</v>
      </c>
      <c r="B29" s="8" t="n">
        <v>43035</v>
      </c>
      <c r="C29" s="11" t="n">
        <v>0.455675437154694</v>
      </c>
      <c r="D29" s="11" t="n">
        <v>0.49879130182726</v>
      </c>
      <c r="E29" s="11" t="n">
        <v>0.551960662733784</v>
      </c>
      <c r="F29" s="11" t="n">
        <v>0.611607130283829</v>
      </c>
      <c r="G29" s="11" t="n">
        <v>0.675228773265184</v>
      </c>
      <c r="H29" s="11" t="n">
        <v>0.741050152981194</v>
      </c>
      <c r="I29" s="11" t="n">
        <v>0.807769697217357</v>
      </c>
      <c r="J29" s="11" t="n">
        <v>0.87444960478658</v>
      </c>
      <c r="K29" s="11" t="n">
        <v>0.940443653539262</v>
      </c>
      <c r="L29" s="11" t="n">
        <v>1.00531823582584</v>
      </c>
      <c r="M29" s="11" t="n">
        <v>1.06878393800048</v>
      </c>
      <c r="N29" s="11" t="n">
        <v>1.13064580927899</v>
      </c>
      <c r="O29" s="11" t="n">
        <v>1.75491924968158</v>
      </c>
      <c r="P29" s="11" t="n">
        <v>1.78826927150005</v>
      </c>
      <c r="Q29" s="11" t="n">
        <v>1.81953980491927</v>
      </c>
      <c r="R29" s="11" t="n">
        <v>1.84875552816549</v>
      </c>
      <c r="S29" s="11" t="n">
        <v>1.87594489327272</v>
      </c>
      <c r="T29" s="11" t="n">
        <v>1.90113950285193</v>
      </c>
      <c r="U29" s="11" t="n">
        <v>1.92437364627547</v>
      </c>
      <c r="V29" s="11" t="n">
        <v>1.94568370680299</v>
      </c>
      <c r="W29" s="11" t="n">
        <v>1.96510679327952</v>
      </c>
      <c r="X29" s="11" t="n">
        <v>1.98268005907824</v>
      </c>
      <c r="Y29" s="11" t="n">
        <v>1.99844069037069</v>
      </c>
      <c r="Z29" s="11" t="n">
        <v>2.01242598214482</v>
      </c>
      <c r="AA29" s="11" t="n">
        <v>2.02467336784127</v>
      </c>
      <c r="AB29" s="11" t="n">
        <v>2.03522040405087</v>
      </c>
      <c r="AC29" s="11" t="n">
        <v>2.04410475585388</v>
      </c>
      <c r="AD29" s="11" t="n">
        <v>2.05136420258079</v>
      </c>
      <c r="AE29" s="11" t="n">
        <v>2.05703704501419</v>
      </c>
      <c r="AF29" s="11" t="n">
        <v>2.06116283116548</v>
      </c>
      <c r="AG29" s="11" t="n">
        <v>2.06378284608919</v>
      </c>
      <c r="AH29" s="11" t="n">
        <v>2.06494024779323</v>
      </c>
      <c r="AI29" s="11" t="n">
        <v>2.06468082191299</v>
      </c>
      <c r="AJ29" s="11" t="n">
        <v>2.06305427115533</v>
      </c>
      <c r="AK29" s="11" t="n">
        <v>2.06011409200254</v>
      </c>
      <c r="AL29" s="11" t="n">
        <v>2.0559172343438</v>
      </c>
      <c r="AM29" s="11" t="n">
        <v>2.05052451390372</v>
      </c>
      <c r="AN29" s="11" t="n">
        <v>2.04400150123072</v>
      </c>
      <c r="AO29" s="11" t="n">
        <v>2.03641844901911</v>
      </c>
      <c r="AP29" s="11" t="n">
        <v>2.02785029768445</v>
      </c>
      <c r="AQ29" s="11" t="n">
        <v>2.01837613511781</v>
      </c>
      <c r="AR29" s="11" t="n">
        <v>2.00807805288777</v>
      </c>
      <c r="AS29" s="11" t="n">
        <v>1.99704063102664</v>
      </c>
      <c r="AT29" s="11" t="n">
        <v>1.98535070286856</v>
      </c>
      <c r="AU29" s="11" t="n">
        <v>1.97309665882788</v>
      </c>
    </row>
    <row r="30" customFormat="false" ht="15" hidden="false" customHeight="false" outlineLevel="0" collapsed="false">
      <c r="A30" s="10" t="n">
        <v>-95</v>
      </c>
      <c r="B30" s="8" t="n">
        <v>43038</v>
      </c>
      <c r="C30" s="11" t="n">
        <v>0.438524764197218</v>
      </c>
      <c r="D30" s="11" t="n">
        <v>0.479993267438662</v>
      </c>
      <c r="E30" s="11" t="n">
        <v>0.531685675420899</v>
      </c>
      <c r="F30" s="11" t="n">
        <v>0.589976507218307</v>
      </c>
      <c r="G30" s="11" t="n">
        <v>0.652375243812446</v>
      </c>
      <c r="H30" s="11" t="n">
        <v>0.717120785048412</v>
      </c>
      <c r="I30" s="11" t="n">
        <v>0.782916949530783</v>
      </c>
      <c r="J30" s="11" t="n">
        <v>0.84882398207482</v>
      </c>
      <c r="K30" s="11" t="n">
        <v>0.91418790016062</v>
      </c>
      <c r="L30" s="11" t="n">
        <v>0.9785658569387</v>
      </c>
      <c r="M30" s="11" t="n">
        <v>1.04165885076724</v>
      </c>
      <c r="N30" s="11" t="n">
        <v>1.10326094956347</v>
      </c>
      <c r="O30" s="11" t="n">
        <v>1.72972899322343</v>
      </c>
      <c r="P30" s="11" t="n">
        <v>1.76341636826647</v>
      </c>
      <c r="Q30" s="11" t="n">
        <v>1.79502379054642</v>
      </c>
      <c r="R30" s="11" t="n">
        <v>1.82457335368507</v>
      </c>
      <c r="S30" s="11" t="n">
        <v>1.8520912177189</v>
      </c>
      <c r="T30" s="11" t="n">
        <v>1.87760692581754</v>
      </c>
      <c r="U30" s="11" t="n">
        <v>1.90115290620381</v>
      </c>
      <c r="V30" s="11" t="n">
        <v>1.92276384025854</v>
      </c>
      <c r="W30" s="11" t="n">
        <v>1.94247523264531</v>
      </c>
      <c r="X30" s="11" t="n">
        <v>1.96032270303897</v>
      </c>
      <c r="Y30" s="11" t="n">
        <v>1.97634200270222</v>
      </c>
      <c r="Z30" s="11" t="n">
        <v>1.9905692671935</v>
      </c>
      <c r="AA30" s="11" t="n">
        <v>2.00304111188384</v>
      </c>
      <c r="AB30" s="11" t="n">
        <v>2.01379457858742</v>
      </c>
      <c r="AC30" s="11" t="n">
        <v>2.02286708479452</v>
      </c>
      <c r="AD30" s="11" t="n">
        <v>2.03029640339386</v>
      </c>
      <c r="AE30" s="11" t="n">
        <v>2.03612114699788</v>
      </c>
      <c r="AF30" s="11" t="n">
        <v>2.04038160435115</v>
      </c>
      <c r="AG30" s="11" t="n">
        <v>2.04312012520208</v>
      </c>
      <c r="AH30" s="11" t="n">
        <v>2.04438117213841</v>
      </c>
      <c r="AI30" s="11" t="n">
        <v>2.04421201180821</v>
      </c>
      <c r="AJ30" s="11" t="n">
        <v>2.04266390803789</v>
      </c>
      <c r="AK30" s="11" t="n">
        <v>2.03979197344744</v>
      </c>
      <c r="AL30" s="11" t="n">
        <v>2.03565482264002</v>
      </c>
      <c r="AM30" s="11" t="n">
        <v>2.03031494190645</v>
      </c>
      <c r="AN30" s="11" t="n">
        <v>2.02383949951812</v>
      </c>
      <c r="AO30" s="11" t="n">
        <v>2.01630026099609</v>
      </c>
      <c r="AP30" s="11" t="n">
        <v>2.00777359018393</v>
      </c>
      <c r="AQ30" s="11" t="n">
        <v>1.99833990045045</v>
      </c>
      <c r="AR30" s="11" t="n">
        <v>1.9880824965621</v>
      </c>
      <c r="AS30" s="11" t="n">
        <v>1.97708706499744</v>
      </c>
      <c r="AT30" s="11" t="n">
        <v>1.96544144688649</v>
      </c>
      <c r="AU30" s="11" t="n">
        <v>1.95323493609416</v>
      </c>
    </row>
    <row r="31" customFormat="false" ht="15" hidden="false" customHeight="false" outlineLevel="0" collapsed="false">
      <c r="A31" s="10" t="n">
        <v>-94</v>
      </c>
      <c r="B31" s="8" t="n">
        <v>43039</v>
      </c>
      <c r="C31" s="11" t="n">
        <v>0.450790658222592</v>
      </c>
      <c r="D31" s="11" t="n">
        <v>0.491157559086411</v>
      </c>
      <c r="E31" s="11" t="n">
        <v>0.542228445488395</v>
      </c>
      <c r="F31" s="11" t="n">
        <v>0.600133578217666</v>
      </c>
      <c r="G31" s="11" t="n">
        <v>0.662254578545073</v>
      </c>
      <c r="H31" s="11" t="n">
        <v>0.726764156576955</v>
      </c>
      <c r="I31" s="11" t="n">
        <v>0.792329169065671</v>
      </c>
      <c r="J31" s="11" t="n">
        <v>0.8579869222702</v>
      </c>
      <c r="K31" s="11" t="n">
        <v>0.923066288210005</v>
      </c>
      <c r="L31" s="11" t="n">
        <v>0.98711240966483</v>
      </c>
      <c r="M31" s="11" t="n">
        <v>1.04981876452164</v>
      </c>
      <c r="N31" s="11" t="n">
        <v>1.11097520932086</v>
      </c>
      <c r="O31" s="11" t="n">
        <v>1.7291259371101</v>
      </c>
      <c r="P31" s="11" t="n">
        <v>1.76227663169162</v>
      </c>
      <c r="Q31" s="11" t="n">
        <v>1.79338313108905</v>
      </c>
      <c r="R31" s="11" t="n">
        <v>1.82246536915867</v>
      </c>
      <c r="S31" s="11" t="n">
        <v>1.84954694601696</v>
      </c>
      <c r="T31" s="11" t="n">
        <v>1.87465459917143</v>
      </c>
      <c r="U31" s="11" t="n">
        <v>1.8978177418179</v>
      </c>
      <c r="V31" s="11" t="n">
        <v>1.91906793385645</v>
      </c>
      <c r="W31" s="11" t="n">
        <v>1.93843784815146</v>
      </c>
      <c r="X31" s="11" t="n">
        <v>1.95596073174106</v>
      </c>
      <c r="Y31" s="11" t="n">
        <v>1.97167037886965</v>
      </c>
      <c r="Z31" s="11" t="n">
        <v>1.98560137182048</v>
      </c>
      <c r="AA31" s="11" t="n">
        <v>1.99778914602747</v>
      </c>
      <c r="AB31" s="11" t="n">
        <v>2.00826989177459</v>
      </c>
      <c r="AC31" s="11" t="n">
        <v>2.0170804643327</v>
      </c>
      <c r="AD31" s="11" t="n">
        <v>2.02425833058564</v>
      </c>
      <c r="AE31" s="11" t="n">
        <v>2.02984202605331</v>
      </c>
      <c r="AF31" s="11" t="n">
        <v>2.03387194838136</v>
      </c>
      <c r="AG31" s="11" t="n">
        <v>2.03639066036801</v>
      </c>
      <c r="AH31" s="11" t="n">
        <v>2.03744289482631</v>
      </c>
      <c r="AI31" s="11" t="n">
        <v>2.0370761832734</v>
      </c>
      <c r="AJ31" s="11" t="n">
        <v>2.03534194262082</v>
      </c>
      <c r="AK31" s="11" t="n">
        <v>2.03229531650882</v>
      </c>
      <c r="AL31" s="11" t="n">
        <v>2.02799484065562</v>
      </c>
      <c r="AM31" s="11" t="n">
        <v>2.02250281485133</v>
      </c>
      <c r="AN31" s="11" t="n">
        <v>2.01588609600657</v>
      </c>
      <c r="AO31" s="11" t="n">
        <v>2.00821602754784</v>
      </c>
      <c r="AP31" s="11" t="n">
        <v>1.99956847402289</v>
      </c>
      <c r="AQ31" s="11" t="n">
        <v>1.990023291085</v>
      </c>
      <c r="AR31" s="11" t="n">
        <v>1.97966320093058</v>
      </c>
      <c r="AS31" s="11" t="n">
        <v>1.96857329713002</v>
      </c>
      <c r="AT31" s="11" t="n">
        <v>1.95684081898659</v>
      </c>
      <c r="AU31" s="11" t="n">
        <v>1.94455446659515</v>
      </c>
    </row>
    <row r="32" customFormat="false" ht="15" hidden="false" customHeight="false" outlineLevel="0" collapsed="false">
      <c r="A32" s="10" t="n">
        <v>-93</v>
      </c>
      <c r="B32" s="8" t="n">
        <v>43040</v>
      </c>
      <c r="C32" s="11" t="n">
        <v>0.480755152273694</v>
      </c>
      <c r="D32" s="11" t="n">
        <v>0.522573147011941</v>
      </c>
      <c r="E32" s="11" t="n">
        <v>0.57448498334167</v>
      </c>
      <c r="F32" s="11" t="n">
        <v>0.632657988356223</v>
      </c>
      <c r="G32" s="11" t="n">
        <v>0.694536186030304</v>
      </c>
      <c r="H32" s="11" t="n">
        <v>0.758365532507743</v>
      </c>
      <c r="I32" s="11" t="n">
        <v>0.822889749374655</v>
      </c>
      <c r="J32" s="11" t="n">
        <v>0.887221169077765</v>
      </c>
      <c r="K32" s="11" t="n">
        <v>0.950755028023793</v>
      </c>
      <c r="L32" s="11" t="n">
        <v>1.01309630408825</v>
      </c>
      <c r="M32" s="11" t="n">
        <v>1.07399118148783</v>
      </c>
      <c r="N32" s="11" t="n">
        <v>1.13327496373912</v>
      </c>
      <c r="O32" s="11" t="n">
        <v>1.73251979531568</v>
      </c>
      <c r="P32" s="11" t="n">
        <v>1.76496366623013</v>
      </c>
      <c r="Q32" s="11" t="n">
        <v>1.79546485805964</v>
      </c>
      <c r="R32" s="11" t="n">
        <v>1.8240349200714</v>
      </c>
      <c r="S32" s="11" t="n">
        <v>1.85068877794779</v>
      </c>
      <c r="T32" s="11" t="n">
        <v>1.87544434624417</v>
      </c>
      <c r="U32" s="11" t="n">
        <v>1.89832208883183</v>
      </c>
      <c r="V32" s="11" t="n">
        <v>1.91934460379663</v>
      </c>
      <c r="W32" s="11" t="n">
        <v>1.93853607531586</v>
      </c>
      <c r="X32" s="11" t="n">
        <v>1.95592192827759</v>
      </c>
      <c r="Y32" s="11" t="n">
        <v>1.97152878076455</v>
      </c>
      <c r="Z32" s="11" t="n">
        <v>1.98538488295747</v>
      </c>
      <c r="AA32" s="11" t="n">
        <v>1.99752022078085</v>
      </c>
      <c r="AB32" s="11" t="n">
        <v>2.00796631479911</v>
      </c>
      <c r="AC32" s="11" t="n">
        <v>2.01675603752138</v>
      </c>
      <c r="AD32" s="11" t="n">
        <v>2.02392348650002</v>
      </c>
      <c r="AE32" s="11" t="n">
        <v>2.0295044983799</v>
      </c>
      <c r="AF32" s="11" t="n">
        <v>2.033537528957</v>
      </c>
      <c r="AG32" s="11" t="n">
        <v>2.03606375176421</v>
      </c>
      <c r="AH32" s="11" t="n">
        <v>2.03712691969918</v>
      </c>
      <c r="AI32" s="11" t="n">
        <v>2.03677389132982</v>
      </c>
      <c r="AJ32" s="11" t="n">
        <v>2.03505557924447</v>
      </c>
      <c r="AK32" s="11" t="n">
        <v>2.0320267536041</v>
      </c>
      <c r="AL32" s="11" t="n">
        <v>2.02774569425742</v>
      </c>
      <c r="AM32" s="11" t="n">
        <v>2.02227452969733</v>
      </c>
      <c r="AN32" s="11" t="n">
        <v>2.015679973395</v>
      </c>
      <c r="AO32" s="11" t="n">
        <v>2.00803324736863</v>
      </c>
      <c r="AP32" s="11" t="n">
        <v>1.99941013065383</v>
      </c>
      <c r="AQ32" s="11" t="n">
        <v>1.98989042233621</v>
      </c>
      <c r="AR32" s="11" t="n">
        <v>1.97955680414125</v>
      </c>
      <c r="AS32" s="11" t="n">
        <v>1.96849434376682</v>
      </c>
      <c r="AT32" s="11" t="n">
        <v>1.95679026790901</v>
      </c>
      <c r="AU32" s="11" t="n">
        <v>1.94453328098585</v>
      </c>
    </row>
    <row r="33" customFormat="false" ht="15" hidden="false" customHeight="false" outlineLevel="0" collapsed="false">
      <c r="A33" s="10" t="n">
        <v>-92</v>
      </c>
      <c r="B33" s="8" t="n">
        <v>43041</v>
      </c>
      <c r="C33" s="11" t="n">
        <v>0.392006515914236</v>
      </c>
      <c r="D33" s="11" t="n">
        <v>0.428032582439709</v>
      </c>
      <c r="E33" s="11" t="n">
        <v>0.475863221138575</v>
      </c>
      <c r="F33" s="11" t="n">
        <v>0.531295091651164</v>
      </c>
      <c r="G33" s="11" t="n">
        <v>0.591552985456018</v>
      </c>
      <c r="H33" s="11" t="n">
        <v>0.65470866577698</v>
      </c>
      <c r="I33" s="11" t="n">
        <v>0.719347773312444</v>
      </c>
      <c r="J33" s="11" t="n">
        <v>0.784432040701371</v>
      </c>
      <c r="K33" s="11" t="n">
        <v>0.849220675145933</v>
      </c>
      <c r="L33" s="11" t="n">
        <v>0.913199573030489</v>
      </c>
      <c r="M33" s="11" t="n">
        <v>0.976016670385261</v>
      </c>
      <c r="N33" s="11" t="n">
        <v>1.03742572123124</v>
      </c>
      <c r="O33" s="11" t="n">
        <v>1.66517119655192</v>
      </c>
      <c r="P33" s="11" t="n">
        <v>1.69920280021567</v>
      </c>
      <c r="Q33" s="11" t="n">
        <v>1.73116337329782</v>
      </c>
      <c r="R33" s="11" t="n">
        <v>1.76106677727048</v>
      </c>
      <c r="S33" s="11" t="n">
        <v>1.78893205343393</v>
      </c>
      <c r="T33" s="11" t="n">
        <v>1.81478271944288</v>
      </c>
      <c r="U33" s="11" t="n">
        <v>1.83864611074365</v>
      </c>
      <c r="V33" s="11" t="n">
        <v>1.86055270721151</v>
      </c>
      <c r="W33" s="11" t="n">
        <v>1.88053507248287</v>
      </c>
      <c r="X33" s="11" t="n">
        <v>1.89862725079154</v>
      </c>
      <c r="Y33" s="11" t="n">
        <v>1.91486460698003</v>
      </c>
      <c r="Z33" s="11" t="n">
        <v>1.9292838791858</v>
      </c>
      <c r="AA33" s="11" t="n">
        <v>1.94192312118543</v>
      </c>
      <c r="AB33" s="11" t="n">
        <v>1.95282154578629</v>
      </c>
      <c r="AC33" s="11" t="n">
        <v>1.96201938684663</v>
      </c>
      <c r="AD33" s="11" t="n">
        <v>1.96955780354775</v>
      </c>
      <c r="AE33" s="11" t="n">
        <v>1.97547926166414</v>
      </c>
      <c r="AF33" s="11" t="n">
        <v>1.97982819919639</v>
      </c>
      <c r="AG33" s="11" t="n">
        <v>1.98265119576064</v>
      </c>
      <c r="AH33" s="11" t="n">
        <v>1.98399691813937</v>
      </c>
      <c r="AI33" s="11" t="n">
        <v>1.98391667586976</v>
      </c>
      <c r="AJ33" s="11" t="n">
        <v>1.98246536583958</v>
      </c>
      <c r="AK33" s="11" t="n">
        <v>1.97970131124626</v>
      </c>
      <c r="AL33" s="11" t="n">
        <v>1.97568595546077</v>
      </c>
      <c r="AM33" s="11" t="n">
        <v>1.97048421428236</v>
      </c>
      <c r="AN33" s="11" t="n">
        <v>1.96416519569351</v>
      </c>
      <c r="AO33" s="11" t="n">
        <v>1.95680212658925</v>
      </c>
      <c r="AP33" s="11" t="n">
        <v>1.9484723689682</v>
      </c>
      <c r="AQ33" s="11" t="n">
        <v>1.93925686611397</v>
      </c>
      <c r="AR33" s="11" t="n">
        <v>1.92923896091803</v>
      </c>
      <c r="AS33" s="11" t="n">
        <v>1.91850391830433</v>
      </c>
      <c r="AT33" s="11" t="n">
        <v>1.9071387343241</v>
      </c>
      <c r="AU33" s="11" t="n">
        <v>1.89523143176879</v>
      </c>
    </row>
    <row r="34" customFormat="false" ht="15" hidden="false" customHeight="false" outlineLevel="0" collapsed="false">
      <c r="A34" s="10" t="n">
        <v>-91</v>
      </c>
      <c r="B34" s="8" t="n">
        <v>43042</v>
      </c>
      <c r="C34" s="11" t="n">
        <v>0.429128294762255</v>
      </c>
      <c r="D34" s="11" t="n">
        <v>0.460096193844885</v>
      </c>
      <c r="E34" s="11" t="n">
        <v>0.502934690340076</v>
      </c>
      <c r="F34" s="11" t="n">
        <v>0.553794707706088</v>
      </c>
      <c r="G34" s="11" t="n">
        <v>0.610037284408134</v>
      </c>
      <c r="H34" s="11" t="n">
        <v>0.669746979996079</v>
      </c>
      <c r="I34" s="11" t="n">
        <v>0.731468910217017</v>
      </c>
      <c r="J34" s="11" t="n">
        <v>0.794106842135273</v>
      </c>
      <c r="K34" s="11" t="n">
        <v>0.856864504777149</v>
      </c>
      <c r="L34" s="11" t="n">
        <v>0.919179710374309</v>
      </c>
      <c r="M34" s="11" t="n">
        <v>0.980663432844229</v>
      </c>
      <c r="N34" s="11" t="n">
        <v>1.04103686792589</v>
      </c>
      <c r="O34" s="11" t="n">
        <v>1.6710747152114</v>
      </c>
      <c r="P34" s="11" t="n">
        <v>1.70578441022016</v>
      </c>
      <c r="Q34" s="11" t="n">
        <v>1.73841910536187</v>
      </c>
      <c r="R34" s="11" t="n">
        <v>1.76898418711915</v>
      </c>
      <c r="S34" s="11" t="n">
        <v>1.79749202042004</v>
      </c>
      <c r="T34" s="11" t="n">
        <v>1.82396101186</v>
      </c>
      <c r="U34" s="11" t="n">
        <v>1.84841472090653</v>
      </c>
      <c r="V34" s="11" t="n">
        <v>1.87088100106274</v>
      </c>
      <c r="W34" s="11" t="n">
        <v>1.8913908293221</v>
      </c>
      <c r="X34" s="11" t="n">
        <v>1.90997759872911</v>
      </c>
      <c r="Y34" s="11" t="n">
        <v>1.92667682913809</v>
      </c>
      <c r="Z34" s="11" t="n">
        <v>1.94152607032127</v>
      </c>
      <c r="AA34" s="11" t="n">
        <v>1.95456473527791</v>
      </c>
      <c r="AB34" s="11" t="n">
        <v>1.96583387575666</v>
      </c>
      <c r="AC34" s="11" t="n">
        <v>1.97537598716636</v>
      </c>
      <c r="AD34" s="11" t="n">
        <v>1.9832348623421</v>
      </c>
      <c r="AE34" s="11" t="n">
        <v>1.98945587628858</v>
      </c>
      <c r="AF34" s="11" t="n">
        <v>1.99408650768961</v>
      </c>
      <c r="AG34" s="11" t="n">
        <v>1.99717643714314</v>
      </c>
      <c r="AH34" s="11" t="n">
        <v>1.9987774606594</v>
      </c>
      <c r="AI34" s="11" t="n">
        <v>1.99894393897899</v>
      </c>
      <c r="AJ34" s="11" t="n">
        <v>1.99773355123721</v>
      </c>
      <c r="AK34" s="11" t="n">
        <v>1.99520712147869</v>
      </c>
      <c r="AL34" s="11" t="n">
        <v>1.9914283380865</v>
      </c>
      <c r="AM34" s="11" t="n">
        <v>1.98646405349351</v>
      </c>
      <c r="AN34" s="11" t="n">
        <v>1.98038487700434</v>
      </c>
      <c r="AO34" s="11" t="n">
        <v>1.9732651078078</v>
      </c>
      <c r="AP34" s="11" t="n">
        <v>1.96518276960025</v>
      </c>
      <c r="AQ34" s="11" t="n">
        <v>1.95621907724991</v>
      </c>
      <c r="AR34" s="11" t="n">
        <v>1.94645730535288</v>
      </c>
      <c r="AS34" s="11" t="n">
        <v>1.93598235502645</v>
      </c>
      <c r="AT34" s="11" t="n">
        <v>1.92488058604611</v>
      </c>
      <c r="AU34" s="11" t="n">
        <v>1.91323911401921</v>
      </c>
    </row>
    <row r="35" customFormat="false" ht="15" hidden="false" customHeight="false" outlineLevel="0" collapsed="false">
      <c r="A35" s="10" t="n">
        <v>-90</v>
      </c>
      <c r="B35" s="8" t="n">
        <v>43045</v>
      </c>
      <c r="C35" s="11" t="n">
        <v>0.426500875000773</v>
      </c>
      <c r="D35" s="11" t="n">
        <v>0.457005801501028</v>
      </c>
      <c r="E35" s="11" t="n">
        <v>0.499522330493971</v>
      </c>
      <c r="F35" s="11" t="n">
        <v>0.550175445334375</v>
      </c>
      <c r="G35" s="11" t="n">
        <v>0.606279005411073</v>
      </c>
      <c r="H35" s="11" t="n">
        <v>0.665875536439689</v>
      </c>
      <c r="I35" s="11" t="n">
        <v>0.727483090619685</v>
      </c>
      <c r="J35" s="11" t="n">
        <v>0.789990763015852</v>
      </c>
      <c r="K35" s="11" t="n">
        <v>0.852592453725351</v>
      </c>
      <c r="L35" s="11" t="n">
        <v>0.914716886125827</v>
      </c>
      <c r="M35" s="11" t="n">
        <v>0.975967788960684</v>
      </c>
      <c r="N35" s="11" t="n">
        <v>1.03606114855056</v>
      </c>
      <c r="O35" s="11" t="n">
        <v>1.66086981432451</v>
      </c>
      <c r="P35" s="11" t="n">
        <v>1.69534000188989</v>
      </c>
      <c r="Q35" s="11" t="n">
        <v>1.72778147990638</v>
      </c>
      <c r="R35" s="11" t="n">
        <v>1.75819812036959</v>
      </c>
      <c r="S35" s="11" t="n">
        <v>1.7865998216502</v>
      </c>
      <c r="T35" s="11" t="n">
        <v>1.81300174822948</v>
      </c>
      <c r="U35" s="11" t="n">
        <v>1.83742355608918</v>
      </c>
      <c r="V35" s="11" t="n">
        <v>1.85988867118746</v>
      </c>
      <c r="W35" s="11" t="n">
        <v>1.88042339717735</v>
      </c>
      <c r="X35" s="11" t="n">
        <v>1.89905634580201</v>
      </c>
      <c r="Y35" s="11" t="n">
        <v>1.91581823468912</v>
      </c>
      <c r="Z35" s="11" t="n">
        <v>1.93074210950653</v>
      </c>
      <c r="AA35" s="11" t="n">
        <v>1.94386329373932</v>
      </c>
      <c r="AB35" s="11" t="n">
        <v>1.95521911833595</v>
      </c>
      <c r="AC35" s="11" t="n">
        <v>1.96484868272444</v>
      </c>
      <c r="AD35" s="11" t="n">
        <v>1.97279268058174</v>
      </c>
      <c r="AE35" s="11" t="n">
        <v>1.97909383433149</v>
      </c>
      <c r="AF35" s="11" t="n">
        <v>1.98379762652267</v>
      </c>
      <c r="AG35" s="11" t="n">
        <v>1.98695233671175</v>
      </c>
      <c r="AH35" s="11" t="n">
        <v>1.98860887644445</v>
      </c>
      <c r="AI35" s="11" t="n">
        <v>1.98882118133064</v>
      </c>
      <c r="AJ35" s="11" t="n">
        <v>1.98764690144447</v>
      </c>
      <c r="AK35" s="11" t="n">
        <v>1.98514718344636</v>
      </c>
      <c r="AL35" s="11" t="n">
        <v>1.98138635351032</v>
      </c>
      <c r="AM35" s="11" t="n">
        <v>1.97643213485345</v>
      </c>
      <c r="AN35" s="11" t="n">
        <v>1.97035612867122</v>
      </c>
      <c r="AO35" s="11" t="n">
        <v>1.96323371119875</v>
      </c>
      <c r="AP35" s="11" t="n">
        <v>1.95514403227636</v>
      </c>
      <c r="AQ35" s="11" t="n">
        <v>1.94616943919611</v>
      </c>
      <c r="AR35" s="11" t="n">
        <v>1.93639427637114</v>
      </c>
      <c r="AS35" s="11" t="n">
        <v>1.92590444059916</v>
      </c>
      <c r="AT35" s="11" t="n">
        <v>1.91478721696733</v>
      </c>
      <c r="AU35" s="11" t="n">
        <v>1.90313054250544</v>
      </c>
    </row>
    <row r="36" customFormat="false" ht="15" hidden="false" customHeight="false" outlineLevel="0" collapsed="false">
      <c r="A36" s="10" t="n">
        <v>-89</v>
      </c>
      <c r="B36" s="8" t="n">
        <v>43046</v>
      </c>
      <c r="C36" s="11" t="n">
        <v>0.421891129143995</v>
      </c>
      <c r="D36" s="11" t="n">
        <v>0.450875872611387</v>
      </c>
      <c r="E36" s="11" t="n">
        <v>0.492255841364448</v>
      </c>
      <c r="F36" s="11" t="n">
        <v>0.541976497208253</v>
      </c>
      <c r="G36" s="11" t="n">
        <v>0.59722460027416</v>
      </c>
      <c r="H36" s="11" t="n">
        <v>0.655973128911793</v>
      </c>
      <c r="I36" s="11" t="n">
        <v>0.71671446053899</v>
      </c>
      <c r="J36" s="11" t="n">
        <v>0.778340825472468</v>
      </c>
      <c r="K36" s="11" t="n">
        <v>0.840065307252173</v>
      </c>
      <c r="L36" s="11" t="n">
        <v>0.901341474131994</v>
      </c>
      <c r="M36" s="11" t="n">
        <v>0.961796244110504</v>
      </c>
      <c r="N36" s="11" t="n">
        <v>1.02116497395178</v>
      </c>
      <c r="O36" s="11" t="n">
        <v>1.64321371127029</v>
      </c>
      <c r="P36" s="11" t="n">
        <v>1.67771296752708</v>
      </c>
      <c r="Q36" s="11" t="n">
        <v>1.71017755614258</v>
      </c>
      <c r="R36" s="11" t="n">
        <v>1.74060726044159</v>
      </c>
      <c r="S36" s="11" t="n">
        <v>1.76900905287905</v>
      </c>
      <c r="T36" s="11" t="n">
        <v>1.79539616988977</v>
      </c>
      <c r="U36" s="11" t="n">
        <v>1.81978719046717</v>
      </c>
      <c r="V36" s="11" t="n">
        <v>1.84220517944333</v>
      </c>
      <c r="W36" s="11" t="n">
        <v>1.86267663879003</v>
      </c>
      <c r="X36" s="11" t="n">
        <v>1.88123083672406</v>
      </c>
      <c r="Y36" s="11" t="n">
        <v>1.89789947934588</v>
      </c>
      <c r="Z36" s="11" t="n">
        <v>1.91271658801138</v>
      </c>
      <c r="AA36" s="11" t="n">
        <v>1.92571830172312</v>
      </c>
      <c r="AB36" s="11" t="n">
        <v>1.93694262165114</v>
      </c>
      <c r="AC36" s="11" t="n">
        <v>1.9464291894463</v>
      </c>
      <c r="AD36" s="11" t="n">
        <v>1.95421912074059</v>
      </c>
      <c r="AE36" s="11" t="n">
        <v>1.96035530442629</v>
      </c>
      <c r="AF36" s="11" t="n">
        <v>1.96488295856027</v>
      </c>
      <c r="AG36" s="11" t="n">
        <v>1.96784979481202</v>
      </c>
      <c r="AH36" s="11" t="n">
        <v>1.96930594967677</v>
      </c>
      <c r="AI36" s="11" t="n">
        <v>1.9693045327862</v>
      </c>
      <c r="AJ36" s="11" t="n">
        <v>1.96790250852794</v>
      </c>
      <c r="AK36" s="11" t="n">
        <v>1.96516049012164</v>
      </c>
      <c r="AL36" s="11" t="n">
        <v>1.96114241470598</v>
      </c>
      <c r="AM36" s="11" t="n">
        <v>1.95591587905343</v>
      </c>
      <c r="AN36" s="11" t="n">
        <v>1.94955278609859</v>
      </c>
      <c r="AO36" s="11" t="n">
        <v>1.94212925915587</v>
      </c>
      <c r="AP36" s="11" t="n">
        <v>1.93372567160065</v>
      </c>
      <c r="AQ36" s="11" t="n">
        <v>1.92442600930686</v>
      </c>
      <c r="AR36" s="11" t="n">
        <v>1.91431654318165</v>
      </c>
      <c r="AS36" s="11" t="n">
        <v>1.9034853365406</v>
      </c>
      <c r="AT36" s="11" t="n">
        <v>1.89202205774925</v>
      </c>
      <c r="AU36" s="11" t="n">
        <v>1.8800171796459</v>
      </c>
    </row>
    <row r="37" customFormat="false" ht="15" hidden="false" customHeight="false" outlineLevel="0" collapsed="false">
      <c r="A37" s="10" t="n">
        <v>-88</v>
      </c>
      <c r="B37" s="8" t="n">
        <v>43047</v>
      </c>
      <c r="C37" s="11" t="n">
        <v>0.415630650966654</v>
      </c>
      <c r="D37" s="11" t="n">
        <v>0.442974965024467</v>
      </c>
      <c r="E37" s="11" t="n">
        <v>0.482649509614393</v>
      </c>
      <c r="F37" s="11" t="n">
        <v>0.530659405364061</v>
      </c>
      <c r="G37" s="11" t="n">
        <v>0.584190072550694</v>
      </c>
      <c r="H37" s="11" t="n">
        <v>0.641219913604872</v>
      </c>
      <c r="I37" s="11" t="n">
        <v>0.70025792925147</v>
      </c>
      <c r="J37" s="11" t="n">
        <v>0.760214918026481</v>
      </c>
      <c r="K37" s="11" t="n">
        <v>0.820319685544492</v>
      </c>
      <c r="L37" s="11" t="n">
        <v>0.880035979837148</v>
      </c>
      <c r="M37" s="11" t="n">
        <v>0.938995358690046</v>
      </c>
      <c r="N37" s="11" t="n">
        <v>0.99693411153245</v>
      </c>
      <c r="O37" s="11" t="n">
        <v>1.60478941865256</v>
      </c>
      <c r="P37" s="11" t="n">
        <v>1.63856410154924</v>
      </c>
      <c r="Q37" s="11" t="n">
        <v>1.67036775191692</v>
      </c>
      <c r="R37" s="11" t="n">
        <v>1.7001986874908</v>
      </c>
      <c r="S37" s="11" t="n">
        <v>1.72806169309854</v>
      </c>
      <c r="T37" s="11" t="n">
        <v>1.75396723675404</v>
      </c>
      <c r="U37" s="11" t="n">
        <v>1.77793063369628</v>
      </c>
      <c r="V37" s="11" t="n">
        <v>1.79997127679913</v>
      </c>
      <c r="W37" s="11" t="n">
        <v>1.82011172383376</v>
      </c>
      <c r="X37" s="11" t="n">
        <v>1.8383771040523</v>
      </c>
      <c r="Y37" s="11" t="n">
        <v>1.85479486499327</v>
      </c>
      <c r="Z37" s="11" t="n">
        <v>1.86939487808223</v>
      </c>
      <c r="AA37" s="11" t="n">
        <v>1.88220932799538</v>
      </c>
      <c r="AB37" s="11" t="n">
        <v>1.89327243623279</v>
      </c>
      <c r="AC37" s="11" t="n">
        <v>1.90262021863938</v>
      </c>
      <c r="AD37" s="11" t="n">
        <v>1.91029030974035</v>
      </c>
      <c r="AE37" s="11" t="n">
        <v>1.91632240174389</v>
      </c>
      <c r="AF37" s="11" t="n">
        <v>1.92075897713089</v>
      </c>
      <c r="AG37" s="11" t="n">
        <v>1.92364540284662</v>
      </c>
      <c r="AH37" s="11" t="n">
        <v>1.92502979550344</v>
      </c>
      <c r="AI37" s="11" t="n">
        <v>1.92496356292327</v>
      </c>
      <c r="AJ37" s="11" t="n">
        <v>1.92350228036295</v>
      </c>
      <c r="AK37" s="11" t="n">
        <v>1.92070545478144</v>
      </c>
      <c r="AL37" s="11" t="n">
        <v>1.91663617359446</v>
      </c>
      <c r="AM37" s="11" t="n">
        <v>1.91136143125589</v>
      </c>
      <c r="AN37" s="11" t="n">
        <v>1.90495276393313</v>
      </c>
      <c r="AO37" s="11" t="n">
        <v>1.89748614279698</v>
      </c>
      <c r="AP37" s="11" t="n">
        <v>1.88904198184544</v>
      </c>
      <c r="AQ37" s="11" t="n">
        <v>1.87970445798639</v>
      </c>
      <c r="AR37" s="11" t="n">
        <v>1.8695601217217</v>
      </c>
      <c r="AS37" s="11" t="n">
        <v>1.85869738665711</v>
      </c>
      <c r="AT37" s="11" t="n">
        <v>1.84720633456669</v>
      </c>
      <c r="AU37" s="11" t="n">
        <v>1.83517788953544</v>
      </c>
    </row>
    <row r="38" customFormat="false" ht="15" hidden="false" customHeight="false" outlineLevel="0" collapsed="false">
      <c r="A38" s="10" t="n">
        <v>-87</v>
      </c>
      <c r="B38" s="8" t="n">
        <v>43048</v>
      </c>
      <c r="C38" s="11" t="n">
        <v>0.44386142202692</v>
      </c>
      <c r="D38" s="11" t="n">
        <v>0.474017116763567</v>
      </c>
      <c r="E38" s="11" t="n">
        <v>0.516641426479151</v>
      </c>
      <c r="F38" s="11" t="n">
        <v>0.567548482698811</v>
      </c>
      <c r="G38" s="11" t="n">
        <v>0.62380026671027</v>
      </c>
      <c r="H38" s="11" t="n">
        <v>0.683303466986545</v>
      </c>
      <c r="I38" s="11" t="n">
        <v>0.744534642087809</v>
      </c>
      <c r="J38" s="11" t="n">
        <v>0.806399817195298</v>
      </c>
      <c r="K38" s="11" t="n">
        <v>0.868139772327315</v>
      </c>
      <c r="L38" s="11" t="n">
        <v>0.929237605041021</v>
      </c>
      <c r="M38" s="11" t="n">
        <v>0.989346397633496</v>
      </c>
      <c r="N38" s="11" t="n">
        <v>1.04822404034091</v>
      </c>
      <c r="O38" s="11" t="n">
        <v>1.65607308339031</v>
      </c>
      <c r="P38" s="11" t="n">
        <v>1.68931932410159</v>
      </c>
      <c r="Q38" s="11" t="n">
        <v>1.72057264498457</v>
      </c>
      <c r="R38" s="11" t="n">
        <v>1.74984070939754</v>
      </c>
      <c r="S38" s="11" t="n">
        <v>1.7771365623226</v>
      </c>
      <c r="T38" s="11" t="n">
        <v>1.80247793766285</v>
      </c>
      <c r="U38" s="11" t="n">
        <v>1.82588656836124</v>
      </c>
      <c r="V38" s="11" t="n">
        <v>1.84738751742115</v>
      </c>
      <c r="W38" s="11" t="n">
        <v>1.86700828258527</v>
      </c>
      <c r="X38" s="11" t="n">
        <v>1.88477826268374</v>
      </c>
      <c r="Y38" s="11" t="n">
        <v>1.90072859097888</v>
      </c>
      <c r="Z38" s="11" t="n">
        <v>1.91489230734175</v>
      </c>
      <c r="AA38" s="11" t="n">
        <v>1.9273043060453</v>
      </c>
      <c r="AB38" s="11" t="n">
        <v>1.93800111498884</v>
      </c>
      <c r="AC38" s="11" t="n">
        <v>1.94702070121876</v>
      </c>
      <c r="AD38" s="11" t="n">
        <v>1.95440233429845</v>
      </c>
      <c r="AE38" s="11" t="n">
        <v>1.96018700784681</v>
      </c>
      <c r="AF38" s="11" t="n">
        <v>1.96441812745674</v>
      </c>
      <c r="AG38" s="11" t="n">
        <v>1.9671416531347</v>
      </c>
      <c r="AH38" s="11" t="n">
        <v>1.96840600863089</v>
      </c>
      <c r="AI38" s="11" t="n">
        <v>1.96826264021104</v>
      </c>
      <c r="AJ38" s="11" t="n">
        <v>1.96676688736136</v>
      </c>
      <c r="AK38" s="11" t="n">
        <v>1.96397776701872</v>
      </c>
      <c r="AL38" s="11" t="n">
        <v>1.95995764675442</v>
      </c>
      <c r="AM38" s="11" t="n">
        <v>1.95477257171393</v>
      </c>
      <c r="AN38" s="11" t="n">
        <v>1.94849287680262</v>
      </c>
      <c r="AO38" s="11" t="n">
        <v>1.94119307991479</v>
      </c>
      <c r="AP38" s="11" t="n">
        <v>1.9329518697218</v>
      </c>
      <c r="AQ38" s="11" t="n">
        <v>1.92385142132541</v>
      </c>
      <c r="AR38" s="11" t="n">
        <v>1.91397600386872</v>
      </c>
      <c r="AS38" s="11" t="n">
        <v>1.90341149033486</v>
      </c>
      <c r="AT38" s="11" t="n">
        <v>1.89224518292119</v>
      </c>
      <c r="AU38" s="11" t="n">
        <v>1.88056498622537</v>
      </c>
    </row>
    <row r="39" customFormat="false" ht="15" hidden="false" customHeight="false" outlineLevel="0" collapsed="false">
      <c r="A39" s="10" t="n">
        <v>-86</v>
      </c>
      <c r="B39" s="8" t="n">
        <v>43049</v>
      </c>
      <c r="C39" s="11" t="n">
        <v>0.470075631315207</v>
      </c>
      <c r="D39" s="11" t="n">
        <v>0.507406046192431</v>
      </c>
      <c r="E39" s="11" t="n">
        <v>0.557100891893462</v>
      </c>
      <c r="F39" s="11" t="n">
        <v>0.614637374969944</v>
      </c>
      <c r="G39" s="11" t="n">
        <v>0.676903629833864</v>
      </c>
      <c r="H39" s="11" t="n">
        <v>0.741729890408856</v>
      </c>
      <c r="I39" s="11" t="n">
        <v>0.807576454464352</v>
      </c>
      <c r="J39" s="11" t="n">
        <v>0.873369075842422</v>
      </c>
      <c r="K39" s="11" t="n">
        <v>0.938392669709822</v>
      </c>
      <c r="L39" s="11" t="n">
        <v>1.00218226090509</v>
      </c>
      <c r="M39" s="11" t="n">
        <v>1.06444609084418</v>
      </c>
      <c r="N39" s="11" t="n">
        <v>1.12499959016802</v>
      </c>
      <c r="O39" s="11" t="n">
        <v>1.73228849520917</v>
      </c>
      <c r="P39" s="11" t="n">
        <v>1.76488496720207</v>
      </c>
      <c r="Q39" s="11" t="n">
        <v>1.79549744506981</v>
      </c>
      <c r="R39" s="11" t="n">
        <v>1.82414254824614</v>
      </c>
      <c r="S39" s="11" t="n">
        <v>1.85084050982213</v>
      </c>
      <c r="T39" s="11" t="n">
        <v>1.8756147408448</v>
      </c>
      <c r="U39" s="11" t="n">
        <v>1.89849136266535</v>
      </c>
      <c r="V39" s="11" t="n">
        <v>1.9194987458467</v>
      </c>
      <c r="W39" s="11" t="n">
        <v>1.93866688333862</v>
      </c>
      <c r="X39" s="11" t="n">
        <v>1.95602702784725</v>
      </c>
      <c r="Y39" s="11" t="n">
        <v>1.97161156338772</v>
      </c>
      <c r="Z39" s="11" t="n">
        <v>1.98545403480605</v>
      </c>
      <c r="AA39" s="11" t="n">
        <v>1.99758908206612</v>
      </c>
      <c r="AB39" s="11" t="n">
        <v>2.00805230883795</v>
      </c>
      <c r="AC39" s="11" t="n">
        <v>2.0168801677708</v>
      </c>
      <c r="AD39" s="11" t="n">
        <v>2.02410988787417</v>
      </c>
      <c r="AE39" s="11" t="n">
        <v>2.02977984473382</v>
      </c>
      <c r="AF39" s="11" t="n">
        <v>2.03393016138928</v>
      </c>
      <c r="AG39" s="11" t="n">
        <v>2.03660301777959</v>
      </c>
      <c r="AH39" s="11" t="n">
        <v>2.03784267628472</v>
      </c>
      <c r="AI39" s="11" t="n">
        <v>2.03769621816791</v>
      </c>
      <c r="AJ39" s="11" t="n">
        <v>2.03621458518411</v>
      </c>
      <c r="AK39" s="11" t="n">
        <v>2.03345238079301</v>
      </c>
      <c r="AL39" s="11" t="n">
        <v>2.02946755432237</v>
      </c>
      <c r="AM39" s="11" t="n">
        <v>2.0243218661187</v>
      </c>
      <c r="AN39" s="11" t="n">
        <v>2.01808164995338</v>
      </c>
      <c r="AO39" s="11" t="n">
        <v>2.01081772292412</v>
      </c>
      <c r="AP39" s="11" t="n">
        <v>2.00260539590098</v>
      </c>
      <c r="AQ39" s="11" t="n">
        <v>1.99352381492315</v>
      </c>
      <c r="AR39" s="11" t="n">
        <v>1.98365469215058</v>
      </c>
      <c r="AS39" s="11" t="n">
        <v>1.97308182896127</v>
      </c>
      <c r="AT39" s="11" t="n">
        <v>1.96189090193872</v>
      </c>
      <c r="AU39" s="11" t="n">
        <v>1.95016865304108</v>
      </c>
    </row>
    <row r="40" customFormat="false" ht="15" hidden="false" customHeight="false" outlineLevel="0" collapsed="false">
      <c r="A40" s="10" t="n">
        <v>-85</v>
      </c>
      <c r="B40" s="8" t="n">
        <v>43052</v>
      </c>
      <c r="C40" s="11" t="n">
        <v>0.469806372658496</v>
      </c>
      <c r="D40" s="11" t="n">
        <v>0.505996082715773</v>
      </c>
      <c r="E40" s="11" t="n">
        <v>0.554567675233243</v>
      </c>
      <c r="F40" s="11" t="n">
        <v>0.611101540817504</v>
      </c>
      <c r="G40" s="11" t="n">
        <v>0.672499407555495</v>
      </c>
      <c r="H40" s="11" t="n">
        <v>0.736575214227905</v>
      </c>
      <c r="I40" s="11" t="n">
        <v>0.801766683067836</v>
      </c>
      <c r="J40" s="11" t="n">
        <v>0.866980014046521</v>
      </c>
      <c r="K40" s="11" t="n">
        <v>0.931488117880442</v>
      </c>
      <c r="L40" s="11" t="n">
        <v>0.994820731019591</v>
      </c>
      <c r="M40" s="11" t="n">
        <v>1.05668354278028</v>
      </c>
      <c r="N40" s="11" t="n">
        <v>1.11689088929336</v>
      </c>
      <c r="O40" s="11" t="n">
        <v>1.72280775002234</v>
      </c>
      <c r="P40" s="11" t="n">
        <v>1.75536804998893</v>
      </c>
      <c r="Q40" s="11" t="n">
        <v>1.78594044897501</v>
      </c>
      <c r="R40" s="11" t="n">
        <v>1.81454201745655</v>
      </c>
      <c r="S40" s="11" t="n">
        <v>1.84119363585436</v>
      </c>
      <c r="T40" s="11" t="n">
        <v>1.86591949082002</v>
      </c>
      <c r="U40" s="11" t="n">
        <v>1.88874658868832</v>
      </c>
      <c r="V40" s="11" t="n">
        <v>1.90970427836</v>
      </c>
      <c r="W40" s="11" t="n">
        <v>1.92882361403657</v>
      </c>
      <c r="X40" s="11" t="n">
        <v>1.94613698410482</v>
      </c>
      <c r="Y40" s="11" t="n">
        <v>1.96167793812798</v>
      </c>
      <c r="Z40" s="11" t="n">
        <v>1.97548106422788</v>
      </c>
      <c r="AA40" s="11" t="n">
        <v>1.98758187105916</v>
      </c>
      <c r="AB40" s="11" t="n">
        <v>1.99801667585964</v>
      </c>
      <c r="AC40" s="11" t="n">
        <v>2.00682250819045</v>
      </c>
      <c r="AD40" s="11" t="n">
        <v>2.01403704849917</v>
      </c>
      <c r="AE40" s="11" t="n">
        <v>2.01969892330528</v>
      </c>
      <c r="AF40" s="11" t="n">
        <v>2.02384820501629</v>
      </c>
      <c r="AG40" s="11" t="n">
        <v>2.02652675649864</v>
      </c>
      <c r="AH40" s="11" t="n">
        <v>2.02777829478921</v>
      </c>
      <c r="AI40" s="11" t="n">
        <v>2.02764917580627</v>
      </c>
      <c r="AJ40" s="11" t="n">
        <v>2.02618947233092</v>
      </c>
      <c r="AK40" s="11" t="n">
        <v>2.02345278935334</v>
      </c>
      <c r="AL40" s="11" t="n">
        <v>2.01949596423517</v>
      </c>
      <c r="AM40" s="11" t="n">
        <v>2.01437958793444</v>
      </c>
      <c r="AN40" s="11" t="n">
        <v>2.00816882334611</v>
      </c>
      <c r="AO40" s="11" t="n">
        <v>2.00093333443645</v>
      </c>
      <c r="AP40" s="11" t="n">
        <v>1.99274732489608</v>
      </c>
      <c r="AQ40" s="11" t="n">
        <v>1.98368890470517</v>
      </c>
      <c r="AR40" s="11" t="n">
        <v>1.97383888348429</v>
      </c>
      <c r="AS40" s="11" t="n">
        <v>1.9632803039451</v>
      </c>
      <c r="AT40" s="11" t="n">
        <v>1.95209821687807</v>
      </c>
      <c r="AU40" s="11" t="n">
        <v>1.94037888798761</v>
      </c>
    </row>
    <row r="41" customFormat="false" ht="15" hidden="false" customHeight="false" outlineLevel="0" collapsed="false">
      <c r="A41" s="10" t="n">
        <v>-84</v>
      </c>
      <c r="B41" s="8" t="n">
        <v>43053</v>
      </c>
      <c r="C41" s="11" t="n">
        <v>0.452194225593851</v>
      </c>
      <c r="D41" s="11" t="n">
        <v>0.486686672009038</v>
      </c>
      <c r="E41" s="11" t="n">
        <v>0.534139772114757</v>
      </c>
      <c r="F41" s="11" t="n">
        <v>0.590021168587761</v>
      </c>
      <c r="G41" s="11" t="n">
        <v>0.651104294862957</v>
      </c>
      <c r="H41" s="11" t="n">
        <v>0.715103378413035</v>
      </c>
      <c r="I41" s="11" t="n">
        <v>0.780384524522068</v>
      </c>
      <c r="J41" s="11" t="n">
        <v>0.845802753633478</v>
      </c>
      <c r="K41" s="11" t="n">
        <v>0.910592811604343</v>
      </c>
      <c r="L41" s="11" t="n">
        <v>0.974255198768506</v>
      </c>
      <c r="M41" s="11" t="n">
        <v>1.03647299487993</v>
      </c>
      <c r="N41" s="11" t="n">
        <v>1.09704486675199</v>
      </c>
      <c r="O41" s="11" t="n">
        <v>1.70793924300881</v>
      </c>
      <c r="P41" s="11" t="n">
        <v>1.74090117804351</v>
      </c>
      <c r="Q41" s="11" t="n">
        <v>1.77186703113022</v>
      </c>
      <c r="R41" s="11" t="n">
        <v>1.80085189143987</v>
      </c>
      <c r="S41" s="11" t="n">
        <v>1.82787533550592</v>
      </c>
      <c r="T41" s="11" t="n">
        <v>1.8529608479023</v>
      </c>
      <c r="U41" s="11" t="n">
        <v>1.87613524621606</v>
      </c>
      <c r="V41" s="11" t="n">
        <v>1.89742813759588</v>
      </c>
      <c r="W41" s="11" t="n">
        <v>1.91687125254785</v>
      </c>
      <c r="X41" s="11" t="n">
        <v>1.93449803361454</v>
      </c>
      <c r="Y41" s="11" t="n">
        <v>1.95034337592765</v>
      </c>
      <c r="Z41" s="11" t="n">
        <v>1.96444331335355</v>
      </c>
      <c r="AA41" s="11" t="n">
        <v>1.97683481950864</v>
      </c>
      <c r="AB41" s="11" t="n">
        <v>1.98755569169911</v>
      </c>
      <c r="AC41" s="11" t="n">
        <v>1.99664445286259</v>
      </c>
      <c r="AD41" s="11" t="n">
        <v>2.00414028538768</v>
      </c>
      <c r="AE41" s="11" t="n">
        <v>2.01008326468863</v>
      </c>
      <c r="AF41" s="11" t="n">
        <v>2.01451477808934</v>
      </c>
      <c r="AG41" s="11" t="n">
        <v>2.0174778698793</v>
      </c>
      <c r="AH41" s="11" t="n">
        <v>2.01901731604253</v>
      </c>
      <c r="AI41" s="11" t="n">
        <v>2.01918040064837</v>
      </c>
      <c r="AJ41" s="11" t="n">
        <v>2.01801796258135</v>
      </c>
      <c r="AK41" s="11" t="n">
        <v>2.01558421825826</v>
      </c>
      <c r="AL41" s="11" t="n">
        <v>2.01193647595383</v>
      </c>
      <c r="AM41" s="11" t="n">
        <v>2.0071356381222</v>
      </c>
      <c r="AN41" s="11" t="n">
        <v>2.0012469756605</v>
      </c>
      <c r="AO41" s="11" t="n">
        <v>1.99434004959655</v>
      </c>
      <c r="AP41" s="11" t="n">
        <v>1.98648872567052</v>
      </c>
      <c r="AQ41" s="11" t="n">
        <v>1.97777055538056</v>
      </c>
      <c r="AR41" s="11" t="n">
        <v>1.96826561462062</v>
      </c>
      <c r="AS41" s="11" t="n">
        <v>1.95805606222816</v>
      </c>
      <c r="AT41" s="11" t="n">
        <v>1.9472259274759</v>
      </c>
      <c r="AU41" s="11" t="n">
        <v>1.93586033256765</v>
      </c>
    </row>
    <row r="42" customFormat="false" ht="15" hidden="false" customHeight="false" outlineLevel="0" collapsed="false">
      <c r="A42" s="10" t="n">
        <v>-83</v>
      </c>
      <c r="B42" s="8" t="n">
        <v>43054</v>
      </c>
      <c r="C42" s="11" t="n">
        <v>0.451755721055571</v>
      </c>
      <c r="D42" s="11" t="n">
        <v>0.483455980191952</v>
      </c>
      <c r="E42" s="11" t="n">
        <v>0.527977739809352</v>
      </c>
      <c r="F42" s="11" t="n">
        <v>0.581083097883717</v>
      </c>
      <c r="G42" s="11" t="n">
        <v>0.639664271555889</v>
      </c>
      <c r="H42" s="11" t="n">
        <v>0.701462842582626</v>
      </c>
      <c r="I42" s="11" t="n">
        <v>0.764832128073168</v>
      </c>
      <c r="J42" s="11" t="n">
        <v>0.828600406668439</v>
      </c>
      <c r="K42" s="11" t="n">
        <v>0.89197245081665</v>
      </c>
      <c r="L42" s="11" t="n">
        <v>0.954420639871835</v>
      </c>
      <c r="M42" s="11" t="n">
        <v>1.01560227168358</v>
      </c>
      <c r="N42" s="11" t="n">
        <v>1.07529318056776</v>
      </c>
      <c r="O42" s="11" t="n">
        <v>1.68292637726798</v>
      </c>
      <c r="P42" s="11" t="n">
        <v>1.71601434969501</v>
      </c>
      <c r="Q42" s="11" t="n">
        <v>1.74713173145872</v>
      </c>
      <c r="R42" s="11" t="n">
        <v>1.77628814979902</v>
      </c>
      <c r="S42" s="11" t="n">
        <v>1.80349827242979</v>
      </c>
      <c r="T42" s="11" t="n">
        <v>1.82878118821249</v>
      </c>
      <c r="U42" s="11" t="n">
        <v>1.85215975680587</v>
      </c>
      <c r="V42" s="11" t="n">
        <v>1.87366003017956</v>
      </c>
      <c r="W42" s="11" t="n">
        <v>1.89331064658508</v>
      </c>
      <c r="X42" s="11" t="n">
        <v>1.91114240929326</v>
      </c>
      <c r="Y42" s="11" t="n">
        <v>1.92718796901643</v>
      </c>
      <c r="Z42" s="11" t="n">
        <v>1.94148146138217</v>
      </c>
      <c r="AA42" s="11" t="n">
        <v>1.9540582662201</v>
      </c>
      <c r="AB42" s="11" t="n">
        <v>1.96495485444618</v>
      </c>
      <c r="AC42" s="11" t="n">
        <v>1.97420865817149</v>
      </c>
      <c r="AD42" s="11" t="n">
        <v>1.98185798106095</v>
      </c>
      <c r="AE42" s="11" t="n">
        <v>1.98794226769637</v>
      </c>
      <c r="AF42" s="11" t="n">
        <v>1.99250256145869</v>
      </c>
      <c r="AG42" s="11" t="n">
        <v>1.99558178657794</v>
      </c>
      <c r="AH42" s="11" t="n">
        <v>1.99722477654341</v>
      </c>
      <c r="AI42" s="11" t="n">
        <v>1.99747898437303</v>
      </c>
      <c r="AJ42" s="11" t="n">
        <v>1.99639543895555</v>
      </c>
      <c r="AK42" s="11" t="n">
        <v>1.99402855240038</v>
      </c>
      <c r="AL42" s="11" t="n">
        <v>1.99043583329758</v>
      </c>
      <c r="AM42" s="11" t="n">
        <v>1.98567836568339</v>
      </c>
      <c r="AN42" s="11" t="n">
        <v>1.97982154096733</v>
      </c>
      <c r="AO42" s="11" t="n">
        <v>1.9729349952434</v>
      </c>
      <c r="AP42" s="11" t="n">
        <v>1.96509266671932</v>
      </c>
      <c r="AQ42" s="11" t="n">
        <v>1.9563722136281</v>
      </c>
      <c r="AR42" s="11" t="n">
        <v>1.94685392863393</v>
      </c>
      <c r="AS42" s="11" t="n">
        <v>1.93662031154461</v>
      </c>
      <c r="AT42" s="11" t="n">
        <v>1.92575584799918</v>
      </c>
      <c r="AU42" s="11" t="n">
        <v>1.91434625804578</v>
      </c>
    </row>
    <row r="43" customFormat="false" ht="15" hidden="false" customHeight="false" outlineLevel="0" collapsed="false">
      <c r="A43" s="10" t="n">
        <v>-82</v>
      </c>
      <c r="B43" s="8" t="n">
        <v>43055</v>
      </c>
      <c r="C43" s="11" t="n">
        <v>0.467195356507624</v>
      </c>
      <c r="D43" s="11" t="n">
        <v>0.500181336961964</v>
      </c>
      <c r="E43" s="11" t="n">
        <v>0.54549878108372</v>
      </c>
      <c r="F43" s="11" t="n">
        <v>0.599103927530456</v>
      </c>
      <c r="G43" s="11" t="n">
        <v>0.657977425353665</v>
      </c>
      <c r="H43" s="11" t="n">
        <v>0.719903394838939</v>
      </c>
      <c r="I43" s="11" t="n">
        <v>0.783260169671939</v>
      </c>
      <c r="J43" s="11" t="n">
        <v>0.846896991094454</v>
      </c>
      <c r="K43" s="11" t="n">
        <v>0.910038025915846</v>
      </c>
      <c r="L43" s="11" t="n">
        <v>0.972174352979858</v>
      </c>
      <c r="M43" s="11" t="n">
        <v>1.03297958082456</v>
      </c>
      <c r="N43" s="11" t="n">
        <v>1.09224433070548</v>
      </c>
      <c r="O43" s="11" t="n">
        <v>1.69352285036771</v>
      </c>
      <c r="P43" s="11" t="n">
        <v>1.72622972064892</v>
      </c>
      <c r="Q43" s="11" t="n">
        <v>1.75699297911177</v>
      </c>
      <c r="R43" s="11" t="n">
        <v>1.78582181562648</v>
      </c>
      <c r="S43" s="11" t="n">
        <v>1.81273002937786</v>
      </c>
      <c r="T43" s="11" t="n">
        <v>1.83773548154576</v>
      </c>
      <c r="U43" s="11" t="n">
        <v>1.86085949797541</v>
      </c>
      <c r="V43" s="11" t="n">
        <v>1.88212637380266</v>
      </c>
      <c r="W43" s="11" t="n">
        <v>1.90156295934879</v>
      </c>
      <c r="X43" s="11" t="n">
        <v>1.91919831389232</v>
      </c>
      <c r="Y43" s="11" t="n">
        <v>1.9350633807632</v>
      </c>
      <c r="Z43" s="11" t="n">
        <v>1.94919060836271</v>
      </c>
      <c r="AA43" s="11" t="n">
        <v>1.96161370250853</v>
      </c>
      <c r="AB43" s="11" t="n">
        <v>1.97236747163174</v>
      </c>
      <c r="AC43" s="11" t="n">
        <v>1.98148769551337</v>
      </c>
      <c r="AD43" s="11" t="n">
        <v>1.98901103288465</v>
      </c>
      <c r="AE43" s="11" t="n">
        <v>1.9949752577812</v>
      </c>
      <c r="AF43" s="11" t="n">
        <v>1.99941968304574</v>
      </c>
      <c r="AG43" s="11" t="n">
        <v>2.00238548216704</v>
      </c>
      <c r="AH43" s="11" t="n">
        <v>2.00391574361571</v>
      </c>
      <c r="AI43" s="11" t="n">
        <v>2.00405629739038</v>
      </c>
      <c r="AJ43" s="11" t="n">
        <v>2.00285680018409</v>
      </c>
      <c r="AK43" s="11" t="n">
        <v>2.00037053399149</v>
      </c>
      <c r="AL43" s="11" t="n">
        <v>1.99665410299461</v>
      </c>
      <c r="AM43" s="11" t="n">
        <v>1.99176800206868</v>
      </c>
      <c r="AN43" s="11" t="n">
        <v>1.98577745755457</v>
      </c>
      <c r="AO43" s="11" t="n">
        <v>1.97875236022157</v>
      </c>
      <c r="AP43" s="11" t="n">
        <v>1.97076732122178</v>
      </c>
      <c r="AQ43" s="11" t="n">
        <v>1.96190103040126</v>
      </c>
      <c r="AR43" s="11" t="n">
        <v>1.95223507615358</v>
      </c>
      <c r="AS43" s="11" t="n">
        <v>1.94185348156712</v>
      </c>
      <c r="AT43" s="11" t="n">
        <v>1.93084246141529</v>
      </c>
      <c r="AU43" s="11" t="n">
        <v>1.91928962090035</v>
      </c>
    </row>
    <row r="44" customFormat="false" ht="15" hidden="false" customHeight="false" outlineLevel="0" collapsed="false">
      <c r="A44" s="10" t="n">
        <v>-81</v>
      </c>
      <c r="B44" s="8" t="n">
        <v>43056</v>
      </c>
      <c r="C44" s="11" t="n">
        <v>0.463238183779581</v>
      </c>
      <c r="D44" s="11" t="n">
        <v>0.499943923470567</v>
      </c>
      <c r="E44" s="11" t="n">
        <v>0.547901501183372</v>
      </c>
      <c r="F44" s="11" t="n">
        <v>0.603321776384964</v>
      </c>
      <c r="G44" s="11" t="n">
        <v>0.663366087719648</v>
      </c>
      <c r="H44" s="11" t="n">
        <v>0.725956892337761</v>
      </c>
      <c r="I44" s="11" t="n">
        <v>0.789581596209344</v>
      </c>
      <c r="J44" s="11" t="n">
        <v>0.853180681010244</v>
      </c>
      <c r="K44" s="11" t="n">
        <v>0.91605199191894</v>
      </c>
      <c r="L44" s="11" t="n">
        <v>0.977749323266827</v>
      </c>
      <c r="M44" s="11" t="n">
        <v>1.03799599932138</v>
      </c>
      <c r="N44" s="11" t="n">
        <v>1.09662227545214</v>
      </c>
      <c r="O44" s="11" t="n">
        <v>1.68884581250916</v>
      </c>
      <c r="P44" s="11" t="n">
        <v>1.72098584796771</v>
      </c>
      <c r="Q44" s="11" t="n">
        <v>1.75122192951707</v>
      </c>
      <c r="R44" s="11" t="n">
        <v>1.77956773832006</v>
      </c>
      <c r="S44" s="11" t="n">
        <v>1.80604064508282</v>
      </c>
      <c r="T44" s="11" t="n">
        <v>1.83066121887832</v>
      </c>
      <c r="U44" s="11" t="n">
        <v>1.8534527558179</v>
      </c>
      <c r="V44" s="11" t="n">
        <v>1.87444073190318</v>
      </c>
      <c r="W44" s="11" t="n">
        <v>1.89365188971349</v>
      </c>
      <c r="X44" s="11" t="n">
        <v>1.91111381147798</v>
      </c>
      <c r="Y44" s="11" t="n">
        <v>1.9268548225593</v>
      </c>
      <c r="Z44" s="11" t="n">
        <v>1.94090397278148</v>
      </c>
      <c r="AA44" s="11" t="n">
        <v>1.9532909778473</v>
      </c>
      <c r="AB44" s="11" t="n">
        <v>1.96404613886235</v>
      </c>
      <c r="AC44" s="11" t="n">
        <v>1.97320027264424</v>
      </c>
      <c r="AD44" s="11" t="n">
        <v>1.98078469084649</v>
      </c>
      <c r="AE44" s="11" t="n">
        <v>1.98683175019666</v>
      </c>
      <c r="AF44" s="11" t="n">
        <v>1.99137561675188</v>
      </c>
      <c r="AG44" s="11" t="n">
        <v>1.99445259952596</v>
      </c>
      <c r="AH44" s="11" t="n">
        <v>1.99610118108177</v>
      </c>
      <c r="AI44" s="11" t="n">
        <v>1.99636295370876</v>
      </c>
      <c r="AJ44" s="11" t="n">
        <v>1.99528379564631</v>
      </c>
      <c r="AK44" s="11" t="n">
        <v>1.99291363218936</v>
      </c>
      <c r="AL44" s="11" t="n">
        <v>1.98930609659986</v>
      </c>
      <c r="AM44" s="11" t="n">
        <v>1.984519102245</v>
      </c>
      <c r="AN44" s="11" t="n">
        <v>1.97861565801819</v>
      </c>
      <c r="AO44" s="11" t="n">
        <v>1.97166376903024</v>
      </c>
      <c r="AP44" s="11" t="n">
        <v>1.96373646093345</v>
      </c>
      <c r="AQ44" s="11" t="n">
        <v>1.95491113991784</v>
      </c>
      <c r="AR44" s="11" t="n">
        <v>1.9452684936441</v>
      </c>
      <c r="AS44" s="11" t="n">
        <v>1.9348920295793</v>
      </c>
      <c r="AT44" s="11" t="n">
        <v>1.92386780007061</v>
      </c>
      <c r="AU44" s="11" t="n">
        <v>1.91228360574813</v>
      </c>
    </row>
    <row r="45" customFormat="false" ht="15" hidden="false" customHeight="false" outlineLevel="0" collapsed="false">
      <c r="A45" s="10" t="n">
        <v>-80</v>
      </c>
      <c r="B45" s="8" t="n">
        <v>43059</v>
      </c>
      <c r="C45" s="11" t="n">
        <v>0.455280491719117</v>
      </c>
      <c r="D45" s="11" t="n">
        <v>0.491448910800603</v>
      </c>
      <c r="E45" s="11" t="n">
        <v>0.538462792258642</v>
      </c>
      <c r="F45" s="11" t="n">
        <v>0.592793338688277</v>
      </c>
      <c r="G45" s="11" t="n">
        <v>0.651725209423226</v>
      </c>
      <c r="H45" s="11" t="n">
        <v>0.71324109964496</v>
      </c>
      <c r="I45" s="11" t="n">
        <v>0.775853161091789</v>
      </c>
      <c r="J45" s="11" t="n">
        <v>0.838505535933682</v>
      </c>
      <c r="K45" s="11" t="n">
        <v>0.900487844036281</v>
      </c>
      <c r="L45" s="11" t="n">
        <v>0.961341794001535</v>
      </c>
      <c r="M45" s="11" t="n">
        <v>1.020777569364</v>
      </c>
      <c r="N45" s="11" t="n">
        <v>1.07861128103568</v>
      </c>
      <c r="O45" s="11" t="n">
        <v>1.65933338599621</v>
      </c>
      <c r="P45" s="11" t="n">
        <v>1.6906459773966</v>
      </c>
      <c r="Q45" s="11" t="n">
        <v>1.72010886263124</v>
      </c>
      <c r="R45" s="11" t="n">
        <v>1.74774212126129</v>
      </c>
      <c r="S45" s="11" t="n">
        <v>1.7735676186248</v>
      </c>
      <c r="T45" s="11" t="n">
        <v>1.79760874218434</v>
      </c>
      <c r="U45" s="11" t="n">
        <v>1.81989017615584</v>
      </c>
      <c r="V45" s="11" t="n">
        <v>1.84043748216397</v>
      </c>
      <c r="W45" s="11" t="n">
        <v>1.8592760822466</v>
      </c>
      <c r="X45" s="11" t="n">
        <v>1.87643090763874</v>
      </c>
      <c r="Y45" s="11" t="n">
        <v>1.89192653084277</v>
      </c>
      <c r="Z45" s="11" t="n">
        <v>1.90578750025411</v>
      </c>
      <c r="AA45" s="11" t="n">
        <v>1.91803846218282</v>
      </c>
      <c r="AB45" s="11" t="n">
        <v>1.92870415155868</v>
      </c>
      <c r="AC45" s="11" t="n">
        <v>1.93780938138127</v>
      </c>
      <c r="AD45" s="11" t="n">
        <v>1.94537908439911</v>
      </c>
      <c r="AE45" s="11" t="n">
        <v>1.95143907316825</v>
      </c>
      <c r="AF45" s="11" t="n">
        <v>1.95601701223666</v>
      </c>
      <c r="AG45" s="11" t="n">
        <v>1.95914272004775</v>
      </c>
      <c r="AH45" s="11" t="n">
        <v>1.96084819009591</v>
      </c>
      <c r="AI45" s="11" t="n">
        <v>1.96116874274842</v>
      </c>
      <c r="AJ45" s="11" t="n">
        <v>1.96014443737098</v>
      </c>
      <c r="AK45" s="11" t="n">
        <v>1.95781981760255</v>
      </c>
      <c r="AL45" s="11" t="n">
        <v>1.95424354280852</v>
      </c>
      <c r="AM45" s="11" t="n">
        <v>1.94946911702801</v>
      </c>
      <c r="AN45" s="11" t="n">
        <v>1.94355589057926</v>
      </c>
      <c r="AO45" s="11" t="n">
        <v>1.93656894182253</v>
      </c>
      <c r="AP45" s="11" t="n">
        <v>1.9285790799956</v>
      </c>
      <c r="AQ45" s="11" t="n">
        <v>1.91966219344741</v>
      </c>
      <c r="AR45" s="11" t="n">
        <v>1.90989819525285</v>
      </c>
      <c r="AS45" s="11" t="n">
        <v>1.89937052594824</v>
      </c>
      <c r="AT45" s="11" t="n">
        <v>1.88816582268601</v>
      </c>
      <c r="AU45" s="11" t="n">
        <v>1.87637313630473</v>
      </c>
    </row>
    <row r="46" customFormat="false" ht="15" hidden="false" customHeight="false" outlineLevel="0" collapsed="false">
      <c r="A46" s="10" t="n">
        <v>-79</v>
      </c>
      <c r="B46" s="8" t="n">
        <v>43060</v>
      </c>
      <c r="C46" s="11" t="n">
        <v>0.459299251747142</v>
      </c>
      <c r="D46" s="11" t="n">
        <v>0.495614517961639</v>
      </c>
      <c r="E46" s="11" t="n">
        <v>0.541910144202797</v>
      </c>
      <c r="F46" s="11" t="n">
        <v>0.59510316334055</v>
      </c>
      <c r="G46" s="11" t="n">
        <v>0.652706952049124</v>
      </c>
      <c r="H46" s="11" t="n">
        <v>0.71282964084519</v>
      </c>
      <c r="I46" s="11" t="n">
        <v>0.774055788679462</v>
      </c>
      <c r="J46" s="11" t="n">
        <v>0.835373485478861</v>
      </c>
      <c r="K46" s="11" t="n">
        <v>0.896097847503642</v>
      </c>
      <c r="L46" s="11" t="n">
        <v>0.955785002943852</v>
      </c>
      <c r="M46" s="11" t="n">
        <v>1.01415176049271</v>
      </c>
      <c r="N46" s="11" t="n">
        <v>1.07101493794935</v>
      </c>
      <c r="O46" s="11" t="n">
        <v>1.64545836906646</v>
      </c>
      <c r="P46" s="11" t="n">
        <v>1.67659421248998</v>
      </c>
      <c r="Q46" s="11" t="n">
        <v>1.70591023536566</v>
      </c>
      <c r="R46" s="11" t="n">
        <v>1.73342503508277</v>
      </c>
      <c r="S46" s="11" t="n">
        <v>1.75915880423169</v>
      </c>
      <c r="T46" s="11" t="n">
        <v>1.78313307490245</v>
      </c>
      <c r="U46" s="11" t="n">
        <v>1.80537051983684</v>
      </c>
      <c r="V46" s="11" t="n">
        <v>1.82589451619945</v>
      </c>
      <c r="W46" s="11" t="n">
        <v>1.84472801648036</v>
      </c>
      <c r="X46" s="11" t="n">
        <v>1.86189318514566</v>
      </c>
      <c r="Y46" s="11" t="n">
        <v>1.8774116338376</v>
      </c>
      <c r="Z46" s="11" t="n">
        <v>1.89130502107716</v>
      </c>
      <c r="AA46" s="11" t="n">
        <v>1.90359526177712</v>
      </c>
      <c r="AB46" s="11" t="n">
        <v>1.91430450064448</v>
      </c>
      <c r="AC46" s="11" t="n">
        <v>1.92345508482404</v>
      </c>
      <c r="AD46" s="11" t="n">
        <v>1.93106960342281</v>
      </c>
      <c r="AE46" s="11" t="n">
        <v>1.93717180434367</v>
      </c>
      <c r="AF46" s="11" t="n">
        <v>1.94178768816266</v>
      </c>
      <c r="AG46" s="11" t="n">
        <v>1.9449455990978</v>
      </c>
      <c r="AH46" s="11" t="n">
        <v>1.94667614552502</v>
      </c>
      <c r="AI46" s="11" t="n">
        <v>1.9470133263355</v>
      </c>
      <c r="AJ46" s="11" t="n">
        <v>1.94599589780104</v>
      </c>
      <c r="AK46" s="11" t="n">
        <v>1.94366710896931</v>
      </c>
      <c r="AL46" s="11" t="n">
        <v>1.94007433381343</v>
      </c>
      <c r="AM46" s="11" t="n">
        <v>1.93526980367934</v>
      </c>
      <c r="AN46" s="11" t="n">
        <v>1.92931159688459</v>
      </c>
      <c r="AO46" s="11" t="n">
        <v>1.92226354363029</v>
      </c>
      <c r="AP46" s="11" t="n">
        <v>1.91419528143179</v>
      </c>
      <c r="AQ46" s="11" t="n">
        <v>1.9051816541555</v>
      </c>
      <c r="AR46" s="11" t="n">
        <v>1.8953017588755</v>
      </c>
      <c r="AS46" s="11" t="n">
        <v>1.88463845823789</v>
      </c>
      <c r="AT46" s="11" t="n">
        <v>1.87327803163649</v>
      </c>
      <c r="AU46" s="11" t="n">
        <v>1.86130941319803</v>
      </c>
    </row>
    <row r="47" customFormat="false" ht="15" hidden="false" customHeight="false" outlineLevel="0" collapsed="false">
      <c r="A47" s="10" t="n">
        <v>-78</v>
      </c>
      <c r="B47" s="8" t="n">
        <v>43061</v>
      </c>
      <c r="C47" s="11" t="n">
        <v>0.445914578010057</v>
      </c>
      <c r="D47" s="11" t="n">
        <v>0.484707512620163</v>
      </c>
      <c r="E47" s="11" t="n">
        <v>0.533506853367596</v>
      </c>
      <c r="F47" s="11" t="n">
        <v>0.588949993578028</v>
      </c>
      <c r="G47" s="11" t="n">
        <v>0.648469967556846</v>
      </c>
      <c r="H47" s="11" t="n">
        <v>0.710196834342974</v>
      </c>
      <c r="I47" s="11" t="n">
        <v>0.772767044306587</v>
      </c>
      <c r="J47" s="11" t="n">
        <v>0.835218455650371</v>
      </c>
      <c r="K47" s="11" t="n">
        <v>0.896903829728997</v>
      </c>
      <c r="L47" s="11" t="n">
        <v>0.957406403027092</v>
      </c>
      <c r="M47" s="11" t="n">
        <v>1.01646281065739</v>
      </c>
      <c r="N47" s="11" t="n">
        <v>1.0739053822816</v>
      </c>
      <c r="O47" s="11" t="n">
        <v>1.65218340825467</v>
      </c>
      <c r="P47" s="11" t="n">
        <v>1.68364794140586</v>
      </c>
      <c r="Q47" s="11" t="n">
        <v>1.71331317307438</v>
      </c>
      <c r="R47" s="11" t="n">
        <v>1.74119743496179</v>
      </c>
      <c r="S47" s="11" t="n">
        <v>1.76732014213884</v>
      </c>
      <c r="T47" s="11" t="n">
        <v>1.79170159947822</v>
      </c>
      <c r="U47" s="11" t="n">
        <v>1.81436286884197</v>
      </c>
      <c r="V47" s="11" t="n">
        <v>1.83532538506593</v>
      </c>
      <c r="W47" s="11" t="n">
        <v>1.85460987672808</v>
      </c>
      <c r="X47" s="11" t="n">
        <v>1.87223604796079</v>
      </c>
      <c r="Y47" s="11" t="n">
        <v>1.88822289405724</v>
      </c>
      <c r="Z47" s="11" t="n">
        <v>1.90258949567418</v>
      </c>
      <c r="AA47" s="11" t="n">
        <v>1.91535529108836</v>
      </c>
      <c r="AB47" s="11" t="n">
        <v>1.92654003856541</v>
      </c>
      <c r="AC47" s="11" t="n">
        <v>1.93616377826587</v>
      </c>
      <c r="AD47" s="11" t="n">
        <v>1.94424687148896</v>
      </c>
      <c r="AE47" s="11" t="n">
        <v>1.95081102406766</v>
      </c>
      <c r="AF47" s="11" t="n">
        <v>1.95588046717991</v>
      </c>
      <c r="AG47" s="11" t="n">
        <v>1.95948195163822</v>
      </c>
      <c r="AH47" s="11" t="n">
        <v>1.96164461892886</v>
      </c>
      <c r="AI47" s="11" t="n">
        <v>1.96240113861307</v>
      </c>
      <c r="AJ47" s="11" t="n">
        <v>1.96178907192826</v>
      </c>
      <c r="AK47" s="11" t="n">
        <v>1.9598505919103</v>
      </c>
      <c r="AL47" s="11" t="n">
        <v>1.95663210644833</v>
      </c>
      <c r="AM47" s="11" t="n">
        <v>1.95218500009247</v>
      </c>
      <c r="AN47" s="11" t="n">
        <v>1.94656662090881</v>
      </c>
      <c r="AO47" s="11" t="n">
        <v>1.93984018540509</v>
      </c>
      <c r="AP47" s="11" t="n">
        <v>1.9320748437282</v>
      </c>
      <c r="AQ47" s="11" t="n">
        <v>1.92334508883615</v>
      </c>
      <c r="AR47" s="11" t="n">
        <v>1.91372983875146</v>
      </c>
      <c r="AS47" s="11" t="n">
        <v>1.9033119470861</v>
      </c>
      <c r="AT47" s="11" t="n">
        <v>1.89217783983467</v>
      </c>
      <c r="AU47" s="11" t="n">
        <v>1.88041674615966</v>
      </c>
    </row>
    <row r="48" customFormat="false" ht="15" hidden="false" customHeight="false" outlineLevel="0" collapsed="false">
      <c r="A48" s="10" t="n">
        <v>-77</v>
      </c>
      <c r="B48" s="8" t="n">
        <v>43062</v>
      </c>
      <c r="C48" s="11" t="n">
        <v>0.431904192853271</v>
      </c>
      <c r="D48" s="11" t="n">
        <v>0.468096679826343</v>
      </c>
      <c r="E48" s="11" t="n">
        <v>0.514500251650207</v>
      </c>
      <c r="F48" s="11" t="n">
        <v>0.567732220881486</v>
      </c>
      <c r="G48" s="11" t="n">
        <v>0.625267499983804</v>
      </c>
      <c r="H48" s="11" t="n">
        <v>0.685272265938167</v>
      </c>
      <c r="I48" s="11" t="n">
        <v>0.746401955860838</v>
      </c>
      <c r="J48" s="11" t="n">
        <v>0.807697840303223</v>
      </c>
      <c r="K48" s="11" t="n">
        <v>0.868508106215416</v>
      </c>
      <c r="L48" s="11" t="n">
        <v>0.928407680797555</v>
      </c>
      <c r="M48" s="11" t="n">
        <v>0.987122638427983</v>
      </c>
      <c r="N48" s="11" t="n">
        <v>1.04447079576219</v>
      </c>
      <c r="O48" s="11" t="n">
        <v>1.63250517158451</v>
      </c>
      <c r="P48" s="11" t="n">
        <v>1.66467082203787</v>
      </c>
      <c r="Q48" s="11" t="n">
        <v>1.69494200348726</v>
      </c>
      <c r="R48" s="11" t="n">
        <v>1.72333237539601</v>
      </c>
      <c r="S48" s="11" t="n">
        <v>1.74985983488576</v>
      </c>
      <c r="T48" s="11" t="n">
        <v>1.77454587933435</v>
      </c>
      <c r="U48" s="11" t="n">
        <v>1.79741507511244</v>
      </c>
      <c r="V48" s="11" t="n">
        <v>1.81849437357454</v>
      </c>
      <c r="W48" s="11" t="n">
        <v>1.8378118771445</v>
      </c>
      <c r="X48" s="11" t="n">
        <v>1.85539632368096</v>
      </c>
      <c r="Y48" s="11" t="n">
        <v>1.8712770013697</v>
      </c>
      <c r="Z48" s="11" t="n">
        <v>1.88548370014094</v>
      </c>
      <c r="AA48" s="11" t="n">
        <v>1.8980466576814</v>
      </c>
      <c r="AB48" s="11" t="n">
        <v>1.90899650500979</v>
      </c>
      <c r="AC48" s="11" t="n">
        <v>1.9183642196515</v>
      </c>
      <c r="AD48" s="11" t="n">
        <v>1.92618112425545</v>
      </c>
      <c r="AE48" s="11" t="n">
        <v>1.93247941045032</v>
      </c>
      <c r="AF48" s="11" t="n">
        <v>1.93729277268935</v>
      </c>
      <c r="AG48" s="11" t="n">
        <v>1.94065650534663</v>
      </c>
      <c r="AH48" s="11" t="n">
        <v>1.9426074859901</v>
      </c>
      <c r="AI48" s="11" t="n">
        <v>1.94318519513217</v>
      </c>
      <c r="AJ48" s="11" t="n">
        <v>1.94243290504977</v>
      </c>
      <c r="AK48" s="11" t="n">
        <v>1.94039747456923</v>
      </c>
      <c r="AL48" s="11" t="n">
        <v>1.93712906651497</v>
      </c>
      <c r="AM48" s="11" t="n">
        <v>1.93268186744369</v>
      </c>
      <c r="AN48" s="11" t="n">
        <v>1.92711500804024</v>
      </c>
      <c r="AO48" s="11" t="n">
        <v>1.92049253036034</v>
      </c>
      <c r="AP48" s="11" t="n">
        <v>1.91288351018965</v>
      </c>
      <c r="AQ48" s="11" t="n">
        <v>1.90436153467997</v>
      </c>
      <c r="AR48" s="11" t="n">
        <v>1.89500385595886</v>
      </c>
      <c r="AS48" s="11" t="n">
        <v>1.88489096825265</v>
      </c>
      <c r="AT48" s="11" t="n">
        <v>1.87410630234577</v>
      </c>
      <c r="AU48" s="11" t="n">
        <v>1.86273550040008</v>
      </c>
    </row>
    <row r="49" customFormat="false" ht="15" hidden="false" customHeight="false" outlineLevel="0" collapsed="false">
      <c r="A49" s="10" t="n">
        <v>-76</v>
      </c>
      <c r="B49" s="8" t="n">
        <v>43063</v>
      </c>
      <c r="C49" s="11" t="n">
        <v>0.436575957457364</v>
      </c>
      <c r="D49" s="11" t="n">
        <v>0.472376765991398</v>
      </c>
      <c r="E49" s="11" t="n">
        <v>0.518454214831376</v>
      </c>
      <c r="F49" s="11" t="n">
        <v>0.571398496036301</v>
      </c>
      <c r="G49" s="11" t="n">
        <v>0.628670456724653</v>
      </c>
      <c r="H49" s="11" t="n">
        <v>0.688421302852446</v>
      </c>
      <c r="I49" s="11" t="n">
        <v>0.749295294488573</v>
      </c>
      <c r="J49" s="11" t="n">
        <v>0.810326563452466</v>
      </c>
      <c r="K49" s="11" t="n">
        <v>0.870857547758885</v>
      </c>
      <c r="L49" s="11" t="n">
        <v>0.930457984250794</v>
      </c>
      <c r="M49" s="11" t="n">
        <v>0.98884974241422</v>
      </c>
      <c r="N49" s="11" t="n">
        <v>1.04584437666091</v>
      </c>
      <c r="O49" s="11" t="n">
        <v>1.62544007450737</v>
      </c>
      <c r="P49" s="11" t="n">
        <v>1.65679260085863</v>
      </c>
      <c r="Q49" s="11" t="n">
        <v>1.68626341860799</v>
      </c>
      <c r="R49" s="11" t="n">
        <v>1.71387223941712</v>
      </c>
      <c r="S49" s="11" t="n">
        <v>1.73964196751781</v>
      </c>
      <c r="T49" s="11" t="n">
        <v>1.76359819282853</v>
      </c>
      <c r="U49" s="11" t="n">
        <v>1.7857687937726</v>
      </c>
      <c r="V49" s="11" t="n">
        <v>1.80618334203818</v>
      </c>
      <c r="W49" s="11" t="n">
        <v>1.82487191916644</v>
      </c>
      <c r="X49" s="11" t="n">
        <v>1.84186468286234</v>
      </c>
      <c r="Y49" s="11" t="n">
        <v>1.857191817587</v>
      </c>
      <c r="Z49" s="11" t="n">
        <v>1.87088341724824</v>
      </c>
      <c r="AA49" s="11" t="n">
        <v>1.88296945292294</v>
      </c>
      <c r="AB49" s="11" t="n">
        <v>1.89347978700584</v>
      </c>
      <c r="AC49" s="11" t="n">
        <v>1.90244418614789</v>
      </c>
      <c r="AD49" s="11" t="n">
        <v>1.90989236400413</v>
      </c>
      <c r="AE49" s="11" t="n">
        <v>1.9158544224317</v>
      </c>
      <c r="AF49" s="11" t="n">
        <v>1.92036139856104</v>
      </c>
      <c r="AG49" s="11" t="n">
        <v>1.92344551532771</v>
      </c>
      <c r="AH49" s="11" t="n">
        <v>1.92514026545976</v>
      </c>
      <c r="AI49" s="11" t="n">
        <v>1.92548160658221</v>
      </c>
      <c r="AJ49" s="11" t="n">
        <v>1.92450928129991</v>
      </c>
      <c r="AK49" s="11" t="n">
        <v>1.92226661831823</v>
      </c>
      <c r="AL49" s="11" t="n">
        <v>1.9188002648981</v>
      </c>
      <c r="AM49" s="11" t="n">
        <v>1.91416106675135</v>
      </c>
      <c r="AN49" s="11" t="n">
        <v>1.90840512231981</v>
      </c>
      <c r="AO49" s="11" t="n">
        <v>1.90159377100026</v>
      </c>
      <c r="AP49" s="11" t="n">
        <v>1.89379374665331</v>
      </c>
      <c r="AQ49" s="11" t="n">
        <v>1.88507666867043</v>
      </c>
      <c r="AR49" s="11" t="n">
        <v>1.87551825840541</v>
      </c>
      <c r="AS49" s="11" t="n">
        <v>1.86519790461723</v>
      </c>
      <c r="AT49" s="11" t="n">
        <v>1.85419832469424</v>
      </c>
      <c r="AU49" s="11" t="n">
        <v>1.84260486343099</v>
      </c>
    </row>
    <row r="50" customFormat="false" ht="15" hidden="false" customHeight="false" outlineLevel="0" collapsed="false">
      <c r="A50" s="10" t="n">
        <v>-75</v>
      </c>
      <c r="B50" s="8" t="n">
        <v>43066</v>
      </c>
      <c r="C50" s="11" t="n">
        <v>0.447218939399185</v>
      </c>
      <c r="D50" s="11" t="n">
        <v>0.483171814316898</v>
      </c>
      <c r="E50" s="11" t="n">
        <v>0.529422933893897</v>
      </c>
      <c r="F50" s="11" t="n">
        <v>0.582498024574152</v>
      </c>
      <c r="G50" s="11" t="n">
        <v>0.639845990466693</v>
      </c>
      <c r="H50" s="11" t="n">
        <v>0.699623761902817</v>
      </c>
      <c r="I50" s="11" t="n">
        <v>0.760485430716495</v>
      </c>
      <c r="J50" s="11" t="n">
        <v>0.821474807838984</v>
      </c>
      <c r="K50" s="11" t="n">
        <v>0.881943487738326</v>
      </c>
      <c r="L50" s="11" t="n">
        <v>0.94147040508109</v>
      </c>
      <c r="M50" s="11" t="n">
        <v>0.999787349934264</v>
      </c>
      <c r="N50" s="11" t="n">
        <v>1.05671577157325</v>
      </c>
      <c r="O50" s="11" t="n">
        <v>1.63862777147572</v>
      </c>
      <c r="P50" s="11" t="n">
        <v>1.67031364528836</v>
      </c>
      <c r="Q50" s="11" t="n">
        <v>1.70011250496953</v>
      </c>
      <c r="R50" s="11" t="n">
        <v>1.72804114827136</v>
      </c>
      <c r="S50" s="11" t="n">
        <v>1.75412028655475</v>
      </c>
      <c r="T50" s="11" t="n">
        <v>1.77837391762145</v>
      </c>
      <c r="U50" s="11" t="n">
        <v>1.80082883947956</v>
      </c>
      <c r="V50" s="11" t="n">
        <v>1.82151391000095</v>
      </c>
      <c r="W50" s="11" t="n">
        <v>1.84045857370234</v>
      </c>
      <c r="X50" s="11" t="n">
        <v>1.85769233177789</v>
      </c>
      <c r="Y50" s="11" t="n">
        <v>1.87324472946288</v>
      </c>
      <c r="Z50" s="11" t="n">
        <v>1.88714536177378</v>
      </c>
      <c r="AA50" s="11" t="n">
        <v>1.89942387159083</v>
      </c>
      <c r="AB50" s="11" t="n">
        <v>1.91010994390086</v>
      </c>
      <c r="AC50" s="11" t="n">
        <v>1.91923330078462</v>
      </c>
      <c r="AD50" s="11" t="n">
        <v>1.92682373661311</v>
      </c>
      <c r="AE50" s="11" t="n">
        <v>1.9329116444068</v>
      </c>
      <c r="AF50" s="11" t="n">
        <v>1.9375286405152</v>
      </c>
      <c r="AG50" s="11" t="n">
        <v>1.94070776306667</v>
      </c>
      <c r="AH50" s="11" t="n">
        <v>1.94248351558048</v>
      </c>
      <c r="AI50" s="11" t="n">
        <v>1.94289299860573</v>
      </c>
      <c r="AJ50" s="11" t="n">
        <v>1.94197714753364</v>
      </c>
      <c r="AK50" s="11" t="n">
        <v>1.93978051827214</v>
      </c>
      <c r="AL50" s="11" t="n">
        <v>1.93635101424178</v>
      </c>
      <c r="AM50" s="11" t="n">
        <v>1.93174071406255</v>
      </c>
      <c r="AN50" s="11" t="n">
        <v>1.92600685208357</v>
      </c>
      <c r="AO50" s="11" t="n">
        <v>1.9192117938516</v>
      </c>
      <c r="AP50" s="11" t="n">
        <v>1.91142316992766</v>
      </c>
      <c r="AQ50" s="11" t="n">
        <v>1.90271335703757</v>
      </c>
      <c r="AR50" s="11" t="n">
        <v>1.89315868332218</v>
      </c>
      <c r="AS50" s="11" t="n">
        <v>1.88283900259704</v>
      </c>
      <c r="AT50" s="11" t="n">
        <v>1.87183736598044</v>
      </c>
      <c r="AU50" s="11" t="n">
        <v>1.86023931537896</v>
      </c>
    </row>
    <row r="51" customFormat="false" ht="15" hidden="false" customHeight="false" outlineLevel="0" collapsed="false">
      <c r="A51" s="10" t="n">
        <v>-74</v>
      </c>
      <c r="B51" s="8" t="n">
        <v>43067</v>
      </c>
      <c r="C51" s="11" t="n">
        <v>0.44929536349609</v>
      </c>
      <c r="D51" s="11" t="n">
        <v>0.485561627367145</v>
      </c>
      <c r="E51" s="11" t="n">
        <v>0.531984558066237</v>
      </c>
      <c r="F51" s="11" t="n">
        <v>0.584979741298927</v>
      </c>
      <c r="G51" s="11" t="n">
        <v>0.641981413379816</v>
      </c>
      <c r="H51" s="11" t="n">
        <v>0.701180713144134</v>
      </c>
      <c r="I51" s="11" t="n">
        <v>0.761287974851219</v>
      </c>
      <c r="J51" s="11" t="n">
        <v>0.821411771945695</v>
      </c>
      <c r="K51" s="11" t="n">
        <v>0.880970235215362</v>
      </c>
      <c r="L51" s="11" t="n">
        <v>0.939604873555466</v>
      </c>
      <c r="M51" s="11" t="n">
        <v>0.997100718465784</v>
      </c>
      <c r="N51" s="11" t="n">
        <v>1.05332259460108</v>
      </c>
      <c r="O51" s="11" t="n">
        <v>1.63803973207801</v>
      </c>
      <c r="P51" s="11" t="n">
        <v>1.67028237852606</v>
      </c>
      <c r="Q51" s="11" t="n">
        <v>1.70059540486299</v>
      </c>
      <c r="R51" s="11" t="n">
        <v>1.72898720245248</v>
      </c>
      <c r="S51" s="11" t="n">
        <v>1.75547312157325</v>
      </c>
      <c r="T51" s="11" t="n">
        <v>1.7800744214357</v>
      </c>
      <c r="U51" s="11" t="n">
        <v>1.80281739825586</v>
      </c>
      <c r="V51" s="11" t="n">
        <v>1.82373233423131</v>
      </c>
      <c r="W51" s="11" t="n">
        <v>1.84285180265711</v>
      </c>
      <c r="X51" s="11" t="n">
        <v>1.86020992875296</v>
      </c>
      <c r="Y51" s="11" t="n">
        <v>1.87584200084921</v>
      </c>
      <c r="Z51" s="11" t="n">
        <v>1.88978371512542</v>
      </c>
      <c r="AA51" s="11" t="n">
        <v>1.90207089827532</v>
      </c>
      <c r="AB51" s="11" t="n">
        <v>1.91273948750323</v>
      </c>
      <c r="AC51" s="11" t="n">
        <v>1.92182551736807</v>
      </c>
      <c r="AD51" s="11" t="n">
        <v>1.9293651256293</v>
      </c>
      <c r="AE51" s="11" t="n">
        <v>1.93539477049993</v>
      </c>
      <c r="AF51" s="11" t="n">
        <v>1.93995155369457</v>
      </c>
      <c r="AG51" s="11" t="n">
        <v>1.94307352314631</v>
      </c>
      <c r="AH51" s="11" t="n">
        <v>1.94479979013188</v>
      </c>
      <c r="AI51" s="11" t="n">
        <v>1.94517158963879</v>
      </c>
      <c r="AJ51" s="11" t="n">
        <v>1.94423341699868</v>
      </c>
      <c r="AK51" s="11" t="n">
        <v>1.94203285187599</v>
      </c>
      <c r="AL51" s="11" t="n">
        <v>1.93862033357667</v>
      </c>
      <c r="AM51" s="11" t="n">
        <v>1.93404995770663</v>
      </c>
      <c r="AN51" s="11" t="n">
        <v>1.92838039786399</v>
      </c>
      <c r="AO51" s="11" t="n">
        <v>1.92167491077131</v>
      </c>
      <c r="AP51" s="11" t="n">
        <v>1.91400149359854</v>
      </c>
      <c r="AQ51" s="11" t="n">
        <v>1.90543240221176</v>
      </c>
      <c r="AR51" s="11" t="n">
        <v>1.89604339891069</v>
      </c>
      <c r="AS51" s="11" t="n">
        <v>1.88591336613992</v>
      </c>
      <c r="AT51" s="11" t="n">
        <v>1.87512401184888</v>
      </c>
      <c r="AU51" s="11" t="n">
        <v>1.86375919155345</v>
      </c>
    </row>
    <row r="52" customFormat="false" ht="15" hidden="false" customHeight="false" outlineLevel="0" collapsed="false">
      <c r="A52" s="10" t="n">
        <v>-73</v>
      </c>
      <c r="B52" s="8" t="n">
        <v>43068</v>
      </c>
      <c r="C52" s="11" t="n">
        <v>0.507046003756738</v>
      </c>
      <c r="D52" s="11" t="n">
        <v>0.549975800975573</v>
      </c>
      <c r="E52" s="11" t="n">
        <v>0.602831520221433</v>
      </c>
      <c r="F52" s="11" t="n">
        <v>0.661663407113058</v>
      </c>
      <c r="G52" s="11" t="n">
        <v>0.723775409212495</v>
      </c>
      <c r="H52" s="11" t="n">
        <v>0.787335867704538</v>
      </c>
      <c r="I52" s="11" t="n">
        <v>0.851078605741022</v>
      </c>
      <c r="J52" s="11" t="n">
        <v>0.914153528423927</v>
      </c>
      <c r="K52" s="11" t="n">
        <v>0.97602566612106</v>
      </c>
      <c r="L52" s="11" t="n">
        <v>1.03638421067199</v>
      </c>
      <c r="M52" s="11" t="n">
        <v>1.09506369404176</v>
      </c>
      <c r="N52" s="11" t="n">
        <v>1.15198077804116</v>
      </c>
      <c r="O52" s="11" t="n">
        <v>1.72394433644304</v>
      </c>
      <c r="P52" s="11" t="n">
        <v>1.75486533295774</v>
      </c>
      <c r="Q52" s="11" t="n">
        <v>1.7839245376092</v>
      </c>
      <c r="R52" s="11" t="n">
        <v>1.81113747736379</v>
      </c>
      <c r="S52" s="11" t="n">
        <v>1.83652393149416</v>
      </c>
      <c r="T52" s="11" t="n">
        <v>1.86010731646664</v>
      </c>
      <c r="U52" s="11" t="n">
        <v>1.88191414908921</v>
      </c>
      <c r="V52" s="11" t="n">
        <v>1.90197339125331</v>
      </c>
      <c r="W52" s="11" t="n">
        <v>1.92031538858306</v>
      </c>
      <c r="X52" s="11" t="n">
        <v>1.93697141540224</v>
      </c>
      <c r="Y52" s="11" t="n">
        <v>1.95197346872677</v>
      </c>
      <c r="Z52" s="11" t="n">
        <v>1.96535390805242</v>
      </c>
      <c r="AA52" s="11" t="n">
        <v>1.9771453113666</v>
      </c>
      <c r="AB52" s="11" t="n">
        <v>1.98738044676925</v>
      </c>
      <c r="AC52" s="11" t="n">
        <v>1.99609224984038</v>
      </c>
      <c r="AD52" s="11" t="n">
        <v>2.0033138355388</v>
      </c>
      <c r="AE52" s="11" t="n">
        <v>2.00907888852983</v>
      </c>
      <c r="AF52" s="11" t="n">
        <v>2.01342213754164</v>
      </c>
      <c r="AG52" s="11" t="n">
        <v>2.01637955098652</v>
      </c>
      <c r="AH52" s="11" t="n">
        <v>2.01798838358733</v>
      </c>
      <c r="AI52" s="11" t="n">
        <v>2.01828811803474</v>
      </c>
      <c r="AJ52" s="11" t="n">
        <v>2.01732146642631</v>
      </c>
      <c r="AK52" s="11" t="n">
        <v>2.01513418146967</v>
      </c>
      <c r="AL52" s="11" t="n">
        <v>2.01177483082648</v>
      </c>
      <c r="AM52" s="11" t="n">
        <v>2.00729550896271</v>
      </c>
      <c r="AN52" s="11" t="n">
        <v>2.00175265236411</v>
      </c>
      <c r="AO52" s="11" t="n">
        <v>1.99520703200423</v>
      </c>
      <c r="AP52" s="11" t="n">
        <v>1.98772388858539</v>
      </c>
      <c r="AQ52" s="11" t="n">
        <v>1.97937248904157</v>
      </c>
      <c r="AR52" s="11" t="n">
        <v>1.97022545108955</v>
      </c>
      <c r="AS52" s="11" t="n">
        <v>1.96035838383354</v>
      </c>
      <c r="AT52" s="11" t="n">
        <v>1.9498496078272</v>
      </c>
      <c r="AU52" s="11" t="n">
        <v>1.93877954452725</v>
      </c>
    </row>
    <row r="53" customFormat="false" ht="15" hidden="false" customHeight="false" outlineLevel="0" collapsed="false">
      <c r="A53" s="10" t="n">
        <v>-72</v>
      </c>
      <c r="B53" s="8" t="n">
        <v>43069</v>
      </c>
      <c r="C53" s="11" t="n">
        <v>0.495289153728602</v>
      </c>
      <c r="D53" s="11" t="n">
        <v>0.535051635608387</v>
      </c>
      <c r="E53" s="11" t="n">
        <v>0.585155612756529</v>
      </c>
      <c r="F53" s="11" t="n">
        <v>0.64172330814695</v>
      </c>
      <c r="G53" s="11" t="n">
        <v>0.702022242249878</v>
      </c>
      <c r="H53" s="11" t="n">
        <v>0.764177643144779</v>
      </c>
      <c r="I53" s="11" t="n">
        <v>0.826880938613015</v>
      </c>
      <c r="J53" s="11" t="n">
        <v>0.889235461074245</v>
      </c>
      <c r="K53" s="11" t="n">
        <v>0.950656944244643</v>
      </c>
      <c r="L53" s="11" t="n">
        <v>1.01078230889381</v>
      </c>
      <c r="M53" s="11" t="n">
        <v>1.06939479312965</v>
      </c>
      <c r="N53" s="11" t="n">
        <v>1.1263633350672</v>
      </c>
      <c r="O53" s="11" t="n">
        <v>1.69945815334935</v>
      </c>
      <c r="P53" s="11" t="n">
        <v>1.73036887657279</v>
      </c>
      <c r="Q53" s="11" t="n">
        <v>1.75942729950868</v>
      </c>
      <c r="R53" s="11" t="n">
        <v>1.78665347237905</v>
      </c>
      <c r="S53" s="11" t="n">
        <v>1.81207072141367</v>
      </c>
      <c r="T53" s="11" t="n">
        <v>1.83570515954481</v>
      </c>
      <c r="U53" s="11" t="n">
        <v>1.85758527416017</v>
      </c>
      <c r="V53" s="11" t="n">
        <v>1.87774133451182</v>
      </c>
      <c r="W53" s="11" t="n">
        <v>1.89620429410389</v>
      </c>
      <c r="X53" s="11" t="n">
        <v>1.91300538671608</v>
      </c>
      <c r="Y53" s="11" t="n">
        <v>1.92817602563495</v>
      </c>
      <c r="Z53" s="11" t="n">
        <v>1.94174758516192</v>
      </c>
      <c r="AA53" s="11" t="n">
        <v>1.95375133428635</v>
      </c>
      <c r="AB53" s="11" t="n">
        <v>1.96421844831147</v>
      </c>
      <c r="AC53" s="11" t="n">
        <v>1.97318002000749</v>
      </c>
      <c r="AD53" s="11" t="n">
        <v>1.98066710874379</v>
      </c>
      <c r="AE53" s="11" t="n">
        <v>1.98671125346422</v>
      </c>
      <c r="AF53" s="11" t="n">
        <v>1.99134509206388</v>
      </c>
      <c r="AG53" s="11" t="n">
        <v>1.99460266408282</v>
      </c>
      <c r="AH53" s="11" t="n">
        <v>1.9965194822971</v>
      </c>
      <c r="AI53" s="11" t="n">
        <v>1.99713350458509</v>
      </c>
      <c r="AJ53" s="11" t="n">
        <v>1.99648615408956</v>
      </c>
      <c r="AK53" s="11" t="n">
        <v>1.99462210918399</v>
      </c>
      <c r="AL53" s="11" t="n">
        <v>1.99158905761519</v>
      </c>
      <c r="AM53" s="11" t="n">
        <v>1.9874383845289</v>
      </c>
      <c r="AN53" s="11" t="n">
        <v>1.98222595122685</v>
      </c>
      <c r="AO53" s="11" t="n">
        <v>1.97601203557821</v>
      </c>
      <c r="AP53" s="11" t="n">
        <v>1.96886138227092</v>
      </c>
      <c r="AQ53" s="11" t="n">
        <v>1.9608427119702</v>
      </c>
      <c r="AR53" s="11" t="n">
        <v>1.95202799350676</v>
      </c>
      <c r="AS53" s="11" t="n">
        <v>1.94249208205147</v>
      </c>
      <c r="AT53" s="11" t="n">
        <v>1.93231244413236</v>
      </c>
      <c r="AU53" s="11" t="n">
        <v>1.92156850958305</v>
      </c>
    </row>
    <row r="54" customFormat="false" ht="15" hidden="false" customHeight="false" outlineLevel="0" collapsed="false">
      <c r="A54" s="10" t="n">
        <v>-71</v>
      </c>
      <c r="B54" s="8" t="n">
        <v>43070</v>
      </c>
      <c r="C54" s="11" t="n">
        <v>0.419248859873555</v>
      </c>
      <c r="D54" s="11" t="n">
        <v>0.45758373917201</v>
      </c>
      <c r="E54" s="11" t="n">
        <v>0.505271512078382</v>
      </c>
      <c r="F54" s="11" t="n">
        <v>0.558916689958028</v>
      </c>
      <c r="G54" s="11" t="n">
        <v>0.616145207852918</v>
      </c>
      <c r="H54" s="11" t="n">
        <v>0.675303632169803</v>
      </c>
      <c r="I54" s="11" t="n">
        <v>0.735212133388647</v>
      </c>
      <c r="J54" s="11" t="n">
        <v>0.795046975869089</v>
      </c>
      <c r="K54" s="11" t="n">
        <v>0.854267996017466</v>
      </c>
      <c r="L54" s="11" t="n">
        <v>0.912536576018659</v>
      </c>
      <c r="M54" s="11" t="n">
        <v>0.969646565342189</v>
      </c>
      <c r="N54" s="11" t="n">
        <v>1.02546810099435</v>
      </c>
      <c r="O54" s="11" t="n">
        <v>1.60479663234986</v>
      </c>
      <c r="P54" s="11" t="n">
        <v>1.63669289004892</v>
      </c>
      <c r="Q54" s="11" t="n">
        <v>1.66668901049502</v>
      </c>
      <c r="R54" s="11" t="n">
        <v>1.69479802511573</v>
      </c>
      <c r="S54" s="11" t="n">
        <v>1.72103955691527</v>
      </c>
      <c r="T54" s="11" t="n">
        <v>1.74543880833626</v>
      </c>
      <c r="U54" s="11" t="n">
        <v>1.7680257362728</v>
      </c>
      <c r="V54" s="11" t="n">
        <v>1.78883395358051</v>
      </c>
      <c r="W54" s="11" t="n">
        <v>1.80789886796259</v>
      </c>
      <c r="X54" s="11" t="n">
        <v>1.8252569597297</v>
      </c>
      <c r="Y54" s="11" t="n">
        <v>1.84094536280327</v>
      </c>
      <c r="Z54" s="11" t="n">
        <v>1.85500091219615</v>
      </c>
      <c r="AA54" s="11" t="n">
        <v>1.8674598766178</v>
      </c>
      <c r="AB54" s="11" t="n">
        <v>1.87835802274907</v>
      </c>
      <c r="AC54" s="11" t="n">
        <v>1.88773067500752</v>
      </c>
      <c r="AD54" s="11" t="n">
        <v>1.89561277694414</v>
      </c>
      <c r="AE54" s="11" t="n">
        <v>1.90203905838003</v>
      </c>
      <c r="AF54" s="11" t="n">
        <v>1.90704437330848</v>
      </c>
      <c r="AG54" s="11" t="n">
        <v>1.9106643014082</v>
      </c>
      <c r="AH54" s="11" t="n">
        <v>1.91293538760652</v>
      </c>
      <c r="AI54" s="11" t="n">
        <v>1.9138963014541</v>
      </c>
      <c r="AJ54" s="11" t="n">
        <v>1.91358899085057</v>
      </c>
      <c r="AK54" s="11" t="n">
        <v>1.91205849487108</v>
      </c>
      <c r="AL54" s="11" t="n">
        <v>1.90935272659253</v>
      </c>
      <c r="AM54" s="11" t="n">
        <v>1.90552328646042</v>
      </c>
      <c r="AN54" s="11" t="n">
        <v>1.90062632745903</v>
      </c>
      <c r="AO54" s="11" t="n">
        <v>1.89472249818071</v>
      </c>
      <c r="AP54" s="11" t="n">
        <v>1.88787698015077</v>
      </c>
      <c r="AQ54" s="11" t="n">
        <v>1.88015895014398</v>
      </c>
      <c r="AR54" s="11" t="n">
        <v>1.87164079366895</v>
      </c>
      <c r="AS54" s="11" t="n">
        <v>1.86239773802633</v>
      </c>
      <c r="AT54" s="11" t="n">
        <v>1.85250757255827</v>
      </c>
      <c r="AU54" s="11" t="n">
        <v>1.84204991305247</v>
      </c>
    </row>
    <row r="55" customFormat="false" ht="15" hidden="false" customHeight="false" outlineLevel="0" collapsed="false">
      <c r="A55" s="10" t="n">
        <v>-70</v>
      </c>
      <c r="B55" s="8" t="n">
        <v>43073</v>
      </c>
      <c r="C55" s="11" t="n">
        <v>0.483890312528624</v>
      </c>
      <c r="D55" s="11" t="n">
        <v>0.521397156602206</v>
      </c>
      <c r="E55" s="11" t="n">
        <v>0.567908700629325</v>
      </c>
      <c r="F55" s="11" t="n">
        <v>0.620409118628378</v>
      </c>
      <c r="G55" s="11" t="n">
        <v>0.676676590727639</v>
      </c>
      <c r="H55" s="11" t="n">
        <v>0.735105228042187</v>
      </c>
      <c r="I55" s="11" t="n">
        <v>0.794513452507487</v>
      </c>
      <c r="J55" s="11" t="n">
        <v>0.854051314822774</v>
      </c>
      <c r="K55" s="11" t="n">
        <v>0.913141019160082</v>
      </c>
      <c r="L55" s="11" t="n">
        <v>0.971401394657368</v>
      </c>
      <c r="M55" s="11" t="n">
        <v>1.02858482275501</v>
      </c>
      <c r="N55" s="11" t="n">
        <v>1.08452464716557</v>
      </c>
      <c r="O55" s="11" t="n">
        <v>1.66369066991215</v>
      </c>
      <c r="P55" s="11" t="n">
        <v>1.69543382364438</v>
      </c>
      <c r="Q55" s="11" t="n">
        <v>1.72527341991941</v>
      </c>
      <c r="R55" s="11" t="n">
        <v>1.75322488667461</v>
      </c>
      <c r="S55" s="11" t="n">
        <v>1.77930972746094</v>
      </c>
      <c r="T55" s="11" t="n">
        <v>1.80355458370325</v>
      </c>
      <c r="U55" s="11" t="n">
        <v>1.82599047478496</v>
      </c>
      <c r="V55" s="11" t="n">
        <v>1.84665177965404</v>
      </c>
      <c r="W55" s="11" t="n">
        <v>1.86557451799559</v>
      </c>
      <c r="X55" s="11" t="n">
        <v>1.88279568965932</v>
      </c>
      <c r="Y55" s="11" t="n">
        <v>1.8983528526139</v>
      </c>
      <c r="Z55" s="11" t="n">
        <v>1.91228314278281</v>
      </c>
      <c r="AA55" s="11" t="n">
        <v>1.92462301202584</v>
      </c>
      <c r="AB55" s="11" t="n">
        <v>1.93540830675819</v>
      </c>
      <c r="AC55" s="11" t="n">
        <v>1.94467434002724</v>
      </c>
      <c r="AD55" s="11" t="n">
        <v>1.95245595899024</v>
      </c>
      <c r="AE55" s="11" t="n">
        <v>1.95878766562159</v>
      </c>
      <c r="AF55" s="11" t="n">
        <v>1.96370392035237</v>
      </c>
      <c r="AG55" s="11" t="n">
        <v>1.96723978830353</v>
      </c>
      <c r="AH55" s="11" t="n">
        <v>1.96943120625396</v>
      </c>
      <c r="AI55" s="11" t="n">
        <v>1.97031619903675</v>
      </c>
      <c r="AJ55" s="11" t="n">
        <v>1.96993607161942</v>
      </c>
      <c r="AK55" s="11" t="n">
        <v>1.96833522308176</v>
      </c>
      <c r="AL55" s="11" t="n">
        <v>1.96556093411567</v>
      </c>
      <c r="AM55" s="11" t="n">
        <v>1.96166422376077</v>
      </c>
      <c r="AN55" s="11" t="n">
        <v>1.95670074383169</v>
      </c>
      <c r="AO55" s="11" t="n">
        <v>1.95073071675576</v>
      </c>
      <c r="AP55" s="11" t="n">
        <v>1.94381896155873</v>
      </c>
      <c r="AQ55" s="11" t="n">
        <v>1.93603434468727</v>
      </c>
      <c r="AR55" s="11" t="n">
        <v>1.92744898699918</v>
      </c>
      <c r="AS55" s="11" t="n">
        <v>1.91813789372394</v>
      </c>
      <c r="AT55" s="11" t="n">
        <v>1.9081786698156</v>
      </c>
      <c r="AU55" s="11" t="n">
        <v>1.89765077252978</v>
      </c>
    </row>
    <row r="56" customFormat="false" ht="15" hidden="false" customHeight="false" outlineLevel="0" collapsed="false">
      <c r="A56" s="10" t="n">
        <v>-69</v>
      </c>
      <c r="B56" s="8" t="n">
        <v>43074</v>
      </c>
      <c r="C56" s="11" t="n">
        <v>0.47958698703466</v>
      </c>
      <c r="D56" s="11" t="n">
        <v>0.515179351868256</v>
      </c>
      <c r="E56" s="11" t="n">
        <v>0.559857294009976</v>
      </c>
      <c r="F56" s="11" t="n">
        <v>0.610665918296958</v>
      </c>
      <c r="G56" s="11" t="n">
        <v>0.665412017946711</v>
      </c>
      <c r="H56" s="11" t="n">
        <v>0.722492527441068</v>
      </c>
      <c r="I56" s="11" t="n">
        <v>0.780714622776995</v>
      </c>
      <c r="J56" s="11" t="n">
        <v>0.839212555352695</v>
      </c>
      <c r="K56" s="11" t="n">
        <v>0.897394436815407</v>
      </c>
      <c r="L56" s="11" t="n">
        <v>0.954868615736816</v>
      </c>
      <c r="M56" s="11" t="n">
        <v>1.01137942042478</v>
      </c>
      <c r="N56" s="11" t="n">
        <v>1.06675387471076</v>
      </c>
      <c r="O56" s="11" t="n">
        <v>1.6454107580309</v>
      </c>
      <c r="P56" s="11" t="n">
        <v>1.67735097763643</v>
      </c>
      <c r="Q56" s="11" t="n">
        <v>1.70737926946992</v>
      </c>
      <c r="R56" s="11" t="n">
        <v>1.73550573744966</v>
      </c>
      <c r="S56" s="11" t="n">
        <v>1.76174779689418</v>
      </c>
      <c r="T56" s="11" t="n">
        <v>1.78612907314745</v>
      </c>
      <c r="U56" s="11" t="n">
        <v>1.80867848426968</v>
      </c>
      <c r="V56" s="11" t="n">
        <v>1.82942912903314</v>
      </c>
      <c r="W56" s="11" t="n">
        <v>1.84841658662187</v>
      </c>
      <c r="X56" s="11" t="n">
        <v>1.86567819282015</v>
      </c>
      <c r="Y56" s="11" t="n">
        <v>1.88125246104009</v>
      </c>
      <c r="Z56" s="11" t="n">
        <v>1.89517785973865</v>
      </c>
      <c r="AA56" s="11" t="n">
        <v>1.90749245143535</v>
      </c>
      <c r="AB56" s="11" t="n">
        <v>1.91823393678378</v>
      </c>
      <c r="AC56" s="11" t="n">
        <v>1.92743969765085</v>
      </c>
      <c r="AD56" s="11" t="n">
        <v>1.93514683217394</v>
      </c>
      <c r="AE56" s="11" t="n">
        <v>1.94139216531382</v>
      </c>
      <c r="AF56" s="11" t="n">
        <v>1.94621244738717</v>
      </c>
      <c r="AG56" s="11" t="n">
        <v>1.94964497917837</v>
      </c>
      <c r="AH56" s="11" t="n">
        <v>1.95172787331255</v>
      </c>
      <c r="AI56" s="11" t="n">
        <v>1.95250121700965</v>
      </c>
      <c r="AJ56" s="11" t="n">
        <v>1.95200819551958</v>
      </c>
      <c r="AK56" s="11" t="n">
        <v>1.9502949141338</v>
      </c>
      <c r="AL56" s="11" t="n">
        <v>1.9474102015648</v>
      </c>
      <c r="AM56" s="11" t="n">
        <v>1.94340644885561</v>
      </c>
      <c r="AN56" s="11" t="n">
        <v>1.93834046976182</v>
      </c>
      <c r="AO56" s="11" t="n">
        <v>1.93227343843852</v>
      </c>
      <c r="AP56" s="11" t="n">
        <v>1.92527090595174</v>
      </c>
      <c r="AQ56" s="11" t="n">
        <v>1.91740227014942</v>
      </c>
      <c r="AR56" s="11" t="n">
        <v>1.90874001739113</v>
      </c>
      <c r="AS56" s="11" t="n">
        <v>1.89935937148799</v>
      </c>
      <c r="AT56" s="11" t="n">
        <v>1.88933802181635</v>
      </c>
      <c r="AU56" s="11" t="n">
        <v>1.87875539796533</v>
      </c>
    </row>
    <row r="57" customFormat="false" ht="15" hidden="false" customHeight="false" outlineLevel="0" collapsed="false">
      <c r="A57" s="10" t="n">
        <v>-68</v>
      </c>
      <c r="B57" s="8" t="n">
        <v>43075</v>
      </c>
      <c r="C57" s="11" t="n">
        <v>0.47037672191828</v>
      </c>
      <c r="D57" s="11" t="n">
        <v>0.505012845957182</v>
      </c>
      <c r="E57" s="11" t="n">
        <v>0.54832811315232</v>
      </c>
      <c r="F57" s="11" t="n">
        <v>0.597409082048124</v>
      </c>
      <c r="G57" s="11" t="n">
        <v>0.650183371846794</v>
      </c>
      <c r="H57" s="11" t="n">
        <v>0.705154446392402</v>
      </c>
      <c r="I57" s="11" t="n">
        <v>0.761216894665202</v>
      </c>
      <c r="J57" s="11" t="n">
        <v>0.817577971783356</v>
      </c>
      <c r="K57" s="11" t="n">
        <v>0.873705228793335</v>
      </c>
      <c r="L57" s="11" t="n">
        <v>0.929255765501065</v>
      </c>
      <c r="M57" s="11" t="n">
        <v>0.984010364588572</v>
      </c>
      <c r="N57" s="11" t="n">
        <v>1.03782149807024</v>
      </c>
      <c r="O57" s="11" t="n">
        <v>1.6115199552769</v>
      </c>
      <c r="P57" s="11" t="n">
        <v>1.64376918221553</v>
      </c>
      <c r="Q57" s="11" t="n">
        <v>1.67414029648162</v>
      </c>
      <c r="R57" s="11" t="n">
        <v>1.7026340627712</v>
      </c>
      <c r="S57" s="11" t="n">
        <v>1.72925942427761</v>
      </c>
      <c r="T57" s="11" t="n">
        <v>1.75403228191443</v>
      </c>
      <c r="U57" s="11" t="n">
        <v>1.77697446709086</v>
      </c>
      <c r="V57" s="11" t="n">
        <v>1.79811255355854</v>
      </c>
      <c r="W57" s="11" t="n">
        <v>1.81747613981944</v>
      </c>
      <c r="X57" s="11" t="n">
        <v>1.83509707746146</v>
      </c>
      <c r="Y57" s="11" t="n">
        <v>1.85100886337603</v>
      </c>
      <c r="Z57" s="11" t="n">
        <v>1.86524548211536</v>
      </c>
      <c r="AA57" s="11" t="n">
        <v>1.87784102511591</v>
      </c>
      <c r="AB57" s="11" t="n">
        <v>1.88882967306203</v>
      </c>
      <c r="AC57" s="11" t="n">
        <v>1.89824568526118</v>
      </c>
      <c r="AD57" s="11" t="n">
        <v>1.90612339728842</v>
      </c>
      <c r="AE57" s="11" t="n">
        <v>1.91249729378368</v>
      </c>
      <c r="AF57" s="11" t="n">
        <v>1.9174022852759</v>
      </c>
      <c r="AG57" s="11" t="n">
        <v>1.92087433871591</v>
      </c>
      <c r="AH57" s="11" t="n">
        <v>1.92295071305404</v>
      </c>
      <c r="AI57" s="11" t="n">
        <v>1.9236712137544</v>
      </c>
      <c r="AJ57" s="11" t="n">
        <v>1.92307939121166</v>
      </c>
      <c r="AK57" s="11" t="n">
        <v>1.92122230908873</v>
      </c>
      <c r="AL57" s="11" t="n">
        <v>1.91815029630205</v>
      </c>
      <c r="AM57" s="11" t="n">
        <v>1.91391779767545</v>
      </c>
      <c r="AN57" s="11" t="n">
        <v>1.90858423506988</v>
      </c>
      <c r="AO57" s="11" t="n">
        <v>1.90221386455573</v>
      </c>
      <c r="AP57" s="11" t="n">
        <v>1.89487568258967</v>
      </c>
      <c r="AQ57" s="11" t="n">
        <v>1.8866427872102</v>
      </c>
      <c r="AR57" s="11" t="n">
        <v>1.87759148505564</v>
      </c>
      <c r="AS57" s="11" t="n">
        <v>1.86780090879551</v>
      </c>
      <c r="AT57" s="11" t="n">
        <v>1.85735273120769</v>
      </c>
      <c r="AU57" s="11" t="n">
        <v>1.84633036062684</v>
      </c>
    </row>
    <row r="58" customFormat="false" ht="15" hidden="false" customHeight="false" outlineLevel="0" collapsed="false">
      <c r="A58" s="10" t="n">
        <v>-67</v>
      </c>
      <c r="B58" s="8" t="n">
        <v>43076</v>
      </c>
      <c r="C58" s="11" t="n">
        <v>0.484263810098425</v>
      </c>
      <c r="D58" s="11" t="n">
        <v>0.519443745787275</v>
      </c>
      <c r="E58" s="11" t="n">
        <v>0.563359574365554</v>
      </c>
      <c r="F58" s="11" t="n">
        <v>0.61308161725325</v>
      </c>
      <c r="G58" s="11" t="n">
        <v>0.666525850863481</v>
      </c>
      <c r="H58" s="11" t="n">
        <v>0.722188615901846</v>
      </c>
      <c r="I58" s="11" t="n">
        <v>0.778958683781636</v>
      </c>
      <c r="J58" s="11" t="n">
        <v>0.836037297067924</v>
      </c>
      <c r="K58" s="11" t="n">
        <v>0.892885584942818</v>
      </c>
      <c r="L58" s="11" t="n">
        <v>0.949154079673725</v>
      </c>
      <c r="M58" s="11" t="n">
        <v>1.00461710225099</v>
      </c>
      <c r="N58" s="11" t="n">
        <v>1.05912157991681</v>
      </c>
      <c r="O58" s="11" t="n">
        <v>1.63910434922337</v>
      </c>
      <c r="P58" s="11" t="n">
        <v>1.67163747131397</v>
      </c>
      <c r="Q58" s="11" t="n">
        <v>1.70228004150587</v>
      </c>
      <c r="R58" s="11" t="n">
        <v>1.7310356968841</v>
      </c>
      <c r="S58" s="11" t="n">
        <v>1.75791556812285</v>
      </c>
      <c r="T58" s="11" t="n">
        <v>1.78293714828143</v>
      </c>
      <c r="U58" s="11" t="n">
        <v>1.80612335303585</v>
      </c>
      <c r="V58" s="11" t="n">
        <v>1.82750140842867</v>
      </c>
      <c r="W58" s="11" t="n">
        <v>1.84710121698611</v>
      </c>
      <c r="X58" s="11" t="n">
        <v>1.8649546456108</v>
      </c>
      <c r="Y58" s="11" t="n">
        <v>1.88109496990835</v>
      </c>
      <c r="Z58" s="11" t="n">
        <v>1.89555580100015</v>
      </c>
      <c r="AA58" s="11" t="n">
        <v>1.90837074582956</v>
      </c>
      <c r="AB58" s="11" t="n">
        <v>1.91957340351344</v>
      </c>
      <c r="AC58" s="11" t="n">
        <v>1.92919736627389</v>
      </c>
      <c r="AD58" s="11" t="n">
        <v>1.93727622758485</v>
      </c>
      <c r="AE58" s="11" t="n">
        <v>1.94384366877161</v>
      </c>
      <c r="AF58" s="11" t="n">
        <v>1.94893375265617</v>
      </c>
      <c r="AG58" s="11" t="n">
        <v>1.95258156860997</v>
      </c>
      <c r="AH58" s="11" t="n">
        <v>1.95482348087735</v>
      </c>
      <c r="AI58" s="11" t="n">
        <v>1.95569847038803</v>
      </c>
      <c r="AJ58" s="11" t="n">
        <v>1.95524939771467</v>
      </c>
      <c r="AK58" s="11" t="n">
        <v>1.95352276263163</v>
      </c>
      <c r="AL58" s="11" t="n">
        <v>1.95056844943681</v>
      </c>
      <c r="AM58" s="11" t="n">
        <v>1.94644061483232</v>
      </c>
      <c r="AN58" s="11" t="n">
        <v>1.9411985699563</v>
      </c>
      <c r="AO58" s="11" t="n">
        <v>1.93490659444016</v>
      </c>
      <c r="AP58" s="11" t="n">
        <v>1.92763377494344</v>
      </c>
      <c r="AQ58" s="11" t="n">
        <v>1.91945335821319</v>
      </c>
      <c r="AR58" s="11" t="n">
        <v>1.91044187666578</v>
      </c>
      <c r="AS58" s="11" t="n">
        <v>1.9006787652756</v>
      </c>
      <c r="AT58" s="11" t="n">
        <v>1.89024606847732</v>
      </c>
      <c r="AU58" s="11" t="n">
        <v>1.87922762931829</v>
      </c>
    </row>
    <row r="59" customFormat="false" ht="15" hidden="false" customHeight="false" outlineLevel="0" collapsed="false">
      <c r="A59" s="10" t="n">
        <v>-66</v>
      </c>
      <c r="B59" s="8" t="n">
        <v>43077</v>
      </c>
      <c r="C59" s="11" t="n">
        <v>0.480759764235563</v>
      </c>
      <c r="D59" s="11" t="n">
        <v>0.520875643962627</v>
      </c>
      <c r="E59" s="11" t="n">
        <v>0.569343603935044</v>
      </c>
      <c r="F59" s="11" t="n">
        <v>0.623066765998951</v>
      </c>
      <c r="G59" s="11" t="n">
        <v>0.679929792520378</v>
      </c>
      <c r="H59" s="11" t="n">
        <v>0.738465504048577</v>
      </c>
      <c r="I59" s="11" t="n">
        <v>0.797623452608051</v>
      </c>
      <c r="J59" s="11" t="n">
        <v>0.856670044668309</v>
      </c>
      <c r="K59" s="11" t="n">
        <v>0.915124659247388</v>
      </c>
      <c r="L59" s="11" t="n">
        <v>0.972688356460927</v>
      </c>
      <c r="M59" s="11" t="n">
        <v>1.02917596925099</v>
      </c>
      <c r="N59" s="11" t="n">
        <v>1.0844678282445</v>
      </c>
      <c r="O59" s="11" t="n">
        <v>1.66266107990928</v>
      </c>
      <c r="P59" s="11" t="n">
        <v>1.69470740144487</v>
      </c>
      <c r="Q59" s="11" t="n">
        <v>1.72487332380665</v>
      </c>
      <c r="R59" s="11" t="n">
        <v>1.75316792403021</v>
      </c>
      <c r="S59" s="11" t="n">
        <v>1.77960643551916</v>
      </c>
      <c r="T59" s="11" t="n">
        <v>1.80420932195661</v>
      </c>
      <c r="U59" s="11" t="n">
        <v>1.82700150397097</v>
      </c>
      <c r="V59" s="11" t="n">
        <v>1.84801141174898</v>
      </c>
      <c r="W59" s="11" t="n">
        <v>1.86726958059165</v>
      </c>
      <c r="X59" s="11" t="n">
        <v>1.88480806698291</v>
      </c>
      <c r="Y59" s="11" t="n">
        <v>1.90065997301499</v>
      </c>
      <c r="Z59" s="11" t="n">
        <v>1.91485851399939</v>
      </c>
      <c r="AA59" s="11" t="n">
        <v>1.9274367479261</v>
      </c>
      <c r="AB59" s="11" t="n">
        <v>1.9384275913834</v>
      </c>
      <c r="AC59" s="11" t="n">
        <v>1.94786383639148</v>
      </c>
      <c r="AD59" s="11" t="n">
        <v>1.95577817640737</v>
      </c>
      <c r="AE59" s="11" t="n">
        <v>1.96220334628602</v>
      </c>
      <c r="AF59" s="11" t="n">
        <v>1.96717246816971</v>
      </c>
      <c r="AG59" s="11" t="n">
        <v>1.97071970033774</v>
      </c>
      <c r="AH59" s="11" t="n">
        <v>1.97288048575793</v>
      </c>
      <c r="AI59" s="11" t="n">
        <v>1.97369292760715</v>
      </c>
      <c r="AJ59" s="11" t="n">
        <v>1.97319902913849</v>
      </c>
      <c r="AK59" s="11" t="n">
        <v>1.97144444266583</v>
      </c>
      <c r="AL59" s="11" t="n">
        <v>1.96847822062526</v>
      </c>
      <c r="AM59" s="11" t="n">
        <v>1.96435372035459</v>
      </c>
      <c r="AN59" s="11" t="n">
        <v>1.9591294570913</v>
      </c>
      <c r="AO59" s="11" t="n">
        <v>1.95286890900822</v>
      </c>
      <c r="AP59" s="11" t="n">
        <v>1.94564034371868</v>
      </c>
      <c r="AQ59" s="11" t="n">
        <v>1.93751615677815</v>
      </c>
      <c r="AR59" s="11" t="n">
        <v>1.92857199728116</v>
      </c>
      <c r="AS59" s="11" t="n">
        <v>1.9188863910648</v>
      </c>
      <c r="AT59" s="11" t="n">
        <v>1.90854044470856</v>
      </c>
      <c r="AU59" s="11" t="n">
        <v>1.89761700259757</v>
      </c>
    </row>
    <row r="60" customFormat="false" ht="15" hidden="false" customHeight="false" outlineLevel="0" collapsed="false">
      <c r="A60" s="10" t="n">
        <v>-65</v>
      </c>
      <c r="B60" s="8" t="n">
        <v>43080</v>
      </c>
      <c r="C60" s="11" t="n">
        <v>0.438076127573833</v>
      </c>
      <c r="D60" s="11" t="n">
        <v>0.474260303885979</v>
      </c>
      <c r="E60" s="11" t="n">
        <v>0.518806395712807</v>
      </c>
      <c r="F60" s="11" t="n">
        <v>0.568776186865631</v>
      </c>
      <c r="G60" s="11" t="n">
        <v>0.622151379195484</v>
      </c>
      <c r="H60" s="11" t="n">
        <v>0.677511442752191</v>
      </c>
      <c r="I60" s="11" t="n">
        <v>0.733824297984214</v>
      </c>
      <c r="J60" s="11" t="n">
        <v>0.790360683992776</v>
      </c>
      <c r="K60" s="11" t="n">
        <v>0.846638636070172</v>
      </c>
      <c r="L60" s="11" t="n">
        <v>0.90235717360412</v>
      </c>
      <c r="M60" s="11" t="n">
        <v>0.957327069135898</v>
      </c>
      <c r="N60" s="11" t="n">
        <v>1.01142048693163</v>
      </c>
      <c r="O60" s="11" t="n">
        <v>1.59250155055378</v>
      </c>
      <c r="P60" s="11" t="n">
        <v>1.62528593555938</v>
      </c>
      <c r="Q60" s="11" t="n">
        <v>1.65617009239452</v>
      </c>
      <c r="R60" s="11" t="n">
        <v>1.68515514280949</v>
      </c>
      <c r="S60" s="11" t="n">
        <v>1.7122504430033</v>
      </c>
      <c r="T60" s="11" t="n">
        <v>1.73747234377385</v>
      </c>
      <c r="U60" s="11" t="n">
        <v>1.76084315761354</v>
      </c>
      <c r="V60" s="11" t="n">
        <v>1.78238999781188</v>
      </c>
      <c r="W60" s="11" t="n">
        <v>1.8021432104676</v>
      </c>
      <c r="X60" s="11" t="n">
        <v>1.82013564534647</v>
      </c>
      <c r="Y60" s="11" t="n">
        <v>1.83640194699508</v>
      </c>
      <c r="Z60" s="11" t="n">
        <v>1.85097723374344</v>
      </c>
      <c r="AA60" s="11" t="n">
        <v>1.86389669256023</v>
      </c>
      <c r="AB60" s="11" t="n">
        <v>1.87519556641252</v>
      </c>
      <c r="AC60" s="11" t="n">
        <v>1.88490914759933</v>
      </c>
      <c r="AD60" s="11" t="n">
        <v>1.89307276080432</v>
      </c>
      <c r="AE60" s="11" t="n">
        <v>1.89972164213453</v>
      </c>
      <c r="AF60" s="11" t="n">
        <v>1.9048910735628</v>
      </c>
      <c r="AG60" s="11" t="n">
        <v>1.90861708749574</v>
      </c>
      <c r="AH60" s="11" t="n">
        <v>1.91093675721817</v>
      </c>
      <c r="AI60" s="11" t="n">
        <v>1.91188958731132</v>
      </c>
      <c r="AJ60" s="11" t="n">
        <v>1.91151874846737</v>
      </c>
      <c r="AK60" s="11" t="n">
        <v>1.90987084511111</v>
      </c>
      <c r="AL60" s="11" t="n">
        <v>1.9069956943574</v>
      </c>
      <c r="AM60" s="11" t="n">
        <v>1.90294730475642</v>
      </c>
      <c r="AN60" s="11" t="n">
        <v>1.89778478263476</v>
      </c>
      <c r="AO60" s="11" t="n">
        <v>1.89157217386039</v>
      </c>
      <c r="AP60" s="11" t="n">
        <v>1.88437833966014</v>
      </c>
      <c r="AQ60" s="11" t="n">
        <v>1.87627631487799</v>
      </c>
      <c r="AR60" s="11" t="n">
        <v>1.8673424610889</v>
      </c>
      <c r="AS60" s="11" t="n">
        <v>1.85765609066714</v>
      </c>
      <c r="AT60" s="11" t="n">
        <v>1.84729916305424</v>
      </c>
      <c r="AU60" s="11" t="n">
        <v>1.8363554280109</v>
      </c>
    </row>
    <row r="61" customFormat="false" ht="15" hidden="false" customHeight="false" outlineLevel="0" collapsed="false">
      <c r="A61" s="10" t="n">
        <v>-64</v>
      </c>
      <c r="B61" s="8" t="n">
        <v>43081</v>
      </c>
      <c r="C61" s="11" t="n">
        <v>0.447517397999604</v>
      </c>
      <c r="D61" s="11" t="n">
        <v>0.485838970541817</v>
      </c>
      <c r="E61" s="11" t="n">
        <v>0.532313919232974</v>
      </c>
      <c r="F61" s="11" t="n">
        <v>0.584082317276221</v>
      </c>
      <c r="G61" s="11" t="n">
        <v>0.63912727023023</v>
      </c>
      <c r="H61" s="11" t="n">
        <v>0.696012763509706</v>
      </c>
      <c r="I61" s="11" t="n">
        <v>0.753691805128306</v>
      </c>
      <c r="J61" s="11" t="n">
        <v>0.811423613012314</v>
      </c>
      <c r="K61" s="11" t="n">
        <v>0.868716117704258</v>
      </c>
      <c r="L61" s="11" t="n">
        <v>0.925260011241356</v>
      </c>
      <c r="M61" s="11" t="n">
        <v>0.980859781924713</v>
      </c>
      <c r="N61" s="11" t="n">
        <v>1.03538368417069</v>
      </c>
      <c r="O61" s="11" t="n">
        <v>1.60872766714605</v>
      </c>
      <c r="P61" s="11" t="n">
        <v>1.6405941908797</v>
      </c>
      <c r="Q61" s="11" t="n">
        <v>1.67061274432118</v>
      </c>
      <c r="R61" s="11" t="n">
        <v>1.69879335001185</v>
      </c>
      <c r="S61" s="11" t="n">
        <v>1.7251516124561</v>
      </c>
      <c r="T61" s="11" t="n">
        <v>1.74970788775874</v>
      </c>
      <c r="U61" s="11" t="n">
        <v>1.77248658140447</v>
      </c>
      <c r="V61" s="11" t="n">
        <v>1.79351532803079</v>
      </c>
      <c r="W61" s="11" t="n">
        <v>1.81282384725918</v>
      </c>
      <c r="X61" s="11" t="n">
        <v>1.83044343822475</v>
      </c>
      <c r="Y61" s="11" t="n">
        <v>1.84640642568005</v>
      </c>
      <c r="Z61" s="11" t="n">
        <v>1.86074504432375</v>
      </c>
      <c r="AA61" s="11" t="n">
        <v>1.87349114192222</v>
      </c>
      <c r="AB61" s="11" t="n">
        <v>1.88467622281232</v>
      </c>
      <c r="AC61" s="11" t="n">
        <v>1.89433148878592</v>
      </c>
      <c r="AD61" s="11" t="n">
        <v>1.90248786508087</v>
      </c>
      <c r="AE61" s="11" t="n">
        <v>1.90917593819275</v>
      </c>
      <c r="AF61" s="11" t="n">
        <v>1.91442616121476</v>
      </c>
      <c r="AG61" s="11" t="n">
        <v>1.91826962734826</v>
      </c>
      <c r="AH61" s="11" t="n">
        <v>1.9207383977757</v>
      </c>
      <c r="AI61" s="11" t="n">
        <v>1.92186702165188</v>
      </c>
      <c r="AJ61" s="11" t="n">
        <v>1.92169386694408</v>
      </c>
      <c r="AK61" s="11" t="n">
        <v>1.9202608797344</v>
      </c>
      <c r="AL61" s="11" t="n">
        <v>1.91761336184593</v>
      </c>
      <c r="AM61" s="11" t="n">
        <v>1.91380105594598</v>
      </c>
      <c r="AN61" s="11" t="n">
        <v>1.90887913362612</v>
      </c>
      <c r="AO61" s="11" t="n">
        <v>1.90290804380799</v>
      </c>
      <c r="AP61" s="11" t="n">
        <v>1.89595340588525</v>
      </c>
      <c r="AQ61" s="11" t="n">
        <v>1.8880853841144</v>
      </c>
      <c r="AR61" s="11" t="n">
        <v>1.87937788443174</v>
      </c>
      <c r="AS61" s="11" t="n">
        <v>1.86990815792772</v>
      </c>
      <c r="AT61" s="11" t="n">
        <v>1.85975646762305</v>
      </c>
      <c r="AU61" s="11" t="n">
        <v>1.8490052515422</v>
      </c>
    </row>
    <row r="62" customFormat="false" ht="15" hidden="false" customHeight="false" outlineLevel="0" collapsed="false">
      <c r="A62" s="10" t="n">
        <v>-63</v>
      </c>
      <c r="B62" s="8" t="n">
        <v>43082</v>
      </c>
      <c r="C62" s="11" t="n">
        <v>0.462323536506119</v>
      </c>
      <c r="D62" s="11" t="n">
        <v>0.500894918145169</v>
      </c>
      <c r="E62" s="11" t="n">
        <v>0.546543606057631</v>
      </c>
      <c r="F62" s="11" t="n">
        <v>0.596909477362137</v>
      </c>
      <c r="G62" s="11" t="n">
        <v>0.650219704974605</v>
      </c>
      <c r="H62" s="11" t="n">
        <v>0.705181998225346</v>
      </c>
      <c r="I62" s="11" t="n">
        <v>0.760846675579267</v>
      </c>
      <c r="J62" s="11" t="n">
        <v>0.816545854904931</v>
      </c>
      <c r="K62" s="11" t="n">
        <v>0.871844605649973</v>
      </c>
      <c r="L62" s="11" t="n">
        <v>0.92647936456994</v>
      </c>
      <c r="M62" s="11" t="n">
        <v>0.980289191426166</v>
      </c>
      <c r="N62" s="11" t="n">
        <v>1.0331662065077</v>
      </c>
      <c r="O62" s="11" t="n">
        <v>1.59696361835827</v>
      </c>
      <c r="P62" s="11" t="n">
        <v>1.62864524279735</v>
      </c>
      <c r="Q62" s="11" t="n">
        <v>1.65851297776813</v>
      </c>
      <c r="R62" s="11" t="n">
        <v>1.68657174090274</v>
      </c>
      <c r="S62" s="11" t="n">
        <v>1.71283281670701</v>
      </c>
      <c r="T62" s="11" t="n">
        <v>1.7373129121488</v>
      </c>
      <c r="U62" s="11" t="n">
        <v>1.76003335500556</v>
      </c>
      <c r="V62" s="11" t="n">
        <v>1.78101914656432</v>
      </c>
      <c r="W62" s="11" t="n">
        <v>1.80029763535205</v>
      </c>
      <c r="X62" s="11" t="n">
        <v>1.81789794142199</v>
      </c>
      <c r="Y62" s="11" t="n">
        <v>1.83385037370809</v>
      </c>
      <c r="Z62" s="11" t="n">
        <v>1.84818529682544</v>
      </c>
      <c r="AA62" s="11" t="n">
        <v>1.86093282093149</v>
      </c>
      <c r="AB62" s="11" t="n">
        <v>1.87212282924783</v>
      </c>
      <c r="AC62" s="11" t="n">
        <v>1.88178500507632</v>
      </c>
      <c r="AD62" s="11" t="n">
        <v>1.88994885269342</v>
      </c>
      <c r="AE62" s="11" t="n">
        <v>1.89664369669164</v>
      </c>
      <c r="AF62" s="11" t="n">
        <v>1.9018989244628</v>
      </c>
      <c r="AG62" s="11" t="n">
        <v>1.9057446893965</v>
      </c>
      <c r="AH62" s="11" t="n">
        <v>1.90821220880052</v>
      </c>
      <c r="AI62" s="11" t="n">
        <v>1.90933529044321</v>
      </c>
      <c r="AJ62" s="11" t="n">
        <v>1.9091516504531</v>
      </c>
      <c r="AK62" s="11" t="n">
        <v>1.90770266121261</v>
      </c>
      <c r="AL62" s="11" t="n">
        <v>1.90503312716983</v>
      </c>
      <c r="AM62" s="11" t="n">
        <v>1.90119240337778</v>
      </c>
      <c r="AN62" s="11" t="n">
        <v>1.89623539772598</v>
      </c>
      <c r="AO62" s="11" t="n">
        <v>1.89022243007223</v>
      </c>
      <c r="AP62" s="11" t="n">
        <v>1.88321914630442</v>
      </c>
      <c r="AQ62" s="11" t="n">
        <v>1.87529590142693</v>
      </c>
      <c r="AR62" s="11" t="n">
        <v>1.86652697754127</v>
      </c>
      <c r="AS62" s="11" t="n">
        <v>1.85699017877692</v>
      </c>
      <c r="AT62" s="11" t="n">
        <v>1.84676648532635</v>
      </c>
      <c r="AU62" s="11" t="n">
        <v>1.83593923245797</v>
      </c>
    </row>
    <row r="63" customFormat="false" ht="15" hidden="false" customHeight="false" outlineLevel="0" collapsed="false">
      <c r="A63" s="10" t="n">
        <v>-62</v>
      </c>
      <c r="B63" s="8" t="n">
        <v>43083</v>
      </c>
      <c r="C63" s="11" t="n">
        <v>0.429732117401805</v>
      </c>
      <c r="D63" s="11" t="n">
        <v>0.469391222550789</v>
      </c>
      <c r="E63" s="11" t="n">
        <v>0.515820116993169</v>
      </c>
      <c r="F63" s="11" t="n">
        <v>0.56661022218696</v>
      </c>
      <c r="G63" s="11" t="n">
        <v>0.619993297605436</v>
      </c>
      <c r="H63" s="11" t="n">
        <v>0.674702984262983</v>
      </c>
      <c r="I63" s="11" t="n">
        <v>0.729830473041663</v>
      </c>
      <c r="J63" s="11" t="n">
        <v>0.784758930025523</v>
      </c>
      <c r="K63" s="11" t="n">
        <v>0.839105920206412</v>
      </c>
      <c r="L63" s="11" t="n">
        <v>0.892657555040713</v>
      </c>
      <c r="M63" s="11" t="n">
        <v>0.945295688297316</v>
      </c>
      <c r="N63" s="11" t="n">
        <v>0.996947627324755</v>
      </c>
      <c r="O63" s="11" t="n">
        <v>1.54604241773816</v>
      </c>
      <c r="P63" s="11" t="n">
        <v>1.57690588223095</v>
      </c>
      <c r="Q63" s="11" t="n">
        <v>1.60601742127231</v>
      </c>
      <c r="R63" s="11" t="n">
        <v>1.63338151683488</v>
      </c>
      <c r="S63" s="11" t="n">
        <v>1.65900816616339</v>
      </c>
      <c r="T63" s="11" t="n">
        <v>1.68291206804429</v>
      </c>
      <c r="U63" s="11" t="n">
        <v>1.70511192796579</v>
      </c>
      <c r="V63" s="11" t="n">
        <v>1.72562965936147</v>
      </c>
      <c r="W63" s="11" t="n">
        <v>1.74448930287624</v>
      </c>
      <c r="X63" s="11" t="n">
        <v>1.76171653905714</v>
      </c>
      <c r="Y63" s="11" t="n">
        <v>1.77733813506451</v>
      </c>
      <c r="Z63" s="11" t="n">
        <v>1.79138086838142</v>
      </c>
      <c r="AA63" s="11" t="n">
        <v>1.80387123956046</v>
      </c>
      <c r="AB63" s="11" t="n">
        <v>1.81483550279184</v>
      </c>
      <c r="AC63" s="11" t="n">
        <v>1.82429969523227</v>
      </c>
      <c r="AD63" s="11" t="n">
        <v>1.83228966005173</v>
      </c>
      <c r="AE63" s="11" t="n">
        <v>1.83883104941835</v>
      </c>
      <c r="AF63" s="11" t="n">
        <v>1.84394955585468</v>
      </c>
      <c r="AG63" s="11" t="n">
        <v>1.84767156741851</v>
      </c>
      <c r="AH63" s="11" t="n">
        <v>1.85002446482431</v>
      </c>
      <c r="AI63" s="11" t="n">
        <v>1.85103823769679</v>
      </c>
      <c r="AJ63" s="11" t="n">
        <v>1.85074686078301</v>
      </c>
      <c r="AK63" s="11" t="n">
        <v>1.84918803715919</v>
      </c>
      <c r="AL63" s="11" t="n">
        <v>1.84640298131938</v>
      </c>
      <c r="AM63" s="11" t="n">
        <v>1.84243765951017</v>
      </c>
      <c r="AN63" s="11" t="n">
        <v>1.8373438823468</v>
      </c>
      <c r="AO63" s="11" t="n">
        <v>1.83117915778022</v>
      </c>
      <c r="AP63" s="11" t="n">
        <v>1.82400660154275</v>
      </c>
      <c r="AQ63" s="11" t="n">
        <v>1.81589442743425</v>
      </c>
      <c r="AR63" s="11" t="n">
        <v>1.80691535779635</v>
      </c>
      <c r="AS63" s="11" t="n">
        <v>1.79714620952754</v>
      </c>
      <c r="AT63" s="11" t="n">
        <v>1.78666751543637</v>
      </c>
      <c r="AU63" s="11" t="n">
        <v>1.77556283048722</v>
      </c>
    </row>
    <row r="64" customFormat="false" ht="15" hidden="false" customHeight="false" outlineLevel="0" collapsed="false">
      <c r="A64" s="10" t="n">
        <v>-61</v>
      </c>
      <c r="B64" s="8" t="n">
        <v>43084</v>
      </c>
      <c r="C64" s="11" t="n">
        <v>0.433409222006396</v>
      </c>
      <c r="D64" s="11" t="n">
        <v>0.472804675150071</v>
      </c>
      <c r="E64" s="11" t="n">
        <v>0.518351419323822</v>
      </c>
      <c r="F64" s="11" t="n">
        <v>0.567876362035482</v>
      </c>
      <c r="G64" s="11" t="n">
        <v>0.619738616284288</v>
      </c>
      <c r="H64" s="11" t="n">
        <v>0.672761018776978</v>
      </c>
      <c r="I64" s="11" t="n">
        <v>0.726107453819793</v>
      </c>
      <c r="J64" s="11" t="n">
        <v>0.779225175383845</v>
      </c>
      <c r="K64" s="11" t="n">
        <v>0.831787910174433</v>
      </c>
      <c r="L64" s="11" t="n">
        <v>0.883631133420265</v>
      </c>
      <c r="M64" s="11" t="n">
        <v>0.934678313238327</v>
      </c>
      <c r="N64" s="11" t="n">
        <v>0.984889924050437</v>
      </c>
      <c r="O64" s="11" t="n">
        <v>1.53080498681014</v>
      </c>
      <c r="P64" s="11" t="n">
        <v>1.56209871295675</v>
      </c>
      <c r="Q64" s="11" t="n">
        <v>1.59163483671476</v>
      </c>
      <c r="R64" s="11" t="n">
        <v>1.61940476431407</v>
      </c>
      <c r="S64" s="11" t="n">
        <v>1.64540842756811</v>
      </c>
      <c r="T64" s="11" t="n">
        <v>1.66965304455403</v>
      </c>
      <c r="U64" s="11" t="n">
        <v>1.69215204576029</v>
      </c>
      <c r="V64" s="11" t="n">
        <v>1.71292404521602</v>
      </c>
      <c r="W64" s="11" t="n">
        <v>1.73199173852793</v>
      </c>
      <c r="X64" s="11" t="n">
        <v>1.74938122974837</v>
      </c>
      <c r="Y64" s="11" t="n">
        <v>1.76512105191667</v>
      </c>
      <c r="Z64" s="11" t="n">
        <v>1.77924042986335</v>
      </c>
      <c r="AA64" s="11" t="n">
        <v>1.79176877501586</v>
      </c>
      <c r="AB64" s="11" t="n">
        <v>1.80273565840134</v>
      </c>
      <c r="AC64" s="11" t="n">
        <v>1.8121707916467</v>
      </c>
      <c r="AD64" s="11" t="n">
        <v>1.82010397027707</v>
      </c>
      <c r="AE64" s="11" t="n">
        <v>1.82656467409239</v>
      </c>
      <c r="AF64" s="11" t="n">
        <v>1.83158202355106</v>
      </c>
      <c r="AG64" s="11" t="n">
        <v>1.83518556184803</v>
      </c>
      <c r="AH64" s="11" t="n">
        <v>1.83740561864529</v>
      </c>
      <c r="AI64" s="11" t="n">
        <v>1.83827498899809</v>
      </c>
      <c r="AJ64" s="11" t="n">
        <v>1.83783030432442</v>
      </c>
      <c r="AK64" s="11" t="n">
        <v>1.83611178215855</v>
      </c>
      <c r="AL64" s="11" t="n">
        <v>1.83316303663779</v>
      </c>
      <c r="AM64" s="11" t="n">
        <v>1.82903239301052</v>
      </c>
      <c r="AN64" s="11" t="n">
        <v>1.8237739902428</v>
      </c>
      <c r="AO64" s="11" t="n">
        <v>1.81744763811737</v>
      </c>
      <c r="AP64" s="11" t="n">
        <v>1.81011872401779</v>
      </c>
      <c r="AQ64" s="11" t="n">
        <v>1.80185765408908</v>
      </c>
      <c r="AR64" s="11" t="n">
        <v>1.79273919665789</v>
      </c>
      <c r="AS64" s="11" t="n">
        <v>1.7828420693083</v>
      </c>
      <c r="AT64" s="11" t="n">
        <v>1.77224856434813</v>
      </c>
      <c r="AU64" s="11" t="n">
        <v>1.7610437943355</v>
      </c>
    </row>
    <row r="65" customFormat="false" ht="15" hidden="false" customHeight="false" outlineLevel="0" collapsed="false">
      <c r="A65" s="10" t="n">
        <v>-60</v>
      </c>
      <c r="B65" s="8" t="n">
        <v>43087</v>
      </c>
      <c r="C65" s="11" t="n">
        <v>0.426298066827356</v>
      </c>
      <c r="D65" s="11" t="n">
        <v>0.466683250101557</v>
      </c>
      <c r="E65" s="11" t="n">
        <v>0.513041466957006</v>
      </c>
      <c r="F65" s="11" t="n">
        <v>0.563077611155131</v>
      </c>
      <c r="G65" s="11" t="n">
        <v>0.615125126447281</v>
      </c>
      <c r="H65" s="11" t="n">
        <v>0.668041977163423</v>
      </c>
      <c r="I65" s="11" t="n">
        <v>0.72105028811714</v>
      </c>
      <c r="J65" s="11" t="n">
        <v>0.773661180481886</v>
      </c>
      <c r="K65" s="11" t="n">
        <v>0.825610705017939</v>
      </c>
      <c r="L65" s="11" t="n">
        <v>0.876791824976108</v>
      </c>
      <c r="M65" s="11" t="n">
        <v>0.927175652561407</v>
      </c>
      <c r="N65" s="11" t="n">
        <v>0.976759880853308</v>
      </c>
      <c r="O65" s="11" t="n">
        <v>1.52082128519342</v>
      </c>
      <c r="P65" s="11" t="n">
        <v>1.5522303464898</v>
      </c>
      <c r="Q65" s="11" t="n">
        <v>1.58187973241744</v>
      </c>
      <c r="R65" s="11" t="n">
        <v>1.60975781038343</v>
      </c>
      <c r="S65" s="11" t="n">
        <v>1.63586255146706</v>
      </c>
      <c r="T65" s="11" t="n">
        <v>1.66020012218238</v>
      </c>
      <c r="U65" s="11" t="n">
        <v>1.68278367621529</v>
      </c>
      <c r="V65" s="11" t="n">
        <v>1.70363217727838</v>
      </c>
      <c r="W65" s="11" t="n">
        <v>1.72276911457778</v>
      </c>
      <c r="X65" s="11" t="n">
        <v>1.74022174136229</v>
      </c>
      <c r="Y65" s="11" t="n">
        <v>1.75601995054204</v>
      </c>
      <c r="Z65" s="11" t="n">
        <v>1.77019426802631</v>
      </c>
      <c r="AA65" s="11" t="n">
        <v>1.7827752899414</v>
      </c>
      <c r="AB65" s="11" t="n">
        <v>1.79379366933478</v>
      </c>
      <c r="AC65" s="11" t="n">
        <v>1.80328010939861</v>
      </c>
      <c r="AD65" s="11" t="n">
        <v>1.81126529861361</v>
      </c>
      <c r="AE65" s="11" t="n">
        <v>1.81777934923703</v>
      </c>
      <c r="AF65" s="11" t="n">
        <v>1.82285165559655</v>
      </c>
      <c r="AG65" s="11" t="n">
        <v>1.82651176147025</v>
      </c>
      <c r="AH65" s="11" t="n">
        <v>1.82878977781631</v>
      </c>
      <c r="AI65" s="11" t="n">
        <v>1.82971816209479</v>
      </c>
      <c r="AJ65" s="11" t="n">
        <v>1.82933315274229</v>
      </c>
      <c r="AK65" s="11" t="n">
        <v>1.82767452646994</v>
      </c>
      <c r="AL65" s="11" t="n">
        <v>1.82478542447062</v>
      </c>
      <c r="AM65" s="11" t="n">
        <v>1.82071375436821</v>
      </c>
      <c r="AN65" s="11" t="n">
        <v>1.81551334786646</v>
      </c>
      <c r="AO65" s="11" t="n">
        <v>1.80924381708811</v>
      </c>
      <c r="AP65" s="11" t="n">
        <v>1.80197045562866</v>
      </c>
      <c r="AQ65" s="11" t="n">
        <v>1.79376364763563</v>
      </c>
      <c r="AR65" s="11" t="n">
        <v>1.7846981706856</v>
      </c>
      <c r="AS65" s="11" t="n">
        <v>1.77485277493392</v>
      </c>
      <c r="AT65" s="11" t="n">
        <v>1.76430980232722</v>
      </c>
      <c r="AU65" s="11" t="n">
        <v>1.75315439341156</v>
      </c>
    </row>
    <row r="66" customFormat="false" ht="15" hidden="false" customHeight="false" outlineLevel="0" collapsed="false">
      <c r="A66" s="10" t="n">
        <v>-59</v>
      </c>
      <c r="B66" s="8" t="n">
        <v>43088</v>
      </c>
      <c r="C66" s="11" t="n">
        <v>0.446954387922543</v>
      </c>
      <c r="D66" s="11" t="n">
        <v>0.490633175582082</v>
      </c>
      <c r="E66" s="11" t="n">
        <v>0.540455561007488</v>
      </c>
      <c r="F66" s="11" t="n">
        <v>0.593929624679072</v>
      </c>
      <c r="G66" s="11" t="n">
        <v>0.64930117782133</v>
      </c>
      <c r="H66" s="11" t="n">
        <v>0.705394610466049</v>
      </c>
      <c r="I66" s="11" t="n">
        <v>0.761420960750375</v>
      </c>
      <c r="J66" s="11" t="n">
        <v>0.816887699103005</v>
      </c>
      <c r="K66" s="11" t="n">
        <v>0.871528352997982</v>
      </c>
      <c r="L66" s="11" t="n">
        <v>0.925232429579014</v>
      </c>
      <c r="M66" s="11" t="n">
        <v>0.977968125637883</v>
      </c>
      <c r="N66" s="11" t="n">
        <v>1.02973200873496</v>
      </c>
      <c r="O66" s="11" t="n">
        <v>1.58970227229299</v>
      </c>
      <c r="P66" s="11" t="n">
        <v>1.62167806433767</v>
      </c>
      <c r="Q66" s="11" t="n">
        <v>1.65183603731178</v>
      </c>
      <c r="R66" s="11" t="n">
        <v>1.68017009013332</v>
      </c>
      <c r="S66" s="11" t="n">
        <v>1.70668331743637</v>
      </c>
      <c r="T66" s="11" t="n">
        <v>1.73138665547361</v>
      </c>
      <c r="U66" s="11" t="n">
        <v>1.75429772440296</v>
      </c>
      <c r="V66" s="11" t="n">
        <v>1.77543961493225</v>
      </c>
      <c r="W66" s="11" t="n">
        <v>1.79483944728683</v>
      </c>
      <c r="X66" s="11" t="n">
        <v>1.81252762060266</v>
      </c>
      <c r="Y66" s="11" t="n">
        <v>1.82853680191615</v>
      </c>
      <c r="Z66" s="11" t="n">
        <v>1.84290011921842</v>
      </c>
      <c r="AA66" s="11" t="n">
        <v>1.85565066989657</v>
      </c>
      <c r="AB66" s="11" t="n">
        <v>1.86682152036577</v>
      </c>
      <c r="AC66" s="11" t="n">
        <v>1.87644570975628</v>
      </c>
      <c r="AD66" s="11" t="n">
        <v>1.88455620898349</v>
      </c>
      <c r="AE66" s="11" t="n">
        <v>1.89118551515461</v>
      </c>
      <c r="AF66" s="11" t="n">
        <v>1.89636560697206</v>
      </c>
      <c r="AG66" s="11" t="n">
        <v>1.90012870823588</v>
      </c>
      <c r="AH66" s="11" t="n">
        <v>1.90250765995161</v>
      </c>
      <c r="AI66" s="11" t="n">
        <v>1.90353761891732</v>
      </c>
      <c r="AJ66" s="11" t="n">
        <v>1.9032574077513</v>
      </c>
      <c r="AK66" s="11" t="n">
        <v>1.90170927454659</v>
      </c>
      <c r="AL66" s="11" t="n">
        <v>1.89893872034374</v>
      </c>
      <c r="AM66" s="11" t="n">
        <v>1.89499578886842</v>
      </c>
      <c r="AN66" s="11" t="n">
        <v>1.8899361119153</v>
      </c>
      <c r="AO66" s="11" t="n">
        <v>1.88382073304521</v>
      </c>
      <c r="AP66" s="11" t="n">
        <v>1.87671595434505</v>
      </c>
      <c r="AQ66" s="11" t="n">
        <v>1.86869270992946</v>
      </c>
      <c r="AR66" s="11" t="n">
        <v>1.8598258178936</v>
      </c>
      <c r="AS66" s="11" t="n">
        <v>1.85019358888372</v>
      </c>
      <c r="AT66" s="11" t="n">
        <v>1.83987747757149</v>
      </c>
      <c r="AU66" s="11" t="n">
        <v>1.82896125348419</v>
      </c>
    </row>
    <row r="67" customFormat="false" ht="15" hidden="false" customHeight="false" outlineLevel="0" collapsed="false">
      <c r="A67" s="10" t="n">
        <v>-58</v>
      </c>
      <c r="B67" s="8" t="n">
        <v>43089</v>
      </c>
      <c r="C67" s="11" t="n">
        <v>0.468437810909387</v>
      </c>
      <c r="D67" s="11" t="n">
        <v>0.513744366697462</v>
      </c>
      <c r="E67" s="11" t="n">
        <v>0.565477967182454</v>
      </c>
      <c r="F67" s="11" t="n">
        <v>0.621199883738546</v>
      </c>
      <c r="G67" s="11" t="n">
        <v>0.679102825574038</v>
      </c>
      <c r="H67" s="11" t="n">
        <v>0.737933172250383</v>
      </c>
      <c r="I67" s="11" t="n">
        <v>0.796817083722295</v>
      </c>
      <c r="J67" s="11" t="n">
        <v>0.85517501885862</v>
      </c>
      <c r="K67" s="11" t="n">
        <v>0.912655629086752</v>
      </c>
      <c r="L67" s="11" t="n">
        <v>0.969068049649843</v>
      </c>
      <c r="M67" s="11" t="n">
        <v>1.02431184940553</v>
      </c>
      <c r="N67" s="11" t="n">
        <v>1.07832861798782</v>
      </c>
      <c r="O67" s="11" t="n">
        <v>1.64442391349494</v>
      </c>
      <c r="P67" s="11" t="n">
        <v>1.67601199897764</v>
      </c>
      <c r="Q67" s="11" t="n">
        <v>1.70579626700815</v>
      </c>
      <c r="R67" s="11" t="n">
        <v>1.73378411293078</v>
      </c>
      <c r="S67" s="11" t="n">
        <v>1.75998855655278</v>
      </c>
      <c r="T67" s="11" t="n">
        <v>1.7844274198961</v>
      </c>
      <c r="U67" s="11" t="n">
        <v>1.80712261707778</v>
      </c>
      <c r="V67" s="11" t="n">
        <v>1.828099352845</v>
      </c>
      <c r="W67" s="11" t="n">
        <v>1.84738510111564</v>
      </c>
      <c r="X67" s="11" t="n">
        <v>1.86500913082925</v>
      </c>
      <c r="Y67" s="11" t="n">
        <v>1.88100186613366</v>
      </c>
      <c r="Z67" s="11" t="n">
        <v>1.89539369593633</v>
      </c>
      <c r="AA67" s="11" t="n">
        <v>1.90821468381743</v>
      </c>
      <c r="AB67" s="11" t="n">
        <v>1.91949460501859</v>
      </c>
      <c r="AC67" s="11" t="n">
        <v>1.92926298076884</v>
      </c>
      <c r="AD67" s="11" t="n">
        <v>1.93754909711726</v>
      </c>
      <c r="AE67" s="11" t="n">
        <v>1.94438193613132</v>
      </c>
      <c r="AF67" s="11" t="n">
        <v>1.94979037189899</v>
      </c>
      <c r="AG67" s="11" t="n">
        <v>1.95380383822636</v>
      </c>
      <c r="AH67" s="11" t="n">
        <v>1.95645265384458</v>
      </c>
      <c r="AI67" s="11" t="n">
        <v>1.95776976601722</v>
      </c>
      <c r="AJ67" s="11" t="n">
        <v>1.95779211498543</v>
      </c>
      <c r="AK67" s="11" t="n">
        <v>1.95656036248444</v>
      </c>
      <c r="AL67" s="11" t="n">
        <v>1.95411869091985</v>
      </c>
      <c r="AM67" s="11" t="n">
        <v>1.95051604951738</v>
      </c>
      <c r="AN67" s="11" t="n">
        <v>1.94580714359464</v>
      </c>
      <c r="AO67" s="11" t="n">
        <v>1.94005220316449</v>
      </c>
      <c r="AP67" s="11" t="n">
        <v>1.93331675802518</v>
      </c>
      <c r="AQ67" s="11" t="n">
        <v>1.92567093247164</v>
      </c>
      <c r="AR67" s="11" t="n">
        <v>1.91718860143762</v>
      </c>
      <c r="AS67" s="11" t="n">
        <v>1.90794699518438</v>
      </c>
      <c r="AT67" s="11" t="n">
        <v>1.89802635439477</v>
      </c>
      <c r="AU67" s="11" t="n">
        <v>1.8875090426091</v>
      </c>
    </row>
    <row r="68" customFormat="false" ht="15" hidden="false" customHeight="false" outlineLevel="0" collapsed="false">
      <c r="A68" s="10" t="n">
        <v>-57</v>
      </c>
      <c r="B68" s="8" t="n">
        <v>43090</v>
      </c>
      <c r="C68" s="11" t="n">
        <v>0.456780302081806</v>
      </c>
      <c r="D68" s="11" t="n">
        <v>0.504028082714148</v>
      </c>
      <c r="E68" s="11" t="n">
        <v>0.557462065153529</v>
      </c>
      <c r="F68" s="11" t="n">
        <v>0.614712151880687</v>
      </c>
      <c r="G68" s="11" t="n">
        <v>0.673991978123176</v>
      </c>
      <c r="H68" s="11" t="n">
        <v>0.734046529821756</v>
      </c>
      <c r="I68" s="11" t="n">
        <v>0.793999617257504</v>
      </c>
      <c r="J68" s="11" t="n">
        <v>0.853275514826001</v>
      </c>
      <c r="K68" s="11" t="n">
        <v>0.911531388151051</v>
      </c>
      <c r="L68" s="11" t="n">
        <v>0.968586563674939</v>
      </c>
      <c r="M68" s="11" t="n">
        <v>1.02435270343087</v>
      </c>
      <c r="N68" s="11" t="n">
        <v>1.0787854243706</v>
      </c>
      <c r="O68" s="11" t="n">
        <v>1.6464276082059</v>
      </c>
      <c r="P68" s="11" t="n">
        <v>1.67807220394212</v>
      </c>
      <c r="Q68" s="11" t="n">
        <v>1.70791467595566</v>
      </c>
      <c r="R68" s="11" t="n">
        <v>1.73596262101153</v>
      </c>
      <c r="S68" s="11" t="n">
        <v>1.76222901421892</v>
      </c>
      <c r="T68" s="11" t="n">
        <v>1.78673141952258</v>
      </c>
      <c r="U68" s="11" t="n">
        <v>1.80949131050776</v>
      </c>
      <c r="V68" s="11" t="n">
        <v>1.83053327637621</v>
      </c>
      <c r="W68" s="11" t="n">
        <v>1.84988398392554</v>
      </c>
      <c r="X68" s="11" t="n">
        <v>1.86757172015063</v>
      </c>
      <c r="Y68" s="11" t="n">
        <v>1.88362579966783</v>
      </c>
      <c r="Z68" s="11" t="n">
        <v>1.8980754656576</v>
      </c>
      <c r="AA68" s="11" t="n">
        <v>1.9109496290182</v>
      </c>
      <c r="AB68" s="11" t="n">
        <v>1.92227690651503</v>
      </c>
      <c r="AC68" s="11" t="n">
        <v>1.93208565579648</v>
      </c>
      <c r="AD68" s="11" t="n">
        <v>1.94040400071813</v>
      </c>
      <c r="AE68" s="11" t="n">
        <v>1.94725981828526</v>
      </c>
      <c r="AF68" s="11" t="n">
        <v>1.95268098054032</v>
      </c>
      <c r="AG68" s="11" t="n">
        <v>1.95669601411901</v>
      </c>
      <c r="AH68" s="11" t="n">
        <v>1.95933441917544</v>
      </c>
      <c r="AI68" s="11" t="n">
        <v>1.96062843612263</v>
      </c>
      <c r="AJ68" s="11" t="n">
        <v>1.96061440782472</v>
      </c>
      <c r="AK68" s="11" t="n">
        <v>1.95933249578791</v>
      </c>
      <c r="AL68" s="11" t="n">
        <v>1.95682647502427</v>
      </c>
      <c r="AM68" s="11" t="n">
        <v>1.95314499634361</v>
      </c>
      <c r="AN68" s="11" t="n">
        <v>1.94834257164116</v>
      </c>
      <c r="AO68" s="11" t="n">
        <v>1.94247934691945</v>
      </c>
      <c r="AP68" s="11" t="n">
        <v>1.93562088880108</v>
      </c>
      <c r="AQ68" s="11" t="n">
        <v>1.92783749824476</v>
      </c>
      <c r="AR68" s="11" t="n">
        <v>1.91920340239621</v>
      </c>
      <c r="AS68" s="11" t="n">
        <v>1.90979635288697</v>
      </c>
      <c r="AT68" s="11" t="n">
        <v>1.89969726785658</v>
      </c>
      <c r="AU68" s="11" t="n">
        <v>1.88898935095088</v>
      </c>
    </row>
    <row r="69" customFormat="false" ht="15" hidden="false" customHeight="false" outlineLevel="0" collapsed="false">
      <c r="A69" s="10" t="n">
        <v>-56</v>
      </c>
      <c r="B69" s="8" t="n">
        <v>43091</v>
      </c>
      <c r="C69" s="11" t="n">
        <v>0.438008116685224</v>
      </c>
      <c r="D69" s="11" t="n">
        <v>0.485334149396187</v>
      </c>
      <c r="E69" s="11" t="n">
        <v>0.538713830742045</v>
      </c>
      <c r="F69" s="11" t="n">
        <v>0.59576146048864</v>
      </c>
      <c r="G69" s="11" t="n">
        <v>0.654723236230144</v>
      </c>
      <c r="H69" s="11" t="n">
        <v>0.71438473923809</v>
      </c>
      <c r="I69" s="11" t="n">
        <v>0.773905941302885</v>
      </c>
      <c r="J69" s="11" t="n">
        <v>0.83274197037714</v>
      </c>
      <c r="K69" s="11" t="n">
        <v>0.890577234652895</v>
      </c>
      <c r="L69" s="11" t="n">
        <v>0.947251708166985</v>
      </c>
      <c r="M69" s="11" t="n">
        <v>1.00269103990844</v>
      </c>
      <c r="N69" s="11" t="n">
        <v>1.05686090819726</v>
      </c>
      <c r="O69" s="11" t="n">
        <v>1.62555713816562</v>
      </c>
      <c r="P69" s="11" t="n">
        <v>1.65736853949987</v>
      </c>
      <c r="Q69" s="11" t="n">
        <v>1.68735962202939</v>
      </c>
      <c r="R69" s="11" t="n">
        <v>1.71553626997742</v>
      </c>
      <c r="S69" s="11" t="n">
        <v>1.7419106832589</v>
      </c>
      <c r="T69" s="11" t="n">
        <v>1.7665004427702</v>
      </c>
      <c r="U69" s="11" t="n">
        <v>1.78932771271383</v>
      </c>
      <c r="V69" s="11" t="n">
        <v>1.81041828591533</v>
      </c>
      <c r="W69" s="11" t="n">
        <v>1.82980035540432</v>
      </c>
      <c r="X69" s="11" t="n">
        <v>1.84750398993691</v>
      </c>
      <c r="Y69" s="11" t="n">
        <v>1.86356041957776</v>
      </c>
      <c r="Z69" s="11" t="n">
        <v>1.87800076522929</v>
      </c>
      <c r="AA69" s="11" t="n">
        <v>1.89085575920982</v>
      </c>
      <c r="AB69" s="11" t="n">
        <v>1.9021557905073</v>
      </c>
      <c r="AC69" s="11" t="n">
        <v>1.91193094565141</v>
      </c>
      <c r="AD69" s="11" t="n">
        <v>1.92021102481917</v>
      </c>
      <c r="AE69" s="11" t="n">
        <v>1.92702541779366</v>
      </c>
      <c r="AF69" s="11" t="n">
        <v>1.93240329123102</v>
      </c>
      <c r="AG69" s="11" t="n">
        <v>1.93637427851326</v>
      </c>
      <c r="AH69" s="11" t="n">
        <v>1.93896883124369</v>
      </c>
      <c r="AI69" s="11" t="n">
        <v>1.94022004532531</v>
      </c>
      <c r="AJ69" s="11" t="n">
        <v>1.94016497377359</v>
      </c>
      <c r="AK69" s="11" t="n">
        <v>1.938844343163</v>
      </c>
      <c r="AL69" s="11" t="n">
        <v>1.93630237952351</v>
      </c>
      <c r="AM69" s="11" t="n">
        <v>1.93258810989816</v>
      </c>
      <c r="AN69" s="11" t="n">
        <v>1.92775629709128</v>
      </c>
      <c r="AO69" s="11" t="n">
        <v>1.9218672282572</v>
      </c>
      <c r="AP69" s="11" t="n">
        <v>1.91498651679724</v>
      </c>
      <c r="AQ69" s="11" t="n">
        <v>1.90718441962907</v>
      </c>
      <c r="AR69" s="11" t="n">
        <v>1.89853505622328</v>
      </c>
      <c r="AS69" s="11" t="n">
        <v>1.88911601966367</v>
      </c>
      <c r="AT69" s="11" t="n">
        <v>1.8790080194346</v>
      </c>
      <c r="AU69" s="11" t="n">
        <v>1.86829400778431</v>
      </c>
    </row>
    <row r="70" customFormat="false" ht="15" hidden="false" customHeight="false" outlineLevel="0" collapsed="false">
      <c r="A70" s="10" t="n">
        <v>-55</v>
      </c>
      <c r="B70" s="8" t="n">
        <v>43096</v>
      </c>
      <c r="C70" s="11" t="n">
        <v>0.409816465957421</v>
      </c>
      <c r="D70" s="11" t="n">
        <v>0.454556077924256</v>
      </c>
      <c r="E70" s="11" t="n">
        <v>0.505228609378925</v>
      </c>
      <c r="F70" s="11" t="n">
        <v>0.559367764649131</v>
      </c>
      <c r="G70" s="11" t="n">
        <v>0.615242823830296</v>
      </c>
      <c r="H70" s="11" t="n">
        <v>0.671700989272371</v>
      </c>
      <c r="I70" s="11" t="n">
        <v>0.727976120551899</v>
      </c>
      <c r="J70" s="11" t="n">
        <v>0.783600765505235</v>
      </c>
      <c r="K70" s="11" t="n">
        <v>0.838336664867843</v>
      </c>
      <c r="L70" s="11" t="n">
        <v>0.892098799923867</v>
      </c>
      <c r="M70" s="11" t="n">
        <v>0.944877294845453</v>
      </c>
      <c r="N70" s="11" t="n">
        <v>0.996689087978699</v>
      </c>
      <c r="O70" s="11" t="n">
        <v>1.56106048071034</v>
      </c>
      <c r="P70" s="11" t="n">
        <v>1.59358879338418</v>
      </c>
      <c r="Q70" s="11" t="n">
        <v>1.62430247993489</v>
      </c>
      <c r="R70" s="11" t="n">
        <v>1.65319158026192</v>
      </c>
      <c r="S70" s="11" t="n">
        <v>1.68025589223428</v>
      </c>
      <c r="T70" s="11" t="n">
        <v>1.70550352599252</v>
      </c>
      <c r="U70" s="11" t="n">
        <v>1.7289496748654</v>
      </c>
      <c r="V70" s="11" t="n">
        <v>1.75061529576375</v>
      </c>
      <c r="W70" s="11" t="n">
        <v>1.77052557454582</v>
      </c>
      <c r="X70" s="11" t="n">
        <v>1.78870915245659</v>
      </c>
      <c r="Y70" s="11" t="n">
        <v>1.80519712838816</v>
      </c>
      <c r="Z70" s="11" t="n">
        <v>1.82002145652736</v>
      </c>
      <c r="AA70" s="11" t="n">
        <v>1.83321450746715</v>
      </c>
      <c r="AB70" s="11" t="n">
        <v>1.84480901510117</v>
      </c>
      <c r="AC70" s="11" t="n">
        <v>1.85483803337233</v>
      </c>
      <c r="AD70" s="11" t="n">
        <v>1.86333486771737</v>
      </c>
      <c r="AE70" s="11" t="n">
        <v>1.87033278934659</v>
      </c>
      <c r="AF70" s="11" t="n">
        <v>1.87586508749928</v>
      </c>
      <c r="AG70" s="11" t="n">
        <v>1.8799656862137</v>
      </c>
      <c r="AH70" s="11" t="n">
        <v>1.88266945413083</v>
      </c>
      <c r="AI70" s="11" t="n">
        <v>1.88401389888606</v>
      </c>
      <c r="AJ70" s="11" t="n">
        <v>1.8840403647408</v>
      </c>
      <c r="AK70" s="11" t="n">
        <v>1.88279375114172</v>
      </c>
      <c r="AL70" s="11" t="n">
        <v>1.88032234127597</v>
      </c>
      <c r="AM70" s="11" t="n">
        <v>1.87667901227157</v>
      </c>
      <c r="AN70" s="11" t="n">
        <v>1.87192208656065</v>
      </c>
      <c r="AO70" s="11" t="n">
        <v>1.8661151067361</v>
      </c>
      <c r="AP70" s="11" t="n">
        <v>1.8593266118342</v>
      </c>
      <c r="AQ70" s="11" t="n">
        <v>1.85162939950221</v>
      </c>
      <c r="AR70" s="11" t="n">
        <v>1.84309967119916</v>
      </c>
      <c r="AS70" s="11" t="n">
        <v>1.83381666772807</v>
      </c>
      <c r="AT70" s="11" t="n">
        <v>1.82386233747293</v>
      </c>
      <c r="AU70" s="11" t="n">
        <v>1.81332040501226</v>
      </c>
    </row>
    <row r="71" customFormat="false" ht="15" hidden="false" customHeight="false" outlineLevel="0" collapsed="false">
      <c r="A71" s="10" t="n">
        <v>-54</v>
      </c>
      <c r="B71" s="8" t="n">
        <v>43097</v>
      </c>
      <c r="C71" s="11" t="n">
        <v>0.42910484078515</v>
      </c>
      <c r="D71" s="11" t="n">
        <v>0.473718800620141</v>
      </c>
      <c r="E71" s="11" t="n">
        <v>0.524587692108727</v>
      </c>
      <c r="F71" s="11" t="n">
        <v>0.579195058147689</v>
      </c>
      <c r="G71" s="11" t="n">
        <v>0.635731838344088</v>
      </c>
      <c r="H71" s="11" t="n">
        <v>0.692970508947759</v>
      </c>
      <c r="I71" s="11" t="n">
        <v>0.750079669249827</v>
      </c>
      <c r="J71" s="11" t="n">
        <v>0.806535257304946</v>
      </c>
      <c r="K71" s="11" t="n">
        <v>0.862050593576351</v>
      </c>
      <c r="L71" s="11" t="n">
        <v>0.916498773360869</v>
      </c>
      <c r="M71" s="11" t="n">
        <v>0.969837425375137</v>
      </c>
      <c r="N71" s="11" t="n">
        <v>1.02206104222954</v>
      </c>
      <c r="O71" s="11" t="n">
        <v>1.58053129024218</v>
      </c>
      <c r="P71" s="11" t="n">
        <v>1.61229350432722</v>
      </c>
      <c r="Q71" s="11" t="n">
        <v>1.6422669142081</v>
      </c>
      <c r="R71" s="11" t="n">
        <v>1.67044673636824</v>
      </c>
      <c r="S71" s="11" t="n">
        <v>1.6968363279971</v>
      </c>
      <c r="T71" s="11" t="n">
        <v>1.72144600017903</v>
      </c>
      <c r="U71" s="11" t="n">
        <v>1.74429199199432</v>
      </c>
      <c r="V71" s="11" t="n">
        <v>1.76539547718314</v>
      </c>
      <c r="W71" s="11" t="n">
        <v>1.7847815336091</v>
      </c>
      <c r="X71" s="11" t="n">
        <v>1.80247851484535</v>
      </c>
      <c r="Y71" s="11" t="n">
        <v>1.81851706038065</v>
      </c>
      <c r="Z71" s="11" t="n">
        <v>1.83292849247838</v>
      </c>
      <c r="AA71" s="11" t="n">
        <v>1.84574439738401</v>
      </c>
      <c r="AB71" s="11" t="n">
        <v>1.85699659088953</v>
      </c>
      <c r="AC71" s="11" t="n">
        <v>1.86671709100396</v>
      </c>
      <c r="AD71" s="11" t="n">
        <v>1.87493804729239</v>
      </c>
      <c r="AE71" s="11" t="n">
        <v>1.88169134273503</v>
      </c>
      <c r="AF71" s="11" t="n">
        <v>1.88700858750741</v>
      </c>
      <c r="AG71" s="11" t="n">
        <v>1.89092178712818</v>
      </c>
      <c r="AH71" s="11" t="n">
        <v>1.89346368748631</v>
      </c>
      <c r="AI71" s="11" t="n">
        <v>1.89466950633717</v>
      </c>
      <c r="AJ71" s="11" t="n">
        <v>1.89457814338122</v>
      </c>
      <c r="AK71" s="11" t="n">
        <v>1.89323191226298</v>
      </c>
      <c r="AL71" s="11" t="n">
        <v>1.89067639546104</v>
      </c>
      <c r="AM71" s="11" t="n">
        <v>1.88696174887833</v>
      </c>
      <c r="AN71" s="11" t="n">
        <v>1.88214361126647</v>
      </c>
      <c r="AO71" s="11" t="n">
        <v>1.87628292677496</v>
      </c>
      <c r="AP71" s="11" t="n">
        <v>1.86944578263619</v>
      </c>
      <c r="AQ71" s="11" t="n">
        <v>1.86170273870833</v>
      </c>
      <c r="AR71" s="11" t="n">
        <v>1.8531280629925</v>
      </c>
      <c r="AS71" s="11" t="n">
        <v>1.84379935782503</v>
      </c>
      <c r="AT71" s="11" t="n">
        <v>1.83379721083605</v>
      </c>
      <c r="AU71" s="11" t="n">
        <v>1.82320431333988</v>
      </c>
    </row>
    <row r="72" customFormat="false" ht="15" hidden="false" customHeight="false" outlineLevel="0" collapsed="false">
      <c r="A72" s="10" t="n">
        <v>-53</v>
      </c>
      <c r="B72" s="8" t="n">
        <v>43098</v>
      </c>
      <c r="C72" s="11" t="n">
        <v>0.42498385702752</v>
      </c>
      <c r="D72" s="11" t="n">
        <v>0.468570952215856</v>
      </c>
      <c r="E72" s="11" t="n">
        <v>0.518943832697279</v>
      </c>
      <c r="F72" s="11" t="n">
        <v>0.573362637347768</v>
      </c>
      <c r="G72" s="11" t="n">
        <v>0.629886963319878</v>
      </c>
      <c r="H72" s="11" t="n">
        <v>0.687199458266694</v>
      </c>
      <c r="I72" s="11" t="n">
        <v>0.744408650690347</v>
      </c>
      <c r="J72" s="11" t="n">
        <v>0.80095015622006</v>
      </c>
      <c r="K72" s="11" t="n">
        <v>0.856510546664766</v>
      </c>
      <c r="L72" s="11" t="n">
        <v>0.910947415508307</v>
      </c>
      <c r="M72" s="11" t="n">
        <v>0.964208877168038</v>
      </c>
      <c r="N72" s="11" t="n">
        <v>1.01628383039186</v>
      </c>
      <c r="O72" s="11" t="n">
        <v>1.56799029982869</v>
      </c>
      <c r="P72" s="11" t="n">
        <v>1.59915780854086</v>
      </c>
      <c r="Q72" s="11" t="n">
        <v>1.62856308751808</v>
      </c>
      <c r="R72" s="11" t="n">
        <v>1.65620405084859</v>
      </c>
      <c r="S72" s="11" t="n">
        <v>1.6820860079643</v>
      </c>
      <c r="T72" s="11" t="n">
        <v>1.70622059609036</v>
      </c>
      <c r="U72" s="11" t="n">
        <v>1.72862484821578</v>
      </c>
      <c r="V72" s="11" t="n">
        <v>1.74932036256626</v>
      </c>
      <c r="W72" s="11" t="n">
        <v>1.76833253461973</v>
      </c>
      <c r="X72" s="11" t="n">
        <v>1.78568999498754</v>
      </c>
      <c r="Y72" s="11" t="n">
        <v>1.80142352080557</v>
      </c>
      <c r="Z72" s="11" t="n">
        <v>1.81556427976417</v>
      </c>
      <c r="AA72" s="11" t="n">
        <v>1.82814342380693</v>
      </c>
      <c r="AB72" s="11" t="n">
        <v>1.83919208901747</v>
      </c>
      <c r="AC72" s="11" t="n">
        <v>1.84874139749875</v>
      </c>
      <c r="AD72" s="11" t="n">
        <v>1.85682238325205</v>
      </c>
      <c r="AE72" s="11" t="n">
        <v>1.86346542205834</v>
      </c>
      <c r="AF72" s="11" t="n">
        <v>1.86870020823908</v>
      </c>
      <c r="AG72" s="11" t="n">
        <v>1.87255660344358</v>
      </c>
      <c r="AH72" s="11" t="n">
        <v>1.87506506045746</v>
      </c>
      <c r="AI72" s="11" t="n">
        <v>1.87625848440178</v>
      </c>
      <c r="AJ72" s="11" t="n">
        <v>1.87617346461239</v>
      </c>
      <c r="AK72" s="11" t="n">
        <v>1.87485000106264</v>
      </c>
      <c r="AL72" s="11" t="n">
        <v>1.87233138721421</v>
      </c>
      <c r="AM72" s="11" t="n">
        <v>1.86866563893993</v>
      </c>
      <c r="AN72" s="11" t="n">
        <v>1.86390642909535</v>
      </c>
      <c r="AO72" s="11" t="n">
        <v>1.85811290914153</v>
      </c>
      <c r="AP72" s="11" t="n">
        <v>1.85134954024375</v>
      </c>
      <c r="AQ72" s="11" t="n">
        <v>1.84368541538021</v>
      </c>
      <c r="AR72" s="11" t="n">
        <v>1.83519351043539</v>
      </c>
      <c r="AS72" s="11" t="n">
        <v>1.82595030246054</v>
      </c>
      <c r="AT72" s="11" t="n">
        <v>1.81603540573626</v>
      </c>
      <c r="AU72" s="11" t="n">
        <v>1.80553069533385</v>
      </c>
    </row>
    <row r="73" customFormat="false" ht="15" hidden="false" customHeight="false" outlineLevel="0" collapsed="false">
      <c r="A73" s="10" t="n">
        <v>-52</v>
      </c>
      <c r="B73" s="8" t="n">
        <v>43102</v>
      </c>
      <c r="C73" s="11" t="n">
        <v>0.490649403489402</v>
      </c>
      <c r="D73" s="11" t="n">
        <v>0.535287893576603</v>
      </c>
      <c r="E73" s="11" t="n">
        <v>0.58729324023836</v>
      </c>
      <c r="F73" s="11" t="n">
        <v>0.643725875197477</v>
      </c>
      <c r="G73" s="11" t="n">
        <v>0.702509410382543</v>
      </c>
      <c r="H73" s="11" t="n">
        <v>0.762216189639643</v>
      </c>
      <c r="I73" s="11" t="n">
        <v>0.821863041691217</v>
      </c>
      <c r="J73" s="11" t="n">
        <v>0.880806640567537</v>
      </c>
      <c r="K73" s="11" t="n">
        <v>0.938662835544401</v>
      </c>
      <c r="L73" s="11" t="n">
        <v>0.995225777888161</v>
      </c>
      <c r="M73" s="11" t="n">
        <v>1.05039123798152</v>
      </c>
      <c r="N73" s="11" t="n">
        <v>1.10410813405433</v>
      </c>
      <c r="O73" s="11" t="n">
        <v>1.65648003561796</v>
      </c>
      <c r="P73" s="11" t="n">
        <v>1.68698478926267</v>
      </c>
      <c r="Q73" s="11" t="n">
        <v>1.71573769445349</v>
      </c>
      <c r="R73" s="11" t="n">
        <v>1.74274719399762</v>
      </c>
      <c r="S73" s="11" t="n">
        <v>1.76802637650077</v>
      </c>
      <c r="T73" s="11" t="n">
        <v>1.79159231911002</v>
      </c>
      <c r="U73" s="11" t="n">
        <v>1.81346550050471</v>
      </c>
      <c r="V73" s="11" t="n">
        <v>1.8336692967933</v>
      </c>
      <c r="W73" s="11" t="n">
        <v>1.85222953883236</v>
      </c>
      <c r="X73" s="11" t="n">
        <v>1.86917415575509</v>
      </c>
      <c r="Y73" s="11" t="n">
        <v>1.88453230622491</v>
      </c>
      <c r="Z73" s="11" t="n">
        <v>1.89833291289556</v>
      </c>
      <c r="AA73" s="11" t="n">
        <v>1.91060438033301</v>
      </c>
      <c r="AB73" s="11" t="n">
        <v>1.92137465650018</v>
      </c>
      <c r="AC73" s="11" t="n">
        <v>1.9306712871063</v>
      </c>
      <c r="AD73" s="11" t="n">
        <v>1.93852140310805</v>
      </c>
      <c r="AE73" s="11" t="n">
        <v>1.9449513234393</v>
      </c>
      <c r="AF73" s="11" t="n">
        <v>1.94998668275681</v>
      </c>
      <c r="AG73" s="11" t="n">
        <v>1.95365333920894</v>
      </c>
      <c r="AH73" s="11" t="n">
        <v>1.95597783161407</v>
      </c>
      <c r="AI73" s="11" t="n">
        <v>1.956989431287</v>
      </c>
      <c r="AJ73" s="11" t="n">
        <v>1.95672148010808</v>
      </c>
      <c r="AK73" s="11" t="n">
        <v>1.95521108516397</v>
      </c>
      <c r="AL73" s="11" t="n">
        <v>1.95249898774735</v>
      </c>
      <c r="AM73" s="11" t="n">
        <v>1.94863109891305</v>
      </c>
      <c r="AN73" s="11" t="n">
        <v>1.94365948575096</v>
      </c>
      <c r="AO73" s="11" t="n">
        <v>1.93764218654886</v>
      </c>
      <c r="AP73" s="11" t="n">
        <v>1.93064303815118</v>
      </c>
      <c r="AQ73" s="11" t="n">
        <v>1.922730934099</v>
      </c>
      <c r="AR73" s="11" t="n">
        <v>1.91397900825834</v>
      </c>
      <c r="AS73" s="11" t="n">
        <v>1.90446421887427</v>
      </c>
      <c r="AT73" s="11" t="n">
        <v>1.89426695097861</v>
      </c>
      <c r="AU73" s="11" t="n">
        <v>1.88347007209638</v>
      </c>
    </row>
    <row r="74" customFormat="false" ht="15" hidden="false" customHeight="false" outlineLevel="0" collapsed="false">
      <c r="A74" s="10" t="n">
        <v>-51</v>
      </c>
      <c r="B74" s="8" t="n">
        <v>43103</v>
      </c>
      <c r="C74" s="11" t="n">
        <v>0.4599242136879</v>
      </c>
      <c r="D74" s="11" t="n">
        <v>0.499151696129284</v>
      </c>
      <c r="E74" s="11" t="n">
        <v>0.54665040940881</v>
      </c>
      <c r="F74" s="11" t="n">
        <v>0.599332539240354</v>
      </c>
      <c r="G74" s="11" t="n">
        <v>0.654969498041252</v>
      </c>
      <c r="H74" s="11" t="n">
        <v>0.712005574723315</v>
      </c>
      <c r="I74" s="11" t="n">
        <v>0.769363468052037</v>
      </c>
      <c r="J74" s="11" t="n">
        <v>0.826335991548753</v>
      </c>
      <c r="K74" s="11" t="n">
        <v>0.882495953689368</v>
      </c>
      <c r="L74" s="11" t="n">
        <v>0.937608359680622</v>
      </c>
      <c r="M74" s="11" t="n">
        <v>0.99154831807665</v>
      </c>
      <c r="N74" s="11" t="n">
        <v>1.04424840340708</v>
      </c>
      <c r="O74" s="11" t="n">
        <v>1.59532371000812</v>
      </c>
      <c r="P74" s="11" t="n">
        <v>1.62607573265934</v>
      </c>
      <c r="Q74" s="11" t="n">
        <v>1.65505654256296</v>
      </c>
      <c r="R74" s="11" t="n">
        <v>1.68226744613652</v>
      </c>
      <c r="S74" s="11" t="n">
        <v>1.70771625710416</v>
      </c>
      <c r="T74" s="11" t="n">
        <v>1.73141636698587</v>
      </c>
      <c r="U74" s="11" t="n">
        <v>1.75338592751502</v>
      </c>
      <c r="V74" s="11" t="n">
        <v>1.77364727425555</v>
      </c>
      <c r="W74" s="11" t="n">
        <v>1.79222657237348</v>
      </c>
      <c r="X74" s="11" t="n">
        <v>1.80915333158852</v>
      </c>
      <c r="Y74" s="11" t="n">
        <v>1.82445915837946</v>
      </c>
      <c r="Z74" s="11" t="n">
        <v>1.83817572558268</v>
      </c>
      <c r="AA74" s="11" t="n">
        <v>1.85033434999437</v>
      </c>
      <c r="AB74" s="11" t="n">
        <v>1.86096603363314</v>
      </c>
      <c r="AC74" s="11" t="n">
        <v>1.87010150119453</v>
      </c>
      <c r="AD74" s="11" t="n">
        <v>1.87777111430889</v>
      </c>
      <c r="AE74" s="11" t="n">
        <v>1.88400403461314</v>
      </c>
      <c r="AF74" s="11" t="n">
        <v>1.88882815424404</v>
      </c>
      <c r="AG74" s="11" t="n">
        <v>1.89227121487916</v>
      </c>
      <c r="AH74" s="11" t="n">
        <v>1.89436135049553</v>
      </c>
      <c r="AI74" s="11" t="n">
        <v>1.89512920240694</v>
      </c>
      <c r="AJ74" s="11" t="n">
        <v>1.89460928595986</v>
      </c>
      <c r="AK74" s="11" t="n">
        <v>1.89283970342911</v>
      </c>
      <c r="AL74" s="11" t="n">
        <v>1.88986204432135</v>
      </c>
      <c r="AM74" s="11" t="n">
        <v>1.88572301473065</v>
      </c>
      <c r="AN74" s="11" t="n">
        <v>1.88047547518301</v>
      </c>
      <c r="AO74" s="11" t="n">
        <v>1.87417830102945</v>
      </c>
      <c r="AP74" s="11" t="n">
        <v>1.86689625968654</v>
      </c>
      <c r="AQ74" s="11" t="n">
        <v>1.8586992874333</v>
      </c>
      <c r="AR74" s="11" t="n">
        <v>1.84966169567789</v>
      </c>
      <c r="AS74" s="11" t="n">
        <v>1.83986174845569</v>
      </c>
      <c r="AT74" s="11" t="n">
        <v>1.82938125876919</v>
      </c>
      <c r="AU74" s="11" t="n">
        <v>1.81830467207195</v>
      </c>
    </row>
    <row r="75" customFormat="false" ht="15" hidden="false" customHeight="false" outlineLevel="0" collapsed="false">
      <c r="A75" s="10" t="n">
        <v>-50</v>
      </c>
      <c r="B75" s="8" t="n">
        <v>43104</v>
      </c>
      <c r="C75" s="11" t="n">
        <v>0.486352337262412</v>
      </c>
      <c r="D75" s="11" t="n">
        <v>0.524028657509786</v>
      </c>
      <c r="E75" s="11" t="n">
        <v>0.569993197669985</v>
      </c>
      <c r="F75" s="11" t="n">
        <v>0.621419007038457</v>
      </c>
      <c r="G75" s="11" t="n">
        <v>0.676153210662698</v>
      </c>
      <c r="H75" s="11" t="n">
        <v>0.732617722059287</v>
      </c>
      <c r="I75" s="11" t="n">
        <v>0.789676836526065</v>
      </c>
      <c r="J75" s="11" t="n">
        <v>0.846558264088121</v>
      </c>
      <c r="K75" s="11" t="n">
        <v>0.902772739973371</v>
      </c>
      <c r="L75" s="11" t="n">
        <v>0.958029254404484</v>
      </c>
      <c r="M75" s="11" t="n">
        <v>1.01215521761502</v>
      </c>
      <c r="N75" s="11" t="n">
        <v>1.06504304273771</v>
      </c>
      <c r="O75" s="11" t="n">
        <v>1.61340739846785</v>
      </c>
      <c r="P75" s="11" t="n">
        <v>1.64370283057297</v>
      </c>
      <c r="Q75" s="11" t="n">
        <v>1.67223618563697</v>
      </c>
      <c r="R75" s="11" t="n">
        <v>1.69901493259705</v>
      </c>
      <c r="S75" s="11" t="n">
        <v>1.72405154175509</v>
      </c>
      <c r="T75" s="11" t="n">
        <v>1.74736276537161</v>
      </c>
      <c r="U75" s="11" t="n">
        <v>1.76896900856237</v>
      </c>
      <c r="V75" s="11" t="n">
        <v>1.78889382996816</v>
      </c>
      <c r="W75" s="11" t="n">
        <v>1.80716355242604</v>
      </c>
      <c r="X75" s="11" t="n">
        <v>1.8238068824229</v>
      </c>
      <c r="Y75" s="11" t="n">
        <v>1.8388539107756</v>
      </c>
      <c r="Z75" s="11" t="n">
        <v>1.85233445832336</v>
      </c>
      <c r="AA75" s="11" t="n">
        <v>1.86427776711667</v>
      </c>
      <c r="AB75" s="11" t="n">
        <v>1.87471256929595</v>
      </c>
      <c r="AC75" s="11" t="n">
        <v>1.8836671477789</v>
      </c>
      <c r="AD75" s="11" t="n">
        <v>1.8911693021454</v>
      </c>
      <c r="AE75" s="11" t="n">
        <v>1.89724577359381</v>
      </c>
      <c r="AF75" s="11" t="n">
        <v>1.90192233916874</v>
      </c>
      <c r="AG75" s="11" t="n">
        <v>1.90522487395063</v>
      </c>
      <c r="AH75" s="11" t="n">
        <v>1.9071798637206</v>
      </c>
      <c r="AI75" s="11" t="n">
        <v>1.90781652609645</v>
      </c>
      <c r="AJ75" s="11" t="n">
        <v>1.9071681565982</v>
      </c>
      <c r="AK75" s="11" t="n">
        <v>1.90527181956335</v>
      </c>
      <c r="AL75" s="11" t="n">
        <v>1.90216823699294</v>
      </c>
      <c r="AM75" s="11" t="n">
        <v>1.89790342124067</v>
      </c>
      <c r="AN75" s="11" t="n">
        <v>1.89252969591856</v>
      </c>
      <c r="AO75" s="11" t="n">
        <v>1.88610557210116</v>
      </c>
      <c r="AP75" s="11" t="n">
        <v>1.87869564456923</v>
      </c>
      <c r="AQ75" s="11" t="n">
        <v>1.87036983303252</v>
      </c>
      <c r="AR75" s="11" t="n">
        <v>1.86120254928236</v>
      </c>
      <c r="AS75" s="11" t="n">
        <v>1.85127226193797</v>
      </c>
      <c r="AT75" s="11" t="n">
        <v>1.84066108554633</v>
      </c>
      <c r="AU75" s="11" t="n">
        <v>1.82945386929397</v>
      </c>
    </row>
    <row r="76" customFormat="false" ht="15" hidden="false" customHeight="false" outlineLevel="0" collapsed="false">
      <c r="A76" s="10" t="n">
        <v>-49</v>
      </c>
      <c r="B76" s="8" t="n">
        <v>43105</v>
      </c>
      <c r="C76" s="11" t="n">
        <v>0.489813619040722</v>
      </c>
      <c r="D76" s="11" t="n">
        <v>0.527018890861642</v>
      </c>
      <c r="E76" s="11" t="n">
        <v>0.572439410674159</v>
      </c>
      <c r="F76" s="11" t="n">
        <v>0.62335807272113</v>
      </c>
      <c r="G76" s="11" t="n">
        <v>0.677682778218695</v>
      </c>
      <c r="H76" s="11" t="n">
        <v>0.733856621673854</v>
      </c>
      <c r="I76" s="11" t="n">
        <v>0.790744567725571</v>
      </c>
      <c r="J76" s="11" t="n">
        <v>0.847566277189493</v>
      </c>
      <c r="K76" s="11" t="n">
        <v>0.903816307209111</v>
      </c>
      <c r="L76" s="11" t="n">
        <v>0.959183980509947</v>
      </c>
      <c r="M76" s="11" t="n">
        <v>1.01347585459058</v>
      </c>
      <c r="N76" s="11" t="n">
        <v>1.06656319417925</v>
      </c>
      <c r="O76" s="11" t="n">
        <v>1.6158850988399</v>
      </c>
      <c r="P76" s="11" t="n">
        <v>1.64600259631009</v>
      </c>
      <c r="Q76" s="11" t="n">
        <v>1.67432472945533</v>
      </c>
      <c r="R76" s="11" t="n">
        <v>1.70086258776521</v>
      </c>
      <c r="S76" s="11" t="n">
        <v>1.72563276017877</v>
      </c>
      <c r="T76" s="11" t="n">
        <v>1.74865653732431</v>
      </c>
      <c r="U76" s="11" t="n">
        <v>1.76995921983737</v>
      </c>
      <c r="V76" s="11" t="n">
        <v>1.78956953645904</v>
      </c>
      <c r="W76" s="11" t="n">
        <v>1.80751914906116</v>
      </c>
      <c r="X76" s="11" t="n">
        <v>1.82384222512244</v>
      </c>
      <c r="Y76" s="11" t="n">
        <v>1.83857416935807</v>
      </c>
      <c r="Z76" s="11" t="n">
        <v>1.85174951631643</v>
      </c>
      <c r="AA76" s="11" t="n">
        <v>1.86340160495544</v>
      </c>
      <c r="AB76" s="11" t="n">
        <v>1.87356272256856</v>
      </c>
      <c r="AC76" s="11" t="n">
        <v>1.88226422994163</v>
      </c>
      <c r="AD76" s="11" t="n">
        <v>1.88953652318682</v>
      </c>
      <c r="AE76" s="11" t="n">
        <v>1.89540812215922</v>
      </c>
      <c r="AF76" s="11" t="n">
        <v>1.8999057045133</v>
      </c>
      <c r="AG76" s="11" t="n">
        <v>1.90305545258253</v>
      </c>
      <c r="AH76" s="11" t="n">
        <v>1.90488368809467</v>
      </c>
      <c r="AI76" s="11" t="n">
        <v>1.90541910524915</v>
      </c>
      <c r="AJ76" s="11" t="n">
        <v>1.9046941413141</v>
      </c>
      <c r="AK76" s="11" t="n">
        <v>1.90274469525863</v>
      </c>
      <c r="AL76" s="11" t="n">
        <v>1.89961007094392</v>
      </c>
      <c r="AM76" s="11" t="n">
        <v>1.89533472527599</v>
      </c>
      <c r="AN76" s="11" t="n">
        <v>1.88996931878019</v>
      </c>
      <c r="AO76" s="11" t="n">
        <v>1.88357062585935</v>
      </c>
      <c r="AP76" s="11" t="n">
        <v>1.87620145471941</v>
      </c>
      <c r="AQ76" s="11" t="n">
        <v>1.86792988765258</v>
      </c>
      <c r="AR76" s="11" t="n">
        <v>1.85882845920696</v>
      </c>
      <c r="AS76" s="11" t="n">
        <v>1.84897372728397</v>
      </c>
      <c r="AT76" s="11" t="n">
        <v>1.83844586097718</v>
      </c>
      <c r="AU76" s="11" t="n">
        <v>1.82732772283717</v>
      </c>
    </row>
    <row r="77" customFormat="false" ht="15" hidden="false" customHeight="false" outlineLevel="0" collapsed="false">
      <c r="A77" s="10" t="n">
        <v>-48</v>
      </c>
      <c r="B77" s="8" t="n">
        <v>43108</v>
      </c>
      <c r="C77" s="11" t="n">
        <v>0.493597886790514</v>
      </c>
      <c r="D77" s="11" t="n">
        <v>0.530251361581966</v>
      </c>
      <c r="E77" s="11" t="n">
        <v>0.574877429366615</v>
      </c>
      <c r="F77" s="11" t="n">
        <v>0.624801689778311</v>
      </c>
      <c r="G77" s="11" t="n">
        <v>0.67797219675665</v>
      </c>
      <c r="H77" s="11" t="n">
        <v>0.732870814774808</v>
      </c>
      <c r="I77" s="11" t="n">
        <v>0.788402562632381</v>
      </c>
      <c r="J77" s="11" t="n">
        <v>0.843826342575878</v>
      </c>
      <c r="K77" s="11" t="n">
        <v>0.898672032844617</v>
      </c>
      <c r="L77" s="11" t="n">
        <v>0.952660101262063</v>
      </c>
      <c r="M77" s="11" t="n">
        <v>1.00562286843887</v>
      </c>
      <c r="N77" s="11" t="n">
        <v>1.05745193154077</v>
      </c>
      <c r="O77" s="11" t="n">
        <v>1.59751796239358</v>
      </c>
      <c r="P77" s="11" t="n">
        <v>1.627267658661</v>
      </c>
      <c r="Q77" s="11" t="n">
        <v>1.65524482767433</v>
      </c>
      <c r="R77" s="11" t="n">
        <v>1.68145827515748</v>
      </c>
      <c r="S77" s="11" t="n">
        <v>1.70592290073683</v>
      </c>
      <c r="T77" s="11" t="n">
        <v>1.72865880943743</v>
      </c>
      <c r="U77" s="11" t="n">
        <v>1.74969054497243</v>
      </c>
      <c r="V77" s="11" t="n">
        <v>1.76904641403031</v>
      </c>
      <c r="W77" s="11" t="n">
        <v>1.78675787795641</v>
      </c>
      <c r="X77" s="11" t="n">
        <v>1.8028590771658</v>
      </c>
      <c r="Y77" s="11" t="n">
        <v>1.81738544458695</v>
      </c>
      <c r="Z77" s="11" t="n">
        <v>1.83037141933166</v>
      </c>
      <c r="AA77" s="11" t="n">
        <v>1.84185010476896</v>
      </c>
      <c r="AB77" s="11" t="n">
        <v>1.85185342950043</v>
      </c>
      <c r="AC77" s="11" t="n">
        <v>1.86041228716176</v>
      </c>
      <c r="AD77" s="11" t="n">
        <v>1.86755649574775</v>
      </c>
      <c r="AE77" s="11" t="n">
        <v>1.87331380903437</v>
      </c>
      <c r="AF77" s="11" t="n">
        <v>1.87770994169655</v>
      </c>
      <c r="AG77" s="11" t="n">
        <v>1.88076997307908</v>
      </c>
      <c r="AH77" s="11" t="n">
        <v>1.88251900842252</v>
      </c>
      <c r="AI77" s="11" t="n">
        <v>1.88298443862901</v>
      </c>
      <c r="AJ77" s="11" t="n">
        <v>1.88219731111717</v>
      </c>
      <c r="AK77" s="11" t="n">
        <v>1.88019205499184</v>
      </c>
      <c r="AL77" s="11" t="n">
        <v>1.87700644461229</v>
      </c>
      <c r="AM77" s="11" t="n">
        <v>1.87268341360415</v>
      </c>
      <c r="AN77" s="11" t="n">
        <v>1.8672721331586</v>
      </c>
      <c r="AO77" s="11" t="n">
        <v>1.8608279570841</v>
      </c>
      <c r="AP77" s="11" t="n">
        <v>1.8534123798117</v>
      </c>
      <c r="AQ77" s="11" t="n">
        <v>1.84509232690339</v>
      </c>
      <c r="AR77" s="11" t="n">
        <v>1.83593939410841</v>
      </c>
      <c r="AS77" s="11" t="n">
        <v>1.82602940957371</v>
      </c>
      <c r="AT77" s="11" t="n">
        <v>1.81544201284202</v>
      </c>
      <c r="AU77" s="11" t="n">
        <v>1.80425978761616</v>
      </c>
    </row>
    <row r="78" customFormat="false" ht="15" hidden="false" customHeight="false" outlineLevel="0" collapsed="false">
      <c r="A78" s="10" t="n">
        <v>-47</v>
      </c>
      <c r="B78" s="8" t="n">
        <v>43109</v>
      </c>
      <c r="C78" s="11" t="n">
        <v>0.524960991230215</v>
      </c>
      <c r="D78" s="11" t="n">
        <v>0.56286715656439</v>
      </c>
      <c r="E78" s="11" t="n">
        <v>0.609144627660861</v>
      </c>
      <c r="F78" s="11" t="n">
        <v>0.660885972023922</v>
      </c>
      <c r="G78" s="11" t="n">
        <v>0.715912460099839</v>
      </c>
      <c r="H78" s="11" t="n">
        <v>0.772645099862524</v>
      </c>
      <c r="I78" s="11" t="n">
        <v>0.8299560019535</v>
      </c>
      <c r="J78" s="11" t="n">
        <v>0.887079643079214</v>
      </c>
      <c r="K78" s="11" t="n">
        <v>0.943522392315897</v>
      </c>
      <c r="L78" s="11" t="n">
        <v>0.998980955520349</v>
      </c>
      <c r="M78" s="11" t="n">
        <v>1.05326742398719</v>
      </c>
      <c r="N78" s="11" t="n">
        <v>1.10625882298446</v>
      </c>
      <c r="O78" s="11" t="n">
        <v>1.64932048256475</v>
      </c>
      <c r="P78" s="11" t="n">
        <v>1.67877628947</v>
      </c>
      <c r="Q78" s="11" t="n">
        <v>1.70644250719073</v>
      </c>
      <c r="R78" s="11" t="n">
        <v>1.73233651825334</v>
      </c>
      <c r="S78" s="11" t="n">
        <v>1.75648040734818</v>
      </c>
      <c r="T78" s="11" t="n">
        <v>1.77890026522488</v>
      </c>
      <c r="U78" s="11" t="n">
        <v>1.79962559465978</v>
      </c>
      <c r="V78" s="11" t="n">
        <v>1.81868865820628</v>
      </c>
      <c r="W78" s="11" t="n">
        <v>1.83612375964926</v>
      </c>
      <c r="X78" s="11" t="n">
        <v>1.85196686396098</v>
      </c>
      <c r="Y78" s="11" t="n">
        <v>1.86625434115601</v>
      </c>
      <c r="Z78" s="11" t="n">
        <v>1.87902081271395</v>
      </c>
      <c r="AA78" s="11" t="n">
        <v>1.89029891436593</v>
      </c>
      <c r="AB78" s="11" t="n">
        <v>1.90011953647264</v>
      </c>
      <c r="AC78" s="11" t="n">
        <v>1.90851203174992</v>
      </c>
      <c r="AD78" s="11" t="n">
        <v>1.91550423798767</v>
      </c>
      <c r="AE78" s="11" t="n">
        <v>1.9211215903999</v>
      </c>
      <c r="AF78" s="11" t="n">
        <v>1.92538723042779</v>
      </c>
      <c r="AG78" s="11" t="n">
        <v>1.92832342916545</v>
      </c>
      <c r="AH78" s="11" t="n">
        <v>1.92995228757876</v>
      </c>
      <c r="AI78" s="11" t="n">
        <v>1.9302981250373</v>
      </c>
      <c r="AJ78" s="11" t="n">
        <v>1.92938891396426</v>
      </c>
      <c r="AK78" s="11" t="n">
        <v>1.9272560069193</v>
      </c>
      <c r="AL78" s="11" t="n">
        <v>1.92393412500558</v>
      </c>
      <c r="AM78" s="11" t="n">
        <v>1.91946331430278</v>
      </c>
      <c r="AN78" s="11" t="n">
        <v>1.91389009726453</v>
      </c>
      <c r="AO78" s="11" t="n">
        <v>1.90726745259912</v>
      </c>
      <c r="AP78" s="11" t="n">
        <v>1.899654813336</v>
      </c>
      <c r="AQ78" s="11" t="n">
        <v>1.89111742778216</v>
      </c>
      <c r="AR78" s="11" t="n">
        <v>1.88172568361295</v>
      </c>
      <c r="AS78" s="11" t="n">
        <v>1.87155464462031</v>
      </c>
      <c r="AT78" s="11" t="n">
        <v>1.86068360612475</v>
      </c>
      <c r="AU78" s="11" t="n">
        <v>1.84919529573942</v>
      </c>
    </row>
    <row r="79" customFormat="false" ht="15" hidden="false" customHeight="false" outlineLevel="0" collapsed="false">
      <c r="A79" s="10" t="n">
        <v>-46</v>
      </c>
      <c r="B79" s="8" t="n">
        <v>43110</v>
      </c>
      <c r="C79" s="11" t="n">
        <v>0.533245473228577</v>
      </c>
      <c r="D79" s="11" t="n">
        <v>0.570949941430397</v>
      </c>
      <c r="E79" s="11" t="n">
        <v>0.617207381397132</v>
      </c>
      <c r="F79" s="11" t="n">
        <v>0.669009902492616</v>
      </c>
      <c r="G79" s="11" t="n">
        <v>0.724139411700305</v>
      </c>
      <c r="H79" s="11" t="n">
        <v>0.781013988456644</v>
      </c>
      <c r="I79" s="11" t="n">
        <v>0.838516595885062</v>
      </c>
      <c r="J79" s="11" t="n">
        <v>0.895891517605626</v>
      </c>
      <c r="K79" s="11" t="n">
        <v>0.952649191817994</v>
      </c>
      <c r="L79" s="11" t="n">
        <v>1.00848434626089</v>
      </c>
      <c r="M79" s="11" t="n">
        <v>1.0632014011953</v>
      </c>
      <c r="N79" s="11" t="n">
        <v>1.11666499264437</v>
      </c>
      <c r="O79" s="11" t="n">
        <v>1.66355220105321</v>
      </c>
      <c r="P79" s="11" t="n">
        <v>1.69298911355501</v>
      </c>
      <c r="Q79" s="11" t="n">
        <v>1.72060653517935</v>
      </c>
      <c r="R79" s="11" t="n">
        <v>1.7464259846565</v>
      </c>
      <c r="S79" s="11" t="n">
        <v>1.77047335088126</v>
      </c>
      <c r="T79" s="11" t="n">
        <v>1.79277824363779</v>
      </c>
      <c r="U79" s="11" t="n">
        <v>1.8133734397126</v>
      </c>
      <c r="V79" s="11" t="n">
        <v>1.83229421051775</v>
      </c>
      <c r="W79" s="11" t="n">
        <v>1.84957753364833</v>
      </c>
      <c r="X79" s="11" t="n">
        <v>1.86526173494636</v>
      </c>
      <c r="Y79" s="11" t="n">
        <v>1.87938525722545</v>
      </c>
      <c r="Z79" s="11" t="n">
        <v>1.89198453654649</v>
      </c>
      <c r="AA79" s="11" t="n">
        <v>1.90309380190037</v>
      </c>
      <c r="AB79" s="11" t="n">
        <v>1.91274534268175</v>
      </c>
      <c r="AC79" s="11" t="n">
        <v>1.92096973952741</v>
      </c>
      <c r="AD79" s="11" t="n">
        <v>1.92779590098666</v>
      </c>
      <c r="AE79" s="11" t="n">
        <v>1.93325016988411</v>
      </c>
      <c r="AF79" s="11" t="n">
        <v>1.93735645866363</v>
      </c>
      <c r="AG79" s="11" t="n">
        <v>1.94013770693111</v>
      </c>
      <c r="AH79" s="11" t="n">
        <v>1.94161659699319</v>
      </c>
      <c r="AI79" s="11" t="n">
        <v>1.94181794361053</v>
      </c>
      <c r="AJ79" s="11" t="n">
        <v>1.94077011225851</v>
      </c>
      <c r="AK79" s="11" t="n">
        <v>1.93850475343302</v>
      </c>
      <c r="AL79" s="11" t="n">
        <v>1.93505680201714</v>
      </c>
      <c r="AM79" s="11" t="n">
        <v>1.93046641987983</v>
      </c>
      <c r="AN79" s="11" t="n">
        <v>1.92478012158457</v>
      </c>
      <c r="AO79" s="11" t="n">
        <v>1.9180507499651</v>
      </c>
      <c r="AP79" s="11" t="n">
        <v>1.91033746409211</v>
      </c>
      <c r="AQ79" s="11" t="n">
        <v>1.90170511111504</v>
      </c>
      <c r="AR79" s="11" t="n">
        <v>1.89222356611574</v>
      </c>
      <c r="AS79" s="11" t="n">
        <v>1.88196727931617</v>
      </c>
      <c r="AT79" s="11" t="n">
        <v>1.87101484048735</v>
      </c>
      <c r="AU79" s="11" t="n">
        <v>1.85944819587568</v>
      </c>
    </row>
    <row r="80" customFormat="false" ht="15" hidden="false" customHeight="false" outlineLevel="0" collapsed="false">
      <c r="A80" s="10" t="n">
        <v>-45</v>
      </c>
      <c r="B80" s="8" t="n">
        <v>43111</v>
      </c>
      <c r="C80" s="11" t="n">
        <v>0.561485755903381</v>
      </c>
      <c r="D80" s="11" t="n">
        <v>0.600221606664112</v>
      </c>
      <c r="E80" s="11" t="n">
        <v>0.646879517619618</v>
      </c>
      <c r="F80" s="11" t="n">
        <v>0.698758181980231</v>
      </c>
      <c r="G80" s="11" t="n">
        <v>0.753792790708908</v>
      </c>
      <c r="H80" s="11" t="n">
        <v>0.81048278810392</v>
      </c>
      <c r="I80" s="11" t="n">
        <v>0.867753472820271</v>
      </c>
      <c r="J80" s="11" t="n">
        <v>0.924867912942494</v>
      </c>
      <c r="K80" s="11" t="n">
        <v>0.981340801781412</v>
      </c>
      <c r="L80" s="11" t="n">
        <v>1.0368618499281</v>
      </c>
      <c r="M80" s="11" t="n">
        <v>1.09122705374674</v>
      </c>
      <c r="N80" s="11" t="n">
        <v>1.14429202642405</v>
      </c>
      <c r="O80" s="11" t="n">
        <v>1.68056801712724</v>
      </c>
      <c r="P80" s="11" t="n">
        <v>1.70899674780226</v>
      </c>
      <c r="Q80" s="11" t="n">
        <v>1.73564370546119</v>
      </c>
      <c r="R80" s="11" t="n">
        <v>1.7605422180072</v>
      </c>
      <c r="S80" s="11" t="n">
        <v>1.78372726195726</v>
      </c>
      <c r="T80" s="11" t="n">
        <v>1.805235179215</v>
      </c>
      <c r="U80" s="11" t="n">
        <v>1.82510346192811</v>
      </c>
      <c r="V80" s="11" t="n">
        <v>1.84337012734952</v>
      </c>
      <c r="W80" s="11" t="n">
        <v>1.86007273012679</v>
      </c>
      <c r="X80" s="11" t="n">
        <v>1.87524820594303</v>
      </c>
      <c r="Y80" s="11" t="n">
        <v>1.88893216020675</v>
      </c>
      <c r="Z80" s="11" t="n">
        <v>1.90115747237853</v>
      </c>
      <c r="AA80" s="11" t="n">
        <v>1.91195430614255</v>
      </c>
      <c r="AB80" s="11" t="n">
        <v>1.92135043942903</v>
      </c>
      <c r="AC80" s="11" t="n">
        <v>1.92937154838724</v>
      </c>
      <c r="AD80" s="11" t="n">
        <v>1.93604135228027</v>
      </c>
      <c r="AE80" s="11" t="n">
        <v>1.94138118747458</v>
      </c>
      <c r="AF80" s="11" t="n">
        <v>1.94541042389365</v>
      </c>
      <c r="AG80" s="11" t="n">
        <v>1.94814787168004</v>
      </c>
      <c r="AH80" s="11" t="n">
        <v>1.94961245106852</v>
      </c>
      <c r="AI80" s="11" t="n">
        <v>1.94982554754493</v>
      </c>
      <c r="AJ80" s="11" t="n">
        <v>1.9488123792618</v>
      </c>
      <c r="AK80" s="11" t="n">
        <v>1.9466017006499</v>
      </c>
      <c r="AL80" s="11" t="n">
        <v>1.94322577146516</v>
      </c>
      <c r="AM80" s="11" t="n">
        <v>1.93872220576956</v>
      </c>
      <c r="AN80" s="11" t="n">
        <v>1.93313501623873</v>
      </c>
      <c r="AO80" s="11" t="n">
        <v>1.92651456750567</v>
      </c>
      <c r="AP80" s="11" t="n">
        <v>1.9189175440429</v>
      </c>
      <c r="AQ80" s="11" t="n">
        <v>1.91040637674911</v>
      </c>
      <c r="AR80" s="11" t="n">
        <v>1.90104865095164</v>
      </c>
      <c r="AS80" s="11" t="n">
        <v>1.89091665165862</v>
      </c>
      <c r="AT80" s="11" t="n">
        <v>1.88008693099012</v>
      </c>
      <c r="AU80" s="11" t="n">
        <v>1.86863961052975</v>
      </c>
    </row>
    <row r="81" customFormat="false" ht="15" hidden="false" customHeight="false" outlineLevel="0" collapsed="false">
      <c r="A81" s="10" t="n">
        <v>-44</v>
      </c>
      <c r="B81" s="8" t="n">
        <v>43112</v>
      </c>
      <c r="C81" s="11" t="n">
        <v>0.596878381743669</v>
      </c>
      <c r="D81" s="11" t="n">
        <v>0.637018165828081</v>
      </c>
      <c r="E81" s="11" t="n">
        <v>0.684108149434728</v>
      </c>
      <c r="F81" s="11" t="n">
        <v>0.73580033612654</v>
      </c>
      <c r="G81" s="11" t="n">
        <v>0.79021368827059</v>
      </c>
      <c r="H81" s="11" t="n">
        <v>0.845971027443108</v>
      </c>
      <c r="I81" s="11" t="n">
        <v>0.90209378402956</v>
      </c>
      <c r="J81" s="11" t="n">
        <v>0.957924581184977</v>
      </c>
      <c r="K81" s="11" t="n">
        <v>1.01304502275893</v>
      </c>
      <c r="L81" s="11" t="n">
        <v>1.06719720230811</v>
      </c>
      <c r="M81" s="11" t="n">
        <v>1.12021363048348</v>
      </c>
      <c r="N81" s="11" t="n">
        <v>1.17197256416762</v>
      </c>
      <c r="O81" s="11" t="n">
        <v>1.69407773300446</v>
      </c>
      <c r="P81" s="11" t="n">
        <v>1.72165526877138</v>
      </c>
      <c r="Q81" s="11" t="n">
        <v>1.74751500084336</v>
      </c>
      <c r="R81" s="11" t="n">
        <v>1.77169392259205</v>
      </c>
      <c r="S81" s="11" t="n">
        <v>1.79422906431993</v>
      </c>
      <c r="T81" s="11" t="n">
        <v>1.81515744426468</v>
      </c>
      <c r="U81" s="11" t="n">
        <v>1.83451604972227</v>
      </c>
      <c r="V81" s="11" t="n">
        <v>1.85234122084202</v>
      </c>
      <c r="W81" s="11" t="n">
        <v>1.86866755256425</v>
      </c>
      <c r="X81" s="11" t="n">
        <v>1.88352786821109</v>
      </c>
      <c r="Y81" s="11" t="n">
        <v>1.89695284320995</v>
      </c>
      <c r="Z81" s="11" t="n">
        <v>1.90897011996319</v>
      </c>
      <c r="AA81" s="11" t="n">
        <v>1.91960445186363</v>
      </c>
      <c r="AB81" s="11" t="n">
        <v>1.92887805490486</v>
      </c>
      <c r="AC81" s="11" t="n">
        <v>1.93681090972422</v>
      </c>
      <c r="AD81" s="11" t="n">
        <v>1.94342097615567</v>
      </c>
      <c r="AE81" s="11" t="n">
        <v>1.94872415017096</v>
      </c>
      <c r="AF81" s="11" t="n">
        <v>1.95273486887159</v>
      </c>
      <c r="AG81" s="11" t="n">
        <v>1.95546736161424</v>
      </c>
      <c r="AH81" s="11" t="n">
        <v>1.95693628005603</v>
      </c>
      <c r="AI81" s="11" t="n">
        <v>1.9571591273475</v>
      </c>
      <c r="AJ81" s="11" t="n">
        <v>1.95615759954863</v>
      </c>
      <c r="AK81" s="11" t="n">
        <v>1.95395724930802</v>
      </c>
      <c r="AL81" s="11" t="n">
        <v>1.95058745087079</v>
      </c>
      <c r="AM81" s="11" t="n">
        <v>1.94608330601161</v>
      </c>
      <c r="AN81" s="11" t="n">
        <v>1.94048666053998</v>
      </c>
      <c r="AO81" s="11" t="n">
        <v>1.93384603102573</v>
      </c>
      <c r="AP81" s="11" t="n">
        <v>1.92621653855199</v>
      </c>
      <c r="AQ81" s="11" t="n">
        <v>1.91765935546042</v>
      </c>
      <c r="AR81" s="11" t="n">
        <v>1.90824114768631</v>
      </c>
      <c r="AS81" s="11" t="n">
        <v>1.89803359812737</v>
      </c>
      <c r="AT81" s="11" t="n">
        <v>1.88711295324238</v>
      </c>
      <c r="AU81" s="11" t="n">
        <v>1.8755593413483</v>
      </c>
    </row>
    <row r="82" customFormat="false" ht="15" hidden="false" customHeight="false" outlineLevel="0" collapsed="false">
      <c r="A82" s="10" t="n">
        <v>-43</v>
      </c>
      <c r="B82" s="8" t="n">
        <v>43115</v>
      </c>
      <c r="C82" s="11" t="n">
        <v>0.599295498206331</v>
      </c>
      <c r="D82" s="11" t="n">
        <v>0.638014790404527</v>
      </c>
      <c r="E82" s="11" t="n">
        <v>0.683552433412428</v>
      </c>
      <c r="F82" s="11" t="n">
        <v>0.7337178503871</v>
      </c>
      <c r="G82" s="11" t="n">
        <v>0.786691147935409</v>
      </c>
      <c r="H82" s="11" t="n">
        <v>0.841113261566458</v>
      </c>
      <c r="I82" s="11" t="n">
        <v>0.896000205967111</v>
      </c>
      <c r="J82" s="11" t="n">
        <v>0.950676594274401</v>
      </c>
      <c r="K82" s="11" t="n">
        <v>1.00470257715504</v>
      </c>
      <c r="L82" s="11" t="n">
        <v>1.05779898765653</v>
      </c>
      <c r="M82" s="11" t="n">
        <v>1.10978124446667</v>
      </c>
      <c r="N82" s="11" t="n">
        <v>1.16051572865202</v>
      </c>
      <c r="O82" s="11" t="n">
        <v>1.67130388972162</v>
      </c>
      <c r="P82" s="11" t="n">
        <v>1.69833548651686</v>
      </c>
      <c r="Q82" s="11" t="n">
        <v>1.72370492281044</v>
      </c>
      <c r="R82" s="11" t="n">
        <v>1.7474474502697</v>
      </c>
      <c r="S82" s="11" t="n">
        <v>1.76959791147436</v>
      </c>
      <c r="T82" s="11" t="n">
        <v>1.79019076311493</v>
      </c>
      <c r="U82" s="11" t="n">
        <v>1.80926011270349</v>
      </c>
      <c r="V82" s="11" t="n">
        <v>1.82683917921326</v>
      </c>
      <c r="W82" s="11" t="n">
        <v>1.84295930220102</v>
      </c>
      <c r="X82" s="11" t="n">
        <v>1.85764995415431</v>
      </c>
      <c r="Y82" s="11" t="n">
        <v>1.8709384639549</v>
      </c>
      <c r="Z82" s="11" t="n">
        <v>1.88284930922715</v>
      </c>
      <c r="AA82" s="11" t="n">
        <v>1.89340427641202</v>
      </c>
      <c r="AB82" s="11" t="n">
        <v>1.90262278840129</v>
      </c>
      <c r="AC82" s="11" t="n">
        <v>1.9105221858971</v>
      </c>
      <c r="AD82" s="11" t="n">
        <v>1.91711794725579</v>
      </c>
      <c r="AE82" s="11" t="n">
        <v>1.92242377760466</v>
      </c>
      <c r="AF82" s="11" t="n">
        <v>1.92645226758918</v>
      </c>
      <c r="AG82" s="11" t="n">
        <v>1.92921607405232</v>
      </c>
      <c r="AH82" s="11" t="n">
        <v>1.93072851257432</v>
      </c>
      <c r="AI82" s="11" t="n">
        <v>1.93100594256323</v>
      </c>
      <c r="AJ82" s="11" t="n">
        <v>1.93006905695457</v>
      </c>
      <c r="AK82" s="11" t="n">
        <v>1.9279425287272</v>
      </c>
      <c r="AL82" s="11" t="n">
        <v>1.92465496415022</v>
      </c>
      <c r="AM82" s="11" t="n">
        <v>1.92024076734124</v>
      </c>
      <c r="AN82" s="11" t="n">
        <v>1.91474111214515</v>
      </c>
      <c r="AO82" s="11" t="n">
        <v>1.90820386017969</v>
      </c>
      <c r="AP82" s="11" t="n">
        <v>1.90068348348318</v>
      </c>
      <c r="AQ82" s="11" t="n">
        <v>1.89224051158828</v>
      </c>
      <c r="AR82" s="11" t="n">
        <v>1.88294097689107</v>
      </c>
      <c r="AS82" s="11" t="n">
        <v>1.87285593766504</v>
      </c>
      <c r="AT82" s="11" t="n">
        <v>1.86206102677102</v>
      </c>
      <c r="AU82" s="11" t="n">
        <v>1.85063578730699</v>
      </c>
    </row>
    <row r="83" customFormat="false" ht="15" hidden="false" customHeight="false" outlineLevel="0" collapsed="false">
      <c r="A83" s="10" t="n">
        <v>-42</v>
      </c>
      <c r="B83" s="8" t="n">
        <v>43116</v>
      </c>
      <c r="C83" s="11" t="n">
        <v>0.589009940143023</v>
      </c>
      <c r="D83" s="11" t="n">
        <v>0.627377266162012</v>
      </c>
      <c r="E83" s="11" t="n">
        <v>0.672050346048098</v>
      </c>
      <c r="F83" s="11" t="n">
        <v>0.721113962920631</v>
      </c>
      <c r="G83" s="11" t="n">
        <v>0.772944462671161</v>
      </c>
      <c r="H83" s="11" t="n">
        <v>0.826303642338681</v>
      </c>
      <c r="I83" s="11" t="n">
        <v>0.880274768993596</v>
      </c>
      <c r="J83" s="11" t="n">
        <v>0.934214917189018</v>
      </c>
      <c r="K83" s="11" t="n">
        <v>0.98769715475265</v>
      </c>
      <c r="L83" s="11" t="n">
        <v>1.04044336356346</v>
      </c>
      <c r="M83" s="11" t="n">
        <v>1.09226319753821</v>
      </c>
      <c r="N83" s="11" t="n">
        <v>1.14301322512664</v>
      </c>
      <c r="O83" s="11" t="n">
        <v>1.66296883197947</v>
      </c>
      <c r="P83" s="11" t="n">
        <v>1.69079309727519</v>
      </c>
      <c r="Q83" s="11" t="n">
        <v>1.71690527568194</v>
      </c>
      <c r="R83" s="11" t="n">
        <v>1.74133737548434</v>
      </c>
      <c r="S83" s="11" t="n">
        <v>1.76412262369816</v>
      </c>
      <c r="T83" s="11" t="n">
        <v>1.78529523646511</v>
      </c>
      <c r="U83" s="11" t="n">
        <v>1.80489024710505</v>
      </c>
      <c r="V83" s="11" t="n">
        <v>1.82294262705349</v>
      </c>
      <c r="W83" s="11" t="n">
        <v>1.83948587022458</v>
      </c>
      <c r="X83" s="11" t="n">
        <v>1.85455189374188</v>
      </c>
      <c r="Y83" s="11" t="n">
        <v>1.8681707634997</v>
      </c>
      <c r="Z83" s="11" t="n">
        <v>1.88037003607136</v>
      </c>
      <c r="AA83" s="11" t="n">
        <v>1.89117489587943</v>
      </c>
      <c r="AB83" s="11" t="n">
        <v>1.90060844400799</v>
      </c>
      <c r="AC83" s="11" t="n">
        <v>1.90869194621866</v>
      </c>
      <c r="AD83" s="11" t="n">
        <v>1.91544504575584</v>
      </c>
      <c r="AE83" s="11" t="n">
        <v>1.92088596014217</v>
      </c>
      <c r="AF83" s="11" t="n">
        <v>1.92503211621739</v>
      </c>
      <c r="AG83" s="11" t="n">
        <v>1.92790114767731</v>
      </c>
      <c r="AH83" s="11" t="n">
        <v>1.92951140122351</v>
      </c>
      <c r="AI83" s="11" t="n">
        <v>1.92988404175274</v>
      </c>
      <c r="AJ83" s="11" t="n">
        <v>1.92904416932848</v>
      </c>
      <c r="AK83" s="11" t="n">
        <v>1.9270204944922</v>
      </c>
      <c r="AL83" s="11" t="n">
        <v>1.9238452941489</v>
      </c>
      <c r="AM83" s="11" t="n">
        <v>1.91955606285805</v>
      </c>
      <c r="AN83" s="11" t="n">
        <v>1.91419635780777</v>
      </c>
      <c r="AO83" s="11" t="n">
        <v>1.90781574380637</v>
      </c>
      <c r="AP83" s="11" t="n">
        <v>1.90046973865528</v>
      </c>
      <c r="AQ83" s="11" t="n">
        <v>1.89221929766571</v>
      </c>
      <c r="AR83" s="11" t="n">
        <v>1.88313029490995</v>
      </c>
      <c r="AS83" s="11" t="n">
        <v>1.87327309459571</v>
      </c>
      <c r="AT83" s="11" t="n">
        <v>1.86272213631103</v>
      </c>
      <c r="AU83" s="11" t="n">
        <v>1.85155526481946</v>
      </c>
    </row>
    <row r="84" customFormat="false" ht="15" hidden="false" customHeight="false" outlineLevel="0" collapsed="false">
      <c r="A84" s="10" t="n">
        <v>-41</v>
      </c>
      <c r="B84" s="8" t="n">
        <v>43117</v>
      </c>
      <c r="C84" s="11" t="n">
        <v>0.575025900405609</v>
      </c>
      <c r="D84" s="11" t="n">
        <v>0.616164398713251</v>
      </c>
      <c r="E84" s="11" t="n">
        <v>0.662948281984902</v>
      </c>
      <c r="F84" s="11" t="n">
        <v>0.713486837459229</v>
      </c>
      <c r="G84" s="11" t="n">
        <v>0.766295630073112</v>
      </c>
      <c r="H84" s="11" t="n">
        <v>0.820274385667219</v>
      </c>
      <c r="I84" s="11" t="n">
        <v>0.874618141322204</v>
      </c>
      <c r="J84" s="11" t="n">
        <v>0.928766222715177</v>
      </c>
      <c r="K84" s="11" t="n">
        <v>0.982348597778253</v>
      </c>
      <c r="L84" s="11" t="n">
        <v>1.03512385486347</v>
      </c>
      <c r="M84" s="11" t="n">
        <v>1.08692354233661</v>
      </c>
      <c r="N84" s="11" t="n">
        <v>1.13761654834381</v>
      </c>
      <c r="O84" s="11" t="n">
        <v>1.65514501122006</v>
      </c>
      <c r="P84" s="11" t="n">
        <v>1.68278891026406</v>
      </c>
      <c r="Q84" s="11" t="n">
        <v>1.70873498721339</v>
      </c>
      <c r="R84" s="11" t="n">
        <v>1.73301485657571</v>
      </c>
      <c r="S84" s="11" t="n">
        <v>1.75566108957748</v>
      </c>
      <c r="T84" s="11" t="n">
        <v>1.77670703367635</v>
      </c>
      <c r="U84" s="11" t="n">
        <v>1.79618667225789</v>
      </c>
      <c r="V84" s="11" t="n">
        <v>1.81413379707315</v>
      </c>
      <c r="W84" s="11" t="n">
        <v>1.83058067502151</v>
      </c>
      <c r="X84" s="11" t="n">
        <v>1.84555797387604</v>
      </c>
      <c r="Y84" s="11" t="n">
        <v>1.85909456139113</v>
      </c>
      <c r="Z84" s="11" t="n">
        <v>1.87121698107983</v>
      </c>
      <c r="AA84" s="11" t="n">
        <v>1.88194959596734</v>
      </c>
      <c r="AB84" s="11" t="n">
        <v>1.89131485413196</v>
      </c>
      <c r="AC84" s="11" t="n">
        <v>1.89933351669127</v>
      </c>
      <c r="AD84" s="11" t="n">
        <v>1.90602487348991</v>
      </c>
      <c r="AE84" s="11" t="n">
        <v>1.91140704583551</v>
      </c>
      <c r="AF84" s="11" t="n">
        <v>1.91549764399572</v>
      </c>
      <c r="AG84" s="11" t="n">
        <v>1.91831467685618</v>
      </c>
      <c r="AH84" s="11" t="n">
        <v>1.91987701996938</v>
      </c>
      <c r="AI84" s="11" t="n">
        <v>1.92020645465363</v>
      </c>
      <c r="AJ84" s="11" t="n">
        <v>1.91932872744236</v>
      </c>
      <c r="AK84" s="11" t="n">
        <v>1.91727321879827</v>
      </c>
      <c r="AL84" s="11" t="n">
        <v>1.91407289066164</v>
      </c>
      <c r="AM84" s="11" t="n">
        <v>1.90976586930292</v>
      </c>
      <c r="AN84" s="11" t="n">
        <v>1.90439623576839</v>
      </c>
      <c r="AO84" s="11" t="n">
        <v>1.89801395943634</v>
      </c>
      <c r="AP84" s="11" t="n">
        <v>1.89067482778267</v>
      </c>
      <c r="AQ84" s="11" t="n">
        <v>1.88243992187174</v>
      </c>
      <c r="AR84" s="11" t="n">
        <v>1.87337509071585</v>
      </c>
      <c r="AS84" s="11" t="n">
        <v>1.86355053361154</v>
      </c>
      <c r="AT84" s="11" t="n">
        <v>1.85304039320017</v>
      </c>
      <c r="AU84" s="11" t="n">
        <v>1.84192207394926</v>
      </c>
    </row>
    <row r="85" customFormat="false" ht="15" hidden="false" customHeight="false" outlineLevel="0" collapsed="false">
      <c r="A85" s="10" t="n">
        <v>-40</v>
      </c>
      <c r="B85" s="8" t="n">
        <v>43118</v>
      </c>
      <c r="C85" s="11" t="n">
        <v>0.609800456474174</v>
      </c>
      <c r="D85" s="11" t="n">
        <v>0.652888477141972</v>
      </c>
      <c r="E85" s="11" t="n">
        <v>0.700494165691398</v>
      </c>
      <c r="F85" s="11" t="n">
        <v>0.751262041633453</v>
      </c>
      <c r="G85" s="11" t="n">
        <v>0.803994937403137</v>
      </c>
      <c r="H85" s="11" t="n">
        <v>0.857757260892039</v>
      </c>
      <c r="I85" s="11" t="n">
        <v>0.911837378335259</v>
      </c>
      <c r="J85" s="11" t="n">
        <v>0.965722573529399</v>
      </c>
      <c r="K85" s="11" t="n">
        <v>1.01906399625282</v>
      </c>
      <c r="L85" s="11" t="n">
        <v>1.07162487519253</v>
      </c>
      <c r="M85" s="11" t="n">
        <v>1.12323203557572</v>
      </c>
      <c r="N85" s="11" t="n">
        <v>1.17374466937409</v>
      </c>
      <c r="O85" s="11" t="n">
        <v>1.68770497289199</v>
      </c>
      <c r="P85" s="11" t="n">
        <v>1.7150744138364</v>
      </c>
      <c r="Q85" s="11" t="n">
        <v>1.74077378856616</v>
      </c>
      <c r="R85" s="11" t="n">
        <v>1.76483758964558</v>
      </c>
      <c r="S85" s="11" t="n">
        <v>1.78729981215053</v>
      </c>
      <c r="T85" s="11" t="n">
        <v>1.80819398130798</v>
      </c>
      <c r="U85" s="11" t="n">
        <v>1.82755318596471</v>
      </c>
      <c r="V85" s="11" t="n">
        <v>1.84540915835624</v>
      </c>
      <c r="W85" s="11" t="n">
        <v>1.86179067069239</v>
      </c>
      <c r="X85" s="11" t="n">
        <v>1.87672358922315</v>
      </c>
      <c r="Y85" s="11" t="n">
        <v>1.89023123638256</v>
      </c>
      <c r="Z85" s="11" t="n">
        <v>1.90233468172883</v>
      </c>
      <c r="AA85" s="11" t="n">
        <v>1.91305301680651</v>
      </c>
      <c r="AB85" s="11" t="n">
        <v>1.92240359635152</v>
      </c>
      <c r="AC85" s="11" t="n">
        <v>1.93040224516909</v>
      </c>
      <c r="AD85" s="11" t="n">
        <v>1.93706356277372</v>
      </c>
      <c r="AE85" s="11" t="n">
        <v>1.94240184245149</v>
      </c>
      <c r="AF85" s="11" t="n">
        <v>1.94643193921805</v>
      </c>
      <c r="AG85" s="11" t="n">
        <v>1.94916989541046</v>
      </c>
      <c r="AH85" s="11" t="n">
        <v>1.95063328644369</v>
      </c>
      <c r="AI85" s="11" t="n">
        <v>1.95084316271682</v>
      </c>
      <c r="AJ85" s="11" t="n">
        <v>1.94982501742169</v>
      </c>
      <c r="AK85" s="11" t="n">
        <v>1.94760840471024</v>
      </c>
      <c r="AL85" s="11" t="n">
        <v>1.94422682862433</v>
      </c>
      <c r="AM85" s="11" t="n">
        <v>1.93971915813426</v>
      </c>
      <c r="AN85" s="11" t="n">
        <v>1.93413029833344</v>
      </c>
      <c r="AO85" s="11" t="n">
        <v>1.92751109051805</v>
      </c>
      <c r="AP85" s="11" t="n">
        <v>1.91991821232173</v>
      </c>
      <c r="AQ85" s="11" t="n">
        <v>1.91141367741723</v>
      </c>
      <c r="AR85" s="11" t="n">
        <v>1.90206433984614</v>
      </c>
      <c r="AS85" s="11" t="n">
        <v>1.89194147379068</v>
      </c>
      <c r="AT85" s="11" t="n">
        <v>1.88112036522373</v>
      </c>
      <c r="AU85" s="11" t="n">
        <v>1.8696796551486</v>
      </c>
    </row>
    <row r="86" customFormat="false" ht="15" hidden="false" customHeight="false" outlineLevel="0" collapsed="false">
      <c r="A86" s="10" t="n">
        <v>-39</v>
      </c>
      <c r="B86" s="8" t="n">
        <v>43119</v>
      </c>
      <c r="C86" s="11" t="n">
        <v>0.588900590178036</v>
      </c>
      <c r="D86" s="11" t="n">
        <v>0.633724399253029</v>
      </c>
      <c r="E86" s="11" t="n">
        <v>0.683308304683339</v>
      </c>
      <c r="F86" s="11" t="n">
        <v>0.736134063610568</v>
      </c>
      <c r="G86" s="11" t="n">
        <v>0.790923230254981</v>
      </c>
      <c r="H86" s="11" t="n">
        <v>0.84668586881234</v>
      </c>
      <c r="I86" s="11" t="n">
        <v>0.902677492495472</v>
      </c>
      <c r="J86" s="11" t="n">
        <v>0.958366000382694</v>
      </c>
      <c r="K86" s="11" t="n">
        <v>1.01339077040624</v>
      </c>
      <c r="L86" s="11" t="n">
        <v>1.06750787291471</v>
      </c>
      <c r="M86" s="11" t="n">
        <v>1.12054053626227</v>
      </c>
      <c r="N86" s="11" t="n">
        <v>1.17234832542602</v>
      </c>
      <c r="O86" s="11" t="n">
        <v>1.6946202815102</v>
      </c>
      <c r="P86" s="11" t="n">
        <v>1.72223098021774</v>
      </c>
      <c r="Q86" s="11" t="n">
        <v>1.74814352355766</v>
      </c>
      <c r="R86" s="11" t="n">
        <v>1.77239626626499</v>
      </c>
      <c r="S86" s="11" t="n">
        <v>1.7950265876485</v>
      </c>
      <c r="T86" s="11" t="n">
        <v>1.81607099242676</v>
      </c>
      <c r="U86" s="11" t="n">
        <v>1.83556519715113</v>
      </c>
      <c r="V86" s="11" t="n">
        <v>1.85354314982934</v>
      </c>
      <c r="W86" s="11" t="n">
        <v>1.87003535331465</v>
      </c>
      <c r="X86" s="11" t="n">
        <v>1.88506897692572</v>
      </c>
      <c r="Y86" s="11" t="n">
        <v>1.89866832813401</v>
      </c>
      <c r="Z86" s="11" t="n">
        <v>1.91085527866516</v>
      </c>
      <c r="AA86" s="11" t="n">
        <v>1.92164957985441</v>
      </c>
      <c r="AB86" s="11" t="n">
        <v>1.93106912125238</v>
      </c>
      <c r="AC86" s="11" t="n">
        <v>1.93913015244519</v>
      </c>
      <c r="AD86" s="11" t="n">
        <v>1.94584762739197</v>
      </c>
      <c r="AE86" s="11" t="n">
        <v>1.95123625542611</v>
      </c>
      <c r="AF86" s="11" t="n">
        <v>1.95531140151134</v>
      </c>
      <c r="AG86" s="11" t="n">
        <v>1.95808964682969</v>
      </c>
      <c r="AH86" s="11" t="n">
        <v>1.95958912960596</v>
      </c>
      <c r="AI86" s="11" t="n">
        <v>1.95983147871385</v>
      </c>
      <c r="AJ86" s="11" t="n">
        <v>1.9588427296716</v>
      </c>
      <c r="AK86" s="11" t="n">
        <v>1.95665294079192</v>
      </c>
      <c r="AL86" s="11" t="n">
        <v>1.95329609308466</v>
      </c>
      <c r="AM86" s="11" t="n">
        <v>1.94881147546925</v>
      </c>
      <c r="AN86" s="11" t="n">
        <v>1.94324430203808</v>
      </c>
      <c r="AO86" s="11" t="n">
        <v>1.93664561049651</v>
      </c>
      <c r="AP86" s="11" t="n">
        <v>1.92907215275689</v>
      </c>
      <c r="AQ86" s="11" t="n">
        <v>1.92058593001203</v>
      </c>
      <c r="AR86" s="11" t="n">
        <v>1.91125373667691</v>
      </c>
      <c r="AS86" s="11" t="n">
        <v>1.90114674759205</v>
      </c>
      <c r="AT86" s="11" t="n">
        <v>1.89034011202406</v>
      </c>
      <c r="AU86" s="11" t="n">
        <v>1.87891229802712</v>
      </c>
    </row>
    <row r="87" customFormat="false" ht="15" hidden="false" customHeight="false" outlineLevel="0" collapsed="false">
      <c r="A87" s="10" t="n">
        <v>-38</v>
      </c>
      <c r="B87" s="8" t="n">
        <v>43122</v>
      </c>
      <c r="C87" s="11" t="n">
        <v>0.588226623761082</v>
      </c>
      <c r="D87" s="11" t="n">
        <v>0.635446914121756</v>
      </c>
      <c r="E87" s="11" t="n">
        <v>0.687413169636971</v>
      </c>
      <c r="F87" s="11" t="n">
        <v>0.742447229748733</v>
      </c>
      <c r="G87" s="11" t="n">
        <v>0.799192880439427</v>
      </c>
      <c r="H87" s="11" t="n">
        <v>0.856632888685275</v>
      </c>
      <c r="I87" s="11" t="n">
        <v>0.914022663035851</v>
      </c>
      <c r="J87" s="11" t="n">
        <v>0.97084678914217</v>
      </c>
      <c r="K87" s="11" t="n">
        <v>1.02677160060925</v>
      </c>
      <c r="L87" s="11" t="n">
        <v>1.08158645458789</v>
      </c>
      <c r="M87" s="11" t="n">
        <v>1.13514828525147</v>
      </c>
      <c r="N87" s="11" t="n">
        <v>1.18734808139077</v>
      </c>
      <c r="O87" s="11" t="n">
        <v>1.70962643131703</v>
      </c>
      <c r="P87" s="11" t="n">
        <v>1.73710606856788</v>
      </c>
      <c r="Q87" s="11" t="n">
        <v>1.7628875388169</v>
      </c>
      <c r="R87" s="11" t="n">
        <v>1.78701113648346</v>
      </c>
      <c r="S87" s="11" t="n">
        <v>1.80951579022193</v>
      </c>
      <c r="T87" s="11" t="n">
        <v>1.83043922169805</v>
      </c>
      <c r="U87" s="11" t="n">
        <v>1.84981807889555</v>
      </c>
      <c r="V87" s="11" t="n">
        <v>1.86768696808118</v>
      </c>
      <c r="W87" s="11" t="n">
        <v>1.88407678874874</v>
      </c>
      <c r="X87" s="11" t="n">
        <v>1.89901488395325</v>
      </c>
      <c r="Y87" s="11" t="n">
        <v>1.912525622499</v>
      </c>
      <c r="Z87" s="11" t="n">
        <v>1.92463097916985</v>
      </c>
      <c r="AA87" s="11" t="n">
        <v>1.93535087005773</v>
      </c>
      <c r="AB87" s="11" t="n">
        <v>1.94470340368943</v>
      </c>
      <c r="AC87" s="11" t="n">
        <v>1.95270509643893</v>
      </c>
      <c r="AD87" s="11" t="n">
        <v>1.9593712367585</v>
      </c>
      <c r="AE87" s="11" t="n">
        <v>1.96471706055634</v>
      </c>
      <c r="AF87" s="11" t="n">
        <v>1.96875867267935</v>
      </c>
      <c r="AG87" s="11" t="n">
        <v>1.97151352710809</v>
      </c>
      <c r="AH87" s="11" t="n">
        <v>1.97300073668371</v>
      </c>
      <c r="AI87" s="11" t="n">
        <v>1.97324294174132</v>
      </c>
      <c r="AJ87" s="11" t="n">
        <v>1.97226717457625</v>
      </c>
      <c r="AK87" s="11" t="n">
        <v>1.9701044739086</v>
      </c>
      <c r="AL87" s="11" t="n">
        <v>1.96678977566199</v>
      </c>
      <c r="AM87" s="11" t="n">
        <v>1.96236321227265</v>
      </c>
      <c r="AN87" s="11" t="n">
        <v>1.95687067164864</v>
      </c>
      <c r="AO87" s="11" t="n">
        <v>1.95036367583349</v>
      </c>
      <c r="AP87" s="11" t="n">
        <v>1.94289924692454</v>
      </c>
      <c r="AQ87" s="11" t="n">
        <v>1.93453940858697</v>
      </c>
      <c r="AR87" s="11" t="n">
        <v>1.92535069999621</v>
      </c>
      <c r="AS87" s="11" t="n">
        <v>1.91540378180408</v>
      </c>
      <c r="AT87" s="11" t="n">
        <v>1.90477304532946</v>
      </c>
      <c r="AU87" s="11" t="n">
        <v>1.89353593942334</v>
      </c>
    </row>
    <row r="88" customFormat="false" ht="15" hidden="false" customHeight="false" outlineLevel="0" collapsed="false">
      <c r="A88" s="10" t="n">
        <v>-37</v>
      </c>
      <c r="B88" s="8" t="n">
        <v>43123</v>
      </c>
      <c r="C88" s="11" t="n">
        <v>0.595835482179985</v>
      </c>
      <c r="D88" s="11" t="n">
        <v>0.642680205764111</v>
      </c>
      <c r="E88" s="11" t="n">
        <v>0.694067255009177</v>
      </c>
      <c r="F88" s="11" t="n">
        <v>0.748454809332861</v>
      </c>
      <c r="G88" s="11" t="n">
        <v>0.804560036218141</v>
      </c>
      <c r="H88" s="11" t="n">
        <v>0.86140956862401</v>
      </c>
      <c r="I88" s="11" t="n">
        <v>0.918279268476923</v>
      </c>
      <c r="J88" s="11" t="n">
        <v>0.974656458400453</v>
      </c>
      <c r="K88" s="11" t="n">
        <v>1.03019656610875</v>
      </c>
      <c r="L88" s="11" t="n">
        <v>1.08467049213496</v>
      </c>
      <c r="M88" s="11" t="n">
        <v>1.13791580405573</v>
      </c>
      <c r="N88" s="11" t="n">
        <v>1.18980667099322</v>
      </c>
      <c r="O88" s="11" t="n">
        <v>1.7076049445182</v>
      </c>
      <c r="P88" s="11" t="n">
        <v>1.7347560761219</v>
      </c>
      <c r="Q88" s="11" t="n">
        <v>1.76021763731105</v>
      </c>
      <c r="R88" s="11" t="n">
        <v>1.78403010748945</v>
      </c>
      <c r="S88" s="11" t="n">
        <v>1.80623255264603</v>
      </c>
      <c r="T88" s="11" t="n">
        <v>1.8268627954945</v>
      </c>
      <c r="U88" s="11" t="n">
        <v>1.84595755603564</v>
      </c>
      <c r="V88" s="11" t="n">
        <v>1.86355155807304</v>
      </c>
      <c r="W88" s="11" t="n">
        <v>1.87967600205138</v>
      </c>
      <c r="X88" s="11" t="n">
        <v>1.89435871956933</v>
      </c>
      <c r="Y88" s="11" t="n">
        <v>1.90762468214769</v>
      </c>
      <c r="Z88" s="11" t="n">
        <v>1.9194964809182</v>
      </c>
      <c r="AA88" s="11" t="n">
        <v>1.92999464438332</v>
      </c>
      <c r="AB88" s="11" t="n">
        <v>1.93913788999145</v>
      </c>
      <c r="AC88" s="11" t="n">
        <v>1.94694333995239</v>
      </c>
      <c r="AD88" s="11" t="n">
        <v>1.95342686368007</v>
      </c>
      <c r="AE88" s="11" t="n">
        <v>1.95860411927479</v>
      </c>
      <c r="AF88" s="11" t="n">
        <v>1.96249146255021</v>
      </c>
      <c r="AG88" s="11" t="n">
        <v>1.96510653744415</v>
      </c>
      <c r="AH88" s="11" t="n">
        <v>1.96646861063651</v>
      </c>
      <c r="AI88" s="11" t="n">
        <v>1.96660042804726</v>
      </c>
      <c r="AJ88" s="11" t="n">
        <v>1.96552906017461</v>
      </c>
      <c r="AK88" s="11" t="n">
        <v>1.96328552125586</v>
      </c>
      <c r="AL88" s="11" t="n">
        <v>1.95990465941224</v>
      </c>
      <c r="AM88" s="11" t="n">
        <v>1.95542639888911</v>
      </c>
      <c r="AN88" s="11" t="n">
        <v>1.94989625892597</v>
      </c>
      <c r="AO88" s="11" t="n">
        <v>1.94336522274903</v>
      </c>
      <c r="AP88" s="11" t="n">
        <v>1.93588959399902</v>
      </c>
      <c r="AQ88" s="11" t="n">
        <v>1.92753053204984</v>
      </c>
      <c r="AR88" s="11" t="n">
        <v>1.9183536013409</v>
      </c>
      <c r="AS88" s="11" t="n">
        <v>1.90842838915405</v>
      </c>
      <c r="AT88" s="11" t="n">
        <v>1.89782812379329</v>
      </c>
      <c r="AU88" s="11" t="n">
        <v>1.88662901855632</v>
      </c>
    </row>
    <row r="89" customFormat="false" ht="15" hidden="false" customHeight="false" outlineLevel="0" collapsed="false">
      <c r="A89" s="10" t="n">
        <v>-36</v>
      </c>
      <c r="B89" s="8" t="n">
        <v>43124</v>
      </c>
      <c r="C89" s="11" t="n">
        <v>0.626326397030097</v>
      </c>
      <c r="D89" s="11" t="n">
        <v>0.679135057872528</v>
      </c>
      <c r="E89" s="11" t="n">
        <v>0.734957206623565</v>
      </c>
      <c r="F89" s="11" t="n">
        <v>0.792634668694495</v>
      </c>
      <c r="G89" s="11" t="n">
        <v>0.851203652656083</v>
      </c>
      <c r="H89" s="11" t="n">
        <v>0.909930382988687</v>
      </c>
      <c r="I89" s="11" t="n">
        <v>0.968259508199225</v>
      </c>
      <c r="J89" s="11" t="n">
        <v>1.02579215874233</v>
      </c>
      <c r="K89" s="11" t="n">
        <v>1.08225556303811</v>
      </c>
      <c r="L89" s="11" t="n">
        <v>1.1374634915029</v>
      </c>
      <c r="M89" s="11" t="n">
        <v>1.1912772771557</v>
      </c>
      <c r="N89" s="11" t="n">
        <v>1.24358323743538</v>
      </c>
      <c r="O89" s="11" t="n">
        <v>1.75584485724752</v>
      </c>
      <c r="P89" s="11" t="n">
        <v>1.78211310477391</v>
      </c>
      <c r="Q89" s="11" t="n">
        <v>1.80669252009835</v>
      </c>
      <c r="R89" s="11" t="n">
        <v>1.82963371067883</v>
      </c>
      <c r="S89" s="11" t="n">
        <v>1.85098426490582</v>
      </c>
      <c r="T89" s="11" t="n">
        <v>1.87078915484177</v>
      </c>
      <c r="U89" s="11" t="n">
        <v>1.88909106623527</v>
      </c>
      <c r="V89" s="11" t="n">
        <v>1.90592939146661</v>
      </c>
      <c r="W89" s="11" t="n">
        <v>1.92133842469287</v>
      </c>
      <c r="X89" s="11" t="n">
        <v>1.93534765642769</v>
      </c>
      <c r="Y89" s="11" t="n">
        <v>1.94798256337037</v>
      </c>
      <c r="Z89" s="11" t="n">
        <v>1.95926539072886</v>
      </c>
      <c r="AA89" s="11" t="n">
        <v>1.96921560337011</v>
      </c>
      <c r="AB89" s="11" t="n">
        <v>1.97785022496233</v>
      </c>
      <c r="AC89" s="11" t="n">
        <v>1.98518412889108</v>
      </c>
      <c r="AD89" s="11" t="n">
        <v>1.99123049066727</v>
      </c>
      <c r="AE89" s="11" t="n">
        <v>1.9960021202724</v>
      </c>
      <c r="AF89" s="11" t="n">
        <v>1.99951251972955</v>
      </c>
      <c r="AG89" s="11" t="n">
        <v>2.0017764696975</v>
      </c>
      <c r="AH89" s="11" t="n">
        <v>2.00281038431068</v>
      </c>
      <c r="AI89" s="11" t="n">
        <v>2.00263426548918</v>
      </c>
      <c r="AJ89" s="11" t="n">
        <v>2.00127258080802</v>
      </c>
      <c r="AK89" s="11" t="n">
        <v>1.99875386941906</v>
      </c>
      <c r="AL89" s="11" t="n">
        <v>1.99511063053366</v>
      </c>
      <c r="AM89" s="11" t="n">
        <v>1.99038059315911</v>
      </c>
      <c r="AN89" s="11" t="n">
        <v>1.98460723509478</v>
      </c>
      <c r="AO89" s="11" t="n">
        <v>1.97783966193589</v>
      </c>
      <c r="AP89" s="11" t="n">
        <v>1.97013247494195</v>
      </c>
      <c r="AQ89" s="11" t="n">
        <v>1.96154535762334</v>
      </c>
      <c r="AR89" s="11" t="n">
        <v>1.9521426738109</v>
      </c>
      <c r="AS89" s="11" t="n">
        <v>1.9419930683903</v>
      </c>
      <c r="AT89" s="11" t="n">
        <v>1.93116907844149</v>
      </c>
      <c r="AU89" s="11" t="n">
        <v>1.91974653747223</v>
      </c>
    </row>
    <row r="90" customFormat="false" ht="15" hidden="false" customHeight="false" outlineLevel="0" collapsed="false">
      <c r="A90" s="10" t="n">
        <v>-35</v>
      </c>
      <c r="B90" s="8" t="n">
        <v>43125</v>
      </c>
      <c r="C90" s="11" t="n">
        <v>0.634584252546607</v>
      </c>
      <c r="D90" s="11" t="n">
        <v>0.687557426457816</v>
      </c>
      <c r="E90" s="11" t="n">
        <v>0.743055494825444</v>
      </c>
      <c r="F90" s="11" t="n">
        <v>0.800189657138346</v>
      </c>
      <c r="G90" s="11" t="n">
        <v>0.858127124998676</v>
      </c>
      <c r="H90" s="11" t="n">
        <v>0.916192099351609</v>
      </c>
      <c r="I90" s="11" t="n">
        <v>0.973855670121179</v>
      </c>
      <c r="J90" s="11" t="n">
        <v>1.03073388022504</v>
      </c>
      <c r="K90" s="11" t="n">
        <v>1.08656292111915</v>
      </c>
      <c r="L90" s="11" t="n">
        <v>1.14116228960406</v>
      </c>
      <c r="M90" s="11" t="n">
        <v>1.19439401527813</v>
      </c>
      <c r="N90" s="11" t="n">
        <v>1.24613961499619</v>
      </c>
      <c r="O90" s="11" t="n">
        <v>1.74953484254322</v>
      </c>
      <c r="P90" s="11" t="n">
        <v>1.77503844558208</v>
      </c>
      <c r="Q90" s="11" t="n">
        <v>1.79888462064897</v>
      </c>
      <c r="R90" s="11" t="n">
        <v>1.82113361392458</v>
      </c>
      <c r="S90" s="11" t="n">
        <v>1.84184118334725</v>
      </c>
      <c r="T90" s="11" t="n">
        <v>1.86105920554416</v>
      </c>
      <c r="U90" s="11" t="n">
        <v>1.87883617718209</v>
      </c>
      <c r="V90" s="11" t="n">
        <v>1.89521603996731</v>
      </c>
      <c r="W90" s="11" t="n">
        <v>1.91023603476543</v>
      </c>
      <c r="X90" s="11" t="n">
        <v>1.92392712781104</v>
      </c>
      <c r="Y90" s="11" t="n">
        <v>1.93631498321871</v>
      </c>
      <c r="Z90" s="11" t="n">
        <v>1.9474208892677</v>
      </c>
      <c r="AA90" s="11" t="n">
        <v>1.95726234824831</v>
      </c>
      <c r="AB90" s="11" t="n">
        <v>1.96585353823231</v>
      </c>
      <c r="AC90" s="11" t="n">
        <v>1.97320570913967</v>
      </c>
      <c r="AD90" s="11" t="n">
        <v>1.97932772987982</v>
      </c>
      <c r="AE90" s="11" t="n">
        <v>1.98422750835903</v>
      </c>
      <c r="AF90" s="11" t="n">
        <v>1.98791316134348</v>
      </c>
      <c r="AG90" s="11" t="n">
        <v>1.99039372991571</v>
      </c>
      <c r="AH90" s="11" t="n">
        <v>1.99167964329154</v>
      </c>
      <c r="AI90" s="11" t="n">
        <v>1.99178499836834</v>
      </c>
      <c r="AJ90" s="11" t="n">
        <v>1.99072858796797</v>
      </c>
      <c r="AK90" s="11" t="n">
        <v>1.98853348932087</v>
      </c>
      <c r="AL90" s="11" t="n">
        <v>1.98522698273949</v>
      </c>
      <c r="AM90" s="11" t="n">
        <v>1.98084206356739</v>
      </c>
      <c r="AN90" s="11" t="n">
        <v>1.97541806442971</v>
      </c>
      <c r="AO90" s="11" t="n">
        <v>1.96900053444046</v>
      </c>
      <c r="AP90" s="11" t="n">
        <v>1.96164109793252</v>
      </c>
      <c r="AQ90" s="11" t="n">
        <v>1.95339698194672</v>
      </c>
      <c r="AR90" s="11" t="n">
        <v>1.94433055681842</v>
      </c>
      <c r="AS90" s="11" t="n">
        <v>1.93450889580245</v>
      </c>
      <c r="AT90" s="11" t="n">
        <v>1.92400334804542</v>
      </c>
      <c r="AU90" s="11" t="n">
        <v>1.91288889104735</v>
      </c>
    </row>
    <row r="91" customFormat="false" ht="15" hidden="false" customHeight="false" outlineLevel="0" collapsed="false">
      <c r="A91" s="10" t="n">
        <v>-34</v>
      </c>
      <c r="B91" s="8" t="n">
        <v>43126</v>
      </c>
      <c r="C91" s="11" t="n">
        <v>0.66125475084088</v>
      </c>
      <c r="D91" s="11" t="n">
        <v>0.71744495228771</v>
      </c>
      <c r="E91" s="11" t="n">
        <v>0.775140219998936</v>
      </c>
      <c r="F91" s="11" t="n">
        <v>0.833708647199392</v>
      </c>
      <c r="G91" s="11" t="n">
        <v>0.892467714372778</v>
      </c>
      <c r="H91" s="11" t="n">
        <v>0.950847763882018</v>
      </c>
      <c r="I91" s="11" t="n">
        <v>1.00840658356318</v>
      </c>
      <c r="J91" s="11" t="n">
        <v>1.06483911421745</v>
      </c>
      <c r="K91" s="11" t="n">
        <v>1.11995255934686</v>
      </c>
      <c r="L91" s="11" t="n">
        <v>1.17363406392155</v>
      </c>
      <c r="M91" s="11" t="n">
        <v>1.22580585987968</v>
      </c>
      <c r="N91" s="11" t="n">
        <v>1.27640051076661</v>
      </c>
      <c r="O91" s="11" t="n">
        <v>1.76575118552927</v>
      </c>
      <c r="P91" s="11" t="n">
        <v>1.79041983359207</v>
      </c>
      <c r="Q91" s="11" t="n">
        <v>1.81346998988779</v>
      </c>
      <c r="R91" s="11" t="n">
        <v>1.83496303358744</v>
      </c>
      <c r="S91" s="11" t="n">
        <v>1.85495567896673</v>
      </c>
      <c r="T91" s="11" t="n">
        <v>1.87350060781681</v>
      </c>
      <c r="U91" s="11" t="n">
        <v>1.89064698398304</v>
      </c>
      <c r="V91" s="11" t="n">
        <v>1.90643919053381</v>
      </c>
      <c r="W91" s="11" t="n">
        <v>1.92091463984872</v>
      </c>
      <c r="X91" s="11" t="n">
        <v>1.93410424361161</v>
      </c>
      <c r="Y91" s="11" t="n">
        <v>1.94603340216732</v>
      </c>
      <c r="Z91" s="11" t="n">
        <v>1.95672292786488</v>
      </c>
      <c r="AA91" s="11" t="n">
        <v>1.9661896546822</v>
      </c>
      <c r="AB91" s="11" t="n">
        <v>1.97444692343669</v>
      </c>
      <c r="AC91" s="11" t="n">
        <v>1.98150499804118</v>
      </c>
      <c r="AD91" s="11" t="n">
        <v>1.9873716308775</v>
      </c>
      <c r="AE91" s="11" t="n">
        <v>1.99205345882404</v>
      </c>
      <c r="AF91" s="11" t="n">
        <v>1.9955571886665</v>
      </c>
      <c r="AG91" s="11" t="n">
        <v>1.99789037230991</v>
      </c>
      <c r="AH91" s="11" t="n">
        <v>1.99906191177109</v>
      </c>
      <c r="AI91" s="11" t="n">
        <v>1.99908440177497</v>
      </c>
      <c r="AJ91" s="11" t="n">
        <v>1.99797513870373</v>
      </c>
      <c r="AK91" s="11" t="n">
        <v>1.99575570464155</v>
      </c>
      <c r="AL91" s="11" t="n">
        <v>1.9924519072787</v>
      </c>
      <c r="AM91" s="11" t="n">
        <v>1.98809532609151</v>
      </c>
      <c r="AN91" s="11" t="n">
        <v>1.98272391467502</v>
      </c>
      <c r="AO91" s="11" t="n">
        <v>1.97638190317216</v>
      </c>
      <c r="AP91" s="11" t="n">
        <v>1.96911966026695</v>
      </c>
      <c r="AQ91" s="11" t="n">
        <v>1.96099315076207</v>
      </c>
      <c r="AR91" s="11" t="n">
        <v>1.95206341226653</v>
      </c>
      <c r="AS91" s="11" t="n">
        <v>1.94239611487559</v>
      </c>
      <c r="AT91" s="11" t="n">
        <v>1.93206112952222</v>
      </c>
      <c r="AU91" s="11" t="n">
        <v>1.92113182746075</v>
      </c>
    </row>
    <row r="92" customFormat="false" ht="15" hidden="false" customHeight="false" outlineLevel="0" collapsed="false">
      <c r="A92" s="10" t="n">
        <v>-33</v>
      </c>
      <c r="B92" s="8" t="n">
        <v>43129</v>
      </c>
      <c r="C92" s="11" t="n">
        <v>0.670708164324125</v>
      </c>
      <c r="D92" s="11" t="n">
        <v>0.730269608472276</v>
      </c>
      <c r="E92" s="11" t="n">
        <v>0.790378158211874</v>
      </c>
      <c r="F92" s="11" t="n">
        <v>0.850708360224612</v>
      </c>
      <c r="G92" s="11" t="n">
        <v>0.910782739429257</v>
      </c>
      <c r="H92" s="11" t="n">
        <v>0.970157475212304</v>
      </c>
      <c r="I92" s="11" t="n">
        <v>1.02846599077658</v>
      </c>
      <c r="J92" s="11" t="n">
        <v>1.0854493666874</v>
      </c>
      <c r="K92" s="11" t="n">
        <v>1.14094282239304</v>
      </c>
      <c r="L92" s="11" t="n">
        <v>1.19485087870802</v>
      </c>
      <c r="M92" s="11" t="n">
        <v>1.24710669953167</v>
      </c>
      <c r="N92" s="11" t="n">
        <v>1.29764990294521</v>
      </c>
      <c r="O92" s="11" t="n">
        <v>1.77656601280453</v>
      </c>
      <c r="P92" s="11" t="n">
        <v>1.79999421235645</v>
      </c>
      <c r="Q92" s="11" t="n">
        <v>1.8217963450576</v>
      </c>
      <c r="R92" s="11" t="n">
        <v>1.84204322787486</v>
      </c>
      <c r="S92" s="11" t="n">
        <v>1.8608004699223</v>
      </c>
      <c r="T92" s="11" t="n">
        <v>1.87812918963445</v>
      </c>
      <c r="U92" s="11" t="n">
        <v>1.89408659269048</v>
      </c>
      <c r="V92" s="11" t="n">
        <v>1.90872471168137</v>
      </c>
      <c r="W92" s="11" t="n">
        <v>1.92208821867011</v>
      </c>
      <c r="X92" s="11" t="n">
        <v>1.93421492934329</v>
      </c>
      <c r="Y92" s="11" t="n">
        <v>1.94513647149591</v>
      </c>
      <c r="Z92" s="11" t="n">
        <v>1.95487870741536</v>
      </c>
      <c r="AA92" s="11" t="n">
        <v>1.96346239362322</v>
      </c>
      <c r="AB92" s="11" t="n">
        <v>1.9709038034619</v>
      </c>
      <c r="AC92" s="11" t="n">
        <v>1.97721526103134</v>
      </c>
      <c r="AD92" s="11" t="n">
        <v>1.98240570875471</v>
      </c>
      <c r="AE92" s="11" t="n">
        <v>1.98648167919798</v>
      </c>
      <c r="AF92" s="11" t="n">
        <v>1.98944846079756</v>
      </c>
      <c r="AG92" s="11" t="n">
        <v>1.99131120949235</v>
      </c>
      <c r="AH92" s="11" t="n">
        <v>1.99207562826202</v>
      </c>
      <c r="AI92" s="11" t="n">
        <v>1.99175055814607</v>
      </c>
      <c r="AJ92" s="11" t="n">
        <v>1.99034911803097</v>
      </c>
      <c r="AK92" s="11" t="n">
        <v>1.98788833293317</v>
      </c>
      <c r="AL92" s="11" t="n">
        <v>1.98438915537606</v>
      </c>
      <c r="AM92" s="11" t="n">
        <v>1.97987824967387</v>
      </c>
      <c r="AN92" s="11" t="n">
        <v>1.97438871083759</v>
      </c>
      <c r="AO92" s="11" t="n">
        <v>1.96796003175026</v>
      </c>
      <c r="AP92" s="11" t="n">
        <v>1.96063802351842</v>
      </c>
      <c r="AQ92" s="11" t="n">
        <v>1.95247437537943</v>
      </c>
      <c r="AR92" s="11" t="n">
        <v>1.94352621892664</v>
      </c>
      <c r="AS92" s="11" t="n">
        <v>1.93385566604279</v>
      </c>
      <c r="AT92" s="11" t="n">
        <v>1.92352936912988</v>
      </c>
      <c r="AU92" s="11" t="n">
        <v>1.9126179045807</v>
      </c>
    </row>
    <row r="93" customFormat="false" ht="15" hidden="false" customHeight="false" outlineLevel="0" collapsed="false">
      <c r="A93" s="10" t="n">
        <v>-32</v>
      </c>
      <c r="B93" s="8" t="n">
        <v>43130</v>
      </c>
      <c r="C93" s="11" t="n">
        <v>0.657898422598271</v>
      </c>
      <c r="D93" s="11" t="n">
        <v>0.718496118517573</v>
      </c>
      <c r="E93" s="11" t="n">
        <v>0.779129253726475</v>
      </c>
      <c r="F93" s="11" t="n">
        <v>0.839744946860366</v>
      </c>
      <c r="G93" s="11" t="n">
        <v>0.900084356799788</v>
      </c>
      <c r="H93" s="11" t="n">
        <v>0.95984626725495</v>
      </c>
      <c r="I93" s="11" t="n">
        <v>1.01873615568169</v>
      </c>
      <c r="J93" s="11" t="n">
        <v>1.0765135666424</v>
      </c>
      <c r="K93" s="11" t="n">
        <v>1.13299739049432</v>
      </c>
      <c r="L93" s="11" t="n">
        <v>1.18805407631068</v>
      </c>
      <c r="M93" s="11" t="n">
        <v>1.24156994402833</v>
      </c>
      <c r="N93" s="11" t="n">
        <v>1.29343616402688</v>
      </c>
      <c r="O93" s="11" t="n">
        <v>1.78397604104428</v>
      </c>
      <c r="P93" s="11" t="n">
        <v>1.80770994350028</v>
      </c>
      <c r="Q93" s="11" t="n">
        <v>1.82976959487072</v>
      </c>
      <c r="R93" s="11" t="n">
        <v>1.85023667410404</v>
      </c>
      <c r="S93" s="11" t="n">
        <v>1.86918652909775</v>
      </c>
      <c r="T93" s="11" t="n">
        <v>1.88668904655827</v>
      </c>
      <c r="U93" s="11" t="n">
        <v>1.90280934550335</v>
      </c>
      <c r="V93" s="11" t="n">
        <v>1.91760608686796</v>
      </c>
      <c r="W93" s="11" t="n">
        <v>1.93112862774483</v>
      </c>
      <c r="X93" s="11" t="n">
        <v>1.94341766918524</v>
      </c>
      <c r="Y93" s="11" t="n">
        <v>1.9545063910128</v>
      </c>
      <c r="Z93" s="11" t="n">
        <v>1.96442141059629</v>
      </c>
      <c r="AA93" s="11" t="n">
        <v>1.97318360226771</v>
      </c>
      <c r="AB93" s="11" t="n">
        <v>1.98080879769174</v>
      </c>
      <c r="AC93" s="11" t="n">
        <v>1.98730838663034</v>
      </c>
      <c r="AD93" s="11" t="n">
        <v>1.99269003543972</v>
      </c>
      <c r="AE93" s="11" t="n">
        <v>1.99695916616363</v>
      </c>
      <c r="AF93" s="11" t="n">
        <v>2.00012029153155</v>
      </c>
      <c r="AG93" s="11" t="n">
        <v>2.0021779886553</v>
      </c>
      <c r="AH93" s="11" t="n">
        <v>2.00313755138043</v>
      </c>
      <c r="AI93" s="11" t="n">
        <v>2.00300760160597</v>
      </c>
      <c r="AJ93" s="11" t="n">
        <v>2.00180121289818</v>
      </c>
      <c r="AK93" s="11" t="n">
        <v>1.99953552042875</v>
      </c>
      <c r="AL93" s="11" t="n">
        <v>1.99623172191819</v>
      </c>
      <c r="AM93" s="11" t="n">
        <v>1.99191679151028</v>
      </c>
      <c r="AN93" s="11" t="n">
        <v>1.98662414372055</v>
      </c>
      <c r="AO93" s="11" t="n">
        <v>1.98039356141262</v>
      </c>
      <c r="AP93" s="11" t="n">
        <v>1.97327107552765</v>
      </c>
      <c r="AQ93" s="11" t="n">
        <v>1.96530848655167</v>
      </c>
      <c r="AR93" s="11" t="n">
        <v>1.95656289785348</v>
      </c>
      <c r="AS93" s="11" t="n">
        <v>1.9470962619536</v>
      </c>
      <c r="AT93" s="11" t="n">
        <v>1.93697494179618</v>
      </c>
      <c r="AU93" s="11" t="n">
        <v>1.92626905467416</v>
      </c>
    </row>
    <row r="94" customFormat="false" ht="15" hidden="false" customHeight="false" outlineLevel="0" collapsed="false">
      <c r="A94" s="10" t="n">
        <v>-31</v>
      </c>
      <c r="B94" s="8" t="n">
        <v>43131</v>
      </c>
      <c r="C94" s="11" t="n">
        <v>0.688311237976496</v>
      </c>
      <c r="D94" s="11" t="n">
        <v>0.747489132055762</v>
      </c>
      <c r="E94" s="11" t="n">
        <v>0.806681435290429</v>
      </c>
      <c r="F94" s="11" t="n">
        <v>0.866057553657059</v>
      </c>
      <c r="G94" s="11" t="n">
        <v>0.92540048543028</v>
      </c>
      <c r="H94" s="11" t="n">
        <v>0.984398704097716</v>
      </c>
      <c r="I94" s="11" t="n">
        <v>1.04273093634326</v>
      </c>
      <c r="J94" s="11" t="n">
        <v>1.10012605426509</v>
      </c>
      <c r="K94" s="11" t="n">
        <v>1.15637201272487</v>
      </c>
      <c r="L94" s="11" t="n">
        <v>1.21130444786533</v>
      </c>
      <c r="M94" s="11" t="n">
        <v>1.26478072578893</v>
      </c>
      <c r="N94" s="11" t="n">
        <v>1.3166652332731</v>
      </c>
      <c r="O94" s="11" t="n">
        <v>1.80655770673188</v>
      </c>
      <c r="P94" s="11" t="n">
        <v>1.8301210890347</v>
      </c>
      <c r="Q94" s="11" t="n">
        <v>1.85201662450914</v>
      </c>
      <c r="R94" s="11" t="n">
        <v>1.87233055187098</v>
      </c>
      <c r="S94" s="11" t="n">
        <v>1.8911417142183</v>
      </c>
      <c r="T94" s="11" t="n">
        <v>1.9085225840855</v>
      </c>
      <c r="U94" s="11" t="n">
        <v>1.9245400807754</v>
      </c>
      <c r="V94" s="11" t="n">
        <v>1.93925382748246</v>
      </c>
      <c r="W94" s="11" t="n">
        <v>1.95271320974922</v>
      </c>
      <c r="X94" s="11" t="n">
        <v>1.96495812689245</v>
      </c>
      <c r="Y94" s="11" t="n">
        <v>1.97602029617909</v>
      </c>
      <c r="Z94" s="11" t="n">
        <v>1.98592438974957</v>
      </c>
      <c r="AA94" s="11" t="n">
        <v>1.9946889293012</v>
      </c>
      <c r="AB94" s="11" t="n">
        <v>2.00232703615553</v>
      </c>
      <c r="AC94" s="11" t="n">
        <v>2.00884707473676</v>
      </c>
      <c r="AD94" s="11" t="n">
        <v>2.0142534503532</v>
      </c>
      <c r="AE94" s="11" t="n">
        <v>2.01854831932527</v>
      </c>
      <c r="AF94" s="11" t="n">
        <v>2.02173309137119</v>
      </c>
      <c r="AG94" s="11" t="n">
        <v>2.0238094851037</v>
      </c>
      <c r="AH94" s="11" t="n">
        <v>2.02478021074969</v>
      </c>
      <c r="AI94" s="11" t="n">
        <v>2.02465173394166</v>
      </c>
      <c r="AJ94" s="11" t="n">
        <v>2.0234354356578</v>
      </c>
      <c r="AK94" s="11" t="n">
        <v>2.02114717768268</v>
      </c>
      <c r="AL94" s="11" t="n">
        <v>2.01780728244652</v>
      </c>
      <c r="AM94" s="11" t="n">
        <v>2.01344228339657</v>
      </c>
      <c r="AN94" s="11" t="n">
        <v>2.00808557540516</v>
      </c>
      <c r="AO94" s="11" t="n">
        <v>2.00177730229391</v>
      </c>
      <c r="AP94" s="11" t="n">
        <v>1.99456419013546</v>
      </c>
      <c r="AQ94" s="11" t="n">
        <v>1.98649898520607</v>
      </c>
      <c r="AR94" s="11" t="n">
        <v>1.97763991452348</v>
      </c>
      <c r="AS94" s="11" t="n">
        <v>1.96805021231571</v>
      </c>
      <c r="AT94" s="11" t="n">
        <v>1.95779766211635</v>
      </c>
      <c r="AU94" s="11" t="n">
        <v>1.94695389035119</v>
      </c>
    </row>
    <row r="95" customFormat="false" ht="15" hidden="false" customHeight="false" outlineLevel="0" collapsed="false">
      <c r="A95" s="10" t="n">
        <v>-30</v>
      </c>
      <c r="B95" s="8" t="n">
        <v>43132</v>
      </c>
      <c r="C95" s="11" t="n">
        <v>0.705306475316479</v>
      </c>
      <c r="D95" s="11" t="n">
        <v>0.76799184996239</v>
      </c>
      <c r="E95" s="11" t="n">
        <v>0.829755015828383</v>
      </c>
      <c r="F95" s="11" t="n">
        <v>0.89105053465841</v>
      </c>
      <c r="G95" s="11" t="n">
        <v>0.951857400810324</v>
      </c>
      <c r="H95" s="11" t="n">
        <v>1.01200631162752</v>
      </c>
      <c r="I95" s="11" t="n">
        <v>1.07127535174816</v>
      </c>
      <c r="J95" s="11" t="n">
        <v>1.12945851456092</v>
      </c>
      <c r="K95" s="11" t="n">
        <v>1.18638260619958</v>
      </c>
      <c r="L95" s="11" t="n">
        <v>1.24190214874003</v>
      </c>
      <c r="M95" s="11" t="n">
        <v>1.29587951456082</v>
      </c>
      <c r="N95" s="11" t="n">
        <v>1.34817468490313</v>
      </c>
      <c r="O95" s="11" t="n">
        <v>1.83226485172221</v>
      </c>
      <c r="P95" s="11" t="n">
        <v>1.85474239616282</v>
      </c>
      <c r="Q95" s="11" t="n">
        <v>1.87553276386478</v>
      </c>
      <c r="R95" s="11" t="n">
        <v>1.89473594814349</v>
      </c>
      <c r="S95" s="11" t="n">
        <v>1.91244304136505</v>
      </c>
      <c r="T95" s="11" t="n">
        <v>1.92873747991718</v>
      </c>
      <c r="U95" s="11" t="n">
        <v>1.94369603733104</v>
      </c>
      <c r="V95" s="11" t="n">
        <v>1.95738701252731</v>
      </c>
      <c r="W95" s="11" t="n">
        <v>1.96986714875832</v>
      </c>
      <c r="X95" s="11" t="n">
        <v>1.9811825133402</v>
      </c>
      <c r="Y95" s="11" t="n">
        <v>1.99136973292408</v>
      </c>
      <c r="Z95" s="11" t="n">
        <v>2.00045694466377</v>
      </c>
      <c r="AA95" s="11" t="n">
        <v>2.00846481660715</v>
      </c>
      <c r="AB95" s="11" t="n">
        <v>2.01540745852741</v>
      </c>
      <c r="AC95" s="11" t="n">
        <v>2.02129320311159</v>
      </c>
      <c r="AD95" s="11" t="n">
        <v>2.02612545391104</v>
      </c>
      <c r="AE95" s="11" t="n">
        <v>2.02990415283127</v>
      </c>
      <c r="AF95" s="11" t="n">
        <v>2.03262730233742</v>
      </c>
      <c r="AG95" s="11" t="n">
        <v>2.03429225815262</v>
      </c>
      <c r="AH95" s="11" t="n">
        <v>2.03489659964789</v>
      </c>
      <c r="AI95" s="11" t="n">
        <v>2.03444128603637</v>
      </c>
      <c r="AJ95" s="11" t="n">
        <v>2.03293200225511</v>
      </c>
      <c r="AK95" s="11" t="n">
        <v>2.0303787477069</v>
      </c>
      <c r="AL95" s="11" t="n">
        <v>2.0267959044821</v>
      </c>
      <c r="AM95" s="11" t="n">
        <v>2.02220433465167</v>
      </c>
      <c r="AN95" s="11" t="n">
        <v>2.01663218442331</v>
      </c>
      <c r="AO95" s="11" t="n">
        <v>2.01011483400375</v>
      </c>
      <c r="AP95" s="11" t="n">
        <v>2.00269478351156</v>
      </c>
      <c r="AQ95" s="11" t="n">
        <v>1.99442118359001</v>
      </c>
      <c r="AR95" s="11" t="n">
        <v>1.98534936815389</v>
      </c>
      <c r="AS95" s="11" t="n">
        <v>1.97554033121799</v>
      </c>
      <c r="AT95" s="11" t="n">
        <v>1.96506023856709</v>
      </c>
      <c r="AU95" s="11" t="n">
        <v>1.95397979075685</v>
      </c>
    </row>
    <row r="96" customFormat="false" ht="15" hidden="false" customHeight="false" outlineLevel="0" collapsed="false">
      <c r="A96" s="10" t="n">
        <v>-29</v>
      </c>
      <c r="B96" s="8" t="n">
        <v>43133</v>
      </c>
      <c r="C96" s="11" t="n">
        <v>0.713303021708228</v>
      </c>
      <c r="D96" s="11" t="n">
        <v>0.782093145609797</v>
      </c>
      <c r="E96" s="11" t="n">
        <v>0.848826193468808</v>
      </c>
      <c r="F96" s="11" t="n">
        <v>0.914208246442798</v>
      </c>
      <c r="G96" s="11" t="n">
        <v>0.978460578608178</v>
      </c>
      <c r="H96" s="11" t="n">
        <v>1.04158407945435</v>
      </c>
      <c r="I96" s="11" t="n">
        <v>1.10347024651953</v>
      </c>
      <c r="J96" s="11" t="n">
        <v>1.16398441806029</v>
      </c>
      <c r="K96" s="11" t="n">
        <v>1.22299561371698</v>
      </c>
      <c r="L96" s="11" t="n">
        <v>1.28037709617303</v>
      </c>
      <c r="M96" s="11" t="n">
        <v>1.33599571631858</v>
      </c>
      <c r="N96" s="11" t="n">
        <v>1.38970828851441</v>
      </c>
      <c r="O96" s="11" t="n">
        <v>1.87216022538531</v>
      </c>
      <c r="P96" s="11" t="n">
        <v>1.8933979829456</v>
      </c>
      <c r="Q96" s="11" t="n">
        <v>1.91288585548494</v>
      </c>
      <c r="R96" s="11" t="n">
        <v>1.9307428163316</v>
      </c>
      <c r="S96" s="11" t="n">
        <v>1.94707747221447</v>
      </c>
      <c r="T96" s="11" t="n">
        <v>1.96198952681314</v>
      </c>
      <c r="U96" s="11" t="n">
        <v>1.9755709305426</v>
      </c>
      <c r="V96" s="11" t="n">
        <v>1.9879038518031</v>
      </c>
      <c r="W96" s="11" t="n">
        <v>1.99905737388611</v>
      </c>
      <c r="X96" s="11" t="n">
        <v>2.00908853228118</v>
      </c>
      <c r="Y96" s="11" t="n">
        <v>2.01804341936527</v>
      </c>
      <c r="Z96" s="11" t="n">
        <v>2.02595787653203</v>
      </c>
      <c r="AA96" s="11" t="n">
        <v>2.03285866840838</v>
      </c>
      <c r="AB96" s="11" t="n">
        <v>2.03876458970702</v>
      </c>
      <c r="AC96" s="11" t="n">
        <v>2.04368741431379</v>
      </c>
      <c r="AD96" s="11" t="n">
        <v>2.04763280809051</v>
      </c>
      <c r="AE96" s="11" t="n">
        <v>2.05060152052531</v>
      </c>
      <c r="AF96" s="11" t="n">
        <v>2.05259092552978</v>
      </c>
      <c r="AG96" s="11" t="n">
        <v>2.05359655126045</v>
      </c>
      <c r="AH96" s="11" t="n">
        <v>2.05361314497064</v>
      </c>
      <c r="AI96" s="11" t="n">
        <v>2.05263809720015</v>
      </c>
      <c r="AJ96" s="11" t="n">
        <v>2.05067288638922</v>
      </c>
      <c r="AK96" s="11" t="n">
        <v>2.04772272889616</v>
      </c>
      <c r="AL96" s="11" t="n">
        <v>2.04379677427292</v>
      </c>
      <c r="AM96" s="11" t="n">
        <v>2.03891049014268</v>
      </c>
      <c r="AN96" s="11" t="n">
        <v>2.03308657336333</v>
      </c>
      <c r="AO96" s="11" t="n">
        <v>2.02635500219521</v>
      </c>
      <c r="AP96" s="11" t="n">
        <v>2.01875300393723</v>
      </c>
      <c r="AQ96" s="11" t="n">
        <v>2.01032474579361</v>
      </c>
      <c r="AR96" s="11" t="n">
        <v>2.00112099224509</v>
      </c>
      <c r="AS96" s="11" t="n">
        <v>1.991198557981</v>
      </c>
      <c r="AT96" s="11" t="n">
        <v>1.98061982384083</v>
      </c>
      <c r="AU96" s="11" t="n">
        <v>1.96945223754813</v>
      </c>
    </row>
    <row r="97" customFormat="false" ht="15" hidden="false" customHeight="false" outlineLevel="0" collapsed="false">
      <c r="A97" s="10" t="n">
        <v>-28</v>
      </c>
      <c r="B97" s="8" t="n">
        <v>43136</v>
      </c>
      <c r="C97" s="11" t="n">
        <v>0.697450688685466</v>
      </c>
      <c r="D97" s="11" t="n">
        <v>0.766848254520934</v>
      </c>
      <c r="E97" s="11" t="n">
        <v>0.834122001298698</v>
      </c>
      <c r="F97" s="11" t="n">
        <v>0.900089830503371</v>
      </c>
      <c r="G97" s="11" t="n">
        <v>0.965004601456238</v>
      </c>
      <c r="H97" s="11" t="n">
        <v>1.02885638712012</v>
      </c>
      <c r="I97" s="11" t="n">
        <v>1.0915113953823</v>
      </c>
      <c r="J97" s="11" t="n">
        <v>1.15280792845526</v>
      </c>
      <c r="K97" s="11" t="n">
        <v>1.21259247847053</v>
      </c>
      <c r="L97" s="11" t="n">
        <v>1.27072086240189</v>
      </c>
      <c r="M97" s="11" t="n">
        <v>1.32704942657525</v>
      </c>
      <c r="N97" s="11" t="n">
        <v>1.38143109254327</v>
      </c>
      <c r="O97" s="11" t="n">
        <v>1.8712596994713</v>
      </c>
      <c r="P97" s="11" t="n">
        <v>1.89302014848043</v>
      </c>
      <c r="Q97" s="11" t="n">
        <v>1.91300806913259</v>
      </c>
      <c r="R97" s="11" t="n">
        <v>1.93133893906759</v>
      </c>
      <c r="S97" s="11" t="n">
        <v>1.94811874547795</v>
      </c>
      <c r="T97" s="11" t="n">
        <v>1.9634453250165</v>
      </c>
      <c r="U97" s="11" t="n">
        <v>1.97740939732051</v>
      </c>
      <c r="V97" s="11" t="n">
        <v>1.99009239555645</v>
      </c>
      <c r="W97" s="11" t="n">
        <v>2.00156307686768</v>
      </c>
      <c r="X97" s="11" t="n">
        <v>2.01187851213141</v>
      </c>
      <c r="Y97" s="11" t="n">
        <v>2.02108515621074</v>
      </c>
      <c r="Z97" s="11" t="n">
        <v>2.02921952575623</v>
      </c>
      <c r="AA97" s="11" t="n">
        <v>2.03630933996938</v>
      </c>
      <c r="AB97" s="11" t="n">
        <v>2.04237459340189</v>
      </c>
      <c r="AC97" s="11" t="n">
        <v>2.04742847587905</v>
      </c>
      <c r="AD97" s="11" t="n">
        <v>2.05147826572077</v>
      </c>
      <c r="AE97" s="11" t="n">
        <v>2.05452651816671</v>
      </c>
      <c r="AF97" s="11" t="n">
        <v>2.05657256342801</v>
      </c>
      <c r="AG97" s="11" t="n">
        <v>2.05761396414361</v>
      </c>
      <c r="AH97" s="11" t="n">
        <v>2.05764755841877</v>
      </c>
      <c r="AI97" s="11" t="n">
        <v>2.05667282110611</v>
      </c>
      <c r="AJ97" s="11" t="n">
        <v>2.05469325956602</v>
      </c>
      <c r="AK97" s="11" t="n">
        <v>2.0517160664633</v>
      </c>
      <c r="AL97" s="11" t="n">
        <v>2.04775231588956</v>
      </c>
      <c r="AM97" s="11" t="n">
        <v>2.04281929447104</v>
      </c>
      <c r="AN97" s="11" t="n">
        <v>2.03694137359233</v>
      </c>
      <c r="AO97" s="11" t="n">
        <v>2.03015004841235</v>
      </c>
      <c r="AP97" s="11" t="n">
        <v>2.02248388946256</v>
      </c>
      <c r="AQ97" s="11" t="n">
        <v>2.01398822063645</v>
      </c>
      <c r="AR97" s="11" t="n">
        <v>2.00471476677511</v>
      </c>
      <c r="AS97" s="11" t="n">
        <v>1.99472112107788</v>
      </c>
      <c r="AT97" s="11" t="n">
        <v>1.98407027106181</v>
      </c>
      <c r="AU97" s="11" t="n">
        <v>1.97283008741172</v>
      </c>
    </row>
    <row r="98" customFormat="false" ht="15" hidden="false" customHeight="false" outlineLevel="0" collapsed="false">
      <c r="A98" s="10" t="n">
        <v>-27</v>
      </c>
      <c r="B98" s="8" t="n">
        <v>43137</v>
      </c>
      <c r="C98" s="11" t="n">
        <v>0.648564428347252</v>
      </c>
      <c r="D98" s="11" t="n">
        <v>0.713742730211937</v>
      </c>
      <c r="E98" s="11" t="n">
        <v>0.778003421960377</v>
      </c>
      <c r="F98" s="11" t="n">
        <v>0.841902953347549</v>
      </c>
      <c r="G98" s="11" t="n">
        <v>0.905519462521488</v>
      </c>
      <c r="H98" s="11" t="n">
        <v>0.968704830681997</v>
      </c>
      <c r="I98" s="11" t="n">
        <v>1.03121237164215</v>
      </c>
      <c r="J98" s="11" t="n">
        <v>1.09278726811691</v>
      </c>
      <c r="K98" s="11" t="n">
        <v>1.15320109264709</v>
      </c>
      <c r="L98" s="11" t="n">
        <v>1.21224881815352</v>
      </c>
      <c r="M98" s="11" t="n">
        <v>1.26973858719734</v>
      </c>
      <c r="N98" s="11" t="n">
        <v>1.32548547069209</v>
      </c>
      <c r="O98" s="11" t="n">
        <v>1.84030088110597</v>
      </c>
      <c r="P98" s="11" t="n">
        <v>1.86368025895993</v>
      </c>
      <c r="Q98" s="11" t="n">
        <v>1.8851558268288</v>
      </c>
      <c r="R98" s="11" t="n">
        <v>1.9048411988758</v>
      </c>
      <c r="S98" s="11" t="n">
        <v>1.92284362742596</v>
      </c>
      <c r="T98" s="11" t="n">
        <v>1.93926486817632</v>
      </c>
      <c r="U98" s="11" t="n">
        <v>1.95420179648193</v>
      </c>
      <c r="V98" s="11" t="n">
        <v>1.9677434664891</v>
      </c>
      <c r="W98" s="11" t="n">
        <v>1.97996691803523</v>
      </c>
      <c r="X98" s="11" t="n">
        <v>1.99093797703088</v>
      </c>
      <c r="Y98" s="11" t="n">
        <v>2.00071186401516</v>
      </c>
      <c r="Z98" s="11" t="n">
        <v>2.00933330112252</v>
      </c>
      <c r="AA98" s="11" t="n">
        <v>2.01683764094303</v>
      </c>
      <c r="AB98" s="11" t="n">
        <v>2.02325200905111</v>
      </c>
      <c r="AC98" s="11" t="n">
        <v>2.02859628347888</v>
      </c>
      <c r="AD98" s="11" t="n">
        <v>2.0328839574498</v>
      </c>
      <c r="AE98" s="11" t="n">
        <v>2.03612299961843</v>
      </c>
      <c r="AF98" s="11" t="n">
        <v>2.03831732818062</v>
      </c>
      <c r="AG98" s="11" t="n">
        <v>2.03946845843244</v>
      </c>
      <c r="AH98" s="11" t="n">
        <v>2.03957665505031</v>
      </c>
      <c r="AI98" s="11" t="n">
        <v>2.03864443568557</v>
      </c>
      <c r="AJ98" s="11" t="n">
        <v>2.03667802964296</v>
      </c>
      <c r="AK98" s="11" t="n">
        <v>2.03368706252719</v>
      </c>
      <c r="AL98" s="11" t="n">
        <v>2.02968480671958</v>
      </c>
      <c r="AM98" s="11" t="n">
        <v>2.02469062262779</v>
      </c>
      <c r="AN98" s="11" t="n">
        <v>2.01873086892959</v>
      </c>
      <c r="AO98" s="11" t="n">
        <v>2.0118389261316</v>
      </c>
      <c r="AP98" s="11" t="n">
        <v>2.00405513389654</v>
      </c>
      <c r="AQ98" s="11" t="n">
        <v>1.99542650707805</v>
      </c>
      <c r="AR98" s="11" t="n">
        <v>1.98600641450211</v>
      </c>
      <c r="AS98" s="11" t="n">
        <v>1.97585405203744</v>
      </c>
      <c r="AT98" s="11" t="n">
        <v>1.9650339742546</v>
      </c>
      <c r="AU98" s="11" t="n">
        <v>1.95361559185535</v>
      </c>
    </row>
    <row r="99" customFormat="false" ht="15" hidden="false" customHeight="false" outlineLevel="0" collapsed="false">
      <c r="A99" s="10" t="n">
        <v>-26</v>
      </c>
      <c r="B99" s="8" t="n">
        <v>43138</v>
      </c>
      <c r="C99" s="11" t="n">
        <v>0.66918007854016</v>
      </c>
      <c r="D99" s="11" t="n">
        <v>0.734364022671662</v>
      </c>
      <c r="E99" s="11" t="n">
        <v>0.798999188579737</v>
      </c>
      <c r="F99" s="11" t="n">
        <v>0.863526070376176</v>
      </c>
      <c r="G99" s="11" t="n">
        <v>0.927901813962086</v>
      </c>
      <c r="H99" s="11" t="n">
        <v>0.991880509981001</v>
      </c>
      <c r="I99" s="11" t="n">
        <v>1.055145254695</v>
      </c>
      <c r="J99" s="11" t="n">
        <v>1.11739317712365</v>
      </c>
      <c r="K99" s="11" t="n">
        <v>1.1783653183909</v>
      </c>
      <c r="L99" s="11" t="n">
        <v>1.23783789766358</v>
      </c>
      <c r="M99" s="11" t="n">
        <v>1.29561063403932</v>
      </c>
      <c r="N99" s="11" t="n">
        <v>1.35149830014504</v>
      </c>
      <c r="O99" s="11" t="n">
        <v>1.8613364283955</v>
      </c>
      <c r="P99" s="11" t="n">
        <v>1.88431263841381</v>
      </c>
      <c r="Q99" s="11" t="n">
        <v>1.9054235769663</v>
      </c>
      <c r="R99" s="11" t="n">
        <v>1.92478420742829</v>
      </c>
      <c r="S99" s="11" t="n">
        <v>1.94250210359674</v>
      </c>
      <c r="T99" s="11" t="n">
        <v>1.95867847503463</v>
      </c>
      <c r="U99" s="11" t="n">
        <v>1.97340891919393</v>
      </c>
      <c r="V99" s="11" t="n">
        <v>1.98678080520445</v>
      </c>
      <c r="W99" s="11" t="n">
        <v>1.99886951578337</v>
      </c>
      <c r="X99" s="11" t="n">
        <v>2.00973930473218</v>
      </c>
      <c r="Y99" s="11" t="n">
        <v>2.01944381341931</v>
      </c>
      <c r="Z99" s="11" t="n">
        <v>2.02802607790945</v>
      </c>
      <c r="AA99" s="11" t="n">
        <v>2.03551965929956</v>
      </c>
      <c r="AB99" s="11" t="n">
        <v>2.04194979910811</v>
      </c>
      <c r="AC99" s="11" t="n">
        <v>2.04733440956519</v>
      </c>
      <c r="AD99" s="11" t="n">
        <v>2.05168488728062</v>
      </c>
      <c r="AE99" s="11" t="n">
        <v>2.05500672446642</v>
      </c>
      <c r="AF99" s="11" t="n">
        <v>2.05730098162609</v>
      </c>
      <c r="AG99" s="11" t="n">
        <v>2.05856608729074</v>
      </c>
      <c r="AH99" s="11" t="n">
        <v>2.05879906906989</v>
      </c>
      <c r="AI99" s="11" t="n">
        <v>2.05799921319973</v>
      </c>
      <c r="AJ99" s="11" t="n">
        <v>2.05616957167673</v>
      </c>
      <c r="AK99" s="11" t="n">
        <v>2.0533166420873</v>
      </c>
      <c r="AL99" s="11" t="n">
        <v>2.04945065268517</v>
      </c>
      <c r="AM99" s="11" t="n">
        <v>2.04458814366397</v>
      </c>
      <c r="AN99" s="11" t="n">
        <v>2.03875292132702</v>
      </c>
      <c r="AO99" s="11" t="n">
        <v>2.0319761195778</v>
      </c>
      <c r="AP99" s="11" t="n">
        <v>2.02429615958084</v>
      </c>
      <c r="AQ99" s="11" t="n">
        <v>2.01575846590654</v>
      </c>
      <c r="AR99" s="11" t="n">
        <v>2.00641513683904</v>
      </c>
      <c r="AS99" s="11" t="n">
        <v>1.99632439111486</v>
      </c>
      <c r="AT99" s="11" t="n">
        <v>1.98555007369453</v>
      </c>
      <c r="AU99" s="11" t="n">
        <v>1.97416112244516</v>
      </c>
    </row>
    <row r="100" customFormat="false" ht="15" hidden="false" customHeight="false" outlineLevel="0" collapsed="false">
      <c r="A100" s="10" t="n">
        <v>-25</v>
      </c>
      <c r="B100" s="8" t="n">
        <v>43139</v>
      </c>
      <c r="C100" s="11" t="n">
        <v>0.748189414371922</v>
      </c>
      <c r="D100" s="11" t="n">
        <v>0.82159816735038</v>
      </c>
      <c r="E100" s="11" t="n">
        <v>0.892439645072134</v>
      </c>
      <c r="F100" s="11" t="n">
        <v>0.961408308870256</v>
      </c>
      <c r="G100" s="11" t="n">
        <v>1.02873839793287</v>
      </c>
      <c r="H100" s="11" t="n">
        <v>1.09443020811093</v>
      </c>
      <c r="I100" s="11" t="n">
        <v>1.15837804951886</v>
      </c>
      <c r="J100" s="11" t="n">
        <v>1.22045713914705</v>
      </c>
      <c r="K100" s="11" t="n">
        <v>1.28055801353622</v>
      </c>
      <c r="L100" s="11" t="n">
        <v>1.33857994480577</v>
      </c>
      <c r="M100" s="11" t="n">
        <v>1.39442343572311</v>
      </c>
      <c r="N100" s="11" t="n">
        <v>1.44798652076899</v>
      </c>
      <c r="O100" s="11" t="n">
        <v>1.91554362855038</v>
      </c>
      <c r="P100" s="11" t="n">
        <v>1.93584328653902</v>
      </c>
      <c r="Q100" s="11" t="n">
        <v>1.95450233099922</v>
      </c>
      <c r="R100" s="11" t="n">
        <v>1.97163989256445</v>
      </c>
      <c r="S100" s="11" t="n">
        <v>1.98736260549622</v>
      </c>
      <c r="T100" s="11" t="n">
        <v>2.00176640872609</v>
      </c>
      <c r="U100" s="11" t="n">
        <v>2.01493794286591</v>
      </c>
      <c r="V100" s="11" t="n">
        <v>2.02695266828485</v>
      </c>
      <c r="W100" s="11" t="n">
        <v>2.03787186958693</v>
      </c>
      <c r="X100" s="11" t="n">
        <v>2.0477439111742</v>
      </c>
      <c r="Y100" s="11" t="n">
        <v>2.05660575933011</v>
      </c>
      <c r="Z100" s="11" t="n">
        <v>2.0644841927784</v>
      </c>
      <c r="AA100" s="11" t="n">
        <v>2.07139704046636</v>
      </c>
      <c r="AB100" s="11" t="n">
        <v>2.07735427298551</v>
      </c>
      <c r="AC100" s="11" t="n">
        <v>2.08235893881494</v>
      </c>
      <c r="AD100" s="11" t="n">
        <v>2.08640816441863</v>
      </c>
      <c r="AE100" s="11" t="n">
        <v>2.08949474754899</v>
      </c>
      <c r="AF100" s="11" t="n">
        <v>2.09160879502289</v>
      </c>
      <c r="AG100" s="11" t="n">
        <v>2.0927390871239</v>
      </c>
      <c r="AH100" s="11" t="n">
        <v>2.09287415178293</v>
      </c>
      <c r="AI100" s="11" t="n">
        <v>2.09200586233571</v>
      </c>
      <c r="AJ100" s="11" t="n">
        <v>2.09013084107977</v>
      </c>
      <c r="AK100" s="11" t="n">
        <v>2.08725003994944</v>
      </c>
      <c r="AL100" s="11" t="n">
        <v>2.08336894341946</v>
      </c>
      <c r="AM100" s="11" t="n">
        <v>2.07850005366129</v>
      </c>
      <c r="AN100" s="11" t="n">
        <v>2.07266375374406</v>
      </c>
      <c r="AO100" s="11" t="n">
        <v>2.06588832484972</v>
      </c>
      <c r="AP100" s="11" t="n">
        <v>2.05820985823634</v>
      </c>
      <c r="AQ100" s="11" t="n">
        <v>2.04967190869255</v>
      </c>
      <c r="AR100" s="11" t="n">
        <v>2.04032510743856</v>
      </c>
      <c r="AS100" s="11" t="n">
        <v>2.03022657253127</v>
      </c>
      <c r="AT100" s="11" t="n">
        <v>2.01943939375656</v>
      </c>
      <c r="AU100" s="11" t="n">
        <v>2.00803210572787</v>
      </c>
    </row>
    <row r="101" customFormat="false" ht="15" hidden="false" customHeight="false" outlineLevel="0" collapsed="false">
      <c r="A101" s="10" t="n">
        <v>-24</v>
      </c>
      <c r="B101" s="8" t="n">
        <v>43140</v>
      </c>
      <c r="C101" s="11" t="n">
        <v>0.733248968059515</v>
      </c>
      <c r="D101" s="11" t="n">
        <v>0.804457717857983</v>
      </c>
      <c r="E101" s="11" t="n">
        <v>0.873326544004846</v>
      </c>
      <c r="F101" s="11" t="n">
        <v>0.940498965091034</v>
      </c>
      <c r="G101" s="11" t="n">
        <v>1.00621682733758</v>
      </c>
      <c r="H101" s="11" t="n">
        <v>1.07048371736285</v>
      </c>
      <c r="I101" s="11" t="n">
        <v>1.13318720404982</v>
      </c>
      <c r="J101" s="11" t="n">
        <v>1.19418995288409</v>
      </c>
      <c r="K101" s="11" t="n">
        <v>1.25337258110316</v>
      </c>
      <c r="L101" s="11" t="n">
        <v>1.31062983446364</v>
      </c>
      <c r="M101" s="11" t="n">
        <v>1.36585890689607</v>
      </c>
      <c r="N101" s="11" t="n">
        <v>1.4189538972646</v>
      </c>
      <c r="O101" s="11" t="n">
        <v>1.88676741138888</v>
      </c>
      <c r="P101" s="11" t="n">
        <v>1.90690367927262</v>
      </c>
      <c r="Q101" s="11" t="n">
        <v>1.92532893578135</v>
      </c>
      <c r="R101" s="11" t="n">
        <v>1.94216996454782</v>
      </c>
      <c r="S101" s="11" t="n">
        <v>1.95754255005575</v>
      </c>
      <c r="T101" s="11" t="n">
        <v>1.97155304201877</v>
      </c>
      <c r="U101" s="11" t="n">
        <v>1.98429951289731</v>
      </c>
      <c r="V101" s="11" t="n">
        <v>1.99586896511861</v>
      </c>
      <c r="W101" s="11" t="n">
        <v>2.0063334350102</v>
      </c>
      <c r="X101" s="11" t="n">
        <v>2.01575124631302</v>
      </c>
      <c r="Y101" s="11" t="n">
        <v>2.02416837607927</v>
      </c>
      <c r="Z101" s="11" t="n">
        <v>2.03161944096019</v>
      </c>
      <c r="AA101" s="11" t="n">
        <v>2.03812903605703</v>
      </c>
      <c r="AB101" s="11" t="n">
        <v>2.04371295703647</v>
      </c>
      <c r="AC101" s="11" t="n">
        <v>2.04837924826444</v>
      </c>
      <c r="AD101" s="11" t="n">
        <v>2.05212923878026</v>
      </c>
      <c r="AE101" s="11" t="n">
        <v>2.05495893642993</v>
      </c>
      <c r="AF101" s="11" t="n">
        <v>2.05686072871109</v>
      </c>
      <c r="AG101" s="11" t="n">
        <v>2.05782495426815</v>
      </c>
      <c r="AH101" s="11" t="n">
        <v>2.0578410994269</v>
      </c>
      <c r="AI101" s="11" t="n">
        <v>2.05690147732602</v>
      </c>
      <c r="AJ101" s="11" t="n">
        <v>2.05500263079222</v>
      </c>
      <c r="AK101" s="11" t="n">
        <v>2.05214496040988</v>
      </c>
      <c r="AL101" s="11" t="n">
        <v>2.0483330037724</v>
      </c>
      <c r="AM101" s="11" t="n">
        <v>2.04357797623363</v>
      </c>
      <c r="AN101" s="11" t="n">
        <v>2.03789862691995</v>
      </c>
      <c r="AO101" s="11" t="n">
        <v>2.03132128768283</v>
      </c>
      <c r="AP101" s="11" t="n">
        <v>2.02387979968828</v>
      </c>
      <c r="AQ101" s="11" t="n">
        <v>2.01561521047097</v>
      </c>
      <c r="AR101" s="11" t="n">
        <v>2.00657541691296</v>
      </c>
      <c r="AS101" s="11" t="n">
        <v>1.99681459480975</v>
      </c>
      <c r="AT101" s="11" t="n">
        <v>1.98639270417146</v>
      </c>
      <c r="AU101" s="11" t="n">
        <v>1.97537498111664</v>
      </c>
    </row>
    <row r="102" customFormat="false" ht="15" hidden="false" customHeight="false" outlineLevel="0" collapsed="false">
      <c r="A102" s="10" t="n">
        <v>-23</v>
      </c>
      <c r="B102" s="8" t="n">
        <v>43143</v>
      </c>
      <c r="C102" s="11" t="n">
        <v>0.735601919882237</v>
      </c>
      <c r="D102" s="11" t="n">
        <v>0.807580791735545</v>
      </c>
      <c r="E102" s="11" t="n">
        <v>0.877159319974149</v>
      </c>
      <c r="F102" s="11" t="n">
        <v>0.944902197328817</v>
      </c>
      <c r="G102" s="11" t="n">
        <v>1.01103388141358</v>
      </c>
      <c r="H102" s="11" t="n">
        <v>1.07556029496574</v>
      </c>
      <c r="I102" s="11" t="n">
        <v>1.1383746629075</v>
      </c>
      <c r="J102" s="11" t="n">
        <v>1.1993496637308</v>
      </c>
      <c r="K102" s="11" t="n">
        <v>1.25838239237462</v>
      </c>
      <c r="L102" s="11" t="n">
        <v>1.31539194854789</v>
      </c>
      <c r="M102" s="11" t="n">
        <v>1.37030443538869</v>
      </c>
      <c r="N102" s="11" t="n">
        <v>1.42304494994984</v>
      </c>
      <c r="O102" s="11" t="n">
        <v>1.88969519268576</v>
      </c>
      <c r="P102" s="11" t="n">
        <v>1.90991729282225</v>
      </c>
      <c r="Q102" s="11" t="n">
        <v>1.92841576189539</v>
      </c>
      <c r="R102" s="11" t="n">
        <v>1.94531476640755</v>
      </c>
      <c r="S102" s="11" t="n">
        <v>1.96072883296308</v>
      </c>
      <c r="T102" s="11" t="n">
        <v>1.97476420914598</v>
      </c>
      <c r="U102" s="11" t="n">
        <v>1.9875198357228</v>
      </c>
      <c r="V102" s="11" t="n">
        <v>1.9990842254841</v>
      </c>
      <c r="W102" s="11" t="n">
        <v>2.00953128634459</v>
      </c>
      <c r="X102" s="11" t="n">
        <v>2.01892150145666</v>
      </c>
      <c r="Y102" s="11" t="n">
        <v>2.02730310271758</v>
      </c>
      <c r="Z102" s="11" t="n">
        <v>2.03471284397902</v>
      </c>
      <c r="AA102" s="11" t="n">
        <v>2.04117732885943</v>
      </c>
      <c r="AB102" s="11" t="n">
        <v>2.04671424854856</v>
      </c>
      <c r="AC102" s="11" t="n">
        <v>2.05133344331877</v>
      </c>
      <c r="AD102" s="11" t="n">
        <v>2.05503792734513</v>
      </c>
      <c r="AE102" s="11" t="n">
        <v>2.05782519485802</v>
      </c>
      <c r="AF102" s="11" t="n">
        <v>2.05968895463899</v>
      </c>
      <c r="AG102" s="11" t="n">
        <v>2.06062079090986</v>
      </c>
      <c r="AH102" s="11" t="n">
        <v>2.06061137663719</v>
      </c>
      <c r="AI102" s="11" t="n">
        <v>2.05965411523976</v>
      </c>
      <c r="AJ102" s="11" t="n">
        <v>2.05774651254695</v>
      </c>
      <c r="AK102" s="11" t="n">
        <v>2.05488981550033</v>
      </c>
      <c r="AL102" s="11" t="n">
        <v>2.05108930365644</v>
      </c>
      <c r="AM102" s="11" t="n">
        <v>2.04635680402916</v>
      </c>
      <c r="AN102" s="11" t="n">
        <v>2.04071152641998</v>
      </c>
      <c r="AO102" s="11" t="n">
        <v>2.03418012189043</v>
      </c>
      <c r="AP102" s="11" t="n">
        <v>2.0267966103724</v>
      </c>
      <c r="AQ102" s="11" t="n">
        <v>2.01860205897228</v>
      </c>
      <c r="AR102" s="11" t="n">
        <v>2.00964421071675</v>
      </c>
      <c r="AS102" s="11" t="n">
        <v>1.99997692672174</v>
      </c>
      <c r="AT102" s="11" t="n">
        <v>1.98965970003542</v>
      </c>
      <c r="AU102" s="11" t="n">
        <v>1.97875713523997</v>
      </c>
    </row>
    <row r="103" customFormat="false" ht="15" hidden="false" customHeight="false" outlineLevel="0" collapsed="false">
      <c r="A103" s="10" t="n">
        <v>-22</v>
      </c>
      <c r="B103" s="8" t="n">
        <v>43144</v>
      </c>
      <c r="C103" s="11" t="n">
        <v>0.754752254859763</v>
      </c>
      <c r="D103" s="11" t="n">
        <v>0.827753442805012</v>
      </c>
      <c r="E103" s="11" t="n">
        <v>0.898110579865752</v>
      </c>
      <c r="F103" s="11" t="n">
        <v>0.966414052915853</v>
      </c>
      <c r="G103" s="11" t="n">
        <v>1.03292625003743</v>
      </c>
      <c r="H103" s="11" t="n">
        <v>1.09769186715457</v>
      </c>
      <c r="I103" s="11" t="n">
        <v>1.16063509777726</v>
      </c>
      <c r="J103" s="11" t="n">
        <v>1.221651865713</v>
      </c>
      <c r="K103" s="11" t="n">
        <v>1.2806564854274</v>
      </c>
      <c r="L103" s="11" t="n">
        <v>1.33758350230662</v>
      </c>
      <c r="M103" s="11" t="n">
        <v>1.39237372567904</v>
      </c>
      <c r="N103" s="11" t="n">
        <v>1.44496653958292</v>
      </c>
      <c r="O103" s="11" t="n">
        <v>1.91057631377432</v>
      </c>
      <c r="P103" s="11" t="n">
        <v>1.93073691632906</v>
      </c>
      <c r="Q103" s="11" t="n">
        <v>1.9491566572333</v>
      </c>
      <c r="R103" s="11" t="n">
        <v>1.96595826084784</v>
      </c>
      <c r="S103" s="11" t="n">
        <v>1.9812555207329</v>
      </c>
      <c r="T103" s="11" t="n">
        <v>1.9951545556369</v>
      </c>
      <c r="U103" s="11" t="n">
        <v>2.00775468969132</v>
      </c>
      <c r="V103" s="11" t="n">
        <v>2.01914527936325</v>
      </c>
      <c r="W103" s="11" t="n">
        <v>2.02940156790481</v>
      </c>
      <c r="X103" s="11" t="n">
        <v>2.03858582275518</v>
      </c>
      <c r="Y103" s="11" t="n">
        <v>2.04674845959432</v>
      </c>
      <c r="Z103" s="11" t="n">
        <v>2.05392878656087</v>
      </c>
      <c r="AA103" s="11" t="n">
        <v>2.0601562902593</v>
      </c>
      <c r="AB103" s="11" t="n">
        <v>2.06545183348377</v>
      </c>
      <c r="AC103" s="11" t="n">
        <v>2.06982868244721</v>
      </c>
      <c r="AD103" s="11" t="n">
        <v>2.07329351297904</v>
      </c>
      <c r="AE103" s="11" t="n">
        <v>2.07584772755591</v>
      </c>
      <c r="AF103" s="11" t="n">
        <v>2.07748912493438</v>
      </c>
      <c r="AG103" s="11" t="n">
        <v>2.07821345494968</v>
      </c>
      <c r="AH103" s="11" t="n">
        <v>2.07801556044422</v>
      </c>
      <c r="AI103" s="11" t="n">
        <v>2.07689276066183</v>
      </c>
      <c r="AJ103" s="11" t="n">
        <v>2.07484611057806</v>
      </c>
      <c r="AK103" s="11" t="n">
        <v>2.071880071368</v>
      </c>
      <c r="AL103" s="11" t="n">
        <v>2.06800278928441</v>
      </c>
      <c r="AM103" s="11" t="n">
        <v>2.06322840719553</v>
      </c>
      <c r="AN103" s="11" t="n">
        <v>2.05757781552533</v>
      </c>
      <c r="AO103" s="11" t="n">
        <v>2.05107867628191</v>
      </c>
      <c r="AP103" s="11" t="n">
        <v>2.04376533069002</v>
      </c>
      <c r="AQ103" s="11" t="n">
        <v>2.03567850366839</v>
      </c>
      <c r="AR103" s="11" t="n">
        <v>2.02686496363123</v>
      </c>
      <c r="AS103" s="11" t="n">
        <v>2.01737701698151</v>
      </c>
      <c r="AT103" s="11" t="n">
        <v>2.00727206831152</v>
      </c>
      <c r="AU103" s="11" t="n">
        <v>1.99661213639059</v>
      </c>
    </row>
    <row r="104" customFormat="false" ht="15" hidden="false" customHeight="false" outlineLevel="0" collapsed="false">
      <c r="A104" s="10" t="n">
        <v>-21</v>
      </c>
      <c r="B104" s="8" t="n">
        <v>43145</v>
      </c>
      <c r="C104" s="11" t="n">
        <v>0.75604212012648</v>
      </c>
      <c r="D104" s="11" t="n">
        <v>0.82866152446612</v>
      </c>
      <c r="E104" s="11" t="n">
        <v>0.899619947459895</v>
      </c>
      <c r="F104" s="11" t="n">
        <v>0.968984430023069</v>
      </c>
      <c r="G104" s="11" t="n">
        <v>1.03670120082407</v>
      </c>
      <c r="H104" s="11" t="n">
        <v>1.10264435007325</v>
      </c>
      <c r="I104" s="11" t="n">
        <v>1.16665839478889</v>
      </c>
      <c r="J104" s="11" t="n">
        <v>1.2286143629414</v>
      </c>
      <c r="K104" s="11" t="n">
        <v>1.28843157674685</v>
      </c>
      <c r="L104" s="11" t="n">
        <v>1.34606696658668</v>
      </c>
      <c r="M104" s="11" t="n">
        <v>1.40148976387625</v>
      </c>
      <c r="N104" s="11" t="n">
        <v>1.45466824939948</v>
      </c>
      <c r="O104" s="11" t="n">
        <v>1.92901181906969</v>
      </c>
      <c r="P104" s="11" t="n">
        <v>1.94980043408988</v>
      </c>
      <c r="Q104" s="11" t="n">
        <v>1.96879400255656</v>
      </c>
      <c r="R104" s="11" t="n">
        <v>1.9861109416028</v>
      </c>
      <c r="S104" s="11" t="n">
        <v>2.00186284492607</v>
      </c>
      <c r="T104" s="11" t="n">
        <v>2.01615542604418</v>
      </c>
      <c r="U104" s="11" t="n">
        <v>2.02908912746511</v>
      </c>
      <c r="V104" s="11" t="n">
        <v>2.04075568663495</v>
      </c>
      <c r="W104" s="11" t="n">
        <v>2.05123382360245</v>
      </c>
      <c r="X104" s="11" t="n">
        <v>2.0605902261405</v>
      </c>
      <c r="Y104" s="11" t="n">
        <v>2.06888029746566</v>
      </c>
      <c r="Z104" s="11" t="n">
        <v>2.07614850562421</v>
      </c>
      <c r="AA104" s="11" t="n">
        <v>2.08242960752654</v>
      </c>
      <c r="AB104" s="11" t="n">
        <v>2.08774983320261</v>
      </c>
      <c r="AC104" s="11" t="n">
        <v>2.0921279011063</v>
      </c>
      <c r="AD104" s="11" t="n">
        <v>2.09557593155094</v>
      </c>
      <c r="AE104" s="11" t="n">
        <v>2.09810041610545</v>
      </c>
      <c r="AF104" s="11" t="n">
        <v>2.09970380884799</v>
      </c>
      <c r="AG104" s="11" t="n">
        <v>2.10038616752356</v>
      </c>
      <c r="AH104" s="11" t="n">
        <v>2.10014631143614</v>
      </c>
      <c r="AI104" s="11" t="n">
        <v>2.09898509179664</v>
      </c>
      <c r="AJ104" s="11" t="n">
        <v>2.09690661104715</v>
      </c>
      <c r="AK104" s="11" t="n">
        <v>2.09391793862236</v>
      </c>
      <c r="AL104" s="11" t="n">
        <v>2.09002942035531</v>
      </c>
      <c r="AM104" s="11" t="n">
        <v>2.08525693982401</v>
      </c>
      <c r="AN104" s="11" t="n">
        <v>2.07962265599081</v>
      </c>
      <c r="AO104" s="11" t="n">
        <v>2.07315505672471</v>
      </c>
      <c r="AP104" s="11" t="n">
        <v>2.06588889392158</v>
      </c>
      <c r="AQ104" s="11" t="n">
        <v>2.05786494051732</v>
      </c>
      <c r="AR104" s="11" t="n">
        <v>2.04912969331704</v>
      </c>
      <c r="AS104" s="11" t="n">
        <v>2.03973489555908</v>
      </c>
      <c r="AT104" s="11" t="n">
        <v>2.02973712124411</v>
      </c>
      <c r="AU104" s="11" t="n">
        <v>2.01919731204837</v>
      </c>
    </row>
    <row r="105" customFormat="false" ht="15" hidden="false" customHeight="false" outlineLevel="0" collapsed="false">
      <c r="A105" s="10" t="n">
        <v>-20</v>
      </c>
      <c r="B105" s="8" t="n">
        <v>43146</v>
      </c>
      <c r="C105" s="11" t="n">
        <v>0.756978891469025</v>
      </c>
      <c r="D105" s="11" t="n">
        <v>0.830760878044593</v>
      </c>
      <c r="E105" s="11" t="n">
        <v>0.903259587205237</v>
      </c>
      <c r="F105" s="11" t="n">
        <v>0.974393264821137</v>
      </c>
      <c r="G105" s="11" t="n">
        <v>1.0439970128168</v>
      </c>
      <c r="H105" s="11" t="n">
        <v>1.11185715534299</v>
      </c>
      <c r="I105" s="11" t="n">
        <v>1.17775733844331</v>
      </c>
      <c r="J105" s="11" t="n">
        <v>1.24153175490297</v>
      </c>
      <c r="K105" s="11" t="n">
        <v>1.30307890773247</v>
      </c>
      <c r="L105" s="11" t="n">
        <v>1.36234791602037</v>
      </c>
      <c r="M105" s="11" t="n">
        <v>1.41930795934913</v>
      </c>
      <c r="N105" s="11" t="n">
        <v>1.47393129798262</v>
      </c>
      <c r="O105" s="11" t="n">
        <v>1.96028267734192</v>
      </c>
      <c r="P105" s="11" t="n">
        <v>1.98155086972704</v>
      </c>
      <c r="Q105" s="11" t="n">
        <v>2.00097394622322</v>
      </c>
      <c r="R105" s="11" t="n">
        <v>2.01867411212447</v>
      </c>
      <c r="S105" s="11" t="n">
        <v>2.03476670420579</v>
      </c>
      <c r="T105" s="11" t="n">
        <v>2.04936114122319</v>
      </c>
      <c r="U105" s="11" t="n">
        <v>2.06256152203771</v>
      </c>
      <c r="V105" s="11" t="n">
        <v>2.07446300468251</v>
      </c>
      <c r="W105" s="11" t="n">
        <v>2.08514733979277</v>
      </c>
      <c r="X105" s="11" t="n">
        <v>2.09468389467603</v>
      </c>
      <c r="Y105" s="11" t="n">
        <v>2.10313045705799</v>
      </c>
      <c r="Z105" s="11" t="n">
        <v>2.11053364807771</v>
      </c>
      <c r="AA105" s="11" t="n">
        <v>2.11693018066628</v>
      </c>
      <c r="AB105" s="11" t="n">
        <v>2.12234806784038</v>
      </c>
      <c r="AC105" s="11" t="n">
        <v>2.12680765866955</v>
      </c>
      <c r="AD105" s="11" t="n">
        <v>2.13032257981318</v>
      </c>
      <c r="AE105" s="11" t="n">
        <v>2.13290075984481</v>
      </c>
      <c r="AF105" s="11" t="n">
        <v>2.13454603549751</v>
      </c>
      <c r="AG105" s="11" t="n">
        <v>2.13525977221299</v>
      </c>
      <c r="AH105" s="11" t="n">
        <v>2.13504202812546</v>
      </c>
      <c r="AI105" s="11" t="n">
        <v>2.13389480654493</v>
      </c>
      <c r="AJ105" s="11" t="n">
        <v>2.13182325557588</v>
      </c>
      <c r="AK105" s="11" t="n">
        <v>2.12883539300934</v>
      </c>
      <c r="AL105" s="11" t="n">
        <v>2.12494242148515</v>
      </c>
      <c r="AM105" s="11" t="n">
        <v>2.12016094819887</v>
      </c>
      <c r="AN105" s="11" t="n">
        <v>2.1145136942247</v>
      </c>
      <c r="AO105" s="11" t="n">
        <v>2.10802952371165</v>
      </c>
      <c r="AP105" s="11" t="n">
        <v>2.10074336237194</v>
      </c>
      <c r="AQ105" s="11" t="n">
        <v>2.09269597792391</v>
      </c>
      <c r="AR105" s="11" t="n">
        <v>2.08393370243724</v>
      </c>
      <c r="AS105" s="11" t="n">
        <v>2.07450796864417</v>
      </c>
      <c r="AT105" s="11" t="n">
        <v>2.06447490648558</v>
      </c>
      <c r="AU105" s="11" t="n">
        <v>2.05389489339614</v>
      </c>
    </row>
    <row r="106" customFormat="false" ht="15" hidden="false" customHeight="false" outlineLevel="0" collapsed="false">
      <c r="A106" s="10" t="n">
        <v>-19</v>
      </c>
      <c r="B106" s="8" t="n">
        <v>43147</v>
      </c>
      <c r="C106" s="11" t="n">
        <v>0.712354795208875</v>
      </c>
      <c r="D106" s="11" t="n">
        <v>0.782102134167893</v>
      </c>
      <c r="E106" s="11" t="n">
        <v>0.851006251904126</v>
      </c>
      <c r="F106" s="11" t="n">
        <v>0.919110289808324</v>
      </c>
      <c r="G106" s="11" t="n">
        <v>0.986258827724033</v>
      </c>
      <c r="H106" s="11" t="n">
        <v>1.05218459348715</v>
      </c>
      <c r="I106" s="11" t="n">
        <v>1.116592113032</v>
      </c>
      <c r="J106" s="11" t="n">
        <v>1.17923412629813</v>
      </c>
      <c r="K106" s="11" t="n">
        <v>1.23992900392991</v>
      </c>
      <c r="L106" s="11" t="n">
        <v>1.29855622700634</v>
      </c>
      <c r="M106" s="11" t="n">
        <v>1.35502483374906</v>
      </c>
      <c r="N106" s="11" t="n">
        <v>1.40925557725315</v>
      </c>
      <c r="O106" s="11" t="n">
        <v>1.89077009025201</v>
      </c>
      <c r="P106" s="11" t="n">
        <v>1.91166396050293</v>
      </c>
      <c r="Q106" s="11" t="n">
        <v>1.93073526119267</v>
      </c>
      <c r="R106" s="11" t="n">
        <v>1.9481084570152</v>
      </c>
      <c r="S106" s="11" t="n">
        <v>1.96390061289308</v>
      </c>
      <c r="T106" s="11" t="n">
        <v>1.97822243562603</v>
      </c>
      <c r="U106" s="11" t="n">
        <v>1.99117891674952</v>
      </c>
      <c r="V106" s="11" t="n">
        <v>2.00286568729104</v>
      </c>
      <c r="W106" s="11" t="n">
        <v>2.01336470902069</v>
      </c>
      <c r="X106" s="11" t="n">
        <v>2.02274537023145</v>
      </c>
      <c r="Y106" s="11" t="n">
        <v>2.03106523215823</v>
      </c>
      <c r="Z106" s="11" t="n">
        <v>2.03837040824943</v>
      </c>
      <c r="AA106" s="11" t="n">
        <v>2.04469685570036</v>
      </c>
      <c r="AB106" s="11" t="n">
        <v>2.05007161400533</v>
      </c>
      <c r="AC106" s="11" t="n">
        <v>2.05451386675882</v>
      </c>
      <c r="AD106" s="11" t="n">
        <v>2.05803588364</v>
      </c>
      <c r="AE106" s="11" t="n">
        <v>2.06064397765648</v>
      </c>
      <c r="AF106" s="11" t="n">
        <v>2.06234013869217</v>
      </c>
      <c r="AG106" s="11" t="n">
        <v>2.06312369151119</v>
      </c>
      <c r="AH106" s="11" t="n">
        <v>2.06299251571413</v>
      </c>
      <c r="AI106" s="11" t="n">
        <v>2.06194635239751</v>
      </c>
      <c r="AJ106" s="11" t="n">
        <v>2.05998797910974</v>
      </c>
      <c r="AK106" s="11" t="n">
        <v>2.05712294291039</v>
      </c>
      <c r="AL106" s="11" t="n">
        <v>2.05335992933332</v>
      </c>
      <c r="AM106" s="11" t="n">
        <v>2.04871306602518</v>
      </c>
      <c r="AN106" s="11" t="n">
        <v>2.04320263076687</v>
      </c>
      <c r="AO106" s="11" t="n">
        <v>2.03685511773929</v>
      </c>
      <c r="AP106" s="11" t="n">
        <v>2.0297031864022</v>
      </c>
      <c r="AQ106" s="11" t="n">
        <v>2.02178558089041</v>
      </c>
      <c r="AR106" s="11" t="n">
        <v>2.01314693778464</v>
      </c>
      <c r="AS106" s="11" t="n">
        <v>2.00383730038765</v>
      </c>
      <c r="AT106" s="11" t="n">
        <v>1.99391172195525</v>
      </c>
      <c r="AU106" s="11" t="n">
        <v>1.98342990370672</v>
      </c>
    </row>
    <row r="107" customFormat="false" ht="15" hidden="false" customHeight="false" outlineLevel="0" collapsed="false">
      <c r="A107" s="10" t="n">
        <v>-18</v>
      </c>
      <c r="B107" s="8" t="n">
        <v>43150</v>
      </c>
      <c r="C107" s="11" t="n">
        <v>0.722363511885999</v>
      </c>
      <c r="D107" s="11" t="n">
        <v>0.792231262309826</v>
      </c>
      <c r="E107" s="11" t="n">
        <v>0.861339313756391</v>
      </c>
      <c r="F107" s="11" t="n">
        <v>0.929772440845976</v>
      </c>
      <c r="G107" s="11" t="n">
        <v>0.997366591712028</v>
      </c>
      <c r="H107" s="11" t="n">
        <v>1.06383050126955</v>
      </c>
      <c r="I107" s="11" t="n">
        <v>1.12884169600171</v>
      </c>
      <c r="J107" s="11" t="n">
        <v>1.19212586499291</v>
      </c>
      <c r="K107" s="11" t="n">
        <v>1.25347337213497</v>
      </c>
      <c r="L107" s="11" t="n">
        <v>1.31273575191521</v>
      </c>
      <c r="M107" s="11" t="n">
        <v>1.36979623984364</v>
      </c>
      <c r="N107" s="11" t="n">
        <v>1.42455297193787</v>
      </c>
      <c r="O107" s="11" t="n">
        <v>1.90490070460402</v>
      </c>
      <c r="P107" s="11" t="n">
        <v>1.92536870241888</v>
      </c>
      <c r="Q107" s="11" t="n">
        <v>1.94402035752076</v>
      </c>
      <c r="R107" s="11" t="n">
        <v>1.96098663221417</v>
      </c>
      <c r="S107" s="11" t="n">
        <v>1.97638968874684</v>
      </c>
      <c r="T107" s="11" t="n">
        <v>1.99034414405905</v>
      </c>
      <c r="U107" s="11" t="n">
        <v>2.00295788027005</v>
      </c>
      <c r="V107" s="11" t="n">
        <v>2.01432851741875</v>
      </c>
      <c r="W107" s="11" t="n">
        <v>2.0245392622081</v>
      </c>
      <c r="X107" s="11" t="n">
        <v>2.03366012166128</v>
      </c>
      <c r="Y107" s="11" t="n">
        <v>2.04174879369951</v>
      </c>
      <c r="Z107" s="11" t="n">
        <v>2.04885119813634</v>
      </c>
      <c r="AA107" s="11" t="n">
        <v>2.05500282244573</v>
      </c>
      <c r="AB107" s="11" t="n">
        <v>2.06022999398684</v>
      </c>
      <c r="AC107" s="11" t="n">
        <v>2.06455097071136</v>
      </c>
      <c r="AD107" s="11" t="n">
        <v>2.06797691436473</v>
      </c>
      <c r="AE107" s="11" t="n">
        <v>2.07051289312634</v>
      </c>
      <c r="AF107" s="11" t="n">
        <v>2.0721595432601</v>
      </c>
      <c r="AG107" s="11" t="n">
        <v>2.07291472993109</v>
      </c>
      <c r="AH107" s="11" t="n">
        <v>2.07277478723432</v>
      </c>
      <c r="AI107" s="11" t="n">
        <v>2.07173784031057</v>
      </c>
      <c r="AJ107" s="11" t="n">
        <v>2.06980497362463</v>
      </c>
      <c r="AK107" s="11" t="n">
        <v>2.0669799708574</v>
      </c>
      <c r="AL107" s="11" t="n">
        <v>2.06326970597075</v>
      </c>
      <c r="AM107" s="11" t="n">
        <v>2.05868647804948</v>
      </c>
      <c r="AN107" s="11" t="n">
        <v>2.05324872114015</v>
      </c>
      <c r="AO107" s="11" t="n">
        <v>2.04698108205836</v>
      </c>
      <c r="AP107" s="11" t="n">
        <v>2.03991438061504</v>
      </c>
      <c r="AQ107" s="11" t="n">
        <v>2.03208558665042</v>
      </c>
      <c r="AR107" s="11" t="n">
        <v>2.02353766285014</v>
      </c>
      <c r="AS107" s="11" t="n">
        <v>2.01431907265318</v>
      </c>
      <c r="AT107" s="11" t="n">
        <v>2.00448338898876</v>
      </c>
      <c r="AU107" s="11" t="n">
        <v>1.99408897535461</v>
      </c>
    </row>
    <row r="108" customFormat="false" ht="15" hidden="false" customHeight="false" outlineLevel="0" collapsed="false">
      <c r="A108" s="10" t="n">
        <v>-17</v>
      </c>
      <c r="B108" s="8" t="n">
        <v>43151</v>
      </c>
      <c r="C108" s="11" t="n">
        <v>0.713917338037827</v>
      </c>
      <c r="D108" s="11" t="n">
        <v>0.781397414094027</v>
      </c>
      <c r="E108" s="11" t="n">
        <v>0.848240386964734</v>
      </c>
      <c r="F108" s="11" t="n">
        <v>0.914614494439716</v>
      </c>
      <c r="G108" s="11" t="n">
        <v>0.980346281171025</v>
      </c>
      <c r="H108" s="11" t="n">
        <v>1.04511315794769</v>
      </c>
      <c r="I108" s="11" t="n">
        <v>1.10856809601283</v>
      </c>
      <c r="J108" s="11" t="n">
        <v>1.17042238175649</v>
      </c>
      <c r="K108" s="11" t="n">
        <v>1.23045844958949</v>
      </c>
      <c r="L108" s="11" t="n">
        <v>1.28852259053087</v>
      </c>
      <c r="M108" s="11" t="n">
        <v>1.34449330374911</v>
      </c>
      <c r="N108" s="11" t="n">
        <v>1.39826250464865</v>
      </c>
      <c r="O108" s="11" t="n">
        <v>1.87095301059931</v>
      </c>
      <c r="P108" s="11" t="n">
        <v>1.89108469400414</v>
      </c>
      <c r="Q108" s="11" t="n">
        <v>1.90943717726175</v>
      </c>
      <c r="R108" s="11" t="n">
        <v>1.92614175877795</v>
      </c>
      <c r="S108" s="11" t="n">
        <v>1.94132047028152</v>
      </c>
      <c r="T108" s="11" t="n">
        <v>1.95508740386073</v>
      </c>
      <c r="U108" s="11" t="n">
        <v>1.96754957103935</v>
      </c>
      <c r="V108" s="11" t="n">
        <v>1.97880336310952</v>
      </c>
      <c r="W108" s="11" t="n">
        <v>1.98893044002029</v>
      </c>
      <c r="X108" s="11" t="n">
        <v>1.99799899596115</v>
      </c>
      <c r="Y108" s="11" t="n">
        <v>2.00606469909505</v>
      </c>
      <c r="Z108" s="11" t="n">
        <v>2.0131712800848</v>
      </c>
      <c r="AA108" s="11" t="n">
        <v>2.0193519032151</v>
      </c>
      <c r="AB108" s="11" t="n">
        <v>2.02463045496589</v>
      </c>
      <c r="AC108" s="11" t="n">
        <v>2.02902264885534</v>
      </c>
      <c r="AD108" s="11" t="n">
        <v>2.03253702845869</v>
      </c>
      <c r="AE108" s="11" t="n">
        <v>2.03517604782455</v>
      </c>
      <c r="AF108" s="11" t="n">
        <v>2.03693778686231</v>
      </c>
      <c r="AG108" s="11" t="n">
        <v>2.03781762696798</v>
      </c>
      <c r="AH108" s="11" t="n">
        <v>2.0378095224283</v>
      </c>
      <c r="AI108" s="11" t="n">
        <v>2.03690942150455</v>
      </c>
      <c r="AJ108" s="11" t="n">
        <v>2.03511644383841</v>
      </c>
      <c r="AK108" s="11" t="n">
        <v>2.03243259942066</v>
      </c>
      <c r="AL108" s="11" t="n">
        <v>2.02886319457021</v>
      </c>
      <c r="AM108" s="11" t="n">
        <v>2.02441924550631</v>
      </c>
      <c r="AN108" s="11" t="n">
        <v>2.01911819074992</v>
      </c>
      <c r="AO108" s="11" t="n">
        <v>2.01298394192326</v>
      </c>
      <c r="AP108" s="11" t="n">
        <v>2.00604680813318</v>
      </c>
      <c r="AQ108" s="11" t="n">
        <v>1.99834339547789</v>
      </c>
      <c r="AR108" s="11" t="n">
        <v>1.98991638964275</v>
      </c>
      <c r="AS108" s="11" t="n">
        <v>1.98081405291741</v>
      </c>
      <c r="AT108" s="11" t="n">
        <v>1.97108981246453</v>
      </c>
      <c r="AU108" s="11" t="n">
        <v>1.96080187764505</v>
      </c>
    </row>
    <row r="109" customFormat="false" ht="15" hidden="false" customHeight="false" outlineLevel="0" collapsed="false">
      <c r="A109" s="10" t="n">
        <v>-16</v>
      </c>
      <c r="B109" s="8" t="n">
        <v>43152</v>
      </c>
      <c r="C109" s="11" t="n">
        <v>0.719137678487885</v>
      </c>
      <c r="D109" s="11" t="n">
        <v>0.78381135772304</v>
      </c>
      <c r="E109" s="11" t="n">
        <v>0.848197058186922</v>
      </c>
      <c r="F109" s="11" t="n">
        <v>0.912381755611508</v>
      </c>
      <c r="G109" s="11" t="n">
        <v>0.976102144776773</v>
      </c>
      <c r="H109" s="11" t="n">
        <v>1.03898393033434</v>
      </c>
      <c r="I109" s="11" t="n">
        <v>1.10066306965304</v>
      </c>
      <c r="J109" s="11" t="n">
        <v>1.16085517127785</v>
      </c>
      <c r="K109" s="11" t="n">
        <v>1.21935671357069</v>
      </c>
      <c r="L109" s="11" t="n">
        <v>1.2760301873377</v>
      </c>
      <c r="M109" s="11" t="n">
        <v>1.33076919116527</v>
      </c>
      <c r="N109" s="11" t="n">
        <v>1.38347737899542</v>
      </c>
      <c r="O109" s="11" t="n">
        <v>1.85461005736396</v>
      </c>
      <c r="P109" s="11" t="n">
        <v>1.87499308390106</v>
      </c>
      <c r="Q109" s="11" t="n">
        <v>1.89357973173884</v>
      </c>
      <c r="R109" s="11" t="n">
        <v>1.91049602774491</v>
      </c>
      <c r="S109" s="11" t="n">
        <v>1.92586062154532</v>
      </c>
      <c r="T109" s="11" t="n">
        <v>1.93978582894538</v>
      </c>
      <c r="U109" s="11" t="n">
        <v>1.95237824040791</v>
      </c>
      <c r="V109" s="11" t="n">
        <v>1.96373485584809</v>
      </c>
      <c r="W109" s="11" t="n">
        <v>1.97393873686251</v>
      </c>
      <c r="X109" s="11" t="n">
        <v>1.98306014536843</v>
      </c>
      <c r="Y109" s="11" t="n">
        <v>1.99115713954819</v>
      </c>
      <c r="Z109" s="11" t="n">
        <v>1.99827582364251</v>
      </c>
      <c r="AA109" s="11" t="n">
        <v>2.0044516880838</v>
      </c>
      <c r="AB109" s="11" t="n">
        <v>2.00971090385333</v>
      </c>
      <c r="AC109" s="11" t="n">
        <v>2.01407143180633</v>
      </c>
      <c r="AD109" s="11" t="n">
        <v>2.01754395766342</v>
      </c>
      <c r="AE109" s="11" t="n">
        <v>2.02013271280202</v>
      </c>
      <c r="AF109" s="11" t="n">
        <v>2.02183718083383</v>
      </c>
      <c r="AG109" s="11" t="n">
        <v>2.02265387847912</v>
      </c>
      <c r="AH109" s="11" t="n">
        <v>2.02257769178461</v>
      </c>
      <c r="AI109" s="11" t="n">
        <v>2.02160539247397</v>
      </c>
      <c r="AJ109" s="11" t="n">
        <v>2.01973684039284</v>
      </c>
      <c r="AK109" s="11" t="n">
        <v>2.01697471072516</v>
      </c>
      <c r="AL109" s="11" t="n">
        <v>2.0133249406859</v>
      </c>
      <c r="AM109" s="11" t="n">
        <v>2.00879924081255</v>
      </c>
      <c r="AN109" s="11" t="n">
        <v>2.00341582714943</v>
      </c>
      <c r="AO109" s="11" t="n">
        <v>1.9971994560833</v>
      </c>
      <c r="AP109" s="11" t="n">
        <v>1.99018132934968</v>
      </c>
      <c r="AQ109" s="11" t="n">
        <v>1.98239896717975</v>
      </c>
      <c r="AR109" s="11" t="n">
        <v>1.97389596940037</v>
      </c>
      <c r="AS109" s="11" t="n">
        <v>1.96472151091256</v>
      </c>
      <c r="AT109" s="11" t="n">
        <v>1.95492993012057</v>
      </c>
      <c r="AU109" s="11" t="n">
        <v>1.94458033173552</v>
      </c>
    </row>
    <row r="110" customFormat="false" ht="15" hidden="false" customHeight="false" outlineLevel="0" collapsed="false">
      <c r="A110" s="10" t="n">
        <v>-15</v>
      </c>
      <c r="B110" s="8" t="n">
        <v>43153</v>
      </c>
      <c r="C110" s="11" t="n">
        <v>0.72604145155042</v>
      </c>
      <c r="D110" s="11" t="n">
        <v>0.78813997312832</v>
      </c>
      <c r="E110" s="11" t="n">
        <v>0.850251600117464</v>
      </c>
      <c r="F110" s="11" t="n">
        <v>0.912558251834832</v>
      </c>
      <c r="G110" s="11" t="n">
        <v>0.974756466769939</v>
      </c>
      <c r="H110" s="11" t="n">
        <v>1.03641201092682</v>
      </c>
      <c r="I110" s="11" t="n">
        <v>1.0971055784615</v>
      </c>
      <c r="J110" s="11" t="n">
        <v>1.15650913331953</v>
      </c>
      <c r="K110" s="11" t="n">
        <v>1.21438718588422</v>
      </c>
      <c r="L110" s="11" t="n">
        <v>1.27057922573517</v>
      </c>
      <c r="M110" s="11" t="n">
        <v>1.32496353477445</v>
      </c>
      <c r="N110" s="11" t="n">
        <v>1.37743409982568</v>
      </c>
      <c r="O110" s="11" t="n">
        <v>1.85305362207595</v>
      </c>
      <c r="P110" s="11" t="n">
        <v>1.87394638452282</v>
      </c>
      <c r="Q110" s="11" t="n">
        <v>1.89300100354129</v>
      </c>
      <c r="R110" s="11" t="n">
        <v>1.91033625946182</v>
      </c>
      <c r="S110" s="11" t="n">
        <v>1.92606579462248</v>
      </c>
      <c r="T110" s="11" t="n">
        <v>1.94029882543201</v>
      </c>
      <c r="U110" s="11" t="n">
        <v>1.95314047551429</v>
      </c>
      <c r="V110" s="11" t="n">
        <v>1.96468783139733</v>
      </c>
      <c r="W110" s="11" t="n">
        <v>1.97502563115699</v>
      </c>
      <c r="X110" s="11" t="n">
        <v>1.98422720830505</v>
      </c>
      <c r="Y110" s="11" t="n">
        <v>1.99235465008908</v>
      </c>
      <c r="Z110" s="11" t="n">
        <v>1.99945863679879</v>
      </c>
      <c r="AA110" s="11" t="n">
        <v>2.00557968262658</v>
      </c>
      <c r="AB110" s="11" t="n">
        <v>2.01074937542603</v>
      </c>
      <c r="AC110" s="11" t="n">
        <v>2.0149914384126</v>
      </c>
      <c r="AD110" s="11" t="n">
        <v>2.01832250882762</v>
      </c>
      <c r="AE110" s="11" t="n">
        <v>2.0207525053672</v>
      </c>
      <c r="AF110" s="11" t="n">
        <v>2.02228620009561</v>
      </c>
      <c r="AG110" s="11" t="n">
        <v>2.0229250381435</v>
      </c>
      <c r="AH110" s="11" t="n">
        <v>2.02266845930512</v>
      </c>
      <c r="AI110" s="11" t="n">
        <v>2.02151721731619</v>
      </c>
      <c r="AJ110" s="11" t="n">
        <v>2.01947452636043</v>
      </c>
      <c r="AK110" s="11" t="n">
        <v>2.01654584779642</v>
      </c>
      <c r="AL110" s="11" t="n">
        <v>2.01273936904332</v>
      </c>
      <c r="AM110" s="11" t="n">
        <v>2.00806843858649</v>
      </c>
      <c r="AN110" s="11" t="n">
        <v>2.00255228806725</v>
      </c>
      <c r="AO110" s="11" t="n">
        <v>1.99621611431468</v>
      </c>
      <c r="AP110" s="11" t="n">
        <v>1.98909103813201</v>
      </c>
      <c r="AQ110" s="11" t="n">
        <v>1.98121411130784</v>
      </c>
      <c r="AR110" s="11" t="n">
        <v>1.97262817316383</v>
      </c>
      <c r="AS110" s="11" t="n">
        <v>1.96338137473142</v>
      </c>
      <c r="AT110" s="11" t="n">
        <v>1.9535268144839</v>
      </c>
      <c r="AU110" s="11" t="n">
        <v>1.94312225630632</v>
      </c>
    </row>
    <row r="111" customFormat="false" ht="15" hidden="false" customHeight="false" outlineLevel="0" collapsed="false">
      <c r="A111" s="10" t="n">
        <v>-14</v>
      </c>
      <c r="B111" s="8" t="n">
        <v>43154</v>
      </c>
      <c r="C111" s="11" t="n">
        <v>0.734473075272819</v>
      </c>
      <c r="D111" s="11" t="n">
        <v>0.791707912881822</v>
      </c>
      <c r="E111" s="11" t="n">
        <v>0.849705600363098</v>
      </c>
      <c r="F111" s="11" t="n">
        <v>0.908679517072058</v>
      </c>
      <c r="G111" s="11" t="n">
        <v>0.968185771935998</v>
      </c>
      <c r="H111" s="11" t="n">
        <v>1.02764006508161</v>
      </c>
      <c r="I111" s="11" t="n">
        <v>1.08650177037603</v>
      </c>
      <c r="J111" s="11" t="n">
        <v>1.14435165945136</v>
      </c>
      <c r="K111" s="11" t="n">
        <v>1.20089344090914</v>
      </c>
      <c r="L111" s="11" t="n">
        <v>1.25592643343128</v>
      </c>
      <c r="M111" s="11" t="n">
        <v>1.30930692801367</v>
      </c>
      <c r="N111" s="11" t="n">
        <v>1.36092058704818</v>
      </c>
      <c r="O111" s="11" t="n">
        <v>1.83818218341641</v>
      </c>
      <c r="P111" s="11" t="n">
        <v>1.85969642360147</v>
      </c>
      <c r="Q111" s="11" t="n">
        <v>1.87934184590788</v>
      </c>
      <c r="R111" s="11" t="n">
        <v>1.89722382292728</v>
      </c>
      <c r="S111" s="11" t="n">
        <v>1.9134461010963</v>
      </c>
      <c r="T111" s="11" t="n">
        <v>1.92811099637772</v>
      </c>
      <c r="U111" s="11" t="n">
        <v>1.94131929106271</v>
      </c>
      <c r="V111" s="11" t="n">
        <v>1.95316620491134</v>
      </c>
      <c r="W111" s="11" t="n">
        <v>1.96373725619382</v>
      </c>
      <c r="X111" s="11" t="n">
        <v>1.97310887916461</v>
      </c>
      <c r="Y111" s="11" t="n">
        <v>1.98134761530044</v>
      </c>
      <c r="Z111" s="11" t="n">
        <v>1.98850907328694</v>
      </c>
      <c r="AA111" s="11" t="n">
        <v>1.9946390410368</v>
      </c>
      <c r="AB111" s="11" t="n">
        <v>1.99977468333859</v>
      </c>
      <c r="AC111" s="11" t="n">
        <v>2.00394556539102</v>
      </c>
      <c r="AD111" s="11" t="n">
        <v>2.00717415540017</v>
      </c>
      <c r="AE111" s="11" t="n">
        <v>2.00947534565512</v>
      </c>
      <c r="AF111" s="11" t="n">
        <v>2.01085795260506</v>
      </c>
      <c r="AG111" s="11" t="n">
        <v>2.01132677992329</v>
      </c>
      <c r="AH111" s="11" t="n">
        <v>2.01088407163055</v>
      </c>
      <c r="AI111" s="11" t="n">
        <v>2.00953294603367</v>
      </c>
      <c r="AJ111" s="11" t="n">
        <v>2.00727856310953</v>
      </c>
      <c r="AK111" s="11" t="n">
        <v>2.00412795161023</v>
      </c>
      <c r="AL111" s="11" t="n">
        <v>2.00009059035276</v>
      </c>
      <c r="AM111" s="11" t="n">
        <v>1.99518100740449</v>
      </c>
      <c r="AN111" s="11" t="n">
        <v>1.98941953943676</v>
      </c>
      <c r="AO111" s="11" t="n">
        <v>1.98283247788806</v>
      </c>
      <c r="AP111" s="11" t="n">
        <v>1.97545206335426</v>
      </c>
      <c r="AQ111" s="11" t="n">
        <v>1.96731653321787</v>
      </c>
      <c r="AR111" s="11" t="n">
        <v>1.95846998958054</v>
      </c>
      <c r="AS111" s="11" t="n">
        <v>1.94896191670172</v>
      </c>
      <c r="AT111" s="11" t="n">
        <v>1.93884681618238</v>
      </c>
      <c r="AU111" s="11" t="n">
        <v>1.92818390538547</v>
      </c>
    </row>
    <row r="112" customFormat="false" ht="15" hidden="false" customHeight="false" outlineLevel="0" collapsed="false">
      <c r="A112" s="10" t="n">
        <v>-13</v>
      </c>
      <c r="B112" s="8" t="n">
        <v>43157</v>
      </c>
      <c r="C112" s="11" t="n">
        <v>0.738320911259453</v>
      </c>
      <c r="D112" s="11" t="n">
        <v>0.793530352109249</v>
      </c>
      <c r="E112" s="11" t="n">
        <v>0.849512783755306</v>
      </c>
      <c r="F112" s="11" t="n">
        <v>0.906601471107954</v>
      </c>
      <c r="G112" s="11" t="n">
        <v>0.964365045537742</v>
      </c>
      <c r="H112" s="11" t="n">
        <v>1.0222119558402</v>
      </c>
      <c r="I112" s="11" t="n">
        <v>1.07959618790561</v>
      </c>
      <c r="J112" s="11" t="n">
        <v>1.13609683627065</v>
      </c>
      <c r="K112" s="11" t="n">
        <v>1.19142044707119</v>
      </c>
      <c r="L112" s="11" t="n">
        <v>1.24537018792888</v>
      </c>
      <c r="M112" s="11" t="n">
        <v>1.29780555420155</v>
      </c>
      <c r="N112" s="11" t="n">
        <v>1.3486134452533</v>
      </c>
      <c r="O112" s="11" t="n">
        <v>1.82460582675933</v>
      </c>
      <c r="P112" s="11" t="n">
        <v>1.84630603685637</v>
      </c>
      <c r="Q112" s="11" t="n">
        <v>1.86612152060683</v>
      </c>
      <c r="R112" s="11" t="n">
        <v>1.88415186668022</v>
      </c>
      <c r="S112" s="11" t="n">
        <v>1.90049677777848</v>
      </c>
      <c r="T112" s="11" t="n">
        <v>1.91525600750348</v>
      </c>
      <c r="U112" s="11" t="n">
        <v>1.92852903681798</v>
      </c>
      <c r="V112" s="11" t="n">
        <v>1.94041090263212</v>
      </c>
      <c r="W112" s="11" t="n">
        <v>1.95098800479769</v>
      </c>
      <c r="X112" s="11" t="n">
        <v>1.96033857828669</v>
      </c>
      <c r="Y112" s="11" t="n">
        <v>1.96853152153342</v>
      </c>
      <c r="Z112" s="11" t="n">
        <v>1.97562503713914</v>
      </c>
      <c r="AA112" s="11" t="n">
        <v>1.98166769121</v>
      </c>
      <c r="AB112" s="11" t="n">
        <v>1.98669958853415</v>
      </c>
      <c r="AC112" s="11" t="n">
        <v>1.99075337594361</v>
      </c>
      <c r="AD112" s="11" t="n">
        <v>1.99385463258517</v>
      </c>
      <c r="AE112" s="11" t="n">
        <v>1.9960210688949</v>
      </c>
      <c r="AF112" s="11" t="n">
        <v>1.99726397516114</v>
      </c>
      <c r="AG112" s="11" t="n">
        <v>1.99759034309275</v>
      </c>
      <c r="AH112" s="11" t="n">
        <v>1.99700434436881</v>
      </c>
      <c r="AI112" s="11" t="n">
        <v>1.99551073206489</v>
      </c>
      <c r="AJ112" s="11" t="n">
        <v>1.99311599909429</v>
      </c>
      <c r="AK112" s="11" t="n">
        <v>1.98982823436295</v>
      </c>
      <c r="AL112" s="11" t="n">
        <v>1.98565774034712</v>
      </c>
      <c r="AM112" s="11" t="n">
        <v>1.98061965301399</v>
      </c>
      <c r="AN112" s="11" t="n">
        <v>1.97473471095092</v>
      </c>
      <c r="AO112" s="11" t="n">
        <v>1.96802943897976</v>
      </c>
      <c r="AP112" s="11" t="n">
        <v>1.96053617168966</v>
      </c>
      <c r="AQ112" s="11" t="n">
        <v>1.95229314788509</v>
      </c>
      <c r="AR112" s="11" t="n">
        <v>1.94334440614175</v>
      </c>
      <c r="AS112" s="11" t="n">
        <v>1.93373930860979</v>
      </c>
      <c r="AT112" s="11" t="n">
        <v>1.92353218767284</v>
      </c>
      <c r="AU112" s="11" t="n">
        <v>1.91278206688283</v>
      </c>
    </row>
    <row r="113" customFormat="false" ht="15" hidden="false" customHeight="false" outlineLevel="0" collapsed="false">
      <c r="A113" s="10" t="n">
        <v>-12</v>
      </c>
      <c r="B113" s="8" t="n">
        <v>43158</v>
      </c>
      <c r="C113" s="11" t="n">
        <v>0.763271961277489</v>
      </c>
      <c r="D113" s="11" t="n">
        <v>0.821410728334853</v>
      </c>
      <c r="E113" s="11" t="n">
        <v>0.880052357917971</v>
      </c>
      <c r="F113" s="11" t="n">
        <v>0.939525603402413</v>
      </c>
      <c r="G113" s="11" t="n">
        <v>0.999400911343915</v>
      </c>
      <c r="H113" s="11" t="n">
        <v>1.05910501177394</v>
      </c>
      <c r="I113" s="11" t="n">
        <v>1.11811813129363</v>
      </c>
      <c r="J113" s="11" t="n">
        <v>1.17604352930459</v>
      </c>
      <c r="K113" s="11" t="n">
        <v>1.23260618197878</v>
      </c>
      <c r="L113" s="11" t="n">
        <v>1.28761932191101</v>
      </c>
      <c r="M113" s="11" t="n">
        <v>1.34094726912704</v>
      </c>
      <c r="N113" s="11" t="n">
        <v>1.39247839923529</v>
      </c>
      <c r="O113" s="11" t="n">
        <v>1.86619494883436</v>
      </c>
      <c r="P113" s="11" t="n">
        <v>1.8874816860199</v>
      </c>
      <c r="Q113" s="11" t="n">
        <v>1.90693097593064</v>
      </c>
      <c r="R113" s="11" t="n">
        <v>1.92464519130621</v>
      </c>
      <c r="S113" s="11" t="n">
        <v>1.94072423150958</v>
      </c>
      <c r="T113" s="11" t="n">
        <v>1.95526585564476</v>
      </c>
      <c r="U113" s="11" t="n">
        <v>1.96836570457066</v>
      </c>
      <c r="V113" s="11" t="n">
        <v>1.98011376856881</v>
      </c>
      <c r="W113" s="11" t="n">
        <v>1.99059084287201</v>
      </c>
      <c r="X113" s="11" t="n">
        <v>1.99986915671291</v>
      </c>
      <c r="Y113" s="11" t="n">
        <v>2.00801157466842</v>
      </c>
      <c r="Z113" s="11" t="n">
        <v>2.01507063147058</v>
      </c>
      <c r="AA113" s="11" t="n">
        <v>2.02108959159608</v>
      </c>
      <c r="AB113" s="11" t="n">
        <v>2.02610357978186</v>
      </c>
      <c r="AC113" s="11" t="n">
        <v>2.03014054662671</v>
      </c>
      <c r="AD113" s="11" t="n">
        <v>2.03322170448171</v>
      </c>
      <c r="AE113" s="11" t="n">
        <v>2.03536098205097</v>
      </c>
      <c r="AF113" s="11" t="n">
        <v>2.03656644795573</v>
      </c>
      <c r="AG113" s="11" t="n">
        <v>2.03684226377872</v>
      </c>
      <c r="AH113" s="11" t="n">
        <v>2.03619013995585</v>
      </c>
      <c r="AI113" s="11" t="n">
        <v>2.03461277801753</v>
      </c>
      <c r="AJ113" s="11" t="n">
        <v>2.03211500288914</v>
      </c>
      <c r="AK113" s="11" t="n">
        <v>2.02870358083214</v>
      </c>
      <c r="AL113" s="11" t="n">
        <v>2.02438783257262</v>
      </c>
      <c r="AM113" s="11" t="n">
        <v>2.01918228983889</v>
      </c>
      <c r="AN113" s="11" t="n">
        <v>2.01310744858367</v>
      </c>
      <c r="AO113" s="11" t="n">
        <v>2.00618995147468</v>
      </c>
      <c r="AP113" s="11" t="n">
        <v>1.99846260381599</v>
      </c>
      <c r="AQ113" s="11" t="n">
        <v>1.98996448764071</v>
      </c>
      <c r="AR113" s="11" t="n">
        <v>1.98074085491066</v>
      </c>
      <c r="AS113" s="11" t="n">
        <v>1.97084262089424</v>
      </c>
      <c r="AT113" s="11" t="n">
        <v>1.96032600833588</v>
      </c>
      <c r="AU113" s="11" t="n">
        <v>1.94925229692704</v>
      </c>
    </row>
    <row r="114" customFormat="false" ht="15" hidden="false" customHeight="false" outlineLevel="0" collapsed="false">
      <c r="A114" s="10" t="n">
        <v>-11</v>
      </c>
      <c r="B114" s="8" t="n">
        <v>43159</v>
      </c>
      <c r="C114" s="11" t="n">
        <v>0.730496281669378</v>
      </c>
      <c r="D114" s="11" t="n">
        <v>0.786304737820144</v>
      </c>
      <c r="E114" s="11" t="n">
        <v>0.842938670659272</v>
      </c>
      <c r="F114" s="11" t="n">
        <v>0.900697623795737</v>
      </c>
      <c r="G114" s="11" t="n">
        <v>0.959111182678088</v>
      </c>
      <c r="H114" s="11" t="n">
        <v>1.01757314420533</v>
      </c>
      <c r="I114" s="11" t="n">
        <v>1.07553789645122</v>
      </c>
      <c r="J114" s="11" t="n">
        <v>1.13258759698444</v>
      </c>
      <c r="K114" s="11" t="n">
        <v>1.18843159455894</v>
      </c>
      <c r="L114" s="11" t="n">
        <v>1.2428699153802</v>
      </c>
      <c r="M114" s="11" t="n">
        <v>1.29575471299572</v>
      </c>
      <c r="N114" s="11" t="n">
        <v>1.34696171403026</v>
      </c>
      <c r="O114" s="11" t="n">
        <v>1.82175594022576</v>
      </c>
      <c r="P114" s="11" t="n">
        <v>1.84326669565493</v>
      </c>
      <c r="Q114" s="11" t="n">
        <v>1.86293950203716</v>
      </c>
      <c r="R114" s="11" t="n">
        <v>1.88087414283474</v>
      </c>
      <c r="S114" s="11" t="n">
        <v>1.89716819236115</v>
      </c>
      <c r="T114" s="11" t="n">
        <v>1.9119173111164</v>
      </c>
      <c r="U114" s="11" t="n">
        <v>1.92521523528847</v>
      </c>
      <c r="V114" s="11" t="n">
        <v>1.93715029024803</v>
      </c>
      <c r="W114" s="11" t="n">
        <v>1.94780194623337</v>
      </c>
      <c r="X114" s="11" t="n">
        <v>1.95724141366399</v>
      </c>
      <c r="Y114" s="11" t="n">
        <v>1.96553072010698</v>
      </c>
      <c r="Z114" s="11" t="n">
        <v>1.97272165405828</v>
      </c>
      <c r="AA114" s="11" t="n">
        <v>1.97885680959531</v>
      </c>
      <c r="AB114" s="11" t="n">
        <v>1.98397070764512</v>
      </c>
      <c r="AC114" s="11" t="n">
        <v>1.98809075323951</v>
      </c>
      <c r="AD114" s="11" t="n">
        <v>1.99123763206526</v>
      </c>
      <c r="AE114" s="11" t="n">
        <v>1.99342467268997</v>
      </c>
      <c r="AF114" s="11" t="n">
        <v>1.99465928881801</v>
      </c>
      <c r="AG114" s="11" t="n">
        <v>1.99494496798806</v>
      </c>
      <c r="AH114" s="11" t="n">
        <v>1.99428277065696</v>
      </c>
      <c r="AI114" s="11" t="n">
        <v>1.99267486986313</v>
      </c>
      <c r="AJ114" s="11" t="n">
        <v>1.99012569411126</v>
      </c>
      <c r="AK114" s="11" t="n">
        <v>1.98664173244023</v>
      </c>
      <c r="AL114" s="11" t="n">
        <v>1.98223216968869</v>
      </c>
      <c r="AM114" s="11" t="n">
        <v>1.97691161237835</v>
      </c>
      <c r="AN114" s="11" t="n">
        <v>1.97070084514607</v>
      </c>
      <c r="AO114" s="11" t="n">
        <v>1.96362701585288</v>
      </c>
      <c r="AP114" s="11" t="n">
        <v>1.95572364971079</v>
      </c>
      <c r="AQ114" s="11" t="n">
        <v>1.94703079271775</v>
      </c>
      <c r="AR114" s="11" t="n">
        <v>1.93759491145118</v>
      </c>
      <c r="AS114" s="11" t="n">
        <v>1.92746836610067</v>
      </c>
      <c r="AT114" s="11" t="n">
        <v>1.91670905412767</v>
      </c>
      <c r="AU114" s="11" t="n">
        <v>1.90538018252575</v>
      </c>
    </row>
    <row r="115" customFormat="false" ht="15" hidden="false" customHeight="false" outlineLevel="0" collapsed="false">
      <c r="A115" s="10" t="n">
        <v>-10</v>
      </c>
      <c r="B115" s="8" t="n">
        <v>43160</v>
      </c>
      <c r="C115" s="11" t="n">
        <v>0.713157499059196</v>
      </c>
      <c r="D115" s="11" t="n">
        <v>0.765809725032195</v>
      </c>
      <c r="E115" s="11" t="n">
        <v>0.819269662131646</v>
      </c>
      <c r="F115" s="11" t="n">
        <v>0.874000039965683</v>
      </c>
      <c r="G115" s="11" t="n">
        <v>0.929637848693736</v>
      </c>
      <c r="H115" s="11" t="n">
        <v>0.985637384045149</v>
      </c>
      <c r="I115" s="11" t="n">
        <v>1.04148186528684</v>
      </c>
      <c r="J115" s="11" t="n">
        <v>1.09676230504407</v>
      </c>
      <c r="K115" s="11" t="n">
        <v>1.1511857029886</v>
      </c>
      <c r="L115" s="11" t="n">
        <v>1.20454119249221</v>
      </c>
      <c r="M115" s="11" t="n">
        <v>1.25666260313765</v>
      </c>
      <c r="N115" s="11" t="n">
        <v>1.30740032202394</v>
      </c>
      <c r="O115" s="11" t="n">
        <v>1.78767439812095</v>
      </c>
      <c r="P115" s="11" t="n">
        <v>1.80969298704171</v>
      </c>
      <c r="Q115" s="11" t="n">
        <v>1.8298422129055</v>
      </c>
      <c r="R115" s="11" t="n">
        <v>1.84822132021532</v>
      </c>
      <c r="S115" s="11" t="n">
        <v>1.8649280855026</v>
      </c>
      <c r="T115" s="11" t="n">
        <v>1.88005900133514</v>
      </c>
      <c r="U115" s="11" t="n">
        <v>1.89370915630668</v>
      </c>
      <c r="V115" s="11" t="n">
        <v>1.90596852211262</v>
      </c>
      <c r="W115" s="11" t="n">
        <v>1.9169183506268</v>
      </c>
      <c r="X115" s="11" t="n">
        <v>1.9266317413748</v>
      </c>
      <c r="Y115" s="11" t="n">
        <v>1.93517268603039</v>
      </c>
      <c r="Z115" s="11" t="n">
        <v>1.94259500898836</v>
      </c>
      <c r="AA115" s="11" t="n">
        <v>1.94894340731445</v>
      </c>
      <c r="AB115" s="11" t="n">
        <v>1.95425456383266</v>
      </c>
      <c r="AC115" s="11" t="n">
        <v>1.95855809709322</v>
      </c>
      <c r="AD115" s="11" t="n">
        <v>1.96187693769564</v>
      </c>
      <c r="AE115" s="11" t="n">
        <v>1.96422666140032</v>
      </c>
      <c r="AF115" s="11" t="n">
        <v>1.96561695709763</v>
      </c>
      <c r="AG115" s="11" t="n">
        <v>1.96605363037664</v>
      </c>
      <c r="AH115" s="11" t="n">
        <v>1.9655400766119</v>
      </c>
      <c r="AI115" s="11" t="n">
        <v>1.96408070328149</v>
      </c>
      <c r="AJ115" s="11" t="n">
        <v>1.96168202394308</v>
      </c>
      <c r="AK115" s="11" t="n">
        <v>1.95835247657887</v>
      </c>
      <c r="AL115" s="11" t="n">
        <v>1.95410304755824</v>
      </c>
      <c r="AM115" s="11" t="n">
        <v>1.9489498863161</v>
      </c>
      <c r="AN115" s="11" t="n">
        <v>1.94291502335429</v>
      </c>
      <c r="AO115" s="11" t="n">
        <v>1.93602656689108</v>
      </c>
      <c r="AP115" s="11" t="n">
        <v>1.92831872616377</v>
      </c>
      <c r="AQ115" s="11" t="n">
        <v>1.91983195802831</v>
      </c>
      <c r="AR115" s="11" t="n">
        <v>1.91061287135739</v>
      </c>
      <c r="AS115" s="11" t="n">
        <v>1.90071372170473</v>
      </c>
      <c r="AT115" s="11" t="n">
        <v>1.89019206585788</v>
      </c>
      <c r="AU115" s="11" t="n">
        <v>1.87911051719639</v>
      </c>
    </row>
    <row r="116" customFormat="false" ht="15" hidden="false" customHeight="false" outlineLevel="0" collapsed="false">
      <c r="A116" s="10" t="n">
        <v>-9</v>
      </c>
      <c r="B116" s="8" t="n">
        <v>43161</v>
      </c>
      <c r="C116" s="11" t="n">
        <v>0.719391295573029</v>
      </c>
      <c r="D116" s="11" t="n">
        <v>0.768372322057344</v>
      </c>
      <c r="E116" s="11" t="n">
        <v>0.819018161203688</v>
      </c>
      <c r="F116" s="11" t="n">
        <v>0.871612168325598</v>
      </c>
      <c r="G116" s="11" t="n">
        <v>0.925661904636358</v>
      </c>
      <c r="H116" s="11" t="n">
        <v>0.980514685507941</v>
      </c>
      <c r="I116" s="11" t="n">
        <v>1.03555967644526</v>
      </c>
      <c r="J116" s="11" t="n">
        <v>1.0903048443687</v>
      </c>
      <c r="K116" s="11" t="n">
        <v>1.14438545650188</v>
      </c>
      <c r="L116" s="11" t="n">
        <v>1.1975318300396</v>
      </c>
      <c r="M116" s="11" t="n">
        <v>1.24952968181689</v>
      </c>
      <c r="N116" s="11" t="n">
        <v>1.30019147502484</v>
      </c>
      <c r="O116" s="11" t="n">
        <v>1.77920873781098</v>
      </c>
      <c r="P116" s="11" t="n">
        <v>1.80122079358555</v>
      </c>
      <c r="Q116" s="11" t="n">
        <v>1.82140225844112</v>
      </c>
      <c r="R116" s="11" t="n">
        <v>1.8398525655808</v>
      </c>
      <c r="S116" s="11" t="n">
        <v>1.85666844571855</v>
      </c>
      <c r="T116" s="11" t="n">
        <v>1.87194430242312</v>
      </c>
      <c r="U116" s="11" t="n">
        <v>1.88577223256003</v>
      </c>
      <c r="V116" s="11" t="n">
        <v>1.89823847464053</v>
      </c>
      <c r="W116" s="11" t="n">
        <v>1.90942009517229</v>
      </c>
      <c r="X116" s="11" t="n">
        <v>1.91938566861782</v>
      </c>
      <c r="Y116" s="11" t="n">
        <v>1.92819461248673</v>
      </c>
      <c r="Z116" s="11" t="n">
        <v>1.93589647315029</v>
      </c>
      <c r="AA116" s="11" t="n">
        <v>1.9425319728428</v>
      </c>
      <c r="AB116" s="11" t="n">
        <v>1.94813408577554</v>
      </c>
      <c r="AC116" s="11" t="n">
        <v>1.95272895662387</v>
      </c>
      <c r="AD116" s="11" t="n">
        <v>1.95633631520698</v>
      </c>
      <c r="AE116" s="11" t="n">
        <v>1.9589690551622</v>
      </c>
      <c r="AF116" s="11" t="n">
        <v>1.96063474115873</v>
      </c>
      <c r="AG116" s="11" t="n">
        <v>1.96133748394695</v>
      </c>
      <c r="AH116" s="11" t="n">
        <v>1.96107939237014</v>
      </c>
      <c r="AI116" s="11" t="n">
        <v>1.95986396078246</v>
      </c>
      <c r="AJ116" s="11" t="n">
        <v>1.95769708374077</v>
      </c>
      <c r="AK116" s="11" t="n">
        <v>1.95458684361733</v>
      </c>
      <c r="AL116" s="11" t="n">
        <v>1.9505441412622</v>
      </c>
      <c r="AM116" s="11" t="n">
        <v>1.94558528560717</v>
      </c>
      <c r="AN116" s="11" t="n">
        <v>1.9397326554167</v>
      </c>
      <c r="AO116" s="11" t="n">
        <v>1.93301488733288</v>
      </c>
      <c r="AP116" s="11" t="n">
        <v>1.92546686893867</v>
      </c>
      <c r="AQ116" s="11" t="n">
        <v>1.91712981483523</v>
      </c>
      <c r="AR116" s="11" t="n">
        <v>1.90805111189713</v>
      </c>
      <c r="AS116" s="11" t="n">
        <v>1.89828380821404</v>
      </c>
      <c r="AT116" s="11" t="n">
        <v>1.887886243551</v>
      </c>
      <c r="AU116" s="11" t="n">
        <v>1.87692170103576</v>
      </c>
    </row>
    <row r="117" customFormat="false" ht="15" hidden="false" customHeight="false" outlineLevel="0" collapsed="false">
      <c r="A117" s="10" t="n">
        <v>-8</v>
      </c>
      <c r="B117" s="8" t="n">
        <v>43164</v>
      </c>
      <c r="C117" s="11" t="n">
        <v>0.74199546678497</v>
      </c>
      <c r="D117" s="11" t="n">
        <v>0.792613969684609</v>
      </c>
      <c r="E117" s="11" t="n">
        <v>0.844189587348543</v>
      </c>
      <c r="F117" s="11" t="n">
        <v>0.897405357724223</v>
      </c>
      <c r="G117" s="11" t="n">
        <v>0.951974736476995</v>
      </c>
      <c r="H117" s="11" t="n">
        <v>1.00734046571933</v>
      </c>
      <c r="I117" s="11" t="n">
        <v>1.06293059037537</v>
      </c>
      <c r="J117" s="11" t="n">
        <v>1.11826302831674</v>
      </c>
      <c r="K117" s="11" t="n">
        <v>1.17296549729019</v>
      </c>
      <c r="L117" s="11" t="n">
        <v>1.22675180895237</v>
      </c>
      <c r="M117" s="11" t="n">
        <v>1.279386207493</v>
      </c>
      <c r="N117" s="11" t="n">
        <v>1.33065831214826</v>
      </c>
      <c r="O117" s="11" t="n">
        <v>1.81081033628866</v>
      </c>
      <c r="P117" s="11" t="n">
        <v>1.83259754413943</v>
      </c>
      <c r="Q117" s="11" t="n">
        <v>1.85257508348649</v>
      </c>
      <c r="R117" s="11" t="n">
        <v>1.87084974843427</v>
      </c>
      <c r="S117" s="11" t="n">
        <v>1.88752320806235</v>
      </c>
      <c r="T117" s="11" t="n">
        <v>1.90269274789448</v>
      </c>
      <c r="U117" s="11" t="n">
        <v>1.91645157778072</v>
      </c>
      <c r="V117" s="11" t="n">
        <v>1.92888541817402</v>
      </c>
      <c r="W117" s="11" t="n">
        <v>1.94006934144403</v>
      </c>
      <c r="X117" s="11" t="n">
        <v>1.95006867843021</v>
      </c>
      <c r="Y117" s="11" t="n">
        <v>1.95893887444793</v>
      </c>
      <c r="Z117" s="11" t="n">
        <v>1.96672526414249</v>
      </c>
      <c r="AA117" s="11" t="n">
        <v>1.9734641898828</v>
      </c>
      <c r="AB117" s="11" t="n">
        <v>1.97918409838032</v>
      </c>
      <c r="AC117" s="11" t="n">
        <v>1.98390647816863</v>
      </c>
      <c r="AD117" s="11" t="n">
        <v>1.98764643541997</v>
      </c>
      <c r="AE117" s="11" t="n">
        <v>1.99041275537582</v>
      </c>
      <c r="AF117" s="11" t="n">
        <v>1.99220946606694</v>
      </c>
      <c r="AG117" s="11" t="n">
        <v>1.99303756966053</v>
      </c>
      <c r="AH117" s="11" t="n">
        <v>1.99289647283242</v>
      </c>
      <c r="AI117" s="11" t="n">
        <v>1.99178740462137</v>
      </c>
      <c r="AJ117" s="11" t="n">
        <v>1.98971439831194</v>
      </c>
      <c r="AK117" s="11" t="n">
        <v>1.98668403872893</v>
      </c>
      <c r="AL117" s="11" t="n">
        <v>1.9827060716309</v>
      </c>
      <c r="AM117" s="11" t="n">
        <v>1.977795971741</v>
      </c>
      <c r="AN117" s="11" t="n">
        <v>1.971975570088</v>
      </c>
      <c r="AO117" s="11" t="n">
        <v>1.96527323415493</v>
      </c>
      <c r="AP117" s="11" t="n">
        <v>1.95772384298867</v>
      </c>
      <c r="AQ117" s="11" t="n">
        <v>1.94936883603707</v>
      </c>
      <c r="AR117" s="11" t="n">
        <v>1.94025603066952</v>
      </c>
      <c r="AS117" s="11" t="n">
        <v>1.93043909271538</v>
      </c>
      <c r="AT117" s="11" t="n">
        <v>1.9199771523293</v>
      </c>
      <c r="AU117" s="11" t="n">
        <v>1.90893442961467</v>
      </c>
    </row>
    <row r="118" customFormat="false" ht="15" hidden="false" customHeight="false" outlineLevel="0" collapsed="false">
      <c r="A118" s="10" t="n">
        <v>-7</v>
      </c>
      <c r="B118" s="8" t="n">
        <v>43165</v>
      </c>
      <c r="C118" s="11" t="n">
        <v>0.746993350636449</v>
      </c>
      <c r="D118" s="11" t="n">
        <v>0.8050153372085</v>
      </c>
      <c r="E118" s="11" t="n">
        <v>0.861657825402331</v>
      </c>
      <c r="F118" s="11" t="n">
        <v>0.918341834874043</v>
      </c>
      <c r="G118" s="11" t="n">
        <v>0.97529379227633</v>
      </c>
      <c r="H118" s="11" t="n">
        <v>1.03229604252181</v>
      </c>
      <c r="I118" s="11" t="n">
        <v>1.08900915091286</v>
      </c>
      <c r="J118" s="11" t="n">
        <v>1.14511590510857</v>
      </c>
      <c r="K118" s="11" t="n">
        <v>1.20036226776578</v>
      </c>
      <c r="L118" s="11" t="n">
        <v>1.254547744789</v>
      </c>
      <c r="M118" s="11" t="n">
        <v>1.30749690064097</v>
      </c>
      <c r="N118" s="11" t="n">
        <v>1.35903987923186</v>
      </c>
      <c r="O118" s="11" t="n">
        <v>1.84049789410154</v>
      </c>
      <c r="P118" s="11" t="n">
        <v>1.86199644493048</v>
      </c>
      <c r="Q118" s="11" t="n">
        <v>1.88162637759616</v>
      </c>
      <c r="R118" s="11" t="n">
        <v>1.89950319112932</v>
      </c>
      <c r="S118" s="11" t="n">
        <v>1.91573780410555</v>
      </c>
      <c r="T118" s="11" t="n">
        <v>1.93043720953212</v>
      </c>
      <c r="U118" s="11" t="n">
        <v>1.94370467625792</v>
      </c>
      <c r="V118" s="11" t="n">
        <v>1.95563589282797</v>
      </c>
      <c r="W118" s="11" t="n">
        <v>1.96631546409105</v>
      </c>
      <c r="X118" s="11" t="n">
        <v>1.97581780433907</v>
      </c>
      <c r="Y118" s="11" t="n">
        <v>1.9842065624176</v>
      </c>
      <c r="Z118" s="11" t="n">
        <v>1.99153402030378</v>
      </c>
      <c r="AA118" s="11" t="n">
        <v>1.99784232386829</v>
      </c>
      <c r="AB118" s="11" t="n">
        <v>2.00316471898583</v>
      </c>
      <c r="AC118" s="11" t="n">
        <v>2.00752660670225</v>
      </c>
      <c r="AD118" s="11" t="n">
        <v>2.01094605933983</v>
      </c>
      <c r="AE118" s="11" t="n">
        <v>2.01343349154062</v>
      </c>
      <c r="AF118" s="11" t="n">
        <v>2.01499334469718</v>
      </c>
      <c r="AG118" s="11" t="n">
        <v>2.01562609060364</v>
      </c>
      <c r="AH118" s="11" t="n">
        <v>2.01532981953907</v>
      </c>
      <c r="AI118" s="11" t="n">
        <v>2.01410384533556</v>
      </c>
      <c r="AJ118" s="11" t="n">
        <v>2.01194977118796</v>
      </c>
      <c r="AK118" s="11" t="n">
        <v>2.00887128919005</v>
      </c>
      <c r="AL118" s="11" t="n">
        <v>2.00487489598394</v>
      </c>
      <c r="AM118" s="11" t="n">
        <v>1.99997265913404</v>
      </c>
      <c r="AN118" s="11" t="n">
        <v>1.99418291792927</v>
      </c>
      <c r="AO118" s="11" t="n">
        <v>1.98753053716967</v>
      </c>
      <c r="AP118" s="11" t="n">
        <v>1.98004693850534</v>
      </c>
      <c r="AQ118" s="11" t="n">
        <v>1.971770263237</v>
      </c>
      <c r="AR118" s="11" t="n">
        <v>1.96274524579609</v>
      </c>
      <c r="AS118" s="11" t="n">
        <v>1.95302266900323</v>
      </c>
      <c r="AT118" s="11" t="n">
        <v>1.94265898540149</v>
      </c>
      <c r="AU118" s="11" t="n">
        <v>1.93171599558767</v>
      </c>
    </row>
    <row r="119" customFormat="false" ht="15" hidden="false" customHeight="false" outlineLevel="0" collapsed="false">
      <c r="A119" s="10" t="n">
        <v>-6</v>
      </c>
      <c r="B119" s="8" t="n">
        <v>43166</v>
      </c>
      <c r="C119" s="11" t="n">
        <v>0.743232412965761</v>
      </c>
      <c r="D119" s="11" t="n">
        <v>0.800090549901649</v>
      </c>
      <c r="E119" s="11" t="n">
        <v>0.85521676087088</v>
      </c>
      <c r="F119" s="11" t="n">
        <v>0.910225240988067</v>
      </c>
      <c r="G119" s="11" t="n">
        <v>0.965461759960059</v>
      </c>
      <c r="H119" s="11" t="n">
        <v>1.02077833886621</v>
      </c>
      <c r="I119" s="11" t="n">
        <v>1.07587446346063</v>
      </c>
      <c r="J119" s="11" t="n">
        <v>1.13045641261791</v>
      </c>
      <c r="K119" s="11" t="n">
        <v>1.18428633713259</v>
      </c>
      <c r="L119" s="11" t="n">
        <v>1.23717774787167</v>
      </c>
      <c r="M119" s="11" t="n">
        <v>1.28896689792877</v>
      </c>
      <c r="N119" s="11" t="n">
        <v>1.33949299547145</v>
      </c>
      <c r="O119" s="11" t="n">
        <v>1.81905186458392</v>
      </c>
      <c r="P119" s="11" t="n">
        <v>1.84073531962077</v>
      </c>
      <c r="Q119" s="11" t="n">
        <v>1.86050564939979</v>
      </c>
      <c r="R119" s="11" t="n">
        <v>1.87846882600485</v>
      </c>
      <c r="S119" s="11" t="n">
        <v>1.89472999170456</v>
      </c>
      <c r="T119" s="11" t="n">
        <v>1.90939355323122</v>
      </c>
      <c r="U119" s="11" t="n">
        <v>1.92256292929202</v>
      </c>
      <c r="V119" s="11" t="n">
        <v>1.93433654899994</v>
      </c>
      <c r="W119" s="11" t="n">
        <v>1.94480429462492</v>
      </c>
      <c r="X119" s="11" t="n">
        <v>1.95404801156677</v>
      </c>
      <c r="Y119" s="11" t="n">
        <v>1.96213980995841</v>
      </c>
      <c r="Z119" s="11" t="n">
        <v>1.96914049603544</v>
      </c>
      <c r="AA119" s="11" t="n">
        <v>1.97510071912655</v>
      </c>
      <c r="AB119" s="11" t="n">
        <v>1.98006221030065</v>
      </c>
      <c r="AC119" s="11" t="n">
        <v>1.98405883567849</v>
      </c>
      <c r="AD119" s="11" t="n">
        <v>1.98711677367088</v>
      </c>
      <c r="AE119" s="11" t="n">
        <v>1.98925318136635</v>
      </c>
      <c r="AF119" s="11" t="n">
        <v>1.99047785263326</v>
      </c>
      <c r="AG119" s="11" t="n">
        <v>1.99079554368984</v>
      </c>
      <c r="AH119" s="11" t="n">
        <v>1.99020768877878</v>
      </c>
      <c r="AI119" s="11" t="n">
        <v>1.98871605707149</v>
      </c>
      <c r="AJ119" s="11" t="n">
        <v>1.98632387815253</v>
      </c>
      <c r="AK119" s="11" t="n">
        <v>1.98303572416631</v>
      </c>
      <c r="AL119" s="11" t="n">
        <v>1.97885833695065</v>
      </c>
      <c r="AM119" s="11" t="n">
        <v>1.97380354139067</v>
      </c>
      <c r="AN119" s="11" t="n">
        <v>1.96788901620185</v>
      </c>
      <c r="AO119" s="11" t="n">
        <v>1.96113861669048</v>
      </c>
      <c r="AP119" s="11" t="n">
        <v>1.95358246142179</v>
      </c>
      <c r="AQ119" s="11" t="n">
        <v>1.94525717825304</v>
      </c>
      <c r="AR119" s="11" t="n">
        <v>1.93620582665639</v>
      </c>
      <c r="AS119" s="11" t="n">
        <v>1.92647736806414</v>
      </c>
      <c r="AT119" s="11" t="n">
        <v>1.9161263088518</v>
      </c>
      <c r="AU119" s="11" t="n">
        <v>1.90521242230874</v>
      </c>
    </row>
    <row r="120" customFormat="false" ht="15" hidden="false" customHeight="false" outlineLevel="0" collapsed="false">
      <c r="A120" s="10" t="n">
        <v>-5</v>
      </c>
      <c r="B120" s="8" t="n">
        <v>43167</v>
      </c>
      <c r="C120" s="11" t="n">
        <v>0.743906307903354</v>
      </c>
      <c r="D120" s="11" t="n">
        <v>0.800157945285383</v>
      </c>
      <c r="E120" s="11" t="n">
        <v>0.854222368363609</v>
      </c>
      <c r="F120" s="11" t="n">
        <v>0.907864287522946</v>
      </c>
      <c r="G120" s="11" t="n">
        <v>0.961533658372644</v>
      </c>
      <c r="H120" s="11" t="n">
        <v>1.01515515168815</v>
      </c>
      <c r="I120" s="11" t="n">
        <v>1.06848364025318</v>
      </c>
      <c r="J120" s="11" t="n">
        <v>1.12127496070981</v>
      </c>
      <c r="K120" s="11" t="n">
        <v>1.17333914693114</v>
      </c>
      <c r="L120" s="11" t="n">
        <v>1.22453612320454</v>
      </c>
      <c r="M120" s="11" t="n">
        <v>1.27474283697815</v>
      </c>
      <c r="N120" s="11" t="n">
        <v>1.32383054066972</v>
      </c>
      <c r="O120" s="11" t="n">
        <v>1.79932806345999</v>
      </c>
      <c r="P120" s="11" t="n">
        <v>1.82146279817435</v>
      </c>
      <c r="Q120" s="11" t="n">
        <v>1.84171745752016</v>
      </c>
      <c r="R120" s="11" t="n">
        <v>1.86018458485061</v>
      </c>
      <c r="S120" s="11" t="n">
        <v>1.87695784562535</v>
      </c>
      <c r="T120" s="11" t="n">
        <v>1.89213183259613</v>
      </c>
      <c r="U120" s="11" t="n">
        <v>1.90580160067287</v>
      </c>
      <c r="V120" s="11" t="n">
        <v>1.91805888500488</v>
      </c>
      <c r="W120" s="11" t="n">
        <v>1.92898879501188</v>
      </c>
      <c r="X120" s="11" t="n">
        <v>1.93867009414171</v>
      </c>
      <c r="Y120" s="11" t="n">
        <v>1.94717307484099</v>
      </c>
      <c r="Z120" s="11" t="n">
        <v>1.95455765513688</v>
      </c>
      <c r="AA120" s="11" t="n">
        <v>1.96087439754995</v>
      </c>
      <c r="AB120" s="11" t="n">
        <v>1.96616565000955</v>
      </c>
      <c r="AC120" s="11" t="n">
        <v>1.97046651404273</v>
      </c>
      <c r="AD120" s="11" t="n">
        <v>1.97380485907266</v>
      </c>
      <c r="AE120" s="11" t="n">
        <v>1.97619968810145</v>
      </c>
      <c r="AF120" s="11" t="n">
        <v>1.97766274282328</v>
      </c>
      <c r="AG120" s="11" t="n">
        <v>1.97820084153971</v>
      </c>
      <c r="AH120" s="11" t="n">
        <v>1.97781755597586</v>
      </c>
      <c r="AI120" s="11" t="n">
        <v>1.97651673354359</v>
      </c>
      <c r="AJ120" s="11" t="n">
        <v>1.97430357053609</v>
      </c>
      <c r="AK120" s="11" t="n">
        <v>1.97118450416954</v>
      </c>
      <c r="AL120" s="11" t="n">
        <v>1.96716803025903</v>
      </c>
      <c r="AM120" s="11" t="n">
        <v>1.96226752497819</v>
      </c>
      <c r="AN120" s="11" t="n">
        <v>1.95650198722607</v>
      </c>
      <c r="AO120" s="11" t="n">
        <v>1.94989638233858</v>
      </c>
      <c r="AP120" s="11" t="n">
        <v>1.94248174552661</v>
      </c>
      <c r="AQ120" s="11" t="n">
        <v>1.9342954539369</v>
      </c>
      <c r="AR120" s="11" t="n">
        <v>1.92538116367958</v>
      </c>
      <c r="AS120" s="11" t="n">
        <v>1.91578829295236</v>
      </c>
      <c r="AT120" s="11" t="n">
        <v>1.90557167725004</v>
      </c>
      <c r="AU120" s="11" t="n">
        <v>1.89479129280296</v>
      </c>
    </row>
    <row r="121" customFormat="false" ht="15" hidden="false" customHeight="false" outlineLevel="0" collapsed="false">
      <c r="A121" s="10" t="n">
        <v>-4</v>
      </c>
      <c r="B121" s="8" t="n">
        <v>43168</v>
      </c>
      <c r="C121" s="11" t="n">
        <v>0.77407712834142</v>
      </c>
      <c r="D121" s="11" t="n">
        <v>0.826431132751625</v>
      </c>
      <c r="E121" s="11" t="n">
        <v>0.877586306391251</v>
      </c>
      <c r="F121" s="11" t="n">
        <v>0.929216767901717</v>
      </c>
      <c r="G121" s="11" t="n">
        <v>0.981596020485928</v>
      </c>
      <c r="H121" s="11" t="n">
        <v>1.03447943205581</v>
      </c>
      <c r="I121" s="11" t="n">
        <v>1.08748394683159</v>
      </c>
      <c r="J121" s="11" t="n">
        <v>1.14026156234627</v>
      </c>
      <c r="K121" s="11" t="n">
        <v>1.19254289156124</v>
      </c>
      <c r="L121" s="11" t="n">
        <v>1.24412929440443</v>
      </c>
      <c r="M121" s="11" t="n">
        <v>1.29485337078312</v>
      </c>
      <c r="N121" s="11" t="n">
        <v>1.34455209131766</v>
      </c>
      <c r="O121" s="11" t="n">
        <v>1.82936710429584</v>
      </c>
      <c r="P121" s="11" t="n">
        <v>1.8520589977162</v>
      </c>
      <c r="Q121" s="11" t="n">
        <v>1.87283130662243</v>
      </c>
      <c r="R121" s="11" t="n">
        <v>1.89177616353692</v>
      </c>
      <c r="S121" s="11" t="n">
        <v>1.9089874075721</v>
      </c>
      <c r="T121" s="11" t="n">
        <v>1.92456030435498</v>
      </c>
      <c r="U121" s="11" t="n">
        <v>1.9385909818745</v>
      </c>
      <c r="V121" s="11" t="n">
        <v>1.95117249025321</v>
      </c>
      <c r="W121" s="11" t="n">
        <v>1.96239149597443</v>
      </c>
      <c r="X121" s="11" t="n">
        <v>1.97232853024404</v>
      </c>
      <c r="Y121" s="11" t="n">
        <v>1.98105578191746</v>
      </c>
      <c r="Z121" s="11" t="n">
        <v>1.9886352299763</v>
      </c>
      <c r="AA121" s="11" t="n">
        <v>1.99511965943266</v>
      </c>
      <c r="AB121" s="11" t="n">
        <v>2.00055378254491</v>
      </c>
      <c r="AC121" s="11" t="n">
        <v>2.00497518866923</v>
      </c>
      <c r="AD121" s="11" t="n">
        <v>2.00841430854731</v>
      </c>
      <c r="AE121" s="11" t="n">
        <v>2.01089277088738</v>
      </c>
      <c r="AF121" s="11" t="n">
        <v>2.01242506150961</v>
      </c>
      <c r="AG121" s="11" t="n">
        <v>2.0130208279867</v>
      </c>
      <c r="AH121" s="11" t="n">
        <v>2.0126865336121</v>
      </c>
      <c r="AI121" s="11" t="n">
        <v>2.01142883868543</v>
      </c>
      <c r="AJ121" s="11" t="n">
        <v>2.00925559606735</v>
      </c>
      <c r="AK121" s="11" t="n">
        <v>2.00617575721175</v>
      </c>
      <c r="AL121" s="11" t="n">
        <v>2.00220019436509</v>
      </c>
      <c r="AM121" s="11" t="n">
        <v>1.99734439269438</v>
      </c>
      <c r="AN121" s="11" t="n">
        <v>1.99162913462116</v>
      </c>
      <c r="AO121" s="11" t="n">
        <v>1.98508085984319</v>
      </c>
      <c r="AP121" s="11" t="n">
        <v>1.97773177016063</v>
      </c>
      <c r="AQ121" s="11" t="n">
        <v>1.96962008251453</v>
      </c>
      <c r="AR121" s="11" t="n">
        <v>1.96078995067264</v>
      </c>
      <c r="AS121" s="11" t="n">
        <v>1.95129097454646</v>
      </c>
      <c r="AT121" s="11" t="n">
        <v>1.94117786061101</v>
      </c>
      <c r="AU121" s="11" t="n">
        <v>1.9305100982551</v>
      </c>
    </row>
    <row r="122" customFormat="false" ht="15" hidden="false" customHeight="false" outlineLevel="0" collapsed="false">
      <c r="A122" s="10" t="n">
        <v>-3</v>
      </c>
      <c r="B122" s="8" t="n">
        <v>43171</v>
      </c>
      <c r="C122" s="11" t="n">
        <v>0.777457661231848</v>
      </c>
      <c r="D122" s="11" t="n">
        <v>0.829002072026684</v>
      </c>
      <c r="E122" s="11" t="n">
        <v>0.879699372475867</v>
      </c>
      <c r="F122" s="11" t="n">
        <v>0.931074487807203</v>
      </c>
      <c r="G122" s="11" t="n">
        <v>0.983309537324732</v>
      </c>
      <c r="H122" s="11" t="n">
        <v>1.03610532722406</v>
      </c>
      <c r="I122" s="11" t="n">
        <v>1.08904580910562</v>
      </c>
      <c r="J122" s="11" t="n">
        <v>1.1417643792505</v>
      </c>
      <c r="K122" s="11" t="n">
        <v>1.19398152386724</v>
      </c>
      <c r="L122" s="11" t="n">
        <v>1.24549396555616</v>
      </c>
      <c r="M122" s="11" t="n">
        <v>1.29613396269597</v>
      </c>
      <c r="N122" s="11" t="n">
        <v>1.34574102888669</v>
      </c>
      <c r="O122" s="11" t="n">
        <v>1.83032065512715</v>
      </c>
      <c r="P122" s="11" t="n">
        <v>1.85313064004052</v>
      </c>
      <c r="Q122" s="11" t="n">
        <v>1.87403780093756</v>
      </c>
      <c r="R122" s="11" t="n">
        <v>1.89313153462792</v>
      </c>
      <c r="S122" s="11" t="n">
        <v>1.91050265890297</v>
      </c>
      <c r="T122" s="11" t="n">
        <v>1.92624317697849</v>
      </c>
      <c r="U122" s="11" t="n">
        <v>1.9404457626146</v>
      </c>
      <c r="V122" s="11" t="n">
        <v>1.95320005413678</v>
      </c>
      <c r="W122" s="11" t="n">
        <v>1.96458958703827</v>
      </c>
      <c r="X122" s="11" t="n">
        <v>1.9746920453875</v>
      </c>
      <c r="Y122" s="11" t="n">
        <v>1.9835772156817</v>
      </c>
      <c r="Z122" s="11" t="n">
        <v>1.99130528810013</v>
      </c>
      <c r="AA122" s="11" t="n">
        <v>1.99792781953451</v>
      </c>
      <c r="AB122" s="11" t="n">
        <v>2.00348878642894</v>
      </c>
      <c r="AC122" s="11" t="n">
        <v>2.00802547630476</v>
      </c>
      <c r="AD122" s="11" t="n">
        <v>2.01156844937105</v>
      </c>
      <c r="AE122" s="11" t="n">
        <v>2.0141400189178</v>
      </c>
      <c r="AF122" s="11" t="n">
        <v>2.01575587300124</v>
      </c>
      <c r="AG122" s="11" t="n">
        <v>2.01642726361298</v>
      </c>
      <c r="AH122" s="11" t="n">
        <v>2.01616258876828</v>
      </c>
      <c r="AI122" s="11" t="n">
        <v>2.01497063617159</v>
      </c>
      <c r="AJ122" s="11" t="n">
        <v>2.01286151239957</v>
      </c>
      <c r="AK122" s="11" t="n">
        <v>2.00984653517172</v>
      </c>
      <c r="AL122" s="11" t="n">
        <v>2.00593900833304</v>
      </c>
      <c r="AM122" s="11" t="n">
        <v>2.00115676074047</v>
      </c>
      <c r="AN122" s="11" t="n">
        <v>1.99552276887513</v>
      </c>
      <c r="AO122" s="11" t="n">
        <v>1.9890654685922</v>
      </c>
      <c r="AP122" s="11" t="n">
        <v>1.98181881793531</v>
      </c>
      <c r="AQ122" s="11" t="n">
        <v>1.97382245068006</v>
      </c>
      <c r="AR122" s="11" t="n">
        <v>1.9651215518009</v>
      </c>
      <c r="AS122" s="11" t="n">
        <v>1.9557663960137</v>
      </c>
      <c r="AT122" s="11" t="n">
        <v>1.94581200385167</v>
      </c>
      <c r="AU122" s="11" t="n">
        <v>1.93531774801934</v>
      </c>
    </row>
    <row r="123" customFormat="false" ht="15" hidden="false" customHeight="false" outlineLevel="0" collapsed="false">
      <c r="A123" s="10" t="n">
        <v>-2</v>
      </c>
      <c r="B123" s="8" t="n">
        <v>43172</v>
      </c>
      <c r="C123" s="11" t="n">
        <v>0.777312494717264</v>
      </c>
      <c r="D123" s="11" t="n">
        <v>0.827053985710887</v>
      </c>
      <c r="E123" s="11" t="n">
        <v>0.876233331836441</v>
      </c>
      <c r="F123" s="11" t="n">
        <v>0.926319648850354</v>
      </c>
      <c r="G123" s="11" t="n">
        <v>0.97744700802283</v>
      </c>
      <c r="H123" s="11" t="n">
        <v>1.02926677731511</v>
      </c>
      <c r="I123" s="11" t="n">
        <v>1.08131428540758</v>
      </c>
      <c r="J123" s="11" t="n">
        <v>1.13318034582099</v>
      </c>
      <c r="K123" s="11" t="n">
        <v>1.18455012305097</v>
      </c>
      <c r="L123" s="11" t="n">
        <v>1.23519250391076</v>
      </c>
      <c r="M123" s="11" t="n">
        <v>1.28491819641518</v>
      </c>
      <c r="N123" s="11" t="n">
        <v>1.33354955608265</v>
      </c>
      <c r="O123" s="11" t="n">
        <v>1.79893062601249</v>
      </c>
      <c r="P123" s="11" t="n">
        <v>1.82016228292589</v>
      </c>
      <c r="Q123" s="11" t="n">
        <v>1.83955813926228</v>
      </c>
      <c r="R123" s="11" t="n">
        <v>1.85721872143989</v>
      </c>
      <c r="S123" s="11" t="n">
        <v>1.87324341625848</v>
      </c>
      <c r="T123" s="11" t="n">
        <v>1.88773062065942</v>
      </c>
      <c r="U123" s="11" t="n">
        <v>1.9007775258889</v>
      </c>
      <c r="V123" s="11" t="n">
        <v>1.91247651890559</v>
      </c>
      <c r="W123" s="11" t="n">
        <v>1.9229122487105</v>
      </c>
      <c r="X123" s="11" t="n">
        <v>1.9321620823895</v>
      </c>
      <c r="Y123" s="11" t="n">
        <v>1.94029417200887</v>
      </c>
      <c r="Z123" s="11" t="n">
        <v>1.94736588547051</v>
      </c>
      <c r="AA123" s="11" t="n">
        <v>1.95342491840768</v>
      </c>
      <c r="AB123" s="11" t="n">
        <v>1.95851047372997</v>
      </c>
      <c r="AC123" s="11" t="n">
        <v>1.96265426102772</v>
      </c>
      <c r="AD123" s="11" t="n">
        <v>1.96588052410419</v>
      </c>
      <c r="AE123" s="11" t="n">
        <v>1.96820457466813</v>
      </c>
      <c r="AF123" s="11" t="n">
        <v>1.96963467114989</v>
      </c>
      <c r="AG123" s="11" t="n">
        <v>1.97017442160576</v>
      </c>
      <c r="AH123" s="11" t="n">
        <v>1.96982454644314</v>
      </c>
      <c r="AI123" s="11" t="n">
        <v>1.96858652058114</v>
      </c>
      <c r="AJ123" s="11" t="n">
        <v>1.9664635814655</v>
      </c>
      <c r="AK123" s="11" t="n">
        <v>1.96346057998531</v>
      </c>
      <c r="AL123" s="11" t="n">
        <v>1.95958483506727</v>
      </c>
      <c r="AM123" s="11" t="n">
        <v>1.95484895075506</v>
      </c>
      <c r="AN123" s="11" t="n">
        <v>1.94927147711788</v>
      </c>
      <c r="AO123" s="11" t="n">
        <v>1.94287721830253</v>
      </c>
      <c r="AP123" s="11" t="n">
        <v>1.93569725616349</v>
      </c>
      <c r="AQ123" s="11" t="n">
        <v>1.92776902128963</v>
      </c>
      <c r="AR123" s="11" t="n">
        <v>1.9191360955321</v>
      </c>
      <c r="AS123" s="11" t="n">
        <v>1.90984769793545</v>
      </c>
      <c r="AT123" s="11" t="n">
        <v>1.89995829268766</v>
      </c>
      <c r="AU123" s="11" t="n">
        <v>1.8895271249275</v>
      </c>
    </row>
    <row r="124" customFormat="false" ht="15" hidden="false" customHeight="false" outlineLevel="0" collapsed="false">
      <c r="A124" s="10" t="n">
        <v>-1</v>
      </c>
      <c r="B124" s="8" t="n">
        <v>43173</v>
      </c>
      <c r="C124" s="11" t="n">
        <v>0.74115263220531</v>
      </c>
      <c r="D124" s="11" t="n">
        <v>0.789304935846434</v>
      </c>
      <c r="E124" s="11" t="n">
        <v>0.836931241737182</v>
      </c>
      <c r="F124" s="11" t="n">
        <v>0.885423291718955</v>
      </c>
      <c r="G124" s="11" t="n">
        <v>0.934926832799864</v>
      </c>
      <c r="H124" s="11" t="n">
        <v>0.985119854759762</v>
      </c>
      <c r="I124" s="11" t="n">
        <v>1.03555820263977</v>
      </c>
      <c r="J124" s="11" t="n">
        <v>1.08584826543859</v>
      </c>
      <c r="K124" s="11" t="n">
        <v>1.13568998786057</v>
      </c>
      <c r="L124" s="11" t="n">
        <v>1.18486680424716</v>
      </c>
      <c r="M124" s="11" t="n">
        <v>1.23320249158798</v>
      </c>
      <c r="N124" s="11" t="n">
        <v>1.28052908525771</v>
      </c>
      <c r="O124" s="11" t="n">
        <v>1.73577050682395</v>
      </c>
      <c r="P124" s="11" t="n">
        <v>1.75655558105774</v>
      </c>
      <c r="Q124" s="11" t="n">
        <v>1.77553272698307</v>
      </c>
      <c r="R124" s="11" t="n">
        <v>1.79280101836936</v>
      </c>
      <c r="S124" s="11" t="n">
        <v>1.80845851642898</v>
      </c>
      <c r="T124" s="11" t="n">
        <v>1.82260240027159</v>
      </c>
      <c r="U124" s="11" t="n">
        <v>1.83532872818308</v>
      </c>
      <c r="V124" s="11" t="n">
        <v>1.84672881388972</v>
      </c>
      <c r="W124" s="11" t="n">
        <v>1.8568863151003</v>
      </c>
      <c r="X124" s="11" t="n">
        <v>1.86587766924775</v>
      </c>
      <c r="Y124" s="11" t="n">
        <v>1.87377002636758</v>
      </c>
      <c r="Z124" s="11" t="n">
        <v>1.88061960356246</v>
      </c>
      <c r="AA124" s="11" t="n">
        <v>1.88647281202196</v>
      </c>
      <c r="AB124" s="11" t="n">
        <v>1.89136745286563</v>
      </c>
      <c r="AC124" s="11" t="n">
        <v>1.89533372945314</v>
      </c>
      <c r="AD124" s="11" t="n">
        <v>1.89839423769979</v>
      </c>
      <c r="AE124" s="11" t="n">
        <v>1.9005624178877</v>
      </c>
      <c r="AF124" s="11" t="n">
        <v>1.90184455052967</v>
      </c>
      <c r="AG124" s="11" t="n">
        <v>1.90224226542415</v>
      </c>
      <c r="AH124" s="11" t="n">
        <v>1.90175435236918</v>
      </c>
      <c r="AI124" s="11" t="n">
        <v>1.90038047985728</v>
      </c>
      <c r="AJ124" s="11" t="n">
        <v>1.89812220286167</v>
      </c>
      <c r="AK124" s="11" t="n">
        <v>1.89498280210225</v>
      </c>
      <c r="AL124" s="11" t="n">
        <v>1.89096817299552</v>
      </c>
      <c r="AM124" s="11" t="n">
        <v>1.88608972519427</v>
      </c>
      <c r="AN124" s="11" t="n">
        <v>1.88036505633386</v>
      </c>
      <c r="AO124" s="11" t="n">
        <v>1.87381831108859</v>
      </c>
      <c r="AP124" s="11" t="n">
        <v>1.86648022272074</v>
      </c>
      <c r="AQ124" s="11" t="n">
        <v>1.8583881974025</v>
      </c>
      <c r="AR124" s="11" t="n">
        <v>1.8495861072369</v>
      </c>
      <c r="AS124" s="11" t="n">
        <v>1.84012374992931</v>
      </c>
      <c r="AT124" s="11" t="n">
        <v>1.830056458392</v>
      </c>
      <c r="AU124" s="11" t="n">
        <v>1.81944465462643</v>
      </c>
    </row>
    <row r="125" customFormat="false" ht="15" hidden="false" customHeight="false" outlineLevel="0" collapsed="false">
      <c r="A125" s="10" t="n">
        <v>0</v>
      </c>
      <c r="B125" s="8" t="n">
        <v>43174</v>
      </c>
      <c r="C125" s="11" t="n">
        <v>0.749251737960705</v>
      </c>
      <c r="D125" s="11" t="n">
        <v>0.798637301918236</v>
      </c>
      <c r="E125" s="11" t="n">
        <v>0.847325804580401</v>
      </c>
      <c r="F125" s="11" t="n">
        <v>0.896571862922453</v>
      </c>
      <c r="G125" s="11" t="n">
        <v>0.946517545755953</v>
      </c>
      <c r="H125" s="11" t="n">
        <v>0.996889957878405</v>
      </c>
      <c r="I125" s="11" t="n">
        <v>1.04730422515343</v>
      </c>
      <c r="J125" s="11" t="n">
        <v>1.09741797981194</v>
      </c>
      <c r="K125" s="11" t="n">
        <v>1.14696982730123</v>
      </c>
      <c r="L125" s="11" t="n">
        <v>1.19576815895966</v>
      </c>
      <c r="M125" s="11" t="n">
        <v>1.24365206467695</v>
      </c>
      <c r="N125" s="11" t="n">
        <v>1.29046242393748</v>
      </c>
      <c r="O125" s="11" t="n">
        <v>1.73491048331272</v>
      </c>
      <c r="P125" s="11" t="n">
        <v>1.7547517436254</v>
      </c>
      <c r="Q125" s="11" t="n">
        <v>1.77280681450383</v>
      </c>
      <c r="R125" s="11" t="n">
        <v>1.78918188337324</v>
      </c>
      <c r="S125" s="11" t="n">
        <v>1.80398113085473</v>
      </c>
      <c r="T125" s="11" t="n">
        <v>1.81730701042375</v>
      </c>
      <c r="U125" s="11" t="n">
        <v>1.8292600923114</v>
      </c>
      <c r="V125" s="11" t="n">
        <v>1.83993518694077</v>
      </c>
      <c r="W125" s="11" t="n">
        <v>1.84941827962065</v>
      </c>
      <c r="X125" s="11" t="n">
        <v>1.85778709079606</v>
      </c>
      <c r="Y125" s="11" t="n">
        <v>1.86510905618495</v>
      </c>
      <c r="Z125" s="11" t="n">
        <v>1.87143975903771</v>
      </c>
      <c r="AA125" s="11" t="n">
        <v>1.87682417177043</v>
      </c>
      <c r="AB125" s="11" t="n">
        <v>1.88129794996906</v>
      </c>
      <c r="AC125" s="11" t="n">
        <v>1.88488852809624</v>
      </c>
      <c r="AD125" s="11" t="n">
        <v>1.88761515833527</v>
      </c>
      <c r="AE125" s="11" t="n">
        <v>1.88948740119401</v>
      </c>
      <c r="AF125" s="11" t="n">
        <v>1.89050724948056</v>
      </c>
      <c r="AG125" s="11" t="n">
        <v>1.89067172927207</v>
      </c>
      <c r="AH125" s="11" t="n">
        <v>1.88997483994626</v>
      </c>
      <c r="AI125" s="11" t="n">
        <v>1.88841152227697</v>
      </c>
      <c r="AJ125" s="11" t="n">
        <v>1.88597871875017</v>
      </c>
      <c r="AK125" s="11" t="n">
        <v>1.88267520330739</v>
      </c>
      <c r="AL125" s="11" t="n">
        <v>1.87850255222312</v>
      </c>
      <c r="AM125" s="11" t="n">
        <v>1.87346825728226</v>
      </c>
      <c r="AN125" s="11" t="n">
        <v>1.86758644021429</v>
      </c>
      <c r="AO125" s="11" t="n">
        <v>1.86087824986077</v>
      </c>
      <c r="AP125" s="11" t="n">
        <v>1.85337191299647</v>
      </c>
      <c r="AQ125" s="11" t="n">
        <v>1.84510285034496</v>
      </c>
      <c r="AR125" s="11" t="n">
        <v>1.8361134619895</v>
      </c>
      <c r="AS125" s="11" t="n">
        <v>1.82645254442578</v>
      </c>
      <c r="AT125" s="11" t="n">
        <v>1.81617488679632</v>
      </c>
      <c r="AU125" s="11" t="n">
        <v>1.80534084548302</v>
      </c>
    </row>
    <row r="126" customFormat="false" ht="15" hidden="false" customHeight="false" outlineLevel="0" collapsed="false">
      <c r="A126" s="10" t="n">
        <v>1</v>
      </c>
      <c r="B126" s="8" t="n">
        <v>43175</v>
      </c>
      <c r="C126" s="11" t="n">
        <v>0.758013135190767</v>
      </c>
      <c r="D126" s="11" t="n">
        <v>0.807960098659645</v>
      </c>
      <c r="E126" s="11" t="n">
        <v>0.857043972097336</v>
      </c>
      <c r="F126" s="11" t="n">
        <v>0.906413436296985</v>
      </c>
      <c r="G126" s="11" t="n">
        <v>0.95620655410198</v>
      </c>
      <c r="H126" s="11" t="n">
        <v>1.00618880470442</v>
      </c>
      <c r="I126" s="11" t="n">
        <v>1.05602909378943</v>
      </c>
      <c r="J126" s="11" t="n">
        <v>1.10543795248898</v>
      </c>
      <c r="K126" s="11" t="n">
        <v>1.15420176532665</v>
      </c>
      <c r="L126" s="11" t="n">
        <v>1.20216580632459</v>
      </c>
      <c r="M126" s="11" t="n">
        <v>1.24919759563067</v>
      </c>
      <c r="N126" s="11" t="n">
        <v>1.29515883936028</v>
      </c>
      <c r="O126" s="11" t="n">
        <v>1.73105504967706</v>
      </c>
      <c r="P126" s="11" t="n">
        <v>1.75039855953584</v>
      </c>
      <c r="Q126" s="11" t="n">
        <v>1.76797299648193</v>
      </c>
      <c r="R126" s="11" t="n">
        <v>1.78388556563639</v>
      </c>
      <c r="S126" s="11" t="n">
        <v>1.79824172197071</v>
      </c>
      <c r="T126" s="11" t="n">
        <v>1.81114541341943</v>
      </c>
      <c r="U126" s="11" t="n">
        <v>1.82269883930311</v>
      </c>
      <c r="V126" s="11" t="n">
        <v>1.83299823304118</v>
      </c>
      <c r="W126" s="11" t="n">
        <v>1.84213067243705</v>
      </c>
      <c r="X126" s="11" t="n">
        <v>1.85017465863235</v>
      </c>
      <c r="Y126" s="11" t="n">
        <v>1.85719800072815</v>
      </c>
      <c r="Z126" s="11" t="n">
        <v>1.8632562795761</v>
      </c>
      <c r="AA126" s="11" t="n">
        <v>1.8683941461596</v>
      </c>
      <c r="AB126" s="11" t="n">
        <v>1.87264665450447</v>
      </c>
      <c r="AC126" s="11" t="n">
        <v>1.87604038877778</v>
      </c>
      <c r="AD126" s="11" t="n">
        <v>1.8785934866912</v>
      </c>
      <c r="AE126" s="11" t="n">
        <v>1.88031414854062</v>
      </c>
      <c r="AF126" s="11" t="n">
        <v>1.88120285675836</v>
      </c>
      <c r="AG126" s="11" t="n">
        <v>1.88125497593395</v>
      </c>
      <c r="AH126" s="11" t="n">
        <v>1.88046276784565</v>
      </c>
      <c r="AI126" s="11" t="n">
        <v>1.87881942101896</v>
      </c>
      <c r="AJ126" s="11" t="n">
        <v>1.87632008540375</v>
      </c>
      <c r="AK126" s="11" t="n">
        <v>1.87296170711473</v>
      </c>
      <c r="AL126" s="11" t="n">
        <v>1.86874407430242</v>
      </c>
      <c r="AM126" s="11" t="n">
        <v>1.86367300326402</v>
      </c>
      <c r="AN126" s="11" t="n">
        <v>1.85776104540159</v>
      </c>
      <c r="AO126" s="11" t="n">
        <v>1.85102793600405</v>
      </c>
      <c r="AP126" s="11" t="n">
        <v>1.84350066098119</v>
      </c>
      <c r="AQ126" s="11" t="n">
        <v>1.83521361195035</v>
      </c>
      <c r="AR126" s="11" t="n">
        <v>1.8262083688592</v>
      </c>
      <c r="AS126" s="11" t="n">
        <v>1.81653309929621</v>
      </c>
      <c r="AT126" s="11" t="n">
        <v>1.8062421703644</v>
      </c>
      <c r="AU126" s="11" t="n">
        <v>1.79539574799869</v>
      </c>
    </row>
    <row r="127" customFormat="false" ht="15" hidden="false" customHeight="false" outlineLevel="0" collapsed="false">
      <c r="A127" s="10" t="n">
        <v>2</v>
      </c>
      <c r="B127" s="8" t="n">
        <v>43178</v>
      </c>
      <c r="C127" s="11" t="n">
        <v>0.774111975822847</v>
      </c>
      <c r="D127" s="11" t="n">
        <v>0.824045177077853</v>
      </c>
      <c r="E127" s="11" t="n">
        <v>0.872965167950595</v>
      </c>
      <c r="F127" s="11" t="n">
        <v>0.92208051388463</v>
      </c>
      <c r="G127" s="11" t="n">
        <v>0.971556195815832</v>
      </c>
      <c r="H127" s="11" t="n">
        <v>1.0211688299417</v>
      </c>
      <c r="I127" s="11" t="n">
        <v>1.07058785081343</v>
      </c>
      <c r="J127" s="11" t="n">
        <v>1.11951744071746</v>
      </c>
      <c r="K127" s="11" t="n">
        <v>1.16773465941598</v>
      </c>
      <c r="L127" s="11" t="n">
        <v>1.21507272690657</v>
      </c>
      <c r="M127" s="11" t="n">
        <v>1.26138570443867</v>
      </c>
      <c r="N127" s="11" t="n">
        <v>1.30652078401787</v>
      </c>
      <c r="O127" s="11" t="n">
        <v>1.72142873688947</v>
      </c>
      <c r="P127" s="11" t="n">
        <v>1.73894396272788</v>
      </c>
      <c r="Q127" s="11" t="n">
        <v>1.75477223857333</v>
      </c>
      <c r="R127" s="11" t="n">
        <v>1.76903507647555</v>
      </c>
      <c r="S127" s="11" t="n">
        <v>1.7818485282262</v>
      </c>
      <c r="T127" s="11" t="n">
        <v>1.79332398801363</v>
      </c>
      <c r="U127" s="11" t="n">
        <v>1.80356839754864</v>
      </c>
      <c r="V127" s="11" t="n">
        <v>1.81268032645524</v>
      </c>
      <c r="W127" s="11" t="n">
        <v>1.82074708575167</v>
      </c>
      <c r="X127" s="11" t="n">
        <v>1.82784560099007</v>
      </c>
      <c r="Y127" s="11" t="n">
        <v>1.83404065340599</v>
      </c>
      <c r="Z127" s="11" t="n">
        <v>1.83938366939464</v>
      </c>
      <c r="AA127" s="11" t="n">
        <v>1.84391417431683</v>
      </c>
      <c r="AB127" s="11" t="n">
        <v>1.84766124384468</v>
      </c>
      <c r="AC127" s="11" t="n">
        <v>1.85064473257036</v>
      </c>
      <c r="AD127" s="11" t="n">
        <v>1.85287541177314</v>
      </c>
      <c r="AE127" s="11" t="n">
        <v>1.85435366632339</v>
      </c>
      <c r="AF127" s="11" t="n">
        <v>1.85507186476148</v>
      </c>
      <c r="AG127" s="11" t="n">
        <v>1.85501702750467</v>
      </c>
      <c r="AH127" s="11" t="n">
        <v>1.85417298027829</v>
      </c>
      <c r="AI127" s="11" t="n">
        <v>1.85252465994706</v>
      </c>
      <c r="AJ127" s="11" t="n">
        <v>1.85005919622435</v>
      </c>
      <c r="AK127" s="11" t="n">
        <v>1.84676572579072</v>
      </c>
      <c r="AL127" s="11" t="n">
        <v>1.84263652556014</v>
      </c>
      <c r="AM127" s="11" t="n">
        <v>1.83767042895919</v>
      </c>
      <c r="AN127" s="11" t="n">
        <v>1.83187357210365</v>
      </c>
      <c r="AO127" s="11" t="n">
        <v>1.82525989567551</v>
      </c>
      <c r="AP127" s="11" t="n">
        <v>1.8178512288968</v>
      </c>
      <c r="AQ127" s="11" t="n">
        <v>1.8096775053342</v>
      </c>
      <c r="AR127" s="11" t="n">
        <v>1.80077654262763</v>
      </c>
      <c r="AS127" s="11" t="n">
        <v>1.79119338426192</v>
      </c>
      <c r="AT127" s="11" t="n">
        <v>1.7809798910302</v>
      </c>
      <c r="AU127" s="11" t="n">
        <v>1.77019437159956</v>
      </c>
    </row>
    <row r="128" customFormat="false" ht="15" hidden="false" customHeight="false" outlineLevel="0" collapsed="false">
      <c r="A128" s="10" t="n">
        <v>3</v>
      </c>
      <c r="B128" s="8" t="n">
        <v>43179</v>
      </c>
      <c r="C128" s="11" t="n">
        <v>0.823995315004975</v>
      </c>
      <c r="D128" s="11" t="n">
        <v>0.875790631871527</v>
      </c>
      <c r="E128" s="11" t="n">
        <v>0.925794340227918</v>
      </c>
      <c r="F128" s="11" t="n">
        <v>0.975519628672707</v>
      </c>
      <c r="G128" s="11" t="n">
        <v>1.02527813981611</v>
      </c>
      <c r="H128" s="11" t="n">
        <v>1.07491817548804</v>
      </c>
      <c r="I128" s="11" t="n">
        <v>1.12415010897051</v>
      </c>
      <c r="J128" s="11" t="n">
        <v>1.17270565179784</v>
      </c>
      <c r="K128" s="11" t="n">
        <v>1.2203828786014</v>
      </c>
      <c r="L128" s="11" t="n">
        <v>1.26703090087666</v>
      </c>
      <c r="M128" s="11" t="n">
        <v>1.31251701354781</v>
      </c>
      <c r="N128" s="11" t="n">
        <v>1.35670010865393</v>
      </c>
      <c r="O128" s="11" t="n">
        <v>1.75199922927763</v>
      </c>
      <c r="P128" s="11" t="n">
        <v>1.76771936347328</v>
      </c>
      <c r="Q128" s="11" t="n">
        <v>1.78175950092626</v>
      </c>
      <c r="R128" s="11" t="n">
        <v>1.79425350366574</v>
      </c>
      <c r="S128" s="11" t="n">
        <v>1.80532968754425</v>
      </c>
      <c r="T128" s="11" t="n">
        <v>1.81511163747014</v>
      </c>
      <c r="U128" s="11" t="n">
        <v>1.82371832375244</v>
      </c>
      <c r="V128" s="11" t="n">
        <v>1.83125934524628</v>
      </c>
      <c r="W128" s="11" t="n">
        <v>1.83783147406247</v>
      </c>
      <c r="X128" s="11" t="n">
        <v>1.84351963042042</v>
      </c>
      <c r="Y128" s="11" t="n">
        <v>1.84839479954729</v>
      </c>
      <c r="Z128" s="11" t="n">
        <v>1.85251263107253</v>
      </c>
      <c r="AA128" s="11" t="n">
        <v>1.85591511178843</v>
      </c>
      <c r="AB128" s="11" t="n">
        <v>1.85863223184975</v>
      </c>
      <c r="AC128" s="11" t="n">
        <v>1.86068339417921</v>
      </c>
      <c r="AD128" s="11" t="n">
        <v>1.86207753901767</v>
      </c>
      <c r="AE128" s="11" t="n">
        <v>1.86281158813623</v>
      </c>
      <c r="AF128" s="11" t="n">
        <v>1.86287304536533</v>
      </c>
      <c r="AG128" s="11" t="n">
        <v>1.86224294553894</v>
      </c>
      <c r="AH128" s="11" t="n">
        <v>1.86089825272594</v>
      </c>
      <c r="AI128" s="11" t="n">
        <v>1.85881652855799</v>
      </c>
      <c r="AJ128" s="11" t="n">
        <v>1.85597713164887</v>
      </c>
      <c r="AK128" s="11" t="n">
        <v>1.85236107451302</v>
      </c>
      <c r="AL128" s="11" t="n">
        <v>1.84795233889669</v>
      </c>
      <c r="AM128" s="11" t="n">
        <v>1.84274166915433</v>
      </c>
      <c r="AN128" s="11" t="n">
        <v>1.83672742548075</v>
      </c>
      <c r="AO128" s="11" t="n">
        <v>1.82991620280486</v>
      </c>
      <c r="AP128" s="11" t="n">
        <v>1.82232299820112</v>
      </c>
      <c r="AQ128" s="11" t="n">
        <v>1.81397164507135</v>
      </c>
      <c r="AR128" s="11" t="n">
        <v>1.80489466436868</v>
      </c>
      <c r="AS128" s="11" t="n">
        <v>1.79513254317006</v>
      </c>
      <c r="AT128" s="11" t="n">
        <v>1.78473335106806</v>
      </c>
      <c r="AU128" s="11" t="n">
        <v>1.77375253066648</v>
      </c>
    </row>
    <row r="129" customFormat="false" ht="15" hidden="false" customHeight="false" outlineLevel="0" collapsed="false">
      <c r="A129" s="10" t="n">
        <v>4</v>
      </c>
      <c r="B129" s="8" t="n">
        <v>43180</v>
      </c>
      <c r="C129" s="11" t="n">
        <v>0.867807811466543</v>
      </c>
      <c r="D129" s="11" t="n">
        <v>0.926697610583694</v>
      </c>
      <c r="E129" s="11" t="n">
        <v>0.981035169165165</v>
      </c>
      <c r="F129" s="11" t="n">
        <v>1.03316416903129</v>
      </c>
      <c r="G129" s="11" t="n">
        <v>1.08403097476009</v>
      </c>
      <c r="H129" s="11" t="n">
        <v>1.13392096496601</v>
      </c>
      <c r="I129" s="11" t="n">
        <v>1.18282964623579</v>
      </c>
      <c r="J129" s="11" t="n">
        <v>1.23067314046437</v>
      </c>
      <c r="K129" s="11" t="n">
        <v>1.27737067609195</v>
      </c>
      <c r="L129" s="11" t="n">
        <v>1.3228501166725</v>
      </c>
      <c r="M129" s="11" t="n">
        <v>1.36703019444214</v>
      </c>
      <c r="N129" s="11" t="n">
        <v>1.40980323459273</v>
      </c>
      <c r="O129" s="11" t="n">
        <v>1.78387917271552</v>
      </c>
      <c r="P129" s="11" t="n">
        <v>1.79817136815154</v>
      </c>
      <c r="Q129" s="11" t="n">
        <v>1.8108644138764</v>
      </c>
      <c r="R129" s="11" t="n">
        <v>1.82209704939153</v>
      </c>
      <c r="S129" s="11" t="n">
        <v>1.83200060427519</v>
      </c>
      <c r="T129" s="11" t="n">
        <v>1.84070009528503</v>
      </c>
      <c r="U129" s="11" t="n">
        <v>1.84831453535846</v>
      </c>
      <c r="V129" s="11" t="n">
        <v>1.85495209069311</v>
      </c>
      <c r="W129" s="11" t="n">
        <v>1.86070663994815</v>
      </c>
      <c r="X129" s="11" t="n">
        <v>1.86565896544629</v>
      </c>
      <c r="Y129" s="11" t="n">
        <v>1.86987514061476</v>
      </c>
      <c r="Z129" s="11" t="n">
        <v>1.87340553171601</v>
      </c>
      <c r="AA129" s="11" t="n">
        <v>1.87628654389311</v>
      </c>
      <c r="AB129" s="11" t="n">
        <v>1.87854232374528</v>
      </c>
      <c r="AC129" s="11" t="n">
        <v>1.88018620109772</v>
      </c>
      <c r="AD129" s="11" t="n">
        <v>1.88122093895064</v>
      </c>
      <c r="AE129" s="11" t="n">
        <v>1.88163746415121</v>
      </c>
      <c r="AF129" s="11" t="n">
        <v>1.88141728849759</v>
      </c>
      <c r="AG129" s="11" t="n">
        <v>1.88053521160385</v>
      </c>
      <c r="AH129" s="11" t="n">
        <v>1.87896181762192</v>
      </c>
      <c r="AI129" s="11" t="n">
        <v>1.87666835946831</v>
      </c>
      <c r="AJ129" s="11" t="n">
        <v>1.87362799374622</v>
      </c>
      <c r="AK129" s="11" t="n">
        <v>1.86981563003087</v>
      </c>
      <c r="AL129" s="11" t="n">
        <v>1.86520938015829</v>
      </c>
      <c r="AM129" s="11" t="n">
        <v>1.85979467003999</v>
      </c>
      <c r="AN129" s="11" t="n">
        <v>1.85356515286081</v>
      </c>
      <c r="AO129" s="11" t="n">
        <v>1.84652338347105</v>
      </c>
      <c r="AP129" s="11" t="n">
        <v>1.83868100494426</v>
      </c>
      <c r="AQ129" s="11" t="n">
        <v>1.83005925874366</v>
      </c>
      <c r="AR129" s="11" t="n">
        <v>1.82068883414184</v>
      </c>
      <c r="AS129" s="11" t="n">
        <v>1.81060908398864</v>
      </c>
      <c r="AT129" s="11" t="n">
        <v>1.79986762742488</v>
      </c>
      <c r="AU129" s="11" t="n">
        <v>1.78852018313008</v>
      </c>
    </row>
    <row r="130" customFormat="false" ht="15" hidden="false" customHeight="false" outlineLevel="0" collapsed="false">
      <c r="A130" s="10" t="n">
        <v>5</v>
      </c>
      <c r="B130" s="8" t="n">
        <v>43181</v>
      </c>
      <c r="C130" s="11" t="n">
        <v>0.821029374933975</v>
      </c>
      <c r="D130" s="11" t="n">
        <v>0.872171394381639</v>
      </c>
      <c r="E130" s="11" t="n">
        <v>0.919318857350845</v>
      </c>
      <c r="F130" s="11" t="n">
        <v>0.964800229699494</v>
      </c>
      <c r="G130" s="11" t="n">
        <v>1.00951173485288</v>
      </c>
      <c r="H130" s="11" t="n">
        <v>1.05368694983291</v>
      </c>
      <c r="I130" s="11" t="n">
        <v>1.09729323174056</v>
      </c>
      <c r="J130" s="11" t="n">
        <v>1.14023966241927</v>
      </c>
      <c r="K130" s="11" t="n">
        <v>1.18245028692096</v>
      </c>
      <c r="L130" s="11" t="n">
        <v>1.22386353139616</v>
      </c>
      <c r="M130" s="11" t="n">
        <v>1.26441055712684</v>
      </c>
      <c r="N130" s="11" t="n">
        <v>1.30399526869309</v>
      </c>
      <c r="O130" s="11" t="n">
        <v>1.67240899817316</v>
      </c>
      <c r="P130" s="11" t="n">
        <v>1.68795261487711</v>
      </c>
      <c r="Q130" s="11" t="n">
        <v>1.70196334054166</v>
      </c>
      <c r="R130" s="11" t="n">
        <v>1.71455602109732</v>
      </c>
      <c r="S130" s="11" t="n">
        <v>1.72584192237355</v>
      </c>
      <c r="T130" s="11" t="n">
        <v>1.73592925030071</v>
      </c>
      <c r="U130" s="11" t="n">
        <v>1.74492295386351</v>
      </c>
      <c r="V130" s="11" t="n">
        <v>1.75291932648021</v>
      </c>
      <c r="W130" s="11" t="n">
        <v>1.76000217962231</v>
      </c>
      <c r="X130" s="11" t="n">
        <v>1.76624379967073</v>
      </c>
      <c r="Y130" s="11" t="n">
        <v>1.77170326597012</v>
      </c>
      <c r="Z130" s="11" t="n">
        <v>1.77642541162177</v>
      </c>
      <c r="AA130" s="11" t="n">
        <v>1.78044240172184</v>
      </c>
      <c r="AB130" s="11" t="n">
        <v>1.78377527824001</v>
      </c>
      <c r="AC130" s="11" t="n">
        <v>1.78643526868379</v>
      </c>
      <c r="AD130" s="11" t="n">
        <v>1.78842406223336</v>
      </c>
      <c r="AE130" s="11" t="n">
        <v>1.7897328269785</v>
      </c>
      <c r="AF130" s="11" t="n">
        <v>1.79034455305776</v>
      </c>
      <c r="AG130" s="11" t="n">
        <v>1.79023655216158</v>
      </c>
      <c r="AH130" s="11" t="n">
        <v>1.78938277658515</v>
      </c>
      <c r="AI130" s="11" t="n">
        <v>1.78775839908292</v>
      </c>
      <c r="AJ130" s="11" t="n">
        <v>1.7853409125273</v>
      </c>
      <c r="AK130" s="11" t="n">
        <v>1.78210993555169</v>
      </c>
      <c r="AL130" s="11" t="n">
        <v>1.77804853289428</v>
      </c>
      <c r="AM130" s="11" t="n">
        <v>1.77314700000156</v>
      </c>
      <c r="AN130" s="11" t="n">
        <v>1.76740366339284</v>
      </c>
      <c r="AO130" s="11" t="n">
        <v>1.76082548081828</v>
      </c>
      <c r="AP130" s="11" t="n">
        <v>1.75342817646483</v>
      </c>
      <c r="AQ130" s="11" t="n">
        <v>1.74523665807163</v>
      </c>
      <c r="AR130" s="11" t="n">
        <v>1.73628483152692</v>
      </c>
      <c r="AS130" s="11" t="n">
        <v>1.72661485187964</v>
      </c>
      <c r="AT130" s="11" t="n">
        <v>1.71627672094748</v>
      </c>
      <c r="AU130" s="11" t="n">
        <v>1.70532803145215</v>
      </c>
    </row>
    <row r="131" customFormat="false" ht="15" hidden="false" customHeight="false" outlineLevel="0" collapsed="false">
      <c r="A131" s="10" t="n">
        <v>6</v>
      </c>
      <c r="B131" s="8" t="n">
        <v>43182</v>
      </c>
      <c r="C131" s="11" t="n">
        <v>0.837444272423086</v>
      </c>
      <c r="D131" s="11" t="n">
        <v>0.890131016704056</v>
      </c>
      <c r="E131" s="11" t="n">
        <v>0.939139156749421</v>
      </c>
      <c r="F131" s="11" t="n">
        <v>0.986399056930357</v>
      </c>
      <c r="G131" s="11" t="n">
        <v>1.032649606205</v>
      </c>
      <c r="H131" s="11" t="n">
        <v>1.07809403882748</v>
      </c>
      <c r="I131" s="11" t="n">
        <v>1.12273372469283</v>
      </c>
      <c r="J131" s="11" t="n">
        <v>1.16653285910942</v>
      </c>
      <c r="K131" s="11" t="n">
        <v>1.20946880730178</v>
      </c>
      <c r="L131" s="11" t="n">
        <v>1.25152190921699</v>
      </c>
      <c r="M131" s="11" t="n">
        <v>1.29265117125642</v>
      </c>
      <c r="N131" s="11" t="n">
        <v>1.33277634946291</v>
      </c>
      <c r="O131" s="11" t="n">
        <v>1.70489088540071</v>
      </c>
      <c r="P131" s="11" t="n">
        <v>1.72055866836295</v>
      </c>
      <c r="Q131" s="11" t="n">
        <v>1.734697976371</v>
      </c>
      <c r="R131" s="11" t="n">
        <v>1.74742757778351</v>
      </c>
      <c r="S131" s="11" t="n">
        <v>1.7588616445762</v>
      </c>
      <c r="T131" s="11" t="n">
        <v>1.76911042867614</v>
      </c>
      <c r="U131" s="11" t="n">
        <v>1.77828013148149</v>
      </c>
      <c r="V131" s="11" t="n">
        <v>1.78646736457363</v>
      </c>
      <c r="W131" s="11" t="n">
        <v>1.7937554200127</v>
      </c>
      <c r="X131" s="11" t="n">
        <v>1.80021536556826</v>
      </c>
      <c r="Y131" s="11" t="n">
        <v>1.80590467846884</v>
      </c>
      <c r="Z131" s="11" t="n">
        <v>1.81086653596713</v>
      </c>
      <c r="AA131" s="11" t="n">
        <v>1.81513142997525</v>
      </c>
      <c r="AB131" s="11" t="n">
        <v>1.81871871405751</v>
      </c>
      <c r="AC131" s="11" t="n">
        <v>1.82163791479252</v>
      </c>
      <c r="AD131" s="11" t="n">
        <v>1.82388912283018</v>
      </c>
      <c r="AE131" s="11" t="n">
        <v>1.8254623733478</v>
      </c>
      <c r="AF131" s="11" t="n">
        <v>1.82634003310878</v>
      </c>
      <c r="AG131" s="11" t="n">
        <v>1.82649916779846</v>
      </c>
      <c r="AH131" s="11" t="n">
        <v>1.82591383712051</v>
      </c>
      <c r="AI131" s="11" t="n">
        <v>1.82455955395578</v>
      </c>
      <c r="AJ131" s="11" t="n">
        <v>1.82241429031194</v>
      </c>
      <c r="AK131" s="11" t="n">
        <v>1.81945826975258</v>
      </c>
      <c r="AL131" s="11" t="n">
        <v>1.81567528870674</v>
      </c>
      <c r="AM131" s="11" t="n">
        <v>1.81105637205721</v>
      </c>
      <c r="AN131" s="11" t="n">
        <v>1.80560048782964</v>
      </c>
      <c r="AO131" s="11" t="n">
        <v>1.799315067682</v>
      </c>
      <c r="AP131" s="11" t="n">
        <v>1.79221608957375</v>
      </c>
      <c r="AQ131" s="11" t="n">
        <v>1.78432845984428</v>
      </c>
      <c r="AR131" s="11" t="n">
        <v>1.77568580209745</v>
      </c>
      <c r="AS131" s="11" t="n">
        <v>1.76632972979719</v>
      </c>
      <c r="AT131" s="11" t="n">
        <v>1.75630945760672</v>
      </c>
      <c r="AU131" s="11" t="n">
        <v>1.74568151117715</v>
      </c>
    </row>
    <row r="132" customFormat="false" ht="15" hidden="false" customHeight="false" outlineLevel="0" collapsed="false">
      <c r="A132" s="10" t="n">
        <v>7</v>
      </c>
      <c r="B132" s="8" t="n">
        <v>43185</v>
      </c>
      <c r="C132" s="11" t="n">
        <v>0.838593549146494</v>
      </c>
      <c r="D132" s="11" t="n">
        <v>0.891794194279996</v>
      </c>
      <c r="E132" s="11" t="n">
        <v>0.941272324184136</v>
      </c>
      <c r="F132" s="11" t="n">
        <v>0.988921752899658</v>
      </c>
      <c r="G132" s="11" t="n">
        <v>1.0354735863161</v>
      </c>
      <c r="H132" s="11" t="n">
        <v>1.0811305252581</v>
      </c>
      <c r="I132" s="11" t="n">
        <v>1.12589516192121</v>
      </c>
      <c r="J132" s="11" t="n">
        <v>1.16973414768704</v>
      </c>
      <c r="K132" s="11" t="n">
        <v>1.2126288176673</v>
      </c>
      <c r="L132" s="11" t="n">
        <v>1.25456567973574</v>
      </c>
      <c r="M132" s="11" t="n">
        <v>1.29551102068522</v>
      </c>
      <c r="N132" s="11" t="n">
        <v>1.33539314076985</v>
      </c>
      <c r="O132" s="11" t="n">
        <v>1.70188064477882</v>
      </c>
      <c r="P132" s="11" t="n">
        <v>1.71701423532367</v>
      </c>
      <c r="Q132" s="11" t="n">
        <v>1.73061766427421</v>
      </c>
      <c r="R132" s="11" t="n">
        <v>1.74281455670668</v>
      </c>
      <c r="S132" s="11" t="n">
        <v>1.75372394083701</v>
      </c>
      <c r="T132" s="11" t="n">
        <v>1.76346092437644</v>
      </c>
      <c r="U132" s="11" t="n">
        <v>1.7721365140295</v>
      </c>
      <c r="V132" s="11" t="n">
        <v>1.77985174945745</v>
      </c>
      <c r="W132" s="11" t="n">
        <v>1.78669381307706</v>
      </c>
      <c r="X132" s="11" t="n">
        <v>1.79273715639006</v>
      </c>
      <c r="Y132" s="11" t="n">
        <v>1.79804196831742</v>
      </c>
      <c r="Z132" s="11" t="n">
        <v>1.80265339204069</v>
      </c>
      <c r="AA132" s="11" t="n">
        <v>1.80660322466068</v>
      </c>
      <c r="AB132" s="11" t="n">
        <v>1.80991154476829</v>
      </c>
      <c r="AC132" s="11" t="n">
        <v>1.81258809017097</v>
      </c>
      <c r="AD132" s="11" t="n">
        <v>1.81463259331726</v>
      </c>
      <c r="AE132" s="11" t="n">
        <v>1.81603398084255</v>
      </c>
      <c r="AF132" s="11" t="n">
        <v>1.81677291025534</v>
      </c>
      <c r="AG132" s="11" t="n">
        <v>1.8168242952423</v>
      </c>
      <c r="AH132" s="11" t="n">
        <v>1.81615970864062</v>
      </c>
      <c r="AI132" s="11" t="n">
        <v>1.81475196683617</v>
      </c>
      <c r="AJ132" s="11" t="n">
        <v>1.81257616703486</v>
      </c>
      <c r="AK132" s="11" t="n">
        <v>1.80960949912911</v>
      </c>
      <c r="AL132" s="11" t="n">
        <v>1.80583264101101</v>
      </c>
      <c r="AM132" s="11" t="n">
        <v>1.80123352250455</v>
      </c>
      <c r="AN132" s="11" t="n">
        <v>1.79580805807154</v>
      </c>
      <c r="AO132" s="11" t="n">
        <v>1.78956067803217</v>
      </c>
      <c r="AP132" s="11" t="n">
        <v>1.78250443824727</v>
      </c>
      <c r="AQ132" s="11" t="n">
        <v>1.7746615306912</v>
      </c>
      <c r="AR132" s="11" t="n">
        <v>1.76606311550211</v>
      </c>
      <c r="AS132" s="11" t="n">
        <v>1.75674857450369</v>
      </c>
      <c r="AT132" s="11" t="n">
        <v>1.74676514735546</v>
      </c>
      <c r="AU132" s="11" t="n">
        <v>1.7361677158425</v>
      </c>
    </row>
    <row r="133" customFormat="false" ht="15" hidden="false" customHeight="false" outlineLevel="0" collapsed="false">
      <c r="A133" s="10" t="n">
        <v>8</v>
      </c>
      <c r="B133" s="8" t="n">
        <v>43186</v>
      </c>
      <c r="C133" s="11" t="n">
        <v>0.823215086962626</v>
      </c>
      <c r="D133" s="11" t="n">
        <v>0.875020107431048</v>
      </c>
      <c r="E133" s="11" t="n">
        <v>0.92320903555932</v>
      </c>
      <c r="F133" s="11" t="n">
        <v>0.969562328108704</v>
      </c>
      <c r="G133" s="11" t="n">
        <v>1.01478367943679</v>
      </c>
      <c r="H133" s="11" t="n">
        <v>1.05908392597971</v>
      </c>
      <c r="I133" s="11" t="n">
        <v>1.10248999020851</v>
      </c>
      <c r="J133" s="11" t="n">
        <v>1.14500208072234</v>
      </c>
      <c r="K133" s="11" t="n">
        <v>1.18663919875183</v>
      </c>
      <c r="L133" s="11" t="n">
        <v>1.2274259239572</v>
      </c>
      <c r="M133" s="11" t="n">
        <v>1.26736359941343</v>
      </c>
      <c r="N133" s="11" t="n">
        <v>1.30641128149796</v>
      </c>
      <c r="O133" s="11" t="n">
        <v>1.67922536418772</v>
      </c>
      <c r="P133" s="11" t="n">
        <v>1.69551487217028</v>
      </c>
      <c r="Q133" s="11" t="n">
        <v>1.71025076141423</v>
      </c>
      <c r="R133" s="11" t="n">
        <v>1.72354209699485</v>
      </c>
      <c r="S133" s="11" t="n">
        <v>1.73549695710739</v>
      </c>
      <c r="T133" s="11" t="n">
        <v>1.74622256555953</v>
      </c>
      <c r="U133" s="11" t="n">
        <v>1.75582465985715</v>
      </c>
      <c r="V133" s="11" t="n">
        <v>1.76440134506376</v>
      </c>
      <c r="W133" s="11" t="n">
        <v>1.77203901747187</v>
      </c>
      <c r="X133" s="11" t="n">
        <v>1.77881317158366</v>
      </c>
      <c r="Y133" s="11" t="n">
        <v>1.78478630350164</v>
      </c>
      <c r="Z133" s="11" t="n">
        <v>1.79000673576507</v>
      </c>
      <c r="AA133" s="11" t="n">
        <v>1.79451019535081</v>
      </c>
      <c r="AB133" s="11" t="n">
        <v>1.7983213497176</v>
      </c>
      <c r="AC133" s="11" t="n">
        <v>1.80145510389273</v>
      </c>
      <c r="AD133" s="11" t="n">
        <v>1.80391678463781</v>
      </c>
      <c r="AE133" s="11" t="n">
        <v>1.80570111429851</v>
      </c>
      <c r="AF133" s="11" t="n">
        <v>1.80679467901676</v>
      </c>
      <c r="AG133" s="11" t="n">
        <v>1.80717841554685</v>
      </c>
      <c r="AH133" s="11" t="n">
        <v>1.80682994077551</v>
      </c>
      <c r="AI133" s="11" t="n">
        <v>1.80572793238132</v>
      </c>
      <c r="AJ133" s="11" t="n">
        <v>1.80385311502568</v>
      </c>
      <c r="AK133" s="11" t="n">
        <v>1.80118809421021</v>
      </c>
      <c r="AL133" s="11" t="n">
        <v>1.79771870534567</v>
      </c>
      <c r="AM133" s="11" t="n">
        <v>1.79343758233556</v>
      </c>
      <c r="AN133" s="11" t="n">
        <v>1.78834484029121</v>
      </c>
      <c r="AO133" s="11" t="n">
        <v>1.7824485562726</v>
      </c>
      <c r="AP133" s="11" t="n">
        <v>1.77576484036092</v>
      </c>
      <c r="AQ133" s="11" t="n">
        <v>1.76831821650432</v>
      </c>
      <c r="AR133" s="11" t="n">
        <v>1.76014142071293</v>
      </c>
      <c r="AS133" s="11" t="n">
        <v>1.75127471517749</v>
      </c>
      <c r="AT133" s="11" t="n">
        <v>1.74176551800932</v>
      </c>
      <c r="AU133" s="11" t="n">
        <v>1.73166807777335</v>
      </c>
    </row>
    <row r="134" customFormat="false" ht="15" hidden="false" customHeight="false" outlineLevel="0" collapsed="false">
      <c r="A134" s="10" t="n">
        <v>9</v>
      </c>
      <c r="B134" s="8" t="n">
        <v>43187</v>
      </c>
      <c r="C134" s="11" t="n">
        <v>0.77336643745401</v>
      </c>
      <c r="D134" s="11" t="n">
        <v>0.820095069948148</v>
      </c>
      <c r="E134" s="11" t="n">
        <v>0.865096669858223</v>
      </c>
      <c r="F134" s="11" t="n">
        <v>0.909477074776298</v>
      </c>
      <c r="G134" s="11" t="n">
        <v>0.953573774355119</v>
      </c>
      <c r="H134" s="11" t="n">
        <v>0.997387458784974</v>
      </c>
      <c r="I134" s="11" t="n">
        <v>1.0408150136126</v>
      </c>
      <c r="J134" s="11" t="n">
        <v>1.08376845053633</v>
      </c>
      <c r="K134" s="11" t="n">
        <v>1.12619782076687</v>
      </c>
      <c r="L134" s="11" t="n">
        <v>1.16806722771223</v>
      </c>
      <c r="M134" s="11" t="n">
        <v>1.20932208751453</v>
      </c>
      <c r="N134" s="11" t="n">
        <v>1.24986799196908</v>
      </c>
      <c r="O134" s="11" t="n">
        <v>1.64357090017773</v>
      </c>
      <c r="P134" s="11" t="n">
        <v>1.66109278454815</v>
      </c>
      <c r="Q134" s="11" t="n">
        <v>1.67698719265585</v>
      </c>
      <c r="R134" s="11" t="n">
        <v>1.69136364771811</v>
      </c>
      <c r="S134" s="11" t="n">
        <v>1.70433166262025</v>
      </c>
      <c r="T134" s="11" t="n">
        <v>1.71600072594934</v>
      </c>
      <c r="U134" s="11" t="n">
        <v>1.72647951929316</v>
      </c>
      <c r="V134" s="11" t="n">
        <v>1.73586953273718</v>
      </c>
      <c r="W134" s="11" t="n">
        <v>1.74426087550462</v>
      </c>
      <c r="X134" s="11" t="n">
        <v>1.75173300462528</v>
      </c>
      <c r="Y134" s="11" t="n">
        <v>1.75835234918211</v>
      </c>
      <c r="Z134" s="11" t="n">
        <v>1.76417097683574</v>
      </c>
      <c r="AA134" s="11" t="n">
        <v>1.76922818770819</v>
      </c>
      <c r="AB134" s="11" t="n">
        <v>1.7735520713998</v>
      </c>
      <c r="AC134" s="11" t="n">
        <v>1.77716081973562</v>
      </c>
      <c r="AD134" s="11" t="n">
        <v>1.78006284124239</v>
      </c>
      <c r="AE134" s="11" t="n">
        <v>1.78225558997931</v>
      </c>
      <c r="AF134" s="11" t="n">
        <v>1.78372809179082</v>
      </c>
      <c r="AG134" s="11" t="n">
        <v>1.7844634928</v>
      </c>
      <c r="AH134" s="11" t="n">
        <v>1.78444144418251</v>
      </c>
      <c r="AI134" s="11" t="n">
        <v>1.78364252675814</v>
      </c>
      <c r="AJ134" s="11" t="n">
        <v>1.78204924325731</v>
      </c>
      <c r="AK134" s="11" t="n">
        <v>1.7796458659144</v>
      </c>
      <c r="AL134" s="11" t="n">
        <v>1.77641983711087</v>
      </c>
      <c r="AM134" s="11" t="n">
        <v>1.77236539744509</v>
      </c>
      <c r="AN134" s="11" t="n">
        <v>1.76748427271674</v>
      </c>
      <c r="AO134" s="11" t="n">
        <v>1.76178615380376</v>
      </c>
      <c r="AP134" s="11" t="n">
        <v>1.75528875277205</v>
      </c>
      <c r="AQ134" s="11" t="n">
        <v>1.7480181337402</v>
      </c>
      <c r="AR134" s="11" t="n">
        <v>1.74000848530112</v>
      </c>
      <c r="AS134" s="11" t="n">
        <v>1.73130144046423</v>
      </c>
      <c r="AT134" s="11" t="n">
        <v>1.72194568591091</v>
      </c>
      <c r="AU134" s="11" t="n">
        <v>1.71199656044991</v>
      </c>
    </row>
    <row r="135" customFormat="false" ht="15" hidden="false" customHeight="false" outlineLevel="0" collapsed="false">
      <c r="A135" s="10" t="n">
        <v>10</v>
      </c>
      <c r="B135" s="8" t="n">
        <v>43188</v>
      </c>
      <c r="C135" s="11" t="n">
        <v>0.769253098338536</v>
      </c>
      <c r="D135" s="11" t="n">
        <v>0.812058314330055</v>
      </c>
      <c r="E135" s="11" t="n">
        <v>0.855392574441521</v>
      </c>
      <c r="F135" s="11" t="n">
        <v>0.899157851979789</v>
      </c>
      <c r="G135" s="11" t="n">
        <v>0.943113858039022</v>
      </c>
      <c r="H135" s="11" t="n">
        <v>0.986963782175102</v>
      </c>
      <c r="I135" s="11" t="n">
        <v>1.03044800206189</v>
      </c>
      <c r="J135" s="11" t="n">
        <v>1.0734051748883</v>
      </c>
      <c r="K135" s="11" t="n">
        <v>1.11576040814453</v>
      </c>
      <c r="L135" s="11" t="n">
        <v>1.15748179038115</v>
      </c>
      <c r="M135" s="11" t="n">
        <v>1.19853268253887</v>
      </c>
      <c r="N135" s="11" t="n">
        <v>1.2388409422318</v>
      </c>
      <c r="O135" s="11" t="n">
        <v>1.63222126479334</v>
      </c>
      <c r="P135" s="11" t="n">
        <v>1.64997272004569</v>
      </c>
      <c r="Q135" s="11" t="n">
        <v>1.66610983363247</v>
      </c>
      <c r="R135" s="11" t="n">
        <v>1.68073765450909</v>
      </c>
      <c r="S135" s="11" t="n">
        <v>1.69396209338212</v>
      </c>
      <c r="T135" s="11" t="n">
        <v>1.70588978082151</v>
      </c>
      <c r="U135" s="11" t="n">
        <v>1.71662709470267</v>
      </c>
      <c r="V135" s="11" t="n">
        <v>1.72627355270455</v>
      </c>
      <c r="W135" s="11" t="n">
        <v>1.7349177697093</v>
      </c>
      <c r="X135" s="11" t="n">
        <v>1.74263809941896</v>
      </c>
      <c r="Y135" s="11" t="n">
        <v>1.74949999948957</v>
      </c>
      <c r="Z135" s="11" t="n">
        <v>1.75555469983555</v>
      </c>
      <c r="AA135" s="11" t="n">
        <v>1.76084079757006</v>
      </c>
      <c r="AB135" s="11" t="n">
        <v>1.76538579759055</v>
      </c>
      <c r="AC135" s="11" t="n">
        <v>1.76920740601535</v>
      </c>
      <c r="AD135" s="11" t="n">
        <v>1.77231353803099</v>
      </c>
      <c r="AE135" s="11" t="n">
        <v>1.77470111244848</v>
      </c>
      <c r="AF135" s="11" t="n">
        <v>1.77635871096568</v>
      </c>
      <c r="AG135" s="11" t="n">
        <v>1.77726911085046</v>
      </c>
      <c r="AH135" s="11" t="n">
        <v>1.77741177746766</v>
      </c>
      <c r="AI135" s="11" t="n">
        <v>1.77676731771146</v>
      </c>
      <c r="AJ135" s="11" t="n">
        <v>1.77531839357563</v>
      </c>
      <c r="AK135" s="11" t="n">
        <v>1.77304956117885</v>
      </c>
      <c r="AL135" s="11" t="n">
        <v>1.7699487610029</v>
      </c>
      <c r="AM135" s="11" t="n">
        <v>1.76601092888404</v>
      </c>
      <c r="AN135" s="11" t="n">
        <v>1.7612386075521</v>
      </c>
      <c r="AO135" s="11" t="n">
        <v>1.75564237980652</v>
      </c>
      <c r="AP135" s="11" t="n">
        <v>1.74924087533818</v>
      </c>
      <c r="AQ135" s="11" t="n">
        <v>1.74206105273132</v>
      </c>
      <c r="AR135" s="11" t="n">
        <v>1.73413792402538</v>
      </c>
      <c r="AS135" s="11" t="n">
        <v>1.72551387832641</v>
      </c>
      <c r="AT135" s="11" t="n">
        <v>1.71623829215193</v>
      </c>
      <c r="AU135" s="11" t="n">
        <v>1.70636705400684</v>
      </c>
    </row>
    <row r="138" customFormat="false" ht="52.2" hidden="false" customHeight="false" outlineLevel="0" collapsed="false">
      <c r="A138" s="3" t="s">
        <v>85</v>
      </c>
      <c r="B138" s="3" t="s">
        <v>72</v>
      </c>
      <c r="C138" s="3" t="s">
        <v>194</v>
      </c>
      <c r="D138" s="3" t="s">
        <v>195</v>
      </c>
      <c r="E138" s="3" t="s">
        <v>196</v>
      </c>
      <c r="F138" s="3" t="s">
        <v>197</v>
      </c>
      <c r="G138" s="3" t="s">
        <v>198</v>
      </c>
      <c r="H138" s="3" t="s">
        <v>199</v>
      </c>
      <c r="I138" s="3" t="s">
        <v>200</v>
      </c>
      <c r="J138" s="3" t="s">
        <v>201</v>
      </c>
      <c r="K138" s="3" t="s">
        <v>202</v>
      </c>
      <c r="L138" s="3" t="s">
        <v>203</v>
      </c>
      <c r="M138" s="3" t="s">
        <v>210</v>
      </c>
      <c r="N138" s="3" t="s">
        <v>211</v>
      </c>
      <c r="O138" s="3" t="s">
        <v>133</v>
      </c>
      <c r="P138" s="3" t="s">
        <v>134</v>
      </c>
      <c r="Q138" s="3" t="s">
        <v>135</v>
      </c>
      <c r="R138" s="3" t="s">
        <v>136</v>
      </c>
      <c r="S138" s="3" t="s">
        <v>137</v>
      </c>
      <c r="T138" s="3" t="s">
        <v>138</v>
      </c>
      <c r="U138" s="3" t="s">
        <v>139</v>
      </c>
      <c r="V138" s="3" t="s">
        <v>140</v>
      </c>
      <c r="W138" s="3" t="s">
        <v>141</v>
      </c>
      <c r="X138" s="3" t="s">
        <v>142</v>
      </c>
      <c r="Y138" s="3" t="s">
        <v>143</v>
      </c>
      <c r="Z138" s="3" t="s">
        <v>144</v>
      </c>
      <c r="AA138" s="3" t="s">
        <v>145</v>
      </c>
      <c r="AB138" s="3" t="s">
        <v>146</v>
      </c>
      <c r="AC138" s="3" t="s">
        <v>147</v>
      </c>
      <c r="AD138" s="3" t="s">
        <v>148</v>
      </c>
      <c r="AE138" s="3" t="s">
        <v>149</v>
      </c>
      <c r="AF138" s="3" t="s">
        <v>150</v>
      </c>
      <c r="AG138" s="3" t="s">
        <v>151</v>
      </c>
      <c r="AH138" s="3" t="s">
        <v>152</v>
      </c>
      <c r="AI138" s="3" t="s">
        <v>153</v>
      </c>
      <c r="AJ138" s="3" t="s">
        <v>154</v>
      </c>
      <c r="AK138" s="3" t="s">
        <v>155</v>
      </c>
      <c r="AL138" s="3" t="s">
        <v>229</v>
      </c>
      <c r="AM138" s="3" t="s">
        <v>230</v>
      </c>
      <c r="AN138" s="3" t="s">
        <v>231</v>
      </c>
      <c r="AO138" s="3" t="s">
        <v>232</v>
      </c>
      <c r="AP138" s="3" t="s">
        <v>233</v>
      </c>
      <c r="AQ138" s="3" t="s">
        <v>234</v>
      </c>
      <c r="AR138" s="3" t="s">
        <v>235</v>
      </c>
      <c r="AS138" s="3" t="s">
        <v>236</v>
      </c>
      <c r="AT138" s="3" t="s">
        <v>237</v>
      </c>
      <c r="AU138" s="3" t="s">
        <v>238</v>
      </c>
      <c r="AV138" s="3" t="s">
        <v>156</v>
      </c>
    </row>
    <row r="139" customFormat="false" ht="15" hidden="false" customHeight="false" outlineLevel="0" collapsed="false">
      <c r="A139" s="20" t="n">
        <f aca="false">A5</f>
        <v>-120</v>
      </c>
      <c r="B139" s="21" t="n">
        <f aca="false">B5</f>
        <v>43003</v>
      </c>
      <c r="C139" s="22" t="n">
        <f aca="false">100*(C5-C4)</f>
        <v>-1.80848839372662</v>
      </c>
      <c r="D139" s="22" t="n">
        <f aca="false">100*(D5-D4)</f>
        <v>-1.87278609667584</v>
      </c>
      <c r="E139" s="22" t="n">
        <f aca="false">100*(E5-E4)</f>
        <v>-1.94503476675822</v>
      </c>
      <c r="F139" s="22" t="n">
        <f aca="false">100*(F5-F4)</f>
        <v>-2.02222366395416</v>
      </c>
      <c r="G139" s="22" t="n">
        <f aca="false">100*(G5-G4)</f>
        <v>-2.10303713926392</v>
      </c>
      <c r="H139" s="22" t="n">
        <f aca="false">100*(H5-H4)</f>
        <v>-2.18643066131448</v>
      </c>
      <c r="I139" s="22" t="n">
        <f aca="false">100*(I5-I4)</f>
        <v>-2.27140757390869</v>
      </c>
      <c r="J139" s="22" t="n">
        <f aca="false">100*(J5-J4)</f>
        <v>-2.35704084235776</v>
      </c>
      <c r="K139" s="22" t="n">
        <f aca="false">100*(K5-K4)</f>
        <v>-2.44223095196213</v>
      </c>
      <c r="L139" s="22" t="n">
        <f aca="false">100*(L5-L4)</f>
        <v>-2.5257161234531</v>
      </c>
      <c r="M139" s="22" t="n">
        <f aca="false">100*(M5-M4)</f>
        <v>-2.60602485082639</v>
      </c>
      <c r="N139" s="22" t="n">
        <f aca="false">100*(N5-N4)</f>
        <v>-2.6817999214807</v>
      </c>
      <c r="O139" s="22" t="n">
        <f aca="false">100*(O5-O4)</f>
        <v>-3.070345840603</v>
      </c>
      <c r="P139" s="22" t="n">
        <f aca="false">100*(P5-P4)</f>
        <v>-3.0668952086927</v>
      </c>
      <c r="Q139" s="22" t="n">
        <f aca="false">100*(Q5-Q4)</f>
        <v>-3.06209772149508</v>
      </c>
      <c r="R139" s="22" t="n">
        <f aca="false">100*(R5-R4)</f>
        <v>-3.0565167897086</v>
      </c>
      <c r="S139" s="22" t="n">
        <f aca="false">100*(S5-S4)</f>
        <v>-3.05061525129209</v>
      </c>
      <c r="T139" s="22" t="n">
        <f aca="false">100*(T5-T4)</f>
        <v>-3.0447618014442</v>
      </c>
      <c r="U139" s="22" t="n">
        <f aca="false">100*(U5-U4)</f>
        <v>-3.03924476000721</v>
      </c>
      <c r="V139" s="22" t="n">
        <f aca="false">100*(V5-V4)</f>
        <v>-3.0342819883407</v>
      </c>
      <c r="W139" s="22" t="n">
        <f aca="false">100*(W5-W4)</f>
        <v>-3.03001677245789</v>
      </c>
      <c r="X139" s="22" t="n">
        <f aca="false">100*(X5-X4)</f>
        <v>-3.02651617302561</v>
      </c>
      <c r="Y139" s="22" t="n">
        <f aca="false">100*(Y5-Y4)</f>
        <v>-3.0237820716994</v>
      </c>
      <c r="Z139" s="22" t="n">
        <f aca="false">100*(Z5-Z4)</f>
        <v>-3.0217773980288</v>
      </c>
      <c r="AA139" s="22" t="n">
        <f aca="false">100*(AA5-AA4)</f>
        <v>-3.02044684210381</v>
      </c>
      <c r="AB139" s="22" t="n">
        <f aca="false">100*(AB5-AB4)</f>
        <v>-3.01972030338469</v>
      </c>
      <c r="AC139" s="22" t="n">
        <f aca="false">100*(AC5-AC4)</f>
        <v>-3.01951465149131</v>
      </c>
      <c r="AD139" s="22" t="n">
        <f aca="false">100*(AD5-AD4)</f>
        <v>-3.01973535709172</v>
      </c>
      <c r="AE139" s="22" t="n">
        <f aca="false">100*(AE5-AE4)</f>
        <v>-3.02028554586586</v>
      </c>
      <c r="AF139" s="22" t="n">
        <f aca="false">100*(AF5-AF4)</f>
        <v>-3.02108751650079</v>
      </c>
      <c r="AG139" s="22" t="n">
        <f aca="false">100*(AG5-AG4)</f>
        <v>-3.02208355738869</v>
      </c>
      <c r="AH139" s="22" t="n">
        <f aca="false">100*(AH5-AH4)</f>
        <v>-3.02323048961091</v>
      </c>
      <c r="AI139" s="22" t="n">
        <f aca="false">100*(AI5-AI4)</f>
        <v>-3.02449627585539</v>
      </c>
      <c r="AJ139" s="22" t="n">
        <f aca="false">100*(AJ5-AJ4)</f>
        <v>-3.02585566705962</v>
      </c>
      <c r="AK139" s="22" t="n">
        <f aca="false">100*(AK5-AK4)</f>
        <v>-3.02728887850301</v>
      </c>
      <c r="AL139" s="22" t="n">
        <f aca="false">100*(AL5-AL4)</f>
        <v>-3.02878099460551</v>
      </c>
      <c r="AM139" s="22" t="n">
        <f aca="false">100*(AM5-AM4)</f>
        <v>-3.03031899272281</v>
      </c>
      <c r="AN139" s="22" t="n">
        <f aca="false">100*(AN5-AN4)</f>
        <v>-3.03188591362482</v>
      </c>
      <c r="AO139" s="22" t="n">
        <f aca="false">100*(AO5-AO4)</f>
        <v>-3.0334595038366</v>
      </c>
      <c r="AP139" s="22" t="n">
        <f aca="false">100*(AP5-AP4)</f>
        <v>-3.03501156691972</v>
      </c>
      <c r="AQ139" s="22" t="n">
        <f aca="false">100*(AQ5-AQ4)</f>
        <v>-3.03650900842407</v>
      </c>
      <c r="AR139" s="22" t="n">
        <f aca="false">100*(AR5-AR4)</f>
        <v>-3.03791733900332</v>
      </c>
      <c r="AS139" s="22" t="n">
        <f aca="false">100*(AS5-AS4)</f>
        <v>-3.03920199303671</v>
      </c>
      <c r="AT139" s="22" t="n">
        <f aca="false">100*(AT5-AT4)</f>
        <v>-3.0403283944151</v>
      </c>
      <c r="AU139" s="22" t="n">
        <f aca="false">100*(AU5-AU4)</f>
        <v>-3.04126330112942</v>
      </c>
      <c r="AV139" s="22" t="n">
        <f aca="false">AVERAGE(C139:AU139)</f>
        <v>-2.82105544122336</v>
      </c>
    </row>
    <row r="140" customFormat="false" ht="15" hidden="false" customHeight="false" outlineLevel="0" collapsed="false">
      <c r="A140" s="20" t="n">
        <f aca="false">A6</f>
        <v>-119</v>
      </c>
      <c r="B140" s="21" t="n">
        <f aca="false">B6</f>
        <v>43004</v>
      </c>
      <c r="C140" s="22" t="n">
        <f aca="false">100*(C6-C5)</f>
        <v>1.33815113079213</v>
      </c>
      <c r="D140" s="22" t="n">
        <f aca="false">100*(D6-D5)</f>
        <v>1.27227558961547</v>
      </c>
      <c r="E140" s="22" t="n">
        <f aca="false">100*(E6-E5)</f>
        <v>1.21589176233444</v>
      </c>
      <c r="F140" s="22" t="n">
        <f aca="false">100*(F6-F5)</f>
        <v>1.16530498524079</v>
      </c>
      <c r="G140" s="22" t="n">
        <f aca="false">100*(G6-G5)</f>
        <v>1.11635742908267</v>
      </c>
      <c r="H140" s="22" t="n">
        <f aca="false">100*(H6-H5)</f>
        <v>1.06554769105151</v>
      </c>
      <c r="I140" s="22" t="n">
        <f aca="false">100*(I6-I5)</f>
        <v>1.01003541188538</v>
      </c>
      <c r="J140" s="22" t="n">
        <f aca="false">100*(J6-J5)</f>
        <v>0.947632701910051</v>
      </c>
      <c r="K140" s="22" t="n">
        <f aca="false">100*(K6-K5)</f>
        <v>0.877157040834209</v>
      </c>
      <c r="L140" s="22" t="n">
        <f aca="false">100*(L6-L5)</f>
        <v>0.798374544017655</v>
      </c>
      <c r="M140" s="22" t="n">
        <f aca="false">100*(M6-M5)</f>
        <v>0.711924344665205</v>
      </c>
      <c r="N140" s="22" t="n">
        <f aca="false">100*(N6-N5)</f>
        <v>0.619093355819689</v>
      </c>
      <c r="O140" s="22" t="n">
        <f aca="false">100*(O6-O5)</f>
        <v>-0.332965008050601</v>
      </c>
      <c r="P140" s="22" t="n">
        <f aca="false">100*(P6-P5)</f>
        <v>-0.355468380817814</v>
      </c>
      <c r="Q140" s="22" t="n">
        <f aca="false">100*(Q6-Q5)</f>
        <v>-0.371760982623615</v>
      </c>
      <c r="R140" s="22" t="n">
        <f aca="false">100*(R6-R5)</f>
        <v>-0.382584267581598</v>
      </c>
      <c r="S140" s="22" t="n">
        <f aca="false">100*(S6-S5)</f>
        <v>-0.388643344663309</v>
      </c>
      <c r="T140" s="22" t="n">
        <f aca="false">100*(T6-T5)</f>
        <v>-0.390596306438407</v>
      </c>
      <c r="U140" s="22" t="n">
        <f aca="false">100*(U6-U5)</f>
        <v>-0.389061018962789</v>
      </c>
      <c r="V140" s="22" t="n">
        <f aca="false">100*(V6-V5)</f>
        <v>-0.384617711374702</v>
      </c>
      <c r="W140" s="22" t="n">
        <f aca="false">100*(W6-W5)</f>
        <v>-0.377787443536315</v>
      </c>
      <c r="X140" s="22" t="n">
        <f aca="false">100*(X6-X5)</f>
        <v>-0.369018315798608</v>
      </c>
      <c r="Y140" s="22" t="n">
        <f aca="false">100*(Y6-Y5)</f>
        <v>-0.358694351070699</v>
      </c>
      <c r="Z140" s="22" t="n">
        <f aca="false">100*(Z6-Z5)</f>
        <v>-0.347152131861805</v>
      </c>
      <c r="AA140" s="22" t="n">
        <f aca="false">100*(AA6-AA5)</f>
        <v>-0.334694650280487</v>
      </c>
      <c r="AB140" s="22" t="n">
        <f aca="false">100*(AB6-AB5)</f>
        <v>-0.321596054743623</v>
      </c>
      <c r="AC140" s="22" t="n">
        <f aca="false">100*(AC6-AC5)</f>
        <v>-0.308105083748611</v>
      </c>
      <c r="AD140" s="22" t="n">
        <f aca="false">100*(AD6-AD5)</f>
        <v>-0.294448007198067</v>
      </c>
      <c r="AE140" s="22" t="n">
        <f aca="false">100*(AE6-AE5)</f>
        <v>-0.280832356832406</v>
      </c>
      <c r="AF140" s="22" t="n">
        <f aca="false">100*(AF6-AF5)</f>
        <v>-0.267451895751014</v>
      </c>
      <c r="AG140" s="22" t="n">
        <f aca="false">100*(AG6-AG5)</f>
        <v>-0.254471418159419</v>
      </c>
      <c r="AH140" s="22" t="n">
        <f aca="false">100*(AH6-AH5)</f>
        <v>-0.242014234196697</v>
      </c>
      <c r="AI140" s="22" t="n">
        <f aca="false">100*(AI6-AI5)</f>
        <v>-0.230163574765685</v>
      </c>
      <c r="AJ140" s="22" t="n">
        <f aca="false">100*(AJ6-AJ5)</f>
        <v>-0.218963065391575</v>
      </c>
      <c r="AK140" s="22" t="n">
        <f aca="false">100*(AK6-AK5)</f>
        <v>-0.208419954216099</v>
      </c>
      <c r="AL140" s="22" t="n">
        <f aca="false">100*(AL6-AL5)</f>
        <v>-0.198508695193</v>
      </c>
      <c r="AM140" s="22" t="n">
        <f aca="false">100*(AM6-AM5)</f>
        <v>-0.189175639084382</v>
      </c>
      <c r="AN140" s="22" t="n">
        <f aca="false">100*(AN6-AN5)</f>
        <v>-0.180346359094585</v>
      </c>
      <c r="AO140" s="22" t="n">
        <f aca="false">100*(AO6-AO5)</f>
        <v>-0.171930219048289</v>
      </c>
      <c r="AP140" s="22" t="n">
        <f aca="false">100*(AP6-AP5)</f>
        <v>-0.163827565950703</v>
      </c>
      <c r="AQ140" s="22" t="n">
        <f aca="false">100*(AQ6-AQ5)</f>
        <v>-0.155936070798202</v>
      </c>
      <c r="AR140" s="22" t="n">
        <f aca="false">100*(AR6-AR5)</f>
        <v>-0.148162062334989</v>
      </c>
      <c r="AS140" s="22" t="n">
        <f aca="false">100*(AS6-AS5)</f>
        <v>-0.14042485533281</v>
      </c>
      <c r="AT140" s="22" t="n">
        <f aca="false">100*(AT6-AT5)</f>
        <v>-0.132655877304999</v>
      </c>
      <c r="AU140" s="22" t="n">
        <f aca="false">100*(AU6-AU5)</f>
        <v>-0.124801404721198</v>
      </c>
      <c r="AV140" s="22" t="n">
        <f aca="false">AVERAGE(C140:AU140)</f>
        <v>0.0693881706738243</v>
      </c>
    </row>
    <row r="141" customFormat="false" ht="15" hidden="false" customHeight="false" outlineLevel="0" collapsed="false">
      <c r="A141" s="20" t="n">
        <f aca="false">A7</f>
        <v>-118</v>
      </c>
      <c r="B141" s="21" t="n">
        <f aca="false">B7</f>
        <v>43005</v>
      </c>
      <c r="C141" s="22" t="n">
        <f aca="false">100*(C7-C6)</f>
        <v>1.89924818507668</v>
      </c>
      <c r="D141" s="22" t="n">
        <f aca="false">100*(D7-D6)</f>
        <v>2.29870842346638</v>
      </c>
      <c r="E141" s="22" t="n">
        <f aca="false">100*(E7-E6)</f>
        <v>2.69899531331389</v>
      </c>
      <c r="F141" s="22" t="n">
        <f aca="false">100*(F7-F6)</f>
        <v>3.06737030526255</v>
      </c>
      <c r="G141" s="22" t="n">
        <f aca="false">100*(G7-G6)</f>
        <v>3.39077436642397</v>
      </c>
      <c r="H141" s="22" t="n">
        <f aca="false">100*(H7-H6)</f>
        <v>3.66645092211233</v>
      </c>
      <c r="I141" s="22" t="n">
        <f aca="false">100*(I7-I6)</f>
        <v>3.89640405123257</v>
      </c>
      <c r="J141" s="22" t="n">
        <f aca="false">100*(J7-J6)</f>
        <v>4.08468737054903</v>
      </c>
      <c r="K141" s="22" t="n">
        <f aca="false">100*(K7-K6)</f>
        <v>4.23615082996662</v>
      </c>
      <c r="L141" s="22" t="n">
        <f aca="false">100*(L7-L6)</f>
        <v>4.35563236925283</v>
      </c>
      <c r="M141" s="22" t="n">
        <f aca="false">100*(M7-M6)</f>
        <v>4.4475898616628</v>
      </c>
      <c r="N141" s="22" t="n">
        <f aca="false">100*(N7-N6)</f>
        <v>4.51608217675992</v>
      </c>
      <c r="O141" s="22" t="n">
        <f aca="false">100*(O7-O6)</f>
        <v>4.3902102891068</v>
      </c>
      <c r="P141" s="22" t="n">
        <f aca="false">100*(P7-P6)</f>
        <v>4.35136575036652</v>
      </c>
      <c r="Q141" s="22" t="n">
        <f aca="false">100*(Q7-Q6)</f>
        <v>4.3122914831792</v>
      </c>
      <c r="R141" s="22" t="n">
        <f aca="false">100*(R7-R6)</f>
        <v>4.27327871918339</v>
      </c>
      <c r="S141" s="22" t="n">
        <f aca="false">100*(S7-S6)</f>
        <v>4.23457053583292</v>
      </c>
      <c r="T141" s="22" t="n">
        <f aca="false">100*(T7-T6)</f>
        <v>4.19637869841589</v>
      </c>
      <c r="U141" s="22" t="n">
        <f aca="false">100*(U7-U6)</f>
        <v>4.15888833459279</v>
      </c>
      <c r="V141" s="22" t="n">
        <f aca="false">100*(V7-V6)</f>
        <v>4.1222635374317</v>
      </c>
      <c r="W141" s="22" t="n">
        <f aca="false">100*(W7-W6)</f>
        <v>4.08666508310192</v>
      </c>
      <c r="X141" s="22" t="n">
        <f aca="false">100*(X7-X6)</f>
        <v>4.05226265111272</v>
      </c>
      <c r="Y141" s="22" t="n">
        <f aca="false">100*(Y7-Y6)</f>
        <v>4.01923246718241</v>
      </c>
      <c r="Z141" s="22" t="n">
        <f aca="false">100*(Z7-Z6)</f>
        <v>3.98773861172699</v>
      </c>
      <c r="AA141" s="22" t="n">
        <f aca="false">100*(AA7-AA6)</f>
        <v>3.9579193331317</v>
      </c>
      <c r="AB141" s="22" t="n">
        <f aca="false">100*(AB7-AB6)</f>
        <v>3.9298890828356</v>
      </c>
      <c r="AC141" s="22" t="n">
        <f aca="false">100*(AC7-AC6)</f>
        <v>3.9037413483014</v>
      </c>
      <c r="AD141" s="22" t="n">
        <f aca="false">100*(AD7-AD6)</f>
        <v>3.87955089783487</v>
      </c>
      <c r="AE141" s="22" t="n">
        <f aca="false">100*(AE7-AE6)</f>
        <v>3.8573650995688</v>
      </c>
      <c r="AF141" s="22" t="n">
        <f aca="false">100*(AF7-AF6)</f>
        <v>3.83717968954702</v>
      </c>
      <c r="AG141" s="22" t="n">
        <f aca="false">100*(AG7-AG6)</f>
        <v>3.81894411478374</v>
      </c>
      <c r="AH141" s="22" t="n">
        <f aca="false">100*(AH7-AH6)</f>
        <v>3.80257282090999</v>
      </c>
      <c r="AI141" s="22" t="n">
        <f aca="false">100*(AI7-AI6)</f>
        <v>3.78795183909109</v>
      </c>
      <c r="AJ141" s="22" t="n">
        <f aca="false">100*(AJ7-AJ6)</f>
        <v>3.77494689658549</v>
      </c>
      <c r="AK141" s="22" t="n">
        <f aca="false">100*(AK7-AK6)</f>
        <v>3.7634065815098</v>
      </c>
      <c r="AL141" s="22" t="n">
        <f aca="false">100*(AL7-AL6)</f>
        <v>3.75316410626199</v>
      </c>
      <c r="AM141" s="22" t="n">
        <f aca="false">100*(AM7-AM6)</f>
        <v>3.74404213312309</v>
      </c>
      <c r="AN141" s="22" t="n">
        <f aca="false">100*(AN7-AN6)</f>
        <v>3.735861335901</v>
      </c>
      <c r="AO141" s="22" t="n">
        <f aca="false">100*(AO7-AO6)</f>
        <v>3.72844230550089</v>
      </c>
      <c r="AP141" s="22" t="n">
        <f aca="false">100*(AP7-AP6)</f>
        <v>3.72160458612734</v>
      </c>
      <c r="AQ141" s="22" t="n">
        <f aca="false">100*(AQ7-AQ6)</f>
        <v>3.71516749751661</v>
      </c>
      <c r="AR141" s="22" t="n">
        <f aca="false">100*(AR7-AR6)</f>
        <v>3.70895752238751</v>
      </c>
      <c r="AS141" s="22" t="n">
        <f aca="false">100*(AS7-AS6)</f>
        <v>3.70281170356952</v>
      </c>
      <c r="AT141" s="22" t="n">
        <f aca="false">100*(AT7-AT6)</f>
        <v>3.6965769348414</v>
      </c>
      <c r="AU141" s="22" t="n">
        <f aca="false">100*(AU7-AU6)</f>
        <v>3.6901120622499</v>
      </c>
      <c r="AV141" s="22" t="n">
        <f aca="false">AVERAGE(C141:AU141)</f>
        <v>3.82785440506426</v>
      </c>
    </row>
    <row r="142" customFormat="false" ht="15" hidden="false" customHeight="false" outlineLevel="0" collapsed="false">
      <c r="A142" s="20" t="n">
        <f aca="false">A8</f>
        <v>-117</v>
      </c>
      <c r="B142" s="21" t="n">
        <f aca="false">B8</f>
        <v>43006</v>
      </c>
      <c r="C142" s="22" t="n">
        <f aca="false">100*(C8-C7)</f>
        <v>-0.388258575542738</v>
      </c>
      <c r="D142" s="22" t="n">
        <f aca="false">100*(D8-D7)</f>
        <v>-0.331472043973324</v>
      </c>
      <c r="E142" s="22" t="n">
        <f aca="false">100*(E8-E7)</f>
        <v>-0.288563859684388</v>
      </c>
      <c r="F142" s="22" t="n">
        <f aca="false">100*(F8-F7)</f>
        <v>-0.250635158232559</v>
      </c>
      <c r="G142" s="22" t="n">
        <f aca="false">100*(G8-G7)</f>
        <v>-0.213881353026057</v>
      </c>
      <c r="H142" s="22" t="n">
        <f aca="false">100*(H8-H7)</f>
        <v>-0.177148219016499</v>
      </c>
      <c r="I142" s="22" t="n">
        <f aca="false">100*(I8-I7)</f>
        <v>-0.140437445232455</v>
      </c>
      <c r="J142" s="22" t="n">
        <f aca="false">100*(J8-J7)</f>
        <v>-0.104237186528633</v>
      </c>
      <c r="K142" s="22" t="n">
        <f aca="false">100*(K8-K7)</f>
        <v>-0.0691678326290468</v>
      </c>
      <c r="L142" s="22" t="n">
        <f aca="false">100*(L8-L7)</f>
        <v>-0.0361874692236919</v>
      </c>
      <c r="M142" s="22" t="n">
        <f aca="false">100*(M8-M7)</f>
        <v>-0.00654861266540241</v>
      </c>
      <c r="N142" s="22" t="n">
        <f aca="false">100*(N8-N7)</f>
        <v>0.0184517869295853</v>
      </c>
      <c r="O142" s="22" t="n">
        <f aca="false">100*(O8-O7)</f>
        <v>-0.285706838077204</v>
      </c>
      <c r="P142" s="22" t="n">
        <f aca="false">100*(P8-P7)</f>
        <v>-0.336468378053301</v>
      </c>
      <c r="Q142" s="22" t="n">
        <f aca="false">100*(Q8-Q7)</f>
        <v>-0.38585845428869</v>
      </c>
      <c r="R142" s="22" t="n">
        <f aca="false">100*(R8-R7)</f>
        <v>-0.433167468003481</v>
      </c>
      <c r="S142" s="22" t="n">
        <f aca="false">100*(S8-S7)</f>
        <v>-0.477834163078206</v>
      </c>
      <c r="T142" s="22" t="n">
        <f aca="false">100*(T8-T7)</f>
        <v>-0.519425811037988</v>
      </c>
      <c r="U142" s="22" t="n">
        <f aca="false">100*(U8-U7)</f>
        <v>-0.557619325604586</v>
      </c>
      <c r="V142" s="22" t="n">
        <f aca="false">100*(V8-V7)</f>
        <v>-0.592186990351595</v>
      </c>
      <c r="W142" s="22" t="n">
        <f aca="false">100*(W8-W7)</f>
        <v>-0.622994647349495</v>
      </c>
      <c r="X142" s="22" t="n">
        <f aca="false">100*(X8-X7)</f>
        <v>-0.649998142696107</v>
      </c>
      <c r="Y142" s="22" t="n">
        <f aca="false">100*(Y8-Y7)</f>
        <v>-0.673231485369019</v>
      </c>
      <c r="Z142" s="22" t="n">
        <f aca="false">100*(Z8-Z7)</f>
        <v>-0.692793383526968</v>
      </c>
      <c r="AA142" s="22" t="n">
        <f aca="false">100*(AA8-AA7)</f>
        <v>-0.7088373698795</v>
      </c>
      <c r="AB142" s="22" t="n">
        <f aca="false">100*(AB8-AB7)</f>
        <v>-0.721565084740794</v>
      </c>
      <c r="AC142" s="22" t="n">
        <f aca="false">100*(AC8-AC7)</f>
        <v>-0.731220548934486</v>
      </c>
      <c r="AD142" s="22" t="n">
        <f aca="false">100*(AD8-AD7)</f>
        <v>-0.738085057106508</v>
      </c>
      <c r="AE142" s="22" t="n">
        <f aca="false">100*(AE8-AE7)</f>
        <v>-0.742466254577812</v>
      </c>
      <c r="AF142" s="22" t="n">
        <f aca="false">100*(AF8-AF7)</f>
        <v>-0.744680127481434</v>
      </c>
      <c r="AG142" s="22" t="n">
        <f aca="false">100*(AG8-AG7)</f>
        <v>-0.745039680999415</v>
      </c>
      <c r="AH142" s="22" t="n">
        <f aca="false">100*(AH8-AH7)</f>
        <v>-0.743849259534501</v>
      </c>
      <c r="AI142" s="22" t="n">
        <f aca="false">100*(AI8-AI7)</f>
        <v>-0.74139867390608</v>
      </c>
      <c r="AJ142" s="22" t="n">
        <f aca="false">100*(AJ8-AJ7)</f>
        <v>-0.737950214714811</v>
      </c>
      <c r="AK142" s="22" t="n">
        <f aca="false">100*(AK8-AK7)</f>
        <v>-0.733737871676077</v>
      </c>
      <c r="AL142" s="22" t="n">
        <f aca="false">100*(AL8-AL7)</f>
        <v>-0.728969995353213</v>
      </c>
      <c r="AM142" s="22" t="n">
        <f aca="false">100*(AM8-AM7)</f>
        <v>-0.723827984439218</v>
      </c>
      <c r="AN142" s="22" t="n">
        <f aca="false">100*(AN8-AN7)</f>
        <v>-0.718460399496212</v>
      </c>
      <c r="AO142" s="22" t="n">
        <f aca="false">100*(AO8-AO7)</f>
        <v>-0.712984015445084</v>
      </c>
      <c r="AP142" s="22" t="n">
        <f aca="false">100*(AP8-AP7)</f>
        <v>-0.707487285914921</v>
      </c>
      <c r="AQ142" s="22" t="n">
        <f aca="false">100*(AQ8-AQ7)</f>
        <v>-0.702034280738317</v>
      </c>
      <c r="AR142" s="22" t="n">
        <f aca="false">100*(AR8-AR7)</f>
        <v>-0.696670193629911</v>
      </c>
      <c r="AS142" s="22" t="n">
        <f aca="false">100*(AS8-AS7)</f>
        <v>-0.691424217391834</v>
      </c>
      <c r="AT142" s="22" t="n">
        <f aca="false">100*(AT8-AT7)</f>
        <v>-0.686310944856805</v>
      </c>
      <c r="AU142" s="22" t="n">
        <f aca="false">100*(AU8-AU7)</f>
        <v>-0.681332127173695</v>
      </c>
      <c r="AV142" s="22" t="n">
        <f aca="false">AVERAGE(C142:AU142)</f>
        <v>-0.518971169872277</v>
      </c>
    </row>
    <row r="143" customFormat="false" ht="15" hidden="false" customHeight="false" outlineLevel="0" collapsed="false">
      <c r="A143" s="20" t="n">
        <f aca="false">A9</f>
        <v>-116</v>
      </c>
      <c r="B143" s="21" t="n">
        <f aca="false">B9</f>
        <v>43007</v>
      </c>
      <c r="C143" s="22" t="n">
        <f aca="false">100*(C9-C8)</f>
        <v>-0.710974151432919</v>
      </c>
      <c r="D143" s="22" t="n">
        <f aca="false">100*(D9-D8)</f>
        <v>-0.88552834295208</v>
      </c>
      <c r="E143" s="22" t="n">
        <f aca="false">100*(E9-E8)</f>
        <v>-1.07598209625368</v>
      </c>
      <c r="F143" s="22" t="n">
        <f aca="false">100*(F9-F8)</f>
        <v>-1.26864864708253</v>
      </c>
      <c r="G143" s="22" t="n">
        <f aca="false">100*(G9-G8)</f>
        <v>-1.45039909212746</v>
      </c>
      <c r="H143" s="22" t="n">
        <f aca="false">100*(H9-H8)</f>
        <v>-1.61305232162199</v>
      </c>
      <c r="I143" s="22" t="n">
        <f aca="false">100*(I9-I8)</f>
        <v>-1.75270951247055</v>
      </c>
      <c r="J143" s="22" t="n">
        <f aca="false">100*(J9-J8)</f>
        <v>-1.86880286961104</v>
      </c>
      <c r="K143" s="22" t="n">
        <f aca="false">100*(K9-K8)</f>
        <v>-1.96248408813668</v>
      </c>
      <c r="L143" s="22" t="n">
        <f aca="false">100*(L9-L8)</f>
        <v>-2.03625386960896</v>
      </c>
      <c r="M143" s="22" t="n">
        <f aca="false">100*(M9-M8)</f>
        <v>-2.0934234556317</v>
      </c>
      <c r="N143" s="22" t="n">
        <f aca="false">100*(N9-N8)</f>
        <v>-2.1373847055028</v>
      </c>
      <c r="O143" s="22" t="n">
        <f aca="false">100*(O9-O8)</f>
        <v>-2.3732711942611</v>
      </c>
      <c r="P143" s="22" t="n">
        <f aca="false">100*(P9-P8)</f>
        <v>-2.3829652646822</v>
      </c>
      <c r="Q143" s="22" t="n">
        <f aca="false">100*(Q9-Q8)</f>
        <v>-2.3910309743876</v>
      </c>
      <c r="R143" s="22" t="n">
        <f aca="false">100*(R9-R8)</f>
        <v>-2.39741707744441</v>
      </c>
      <c r="S143" s="22" t="n">
        <f aca="false">100*(S9-S8)</f>
        <v>-2.4021164331222</v>
      </c>
      <c r="T143" s="22" t="n">
        <f aca="false">100*(T9-T8)</f>
        <v>-2.40515909964911</v>
      </c>
      <c r="U143" s="22" t="n">
        <f aca="false">100*(U9-U8)</f>
        <v>-2.40660685515661</v>
      </c>
      <c r="V143" s="22" t="n">
        <f aca="false">100*(V9-V8)</f>
        <v>-2.40654877457021</v>
      </c>
      <c r="W143" s="22" t="n">
        <f aca="false">100*(W9-W8)</f>
        <v>-2.4050983182754</v>
      </c>
      <c r="X143" s="22" t="n">
        <f aca="false">100*(X9-X8)</f>
        <v>-2.4023907286939</v>
      </c>
      <c r="Y143" s="22" t="n">
        <f aca="false">100*(Y9-Y8)</f>
        <v>-2.39857849087808</v>
      </c>
      <c r="Z143" s="22" t="n">
        <f aca="false">100*(Z9-Z8)</f>
        <v>-2.3938203037821</v>
      </c>
      <c r="AA143" s="22" t="n">
        <f aca="false">100*(AA9-AA8)</f>
        <v>-2.38827639608599</v>
      </c>
      <c r="AB143" s="22" t="n">
        <f aca="false">100*(AB9-AB8)</f>
        <v>-2.3821083540867</v>
      </c>
      <c r="AC143" s="22" t="n">
        <f aca="false">100*(AC9-AC8)</f>
        <v>-2.37547896007682</v>
      </c>
      <c r="AD143" s="22" t="n">
        <f aca="false">100*(AD9-AD8)</f>
        <v>-2.36855183344828</v>
      </c>
      <c r="AE143" s="22" t="n">
        <f aca="false">100*(AE9-AE8)</f>
        <v>-2.36148674770429</v>
      </c>
      <c r="AF143" s="22" t="n">
        <f aca="false">100*(AF9-AF8)</f>
        <v>-2.35443545248746</v>
      </c>
      <c r="AG143" s="22" t="n">
        <f aca="false">100*(AG9-AG8)</f>
        <v>-2.34754541993292</v>
      </c>
      <c r="AH143" s="22" t="n">
        <f aca="false">100*(AH9-AH8)</f>
        <v>-2.34096219492668</v>
      </c>
      <c r="AI143" s="22" t="n">
        <f aca="false">100*(AI9-AI8)</f>
        <v>-2.33482795687854</v>
      </c>
      <c r="AJ143" s="22" t="n">
        <f aca="false">100*(AJ9-AJ8)</f>
        <v>-2.32928108849491</v>
      </c>
      <c r="AK143" s="22" t="n">
        <f aca="false">100*(AK9-AK8)</f>
        <v>-2.32445729221604</v>
      </c>
      <c r="AL143" s="22" t="n">
        <f aca="false">100*(AL9-AL8)</f>
        <v>-2.32048977416968</v>
      </c>
      <c r="AM143" s="22" t="n">
        <f aca="false">100*(AM9-AM8)</f>
        <v>-2.31750717036308</v>
      </c>
      <c r="AN143" s="22" t="n">
        <f aca="false">100*(AN9-AN8)</f>
        <v>-2.31563128884331</v>
      </c>
      <c r="AO143" s="22" t="n">
        <f aca="false">100*(AO9-AO8)</f>
        <v>-2.31497750034659</v>
      </c>
      <c r="AP143" s="22" t="n">
        <f aca="false">100*(AP9-AP8)</f>
        <v>-2.31565534094509</v>
      </c>
      <c r="AQ143" s="22" t="n">
        <f aca="false">100*(AQ9-AQ8)</f>
        <v>-2.317768451945</v>
      </c>
      <c r="AR143" s="22" t="n">
        <f aca="false">100*(AR9-AR8)</f>
        <v>-2.3214074194662</v>
      </c>
      <c r="AS143" s="22" t="n">
        <f aca="false">100*(AS9-AS8)</f>
        <v>-2.32664619688039</v>
      </c>
      <c r="AT143" s="22" t="n">
        <f aca="false">100*(AT9-AT8)</f>
        <v>-2.33354332180951</v>
      </c>
      <c r="AU143" s="22" t="n">
        <f aca="false">100*(AU9-AU8)</f>
        <v>-2.3421407924223</v>
      </c>
      <c r="AV143" s="22" t="n">
        <f aca="false">AVERAGE(C143:AU143)</f>
        <v>-2.150085013797</v>
      </c>
    </row>
    <row r="144" customFormat="false" ht="15" hidden="false" customHeight="false" outlineLevel="0" collapsed="false">
      <c r="A144" s="20" t="n">
        <f aca="false">A10</f>
        <v>-115</v>
      </c>
      <c r="B144" s="21" t="n">
        <f aca="false">B10</f>
        <v>43010</v>
      </c>
      <c r="C144" s="22" t="n">
        <f aca="false">100*(C10-C9)</f>
        <v>-2.08736879732864</v>
      </c>
      <c r="D144" s="22" t="n">
        <f aca="false">100*(D10-D9)</f>
        <v>-2.13795123943866</v>
      </c>
      <c r="E144" s="22" t="n">
        <f aca="false">100*(E10-E9)</f>
        <v>-2.19077492007564</v>
      </c>
      <c r="F144" s="22" t="n">
        <f aca="false">100*(F10-F9)</f>
        <v>-2.25876642618779</v>
      </c>
      <c r="G144" s="22" t="n">
        <f aca="false">100*(G10-G9)</f>
        <v>-2.34067387458092</v>
      </c>
      <c r="H144" s="22" t="n">
        <f aca="false">100*(H10-H9)</f>
        <v>-2.43311622324905</v>
      </c>
      <c r="I144" s="22" t="n">
        <f aca="false">100*(I10-I9)</f>
        <v>-2.53252565428407</v>
      </c>
      <c r="J144" s="22" t="n">
        <f aca="false">100*(J10-J9)</f>
        <v>-2.63527979585946</v>
      </c>
      <c r="K144" s="22" t="n">
        <f aca="false">100*(K10-K9)</f>
        <v>-2.73762837589916</v>
      </c>
      <c r="L144" s="22" t="n">
        <f aca="false">100*(L10-L9)</f>
        <v>-2.8358888548497</v>
      </c>
      <c r="M144" s="22" t="n">
        <f aca="false">100*(M10-M9)</f>
        <v>-2.9268100362029</v>
      </c>
      <c r="N144" s="22" t="n">
        <f aca="false">100*(N10-N9)</f>
        <v>-3.00777715560869</v>
      </c>
      <c r="O144" s="22" t="n">
        <f aca="false">100*(O10-O9)</f>
        <v>-3.16361779541461</v>
      </c>
      <c r="P144" s="22" t="n">
        <f aca="false">100*(P10-P9)</f>
        <v>-3.14078540371532</v>
      </c>
      <c r="Q144" s="22" t="n">
        <f aca="false">100*(Q10-Q9)</f>
        <v>-3.1171282824016</v>
      </c>
      <c r="R144" s="22" t="n">
        <f aca="false">100*(R10-R9)</f>
        <v>-3.09298599902099</v>
      </c>
      <c r="S144" s="22" t="n">
        <f aca="false">100*(S10-S9)</f>
        <v>-3.0686216147769</v>
      </c>
      <c r="T144" s="22" t="n">
        <f aca="false">100*(T10-T9)</f>
        <v>-3.04423764018349</v>
      </c>
      <c r="U144" s="22" t="n">
        <f aca="false">100*(U10-U9)</f>
        <v>-3.01998496194189</v>
      </c>
      <c r="V144" s="22" t="n">
        <f aca="false">100*(V10-V9)</f>
        <v>-2.995973589909</v>
      </c>
      <c r="W144" s="22" t="n">
        <f aca="false">100*(W10-W9)</f>
        <v>-2.97230401261281</v>
      </c>
      <c r="X144" s="22" t="n">
        <f aca="false">100*(X10-X9)</f>
        <v>-2.94908769169429</v>
      </c>
      <c r="Y144" s="22" t="n">
        <f aca="false">100*(Y10-Y9)</f>
        <v>-2.92644733849601</v>
      </c>
      <c r="Z144" s="22" t="n">
        <f aca="false">100*(Z10-Z9)</f>
        <v>-2.90452118125231</v>
      </c>
      <c r="AA144" s="22" t="n">
        <f aca="false">100*(AA10-AA9)</f>
        <v>-2.8834662509809</v>
      </c>
      <c r="AB144" s="22" t="n">
        <f aca="false">100*(AB10-AB9)</f>
        <v>-2.8634564948675</v>
      </c>
      <c r="AC144" s="22" t="n">
        <f aca="false">100*(AC10-AC9)</f>
        <v>-2.8446807624362</v>
      </c>
      <c r="AD144" s="22" t="n">
        <f aca="false">100*(AD10-AD9)</f>
        <v>-2.82734097237292</v>
      </c>
      <c r="AE144" s="22" t="n">
        <f aca="false">100*(AE10-AE9)</f>
        <v>-2.81164817589201</v>
      </c>
      <c r="AF144" s="22" t="n">
        <f aca="false">100*(AF10-AF9)</f>
        <v>-2.79781744826342</v>
      </c>
      <c r="AG144" s="22" t="n">
        <f aca="false">100*(AG10-AG9)</f>
        <v>-2.78606331856799</v>
      </c>
      <c r="AH144" s="22" t="n">
        <f aca="false">100*(AH10-AH9)</f>
        <v>-2.77659678910509</v>
      </c>
      <c r="AI144" s="22" t="n">
        <f aca="false">100*(AI10-AI9)</f>
        <v>-2.76961992616558</v>
      </c>
      <c r="AJ144" s="22" t="n">
        <f aca="false">100*(AJ10-AJ9)</f>
        <v>-2.76531502928896</v>
      </c>
      <c r="AK144" s="22" t="n">
        <f aca="false">100*(AK10-AK9)</f>
        <v>-2.76384398864629</v>
      </c>
      <c r="AL144" s="22" t="n">
        <f aca="false">100*(AL10-AL9)</f>
        <v>-2.76535014332793</v>
      </c>
      <c r="AM144" s="22" t="n">
        <f aca="false">100*(AM10-AM9)</f>
        <v>-2.7699551255699</v>
      </c>
      <c r="AN144" s="22" t="n">
        <f aca="false">100*(AN10-AN9)</f>
        <v>-2.77775034083758</v>
      </c>
      <c r="AO144" s="22" t="n">
        <f aca="false">100*(AO10-AO9)</f>
        <v>-2.7887962537668</v>
      </c>
      <c r="AP144" s="22" t="n">
        <f aca="false">100*(AP10-AP9)</f>
        <v>-2.80312106459371</v>
      </c>
      <c r="AQ144" s="22" t="n">
        <f aca="false">100*(AQ10-AQ9)</f>
        <v>-2.8207204559924</v>
      </c>
      <c r="AR144" s="22" t="n">
        <f aca="false">100*(AR10-AR9)</f>
        <v>-2.841553287024</v>
      </c>
      <c r="AS144" s="22" t="n">
        <f aca="false">100*(AS10-AS9)</f>
        <v>-2.86554118003619</v>
      </c>
      <c r="AT144" s="22" t="n">
        <f aca="false">100*(AT10-AT9)</f>
        <v>-2.8925715385816</v>
      </c>
      <c r="AU144" s="22" t="n">
        <f aca="false">100*(AU10-AU9)</f>
        <v>-2.92249864319509</v>
      </c>
      <c r="AV144" s="22" t="n">
        <f aca="false">AVERAGE(C144:AU144)</f>
        <v>-2.79239920121102</v>
      </c>
    </row>
    <row r="145" customFormat="false" ht="15" hidden="false" customHeight="false" outlineLevel="0" collapsed="false">
      <c r="A145" s="20" t="n">
        <f aca="false">A11</f>
        <v>-114</v>
      </c>
      <c r="B145" s="21" t="n">
        <f aca="false">B11</f>
        <v>43011</v>
      </c>
      <c r="C145" s="22" t="n">
        <f aca="false">100*(C11-C10)</f>
        <v>2.00901814234618</v>
      </c>
      <c r="D145" s="22" t="n">
        <f aca="false">100*(D11-D10)</f>
        <v>2.00172497557132</v>
      </c>
      <c r="E145" s="22" t="n">
        <f aca="false">100*(E11-E10)</f>
        <v>2.03339080103874</v>
      </c>
      <c r="F145" s="22" t="n">
        <f aca="false">100*(F11-F10)</f>
        <v>2.09322206531656</v>
      </c>
      <c r="G145" s="22" t="n">
        <f aca="false">100*(G11-G10)</f>
        <v>2.17434096238137</v>
      </c>
      <c r="H145" s="22" t="n">
        <f aca="false">100*(H11-H10)</f>
        <v>2.27094983612782</v>
      </c>
      <c r="I145" s="22" t="n">
        <f aca="false">100*(I11-I10)</f>
        <v>2.37767366966125</v>
      </c>
      <c r="J145" s="22" t="n">
        <f aca="false">100*(J11-J10)</f>
        <v>2.48952530210599</v>
      </c>
      <c r="K145" s="22" t="n">
        <f aca="false">100*(K11-K10)</f>
        <v>2.60182464455244</v>
      </c>
      <c r="L145" s="22" t="n">
        <f aca="false">100*(L11-L10)</f>
        <v>2.71015422963109</v>
      </c>
      <c r="M145" s="22" t="n">
        <f aca="false">100*(M11-M10)</f>
        <v>2.810395707963</v>
      </c>
      <c r="N145" s="22" t="n">
        <f aca="false">100*(N11-N10)</f>
        <v>2.89908182866681</v>
      </c>
      <c r="O145" s="22" t="n">
        <f aca="false">100*(O11-O10)</f>
        <v>2.79807849317619</v>
      </c>
      <c r="P145" s="22" t="n">
        <f aca="false">100*(P11-P10)</f>
        <v>2.73462175303041</v>
      </c>
      <c r="Q145" s="22" t="n">
        <f aca="false">100*(Q11-Q10)</f>
        <v>2.6707126281565</v>
      </c>
      <c r="R145" s="22" t="n">
        <f aca="false">100*(R11-R10)</f>
        <v>2.6074267742404</v>
      </c>
      <c r="S145" s="22" t="n">
        <f aca="false">100*(S11-S10)</f>
        <v>2.54570916389629</v>
      </c>
      <c r="T145" s="22" t="n">
        <f aca="false">100*(T11-T10)</f>
        <v>2.4863940850602</v>
      </c>
      <c r="U145" s="22" t="n">
        <f aca="false">100*(U11-U10)</f>
        <v>2.4302214225185</v>
      </c>
      <c r="V145" s="22" t="n">
        <f aca="false">100*(V11-V10)</f>
        <v>2.3778510786447</v>
      </c>
      <c r="W145" s="22" t="n">
        <f aca="false">100*(W11-W10)</f>
        <v>2.32988147259581</v>
      </c>
      <c r="X145" s="22" t="n">
        <f aca="false">100*(X11-X10)</f>
        <v>2.28686353841898</v>
      </c>
      <c r="Y145" s="22" t="n">
        <f aca="false">100*(Y11-Y10)</f>
        <v>2.24930358090141</v>
      </c>
      <c r="Z145" s="22" t="n">
        <f aca="false">100*(Z11-Z10)</f>
        <v>2.2176394482641</v>
      </c>
      <c r="AA145" s="22" t="n">
        <f aca="false">100*(AA11-AA10)</f>
        <v>2.19222642477339</v>
      </c>
      <c r="AB145" s="22" t="n">
        <f aca="false">100*(AB11-AB10)</f>
        <v>2.1733458602186</v>
      </c>
      <c r="AC145" s="22" t="n">
        <f aca="false">100*(AC11-AC10)</f>
        <v>2.1612139716354</v>
      </c>
      <c r="AD145" s="22" t="n">
        <f aca="false">100*(AD11-AD10)</f>
        <v>2.1559890114661</v>
      </c>
      <c r="AE145" s="22" t="n">
        <f aca="false">100*(AE11-AE10)</f>
        <v>2.15775977026018</v>
      </c>
      <c r="AF145" s="22" t="n">
        <f aca="false">100*(AF11-AF10)</f>
        <v>2.1665111634305</v>
      </c>
      <c r="AG145" s="22" t="n">
        <f aca="false">100*(AG11-AG10)</f>
        <v>2.18212780040918</v>
      </c>
      <c r="AH145" s="22" t="n">
        <f aca="false">100*(AH11-AH10)</f>
        <v>2.2044068660569</v>
      </c>
      <c r="AI145" s="22" t="n">
        <f aca="false">100*(AI11-AI10)</f>
        <v>2.23306434106769</v>
      </c>
      <c r="AJ145" s="22" t="n">
        <f aca="false">100*(AJ11-AJ10)</f>
        <v>2.2677351243416</v>
      </c>
      <c r="AK145" s="22" t="n">
        <f aca="false">100*(AK11-AK10)</f>
        <v>2.30797879202629</v>
      </c>
      <c r="AL145" s="22" t="n">
        <f aca="false">100*(AL11-AL10)</f>
        <v>2.35328710560312</v>
      </c>
      <c r="AM145" s="22" t="n">
        <f aca="false">100*(AM11-AM10)</f>
        <v>2.40309571392121</v>
      </c>
      <c r="AN145" s="22" t="n">
        <f aca="false">100*(AN11-AN10)</f>
        <v>2.45680031404709</v>
      </c>
      <c r="AO145" s="22" t="n">
        <f aca="false">100*(AO11-AO10)</f>
        <v>2.51376582270408</v>
      </c>
      <c r="AP145" s="22" t="n">
        <f aca="false">100*(AP11-AP10)</f>
        <v>2.5733412246197</v>
      </c>
      <c r="AQ145" s="22" t="n">
        <f aca="false">100*(AQ11-AQ10)</f>
        <v>2.6348709759912</v>
      </c>
      <c r="AR145" s="22" t="n">
        <f aca="false">100*(AR11-AR10)</f>
        <v>2.6977167967287</v>
      </c>
      <c r="AS145" s="22" t="n">
        <f aca="false">100*(AS11-AS10)</f>
        <v>2.76126609537199</v>
      </c>
      <c r="AT145" s="22" t="n">
        <f aca="false">100*(AT11-AT10)</f>
        <v>2.82493022380961</v>
      </c>
      <c r="AU145" s="22" t="n">
        <f aca="false">100*(AU11-AU10)</f>
        <v>2.88814974740259</v>
      </c>
      <c r="AV145" s="22" t="n">
        <f aca="false">AVERAGE(C145:AU145)</f>
        <v>2.41145752778114</v>
      </c>
    </row>
    <row r="146" customFormat="false" ht="15" hidden="false" customHeight="false" outlineLevel="0" collapsed="false">
      <c r="A146" s="20" t="n">
        <f aca="false">A12</f>
        <v>-113</v>
      </c>
      <c r="B146" s="21" t="n">
        <f aca="false">B12</f>
        <v>43012</v>
      </c>
      <c r="C146" s="22" t="n">
        <f aca="false">100*(C12-C11)</f>
        <v>0.0677471685290532</v>
      </c>
      <c r="D146" s="22" t="n">
        <f aca="false">100*(D12-D11)</f>
        <v>0.0906707518797123</v>
      </c>
      <c r="E146" s="22" t="n">
        <f aca="false">100*(E12-E11)</f>
        <v>0.14496277890409</v>
      </c>
      <c r="F146" s="22" t="n">
        <f aca="false">100*(F12-F11)</f>
        <v>0.211855243047798</v>
      </c>
      <c r="G146" s="22" t="n">
        <f aca="false">100*(G12-G11)</f>
        <v>0.283226989247365</v>
      </c>
      <c r="H146" s="22" t="n">
        <f aca="false">100*(H12-H11)</f>
        <v>0.356724755196436</v>
      </c>
      <c r="I146" s="22" t="n">
        <f aca="false">100*(I12-I11)</f>
        <v>0.432430039820009</v>
      </c>
      <c r="J146" s="22" t="n">
        <f aca="false">100*(J12-J11)</f>
        <v>0.51092289032495</v>
      </c>
      <c r="K146" s="22" t="n">
        <f aca="false">100*(K12-K11)</f>
        <v>0.592306516857077</v>
      </c>
      <c r="L146" s="22" t="n">
        <f aca="false">100*(L12-L11)</f>
        <v>0.676067619905818</v>
      </c>
      <c r="M146" s="22" t="n">
        <f aca="false">100*(M12-M11)</f>
        <v>0.761095037255899</v>
      </c>
      <c r="N146" s="22" t="n">
        <f aca="false">100*(N12-N11)</f>
        <v>0.846207611269789</v>
      </c>
      <c r="O146" s="22" t="n">
        <f aca="false">100*(O12-O11)</f>
        <v>1.78067573897571</v>
      </c>
      <c r="P146" s="22" t="n">
        <f aca="false">100*(P12-P11)</f>
        <v>1.8268840333199</v>
      </c>
      <c r="Q146" s="22" t="n">
        <f aca="false">100*(Q12-Q11)</f>
        <v>1.8681424232438</v>
      </c>
      <c r="R146" s="22" t="n">
        <f aca="false">100*(R12-R11)</f>
        <v>1.90476271550259</v>
      </c>
      <c r="S146" s="22" t="n">
        <f aca="false">100*(S12-S11)</f>
        <v>1.93712618962951</v>
      </c>
      <c r="T146" s="22" t="n">
        <f aca="false">100*(T12-T11)</f>
        <v>1.96565834291209</v>
      </c>
      <c r="U146" s="22" t="n">
        <f aca="false">100*(U12-U11)</f>
        <v>1.99082231491641</v>
      </c>
      <c r="V146" s="22" t="n">
        <f aca="false">100*(V12-V11)</f>
        <v>2.01310662047221</v>
      </c>
      <c r="W146" s="22" t="n">
        <f aca="false">100*(W12-W11)</f>
        <v>2.0329709791131</v>
      </c>
      <c r="X146" s="22" t="n">
        <f aca="false">100*(X12-X11)</f>
        <v>2.05081337802451</v>
      </c>
      <c r="Y146" s="22" t="n">
        <f aca="false">100*(Y12-Y11)</f>
        <v>2.0669751214945</v>
      </c>
      <c r="Z146" s="22" t="n">
        <f aca="false">100*(Z12-Z11)</f>
        <v>2.0817403700012</v>
      </c>
      <c r="AA146" s="22" t="n">
        <f aca="false">100*(AA12-AA11)</f>
        <v>2.09533702105409</v>
      </c>
      <c r="AB146" s="22" t="n">
        <f aca="false">100*(AB12-AB11)</f>
        <v>2.10794314544711</v>
      </c>
      <c r="AC146" s="22" t="n">
        <f aca="false">100*(AC12-AC11)</f>
        <v>2.11969291900922</v>
      </c>
      <c r="AD146" s="22" t="n">
        <f aca="false">100*(AD12-AD11)</f>
        <v>2.13068176896951</v>
      </c>
      <c r="AE146" s="22" t="n">
        <f aca="false">100*(AE12-AE11)</f>
        <v>2.14097115363772</v>
      </c>
      <c r="AF146" s="22" t="n">
        <f aca="false">100*(AF12-AF11)</f>
        <v>2.1505929153828</v>
      </c>
      <c r="AG146" s="22" t="n">
        <f aca="false">100*(AG12-AG11)</f>
        <v>2.15956107744013</v>
      </c>
      <c r="AH146" s="22" t="n">
        <f aca="false">100*(AH12-AH11)</f>
        <v>2.16788062539051</v>
      </c>
      <c r="AI146" s="22" t="n">
        <f aca="false">100*(AI12-AI11)</f>
        <v>2.17555418796112</v>
      </c>
      <c r="AJ146" s="22" t="n">
        <f aca="false">100*(AJ12-AJ11)</f>
        <v>2.18259308516919</v>
      </c>
      <c r="AK146" s="22" t="n">
        <f aca="false">100*(AK12-AK11)</f>
        <v>2.1890187701699</v>
      </c>
      <c r="AL146" s="22" t="n">
        <f aca="false">100*(AL12-AL11)</f>
        <v>2.19486191554679</v>
      </c>
      <c r="AM146" s="22" t="n">
        <f aca="false">100*(AM12-AM11)</f>
        <v>2.20016346589467</v>
      </c>
      <c r="AN146" s="22" t="n">
        <f aca="false">100*(AN12-AN11)</f>
        <v>2.20497685366019</v>
      </c>
      <c r="AO146" s="22" t="n">
        <f aca="false">100*(AO12-AO11)</f>
        <v>2.20936647588132</v>
      </c>
      <c r="AP146" s="22" t="n">
        <f aca="false">100*(AP12-AP11)</f>
        <v>2.21340266768451</v>
      </c>
      <c r="AQ146" s="22" t="n">
        <f aca="false">100*(AQ12-AQ11)</f>
        <v>2.2171576868268</v>
      </c>
      <c r="AR146" s="22" t="n">
        <f aca="false">100*(AR12-AR11)</f>
        <v>2.2206998283741</v>
      </c>
      <c r="AS146" s="22" t="n">
        <f aca="false">100*(AS12-AS11)</f>
        <v>2.22409139506601</v>
      </c>
      <c r="AT146" s="22" t="n">
        <f aca="false">100*(AT12-AT11)</f>
        <v>2.2273890891962</v>
      </c>
      <c r="AU146" s="22" t="n">
        <f aca="false">100*(AU12-AU11)</f>
        <v>2.23064237638011</v>
      </c>
      <c r="AV146" s="22" t="n">
        <f aca="false">AVERAGE(C146:AU146)</f>
        <v>1.65014386786634</v>
      </c>
    </row>
    <row r="147" customFormat="false" ht="15" hidden="false" customHeight="false" outlineLevel="0" collapsed="false">
      <c r="A147" s="20" t="n">
        <f aca="false">A13</f>
        <v>-112</v>
      </c>
      <c r="B147" s="21" t="n">
        <f aca="false">B13</f>
        <v>43013</v>
      </c>
      <c r="C147" s="22" t="n">
        <f aca="false">100*(C13-C12)</f>
        <v>1.08401721410618</v>
      </c>
      <c r="D147" s="22" t="n">
        <f aca="false">100*(D13-D12)</f>
        <v>1.01415063646407</v>
      </c>
      <c r="E147" s="22" t="n">
        <f aca="false">100*(E13-E12)</f>
        <v>0.956151185499488</v>
      </c>
      <c r="F147" s="22" t="n">
        <f aca="false">100*(F13-F12)</f>
        <v>0.918443462857466</v>
      </c>
      <c r="G147" s="22" t="n">
        <f aca="false">100*(G13-G12)</f>
        <v>0.901202864117723</v>
      </c>
      <c r="H147" s="22" t="n">
        <f aca="false">100*(H13-H12)</f>
        <v>0.902518900403304</v>
      </c>
      <c r="I147" s="22" t="n">
        <f aca="false">100*(I13-I12)</f>
        <v>0.920018510908105</v>
      </c>
      <c r="J147" s="22" t="n">
        <f aca="false">100*(J13-J12)</f>
        <v>0.951401593991297</v>
      </c>
      <c r="K147" s="22" t="n">
        <f aca="false">100*(K13-K12)</f>
        <v>0.994783786372422</v>
      </c>
      <c r="L147" s="22" t="n">
        <f aca="false">100*(L13-L12)</f>
        <v>1.04904874941455</v>
      </c>
      <c r="M147" s="22" t="n">
        <f aca="false">100*(M13-M12)</f>
        <v>1.1137037917907</v>
      </c>
      <c r="N147" s="22" t="n">
        <f aca="false">100*(N13-N12)</f>
        <v>1.1887596856873</v>
      </c>
      <c r="O147" s="22" t="n">
        <f aca="false">100*(O13-O12)</f>
        <v>2.8322455104701</v>
      </c>
      <c r="P147" s="22" t="n">
        <f aca="false">100*(P13-P12)</f>
        <v>2.9499471334119</v>
      </c>
      <c r="Q147" s="22" t="n">
        <f aca="false">100*(Q13-Q12)</f>
        <v>3.05766234016009</v>
      </c>
      <c r="R147" s="22" t="n">
        <f aca="false">100*(R13-R12)</f>
        <v>3.1547826249674</v>
      </c>
      <c r="S147" s="22" t="n">
        <f aca="false">100*(S13-S12)</f>
        <v>3.24098263296149</v>
      </c>
      <c r="T147" s="22" t="n">
        <f aca="false">100*(T13-T12)</f>
        <v>3.3161734496302</v>
      </c>
      <c r="U147" s="22" t="n">
        <f aca="false">100*(U13-U12)</f>
        <v>3.38046781751409</v>
      </c>
      <c r="V147" s="22" t="n">
        <f aca="false">100*(V13-V12)</f>
        <v>3.43414985013679</v>
      </c>
      <c r="W147" s="22" t="n">
        <f aca="false">100*(W13-W12)</f>
        <v>3.47764148631369</v>
      </c>
      <c r="X147" s="22" t="n">
        <f aca="false">100*(X13-X12)</f>
        <v>3.5114774304704</v>
      </c>
      <c r="Y147" s="22" t="n">
        <f aca="false">100*(Y13-Y12)</f>
        <v>3.5362871081468</v>
      </c>
      <c r="Z147" s="22" t="n">
        <f aca="false">100*(Z13-Z12)</f>
        <v>3.55276066543411</v>
      </c>
      <c r="AA147" s="22" t="n">
        <f aca="false">100*(AA13-AA12)</f>
        <v>3.56162510156302</v>
      </c>
      <c r="AB147" s="22" t="n">
        <f aca="false">100*(AB13-AB12)</f>
        <v>3.56363878383368</v>
      </c>
      <c r="AC147" s="22" t="n">
        <f aca="false">100*(AC13-AC12)</f>
        <v>3.55958771332228</v>
      </c>
      <c r="AD147" s="22" t="n">
        <f aca="false">100*(AD13-AD12)</f>
        <v>3.55028195782743</v>
      </c>
      <c r="AE147" s="22" t="n">
        <f aca="false">100*(AE13-AE12)</f>
        <v>3.53653803754153</v>
      </c>
      <c r="AF147" s="22" t="n">
        <f aca="false">100*(AF13-AF12)</f>
        <v>3.5191429651233</v>
      </c>
      <c r="AG147" s="22" t="n">
        <f aca="false">100*(AG13-AG12)</f>
        <v>3.4988397165022</v>
      </c>
      <c r="AH147" s="22" t="n">
        <f aca="false">100*(AH13-AH12)</f>
        <v>3.4763246830896</v>
      </c>
      <c r="AI147" s="22" t="n">
        <f aca="false">100*(AI13-AI12)</f>
        <v>3.45224285596171</v>
      </c>
      <c r="AJ147" s="22" t="n">
        <f aca="false">100*(AJ13-AJ12)</f>
        <v>3.42717125930321</v>
      </c>
      <c r="AK147" s="22" t="n">
        <f aca="false">100*(AK13-AK12)</f>
        <v>3.40162018159771</v>
      </c>
      <c r="AL147" s="22" t="n">
        <f aca="false">100*(AL13-AL12)</f>
        <v>3.37603958532751</v>
      </c>
      <c r="AM147" s="22" t="n">
        <f aca="false">100*(AM13-AM12)</f>
        <v>3.3508199120023</v>
      </c>
      <c r="AN147" s="22" t="n">
        <f aca="false">100*(AN13-AN12)</f>
        <v>3.32628519103841</v>
      </c>
      <c r="AO147" s="22" t="n">
        <f aca="false">100*(AO13-AO12)</f>
        <v>3.30269537752899</v>
      </c>
      <c r="AP147" s="22" t="n">
        <f aca="false">100*(AP13-AP12)</f>
        <v>3.28024977748251</v>
      </c>
      <c r="AQ147" s="22" t="n">
        <f aca="false">100*(AQ13-AQ12)</f>
        <v>3.25909200898722</v>
      </c>
      <c r="AR147" s="22" t="n">
        <f aca="false">100*(AR13-AR12)</f>
        <v>3.2393186922167</v>
      </c>
      <c r="AS147" s="22" t="n">
        <f aca="false">100*(AS13-AS12)</f>
        <v>3.2209853881163</v>
      </c>
      <c r="AT147" s="22" t="n">
        <f aca="false">100*(AT13-AT12)</f>
        <v>3.20411013288771</v>
      </c>
      <c r="AU147" s="22" t="n">
        <f aca="false">100*(AU13-AU12)</f>
        <v>3.1886770326105</v>
      </c>
      <c r="AV147" s="22" t="n">
        <f aca="false">AVERAGE(C147:AU147)</f>
        <v>2.72742366189097</v>
      </c>
    </row>
    <row r="148" customFormat="false" ht="15" hidden="false" customHeight="false" outlineLevel="0" collapsed="false">
      <c r="A148" s="20" t="n">
        <f aca="false">A14</f>
        <v>-111</v>
      </c>
      <c r="B148" s="21" t="n">
        <f aca="false">B14</f>
        <v>43014</v>
      </c>
      <c r="C148" s="22" t="n">
        <f aca="false">100*(C14-C13)</f>
        <v>-3.73255179287717</v>
      </c>
      <c r="D148" s="22" t="n">
        <f aca="false">100*(D14-D13)</f>
        <v>-3.54257329709233</v>
      </c>
      <c r="E148" s="22" t="n">
        <f aca="false">100*(E14-E13)</f>
        <v>-3.34182816357289</v>
      </c>
      <c r="F148" s="22" t="n">
        <f aca="false">100*(F14-F13)</f>
        <v>-3.15032584436273</v>
      </c>
      <c r="G148" s="22" t="n">
        <f aca="false">100*(G14-G13)</f>
        <v>-2.97472829050321</v>
      </c>
      <c r="H148" s="22" t="n">
        <f aca="false">100*(H14-H13)</f>
        <v>-2.81691577588898</v>
      </c>
      <c r="I148" s="22" t="n">
        <f aca="false">100*(I14-I13)</f>
        <v>-2.67697557832844</v>
      </c>
      <c r="J148" s="22" t="n">
        <f aca="false">100*(J14-J13)</f>
        <v>-2.5538171821289</v>
      </c>
      <c r="K148" s="22" t="n">
        <f aca="false">100*(K14-K13)</f>
        <v>-2.4460238831735</v>
      </c>
      <c r="L148" s="22" t="n">
        <f aca="false">100*(L14-L13)</f>
        <v>-2.35175683632096</v>
      </c>
      <c r="M148" s="22" t="n">
        <f aca="false">100*(M14-M13)</f>
        <v>-2.26912661725911</v>
      </c>
      <c r="N148" s="22" t="n">
        <f aca="false">100*(N14-N13)</f>
        <v>-2.1960597988377</v>
      </c>
      <c r="O148" s="22" t="n">
        <f aca="false">100*(O14-O13)</f>
        <v>-1.46682764649759</v>
      </c>
      <c r="P148" s="22" t="n">
        <f aca="false">100*(P14-P13)</f>
        <v>-1.41555859313001</v>
      </c>
      <c r="Q148" s="22" t="n">
        <f aca="false">100*(Q14-Q13)</f>
        <v>-1.36668261323429</v>
      </c>
      <c r="R148" s="22" t="n">
        <f aca="false">100*(R14-R13)</f>
        <v>-1.32055770345001</v>
      </c>
      <c r="S148" s="22" t="n">
        <f aca="false">100*(S14-S13)</f>
        <v>-1.27749868119089</v>
      </c>
      <c r="T148" s="22" t="n">
        <f aca="false">100*(T14-T13)</f>
        <v>-1.23778437264208</v>
      </c>
      <c r="U148" s="22" t="n">
        <f aca="false">100*(U14-U13)</f>
        <v>-1.20166288984449</v>
      </c>
      <c r="V148" s="22" t="n">
        <f aca="false">100*(V14-V13)</f>
        <v>-1.16935878713089</v>
      </c>
      <c r="W148" s="22" t="n">
        <f aca="false">100*(W14-W13)</f>
        <v>-1.14109220383418</v>
      </c>
      <c r="X148" s="22" t="n">
        <f aca="false">100*(X14-X13)</f>
        <v>-1.11708850876502</v>
      </c>
      <c r="Y148" s="22" t="n">
        <f aca="false">100*(Y14-Y13)</f>
        <v>-1.097571601905</v>
      </c>
      <c r="Z148" s="22" t="n">
        <f aca="false">100*(Z14-Z13)</f>
        <v>-1.08272207904832</v>
      </c>
      <c r="AA148" s="22" t="n">
        <f aca="false">100*(AA14-AA13)</f>
        <v>-1.0726546053299</v>
      </c>
      <c r="AB148" s="22" t="n">
        <f aca="false">100*(AB14-AB13)</f>
        <v>-1.06742451310229</v>
      </c>
      <c r="AC148" s="22" t="n">
        <f aca="false">100*(AC14-AC13)</f>
        <v>-1.06703486536128</v>
      </c>
      <c r="AD148" s="22" t="n">
        <f aca="false">100*(AD14-AD13)</f>
        <v>-1.07144181118901</v>
      </c>
      <c r="AE148" s="22" t="n">
        <f aca="false">100*(AE14-AE13)</f>
        <v>-1.08053674136483</v>
      </c>
      <c r="AF148" s="22" t="n">
        <f aca="false">100*(AF14-AF13)</f>
        <v>-1.09411002686879</v>
      </c>
      <c r="AG148" s="22" t="n">
        <f aca="false">100*(AG14-AG13)</f>
        <v>-1.11186914048131</v>
      </c>
      <c r="AH148" s="22" t="n">
        <f aca="false">100*(AH14-AH13)</f>
        <v>-1.13345944643011</v>
      </c>
      <c r="AI148" s="22" t="n">
        <f aca="false">100*(AI14-AI13)</f>
        <v>-1.158475684537</v>
      </c>
      <c r="AJ148" s="22" t="n">
        <f aca="false">100*(AJ14-AJ13)</f>
        <v>-1.1864794671288</v>
      </c>
      <c r="AK148" s="22" t="n">
        <f aca="false">100*(AK14-AK13)</f>
        <v>-1.2170062293051</v>
      </c>
      <c r="AL148" s="22" t="n">
        <f aca="false">100*(AL14-AL13)</f>
        <v>-1.24956791342767</v>
      </c>
      <c r="AM148" s="22" t="n">
        <f aca="false">100*(AM14-AM13)</f>
        <v>-1.28366130821167</v>
      </c>
      <c r="AN148" s="22" t="n">
        <f aca="false">100*(AN14-AN13)</f>
        <v>-1.31878596928741</v>
      </c>
      <c r="AO148" s="22" t="n">
        <f aca="false">100*(AO14-AO13)</f>
        <v>-1.35445142464001</v>
      </c>
      <c r="AP148" s="22" t="n">
        <f aca="false">100*(AP14-AP13)</f>
        <v>-1.39018865243821</v>
      </c>
      <c r="AQ148" s="22" t="n">
        <f aca="false">100*(AQ14-AQ13)</f>
        <v>-1.42555787814973</v>
      </c>
      <c r="AR148" s="22" t="n">
        <f aca="false">100*(AR14-AR13)</f>
        <v>-1.4601602762828</v>
      </c>
      <c r="AS148" s="22" t="n">
        <f aca="false">100*(AS14-AS13)</f>
        <v>-1.49363996159302</v>
      </c>
      <c r="AT148" s="22" t="n">
        <f aca="false">100*(AT14-AT13)</f>
        <v>-1.52568058890319</v>
      </c>
      <c r="AU148" s="22" t="n">
        <f aca="false">100*(AU14-AU13)</f>
        <v>-1.55600555787032</v>
      </c>
      <c r="AV148" s="22" t="n">
        <f aca="false">AVERAGE(C148:AU148)</f>
        <v>-1.67256179562047</v>
      </c>
    </row>
    <row r="149" customFormat="false" ht="15" hidden="false" customHeight="false" outlineLevel="0" collapsed="false">
      <c r="A149" s="20" t="n">
        <f aca="false">A15</f>
        <v>-110</v>
      </c>
      <c r="B149" s="21" t="n">
        <f aca="false">B15</f>
        <v>43017</v>
      </c>
      <c r="C149" s="22" t="n">
        <f aca="false">100*(C15-C14)</f>
        <v>0.00852174424499363</v>
      </c>
      <c r="D149" s="22" t="n">
        <f aca="false">100*(D15-D14)</f>
        <v>-0.18637497473637</v>
      </c>
      <c r="E149" s="22" t="n">
        <f aca="false">100*(E15-E14)</f>
        <v>-0.363743108229775</v>
      </c>
      <c r="F149" s="22" t="n">
        <f aca="false">100*(F15-F14)</f>
        <v>-0.515184617640696</v>
      </c>
      <c r="G149" s="22" t="n">
        <f aca="false">100*(G15-G14)</f>
        <v>-0.638909868879423</v>
      </c>
      <c r="H149" s="22" t="n">
        <f aca="false">100*(H15-H14)</f>
        <v>-0.736220373796581</v>
      </c>
      <c r="I149" s="22" t="n">
        <f aca="false">100*(I15-I14)</f>
        <v>-0.809598232758935</v>
      </c>
      <c r="J149" s="22" t="n">
        <f aca="false">100*(J15-J14)</f>
        <v>-0.861794276283034</v>
      </c>
      <c r="K149" s="22" t="n">
        <f aca="false">100*(K15-K14)</f>
        <v>-0.895639482537125</v>
      </c>
      <c r="L149" s="22" t="n">
        <f aca="false">100*(L15-L14)</f>
        <v>-0.913797085399604</v>
      </c>
      <c r="M149" s="22" t="n">
        <f aca="false">100*(M15-M14)</f>
        <v>-0.918640519648295</v>
      </c>
      <c r="N149" s="22" t="n">
        <f aca="false">100*(N15-N14)</f>
        <v>-0.912390261797791</v>
      </c>
      <c r="O149" s="22" t="n">
        <f aca="false">100*(O15-O14)</f>
        <v>-0.457620777490608</v>
      </c>
      <c r="P149" s="22" t="n">
        <f aca="false">100*(P15-P14)</f>
        <v>-0.424437073874984</v>
      </c>
      <c r="Q149" s="22" t="n">
        <f aca="false">100*(Q15-Q14)</f>
        <v>-0.39366516011381</v>
      </c>
      <c r="R149" s="22" t="n">
        <f aca="false">100*(R15-R14)</f>
        <v>-0.365223671904502</v>
      </c>
      <c r="S149" s="22" t="n">
        <f aca="false">100*(S15-S14)</f>
        <v>-0.338982641332097</v>
      </c>
      <c r="T149" s="22" t="n">
        <f aca="false">100*(T15-T14)</f>
        <v>-0.314779735901816</v>
      </c>
      <c r="U149" s="22" t="n">
        <f aca="false">100*(U15-U14)</f>
        <v>-0.292425049832712</v>
      </c>
      <c r="V149" s="22" t="n">
        <f aca="false">100*(V15-V14)</f>
        <v>-0.2717114083719</v>
      </c>
      <c r="W149" s="22" t="n">
        <f aca="false">100*(W15-W14)</f>
        <v>-0.252459071787303</v>
      </c>
      <c r="X149" s="22" t="n">
        <f aca="false">100*(X15-X14)</f>
        <v>-0.23454034991417</v>
      </c>
      <c r="Y149" s="22" t="n">
        <f aca="false">100*(Y15-Y14)</f>
        <v>-0.217877302687874</v>
      </c>
      <c r="Z149" s="22" t="n">
        <f aca="false">100*(Z15-Z14)</f>
        <v>-0.202457630599007</v>
      </c>
      <c r="AA149" s="22" t="n">
        <f aca="false">100*(AA15-AA14)</f>
        <v>-0.18834243539021</v>
      </c>
      <c r="AB149" s="22" t="n">
        <f aca="false">100*(AB15-AB14)</f>
        <v>-0.175658186625594</v>
      </c>
      <c r="AC149" s="22" t="n">
        <f aca="false">100*(AC15-AC14)</f>
        <v>-0.164588939807597</v>
      </c>
      <c r="AD149" s="22" t="n">
        <f aca="false">100*(AD15-AD14)</f>
        <v>-0.155369700037511</v>
      </c>
      <c r="AE149" s="22" t="n">
        <f aca="false">100*(AE15-AE14)</f>
        <v>-0.148284149019506</v>
      </c>
      <c r="AF149" s="22" t="n">
        <f aca="false">100*(AF15-AF14)</f>
        <v>-0.143664598300708</v>
      </c>
      <c r="AG149" s="22" t="n">
        <f aca="false">100*(AG15-AG14)</f>
        <v>-0.141863927567298</v>
      </c>
      <c r="AH149" s="22" t="n">
        <f aca="false">100*(AH15-AH14)</f>
        <v>-0.143235074208192</v>
      </c>
      <c r="AI149" s="22" t="n">
        <f aca="false">100*(AI15-AI14)</f>
        <v>-0.14810910000711</v>
      </c>
      <c r="AJ149" s="22" t="n">
        <f aca="false">100*(AJ15-AJ14)</f>
        <v>-0.156754076675902</v>
      </c>
      <c r="AK149" s="22" t="n">
        <f aca="false">100*(AK15-AK14)</f>
        <v>-0.1693717694073</v>
      </c>
      <c r="AL149" s="22" t="n">
        <f aca="false">100*(AL15-AL14)</f>
        <v>-0.186103695231843</v>
      </c>
      <c r="AM149" s="22" t="n">
        <f aca="false">100*(AM15-AM14)</f>
        <v>-0.207022932869894</v>
      </c>
      <c r="AN149" s="22" t="n">
        <f aca="false">100*(AN15-AN14)</f>
        <v>-0.232111525080692</v>
      </c>
      <c r="AO149" s="22" t="n">
        <f aca="false">100*(AO15-AO14)</f>
        <v>-0.261261615260588</v>
      </c>
      <c r="AP149" s="22" t="n">
        <f aca="false">100*(AP15-AP14)</f>
        <v>-0.294280904512911</v>
      </c>
      <c r="AQ149" s="22" t="n">
        <f aca="false">100*(AQ15-AQ14)</f>
        <v>-0.330902621518181</v>
      </c>
      <c r="AR149" s="22" t="n">
        <f aca="false">100*(AR15-AR14)</f>
        <v>-0.370804573434214</v>
      </c>
      <c r="AS149" s="22" t="n">
        <f aca="false">100*(AS15-AS14)</f>
        <v>-0.413618964218809</v>
      </c>
      <c r="AT149" s="22" t="n">
        <f aca="false">100*(AT15-AT14)</f>
        <v>-0.458936488207318</v>
      </c>
      <c r="AU149" s="22" t="n">
        <f aca="false">100*(AU15-AU14)</f>
        <v>-0.506313812297887</v>
      </c>
      <c r="AV149" s="22" t="n">
        <f aca="false">AVERAGE(C149:AU149)</f>
        <v>-0.366812222687837</v>
      </c>
    </row>
    <row r="150" customFormat="false" ht="15" hidden="false" customHeight="false" outlineLevel="0" collapsed="false">
      <c r="A150" s="20" t="n">
        <f aca="false">A16</f>
        <v>-109</v>
      </c>
      <c r="B150" s="21" t="n">
        <f aca="false">B16</f>
        <v>43018</v>
      </c>
      <c r="C150" s="22" t="n">
        <f aca="false">100*(C16-C15)</f>
        <v>1.98573000576441</v>
      </c>
      <c r="D150" s="22" t="n">
        <f aca="false">100*(D16-D15)</f>
        <v>1.96115859275952</v>
      </c>
      <c r="E150" s="22" t="n">
        <f aca="false">100*(E16-E15)</f>
        <v>1.92479626108188</v>
      </c>
      <c r="F150" s="22" t="n">
        <f aca="false">100*(F16-F15)</f>
        <v>1.87605699034834</v>
      </c>
      <c r="G150" s="22" t="n">
        <f aca="false">100*(G16-G15)</f>
        <v>1.81440297527009</v>
      </c>
      <c r="H150" s="22" t="n">
        <f aca="false">100*(H16-H15)</f>
        <v>1.74050953918616</v>
      </c>
      <c r="I150" s="22" t="n">
        <f aca="false">100*(I16-I15)</f>
        <v>1.65608318755893</v>
      </c>
      <c r="J150" s="22" t="n">
        <f aca="false">100*(J16-J15)</f>
        <v>1.5636493363686</v>
      </c>
      <c r="K150" s="22" t="n">
        <f aca="false">100*(K16-K15)</f>
        <v>1.46582775166987</v>
      </c>
      <c r="L150" s="22" t="n">
        <f aca="false">100*(L16-L15)</f>
        <v>1.36512835237508</v>
      </c>
      <c r="M150" s="22" t="n">
        <f aca="false">100*(M16-M15)</f>
        <v>1.26373214070901</v>
      </c>
      <c r="N150" s="22" t="n">
        <f aca="false">100*(N16-N15)</f>
        <v>1.16330579193049</v>
      </c>
      <c r="O150" s="22" t="n">
        <f aca="false">100*(O16-O15)</f>
        <v>0.182871886165503</v>
      </c>
      <c r="P150" s="22" t="n">
        <f aca="false">100*(P16-P15)</f>
        <v>0.1450688265074</v>
      </c>
      <c r="Q150" s="22" t="n">
        <f aca="false">100*(Q16-Q15)</f>
        <v>0.113656820250596</v>
      </c>
      <c r="R150" s="22" t="n">
        <f aca="false">100*(R16-R15)</f>
        <v>0.0883191045436993</v>
      </c>
      <c r="S150" s="22" t="n">
        <f aca="false">100*(S16-S15)</f>
        <v>0.0686381247805956</v>
      </c>
      <c r="T150" s="22" t="n">
        <f aca="false">100*(T16-T15)</f>
        <v>0.0541166692047179</v>
      </c>
      <c r="U150" s="22" t="n">
        <f aca="false">100*(U16-U15)</f>
        <v>0.0441896133535069</v>
      </c>
      <c r="V150" s="22" t="n">
        <f aca="false">100*(V16-V15)</f>
        <v>0.0382352258977869</v>
      </c>
      <c r="W150" s="22" t="n">
        <f aca="false">100*(W16-W15)</f>
        <v>0.0355958722390026</v>
      </c>
      <c r="X150" s="22" t="n">
        <f aca="false">100*(X16-X15)</f>
        <v>0.0355927167820846</v>
      </c>
      <c r="Y150" s="22" t="n">
        <f aca="false">100*(Y16-Y15)</f>
        <v>0.0375335020720957</v>
      </c>
      <c r="Z150" s="22" t="n">
        <f aca="false">100*(Z16-Z15)</f>
        <v>0.0407427743569055</v>
      </c>
      <c r="AA150" s="22" t="n">
        <f aca="false">100*(AA16-AA15)</f>
        <v>0.0445785675977195</v>
      </c>
      <c r="AB150" s="22" t="n">
        <f aca="false">100*(AB16-AB15)</f>
        <v>0.0484292705691836</v>
      </c>
      <c r="AC150" s="22" t="n">
        <f aca="false">100*(AC16-AC15)</f>
        <v>0.0517100131919079</v>
      </c>
      <c r="AD150" s="22" t="n">
        <f aca="false">100*(AD16-AD15)</f>
        <v>0.0538600432563818</v>
      </c>
      <c r="AE150" s="22" t="n">
        <f aca="false">100*(AE16-AE15)</f>
        <v>0.0543552669716174</v>
      </c>
      <c r="AF150" s="22" t="n">
        <f aca="false">100*(AF16-AF15)</f>
        <v>0.0527342110729023</v>
      </c>
      <c r="AG150" s="22" t="n">
        <f aca="false">100*(AG16-AG15)</f>
        <v>0.048597774203607</v>
      </c>
      <c r="AH150" s="22" t="n">
        <f aca="false">100*(AH16-AH15)</f>
        <v>0.0416030935089573</v>
      </c>
      <c r="AI150" s="22" t="n">
        <f aca="false">100*(AI16-AI15)</f>
        <v>0.0314692899451963</v>
      </c>
      <c r="AJ150" s="22" t="n">
        <f aca="false">100*(AJ16-AJ15)</f>
        <v>0.0179939589394884</v>
      </c>
      <c r="AK150" s="22" t="n">
        <f aca="false">100*(AK16-AK15)</f>
        <v>0.00105008009732011</v>
      </c>
      <c r="AL150" s="22" t="n">
        <f aca="false">100*(AL16-AL15)</f>
        <v>-0.0194211426567836</v>
      </c>
      <c r="AM150" s="22" t="n">
        <f aca="false">100*(AM16-AM15)</f>
        <v>-0.0434102124643232</v>
      </c>
      <c r="AN150" s="22" t="n">
        <f aca="false">100*(AN16-AN15)</f>
        <v>-0.0708330122956014</v>
      </c>
      <c r="AO150" s="22" t="n">
        <f aca="false">100*(AO16-AO15)</f>
        <v>-0.101535014467702</v>
      </c>
      <c r="AP150" s="22" t="n">
        <f aca="false">100*(AP16-AP15)</f>
        <v>-0.135297742310492</v>
      </c>
      <c r="AQ150" s="22" t="n">
        <f aca="false">100*(AQ16-AQ15)</f>
        <v>-0.171848293692323</v>
      </c>
      <c r="AR150" s="22" t="n">
        <f aca="false">100*(AR16-AR15)</f>
        <v>-0.210877254703101</v>
      </c>
      <c r="AS150" s="22" t="n">
        <f aca="false">100*(AS16-AS15)</f>
        <v>-0.252047009118561</v>
      </c>
      <c r="AT150" s="22" t="n">
        <f aca="false">100*(AT16-AT15)</f>
        <v>-0.294994341045118</v>
      </c>
      <c r="AU150" s="22" t="n">
        <f aca="false">100*(AU16-AU15)</f>
        <v>-0.339335914638794</v>
      </c>
      <c r="AV150" s="22" t="n">
        <f aca="false">AVERAGE(C150:AU150)</f>
        <v>0.432704970958617</v>
      </c>
    </row>
    <row r="151" customFormat="false" ht="15" hidden="false" customHeight="false" outlineLevel="0" collapsed="false">
      <c r="A151" s="20" t="n">
        <f aca="false">A17</f>
        <v>-108</v>
      </c>
      <c r="B151" s="21" t="n">
        <f aca="false">B17</f>
        <v>43019</v>
      </c>
      <c r="C151" s="22" t="n">
        <f aca="false">100*(C17-C16)</f>
        <v>1.72356575339291</v>
      </c>
      <c r="D151" s="22" t="n">
        <f aca="false">100*(D17-D16)</f>
        <v>1.76320505725546</v>
      </c>
      <c r="E151" s="22" t="n">
        <f aca="false">100*(E17-E16)</f>
        <v>1.77235873685783</v>
      </c>
      <c r="F151" s="22" t="n">
        <f aca="false">100*(F17-F16)</f>
        <v>1.75851623690589</v>
      </c>
      <c r="G151" s="22" t="n">
        <f aca="false">100*(G17-G16)</f>
        <v>1.72823765026923</v>
      </c>
      <c r="H151" s="22" t="n">
        <f aca="false">100*(H17-H16)</f>
        <v>1.68764808813022</v>
      </c>
      <c r="I151" s="22" t="n">
        <f aca="false">100*(I17-I16)</f>
        <v>1.64183734381996</v>
      </c>
      <c r="J151" s="22" t="n">
        <f aca="false">100*(J17-J16)</f>
        <v>1.59461075606401</v>
      </c>
      <c r="K151" s="22" t="n">
        <f aca="false">100*(K17-K16)</f>
        <v>1.54836224385</v>
      </c>
      <c r="L151" s="22" t="n">
        <f aca="false">100*(L17-L16)</f>
        <v>1.50444958142746</v>
      </c>
      <c r="M151" s="22" t="n">
        <f aca="false">100*(M17-M16)</f>
        <v>1.46351775548059</v>
      </c>
      <c r="N151" s="22" t="n">
        <f aca="false">100*(N17-N16)</f>
        <v>1.42567678324501</v>
      </c>
      <c r="O151" s="22" t="n">
        <f aca="false">100*(O17-O16)</f>
        <v>1.107982327005</v>
      </c>
      <c r="P151" s="22" t="n">
        <f aca="false">100*(P17-P16)</f>
        <v>1.09073069052339</v>
      </c>
      <c r="Q151" s="22" t="n">
        <f aca="false">100*(Q17-Q16)</f>
        <v>1.07349423288481</v>
      </c>
      <c r="R151" s="22" t="n">
        <f aca="false">100*(R17-R16)</f>
        <v>1.055929390735</v>
      </c>
      <c r="S151" s="22" t="n">
        <f aca="false">100*(S17-S16)</f>
        <v>1.0377359900279</v>
      </c>
      <c r="T151" s="22" t="n">
        <f aca="false">100*(T17-T16)</f>
        <v>1.01866384091429</v>
      </c>
      <c r="U151" s="22" t="n">
        <f aca="false">100*(U17-U16)</f>
        <v>0.998505442602204</v>
      </c>
      <c r="V151" s="22" t="n">
        <f aca="false">100*(V17-V16)</f>
        <v>0.977094341753304</v>
      </c>
      <c r="W151" s="22" t="n">
        <f aca="false">100*(W17-W16)</f>
        <v>0.954330936846293</v>
      </c>
      <c r="X151" s="22" t="n">
        <f aca="false">100*(X17-X16)</f>
        <v>0.930195606888318</v>
      </c>
      <c r="Y151" s="22" t="n">
        <f aca="false">100*(Y17-Y16)</f>
        <v>0.904736966401787</v>
      </c>
      <c r="Z151" s="22" t="n">
        <f aca="false">100*(Z17-Z16)</f>
        <v>0.878045464608412</v>
      </c>
      <c r="AA151" s="22" t="n">
        <f aca="false">100*(AA17-AA16)</f>
        <v>0.85023560574431</v>
      </c>
      <c r="AB151" s="22" t="n">
        <f aca="false">100*(AB17-AB16)</f>
        <v>0.821442304424691</v>
      </c>
      <c r="AC151" s="22" t="n">
        <f aca="false">100*(AC17-AC16)</f>
        <v>0.791818455836868</v>
      </c>
      <c r="AD151" s="22" t="n">
        <f aca="false">100*(AD17-AD16)</f>
        <v>0.761532571151324</v>
      </c>
      <c r="AE151" s="22" t="n">
        <f aca="false">100*(AE17-AE16)</f>
        <v>0.730756184082004</v>
      </c>
      <c r="AF151" s="22" t="n">
        <f aca="false">100*(AF17-AF16)</f>
        <v>0.699640392380374</v>
      </c>
      <c r="AG151" s="22" t="n">
        <f aca="false">100*(AG17-AG16)</f>
        <v>0.668317183190093</v>
      </c>
      <c r="AH151" s="22" t="n">
        <f aca="false">100*(AH17-AH16)</f>
        <v>0.636904578878728</v>
      </c>
      <c r="AI151" s="22" t="n">
        <f aca="false">100*(AI17-AI16)</f>
        <v>0.605506847216208</v>
      </c>
      <c r="AJ151" s="22" t="n">
        <f aca="false">100*(AJ17-AJ16)</f>
        <v>0.574211325966578</v>
      </c>
      <c r="AK151" s="22" t="n">
        <f aca="false">100*(AK17-AK16)</f>
        <v>0.543088687354576</v>
      </c>
      <c r="AL151" s="22" t="n">
        <f aca="false">100*(AL17-AL16)</f>
        <v>0.512194583296299</v>
      </c>
      <c r="AM151" s="22" t="n">
        <f aca="false">100*(AM17-AM16)</f>
        <v>0.481570659931219</v>
      </c>
      <c r="AN151" s="22" t="n">
        <f aca="false">100*(AN17-AN16)</f>
        <v>0.45124356979982</v>
      </c>
      <c r="AO151" s="22" t="n">
        <f aca="false">100*(AO17-AO16)</f>
        <v>0.421225658301294</v>
      </c>
      <c r="AP151" s="22" t="n">
        <f aca="false">100*(AP17-AP16)</f>
        <v>0.391516414978499</v>
      </c>
      <c r="AQ151" s="22" t="n">
        <f aca="false">100*(AQ17-AQ16)</f>
        <v>0.362104592070622</v>
      </c>
      <c r="AR151" s="22" t="n">
        <f aca="false">100*(AR17-AR16)</f>
        <v>0.33297417840723</v>
      </c>
      <c r="AS151" s="22" t="n">
        <f aca="false">100*(AS17-AS16)</f>
        <v>0.304107237247075</v>
      </c>
      <c r="AT151" s="22" t="n">
        <f aca="false">100*(AT17-AT16)</f>
        <v>0.275484155488526</v>
      </c>
      <c r="AU151" s="22" t="n">
        <f aca="false">100*(AU17-AU16)</f>
        <v>0.247085126229707</v>
      </c>
      <c r="AV151" s="22" t="n">
        <f aca="false">AVERAGE(C151:AU151)</f>
        <v>0.957830922885896</v>
      </c>
    </row>
    <row r="152" customFormat="false" ht="15" hidden="false" customHeight="false" outlineLevel="0" collapsed="false">
      <c r="A152" s="20" t="n">
        <f aca="false">A18</f>
        <v>-107</v>
      </c>
      <c r="B152" s="21" t="n">
        <f aca="false">B18</f>
        <v>43020</v>
      </c>
      <c r="C152" s="22" t="n">
        <f aca="false">100*(C18-C17)</f>
        <v>1.22856646487873</v>
      </c>
      <c r="D152" s="22" t="n">
        <f aca="false">100*(D18-D17)</f>
        <v>1.29648827676286</v>
      </c>
      <c r="E152" s="22" t="n">
        <f aca="false">100*(E18-E17)</f>
        <v>1.32578820931154</v>
      </c>
      <c r="F152" s="22" t="n">
        <f aca="false">100*(F18-F17)</f>
        <v>1.31579959958188</v>
      </c>
      <c r="G152" s="22" t="n">
        <f aca="false">100*(G18-G17)</f>
        <v>1.27148537164837</v>
      </c>
      <c r="H152" s="22" t="n">
        <f aca="false">100*(H18-H17)</f>
        <v>1.19907917455769</v>
      </c>
      <c r="I152" s="22" t="n">
        <f aca="false">100*(I18-I17)</f>
        <v>1.10482732186151</v>
      </c>
      <c r="J152" s="22" t="n">
        <f aca="false">100*(J18-J17)</f>
        <v>0.994764086500233</v>
      </c>
      <c r="K152" s="22" t="n">
        <f aca="false">100*(K18-K17)</f>
        <v>0.874417965160224</v>
      </c>
      <c r="L152" s="22" t="n">
        <f aca="false">100*(L18-L17)</f>
        <v>0.748795123042223</v>
      </c>
      <c r="M152" s="22" t="n">
        <f aca="false">100*(M18-M17)</f>
        <v>0.622223035812697</v>
      </c>
      <c r="N152" s="22" t="n">
        <f aca="false">100*(N18-N17)</f>
        <v>0.498150119445295</v>
      </c>
      <c r="O152" s="22" t="n">
        <f aca="false">100*(O18-O17)</f>
        <v>-0.503868267348495</v>
      </c>
      <c r="P152" s="22" t="n">
        <f aca="false">100*(P18-P17)</f>
        <v>-0.536867058619706</v>
      </c>
      <c r="Q152" s="22" t="n">
        <f aca="false">100*(Q18-Q17)</f>
        <v>-0.565389326998589</v>
      </c>
      <c r="R152" s="22" t="n">
        <f aca="false">100*(R18-R17)</f>
        <v>-0.59001377620449</v>
      </c>
      <c r="S152" s="22" t="n">
        <f aca="false">100*(S18-S17)</f>
        <v>-0.611271328334806</v>
      </c>
      <c r="T152" s="22" t="n">
        <f aca="false">100*(T18-T17)</f>
        <v>-0.629637695131402</v>
      </c>
      <c r="U152" s="22" t="n">
        <f aca="false">100*(U18-U17)</f>
        <v>-0.645541441884112</v>
      </c>
      <c r="V152" s="22" t="n">
        <f aca="false">100*(V18-V17)</f>
        <v>-0.659367643435105</v>
      </c>
      <c r="W152" s="22" t="n">
        <f aca="false">100*(W18-W17)</f>
        <v>-0.671442359825591</v>
      </c>
      <c r="X152" s="22" t="n">
        <f aca="false">100*(X18-X17)</f>
        <v>-0.682025560738619</v>
      </c>
      <c r="Y152" s="22" t="n">
        <f aca="false">100*(Y18-Y17)</f>
        <v>-0.691320173763721</v>
      </c>
      <c r="Z152" s="22" t="n">
        <f aca="false">100*(Z18-Z17)</f>
        <v>-0.699488207375287</v>
      </c>
      <c r="AA152" s="22" t="n">
        <f aca="false">100*(AA18-AA17)</f>
        <v>-0.706662280589532</v>
      </c>
      <c r="AB152" s="22" t="n">
        <f aca="false">100*(AB18-AB17)</f>
        <v>-0.712949580946098</v>
      </c>
      <c r="AC152" s="22" t="n">
        <f aca="false">100*(AC18-AC17)</f>
        <v>-0.718434892065778</v>
      </c>
      <c r="AD152" s="22" t="n">
        <f aca="false">100*(AD18-AD17)</f>
        <v>-0.723183282332496</v>
      </c>
      <c r="AE152" s="22" t="n">
        <f aca="false">100*(AE18-AE17)</f>
        <v>-0.727246489757816</v>
      </c>
      <c r="AF152" s="22" t="n">
        <f aca="false">100*(AF18-AF17)</f>
        <v>-0.730674651979291</v>
      </c>
      <c r="AG152" s="22" t="n">
        <f aca="false">100*(AG18-AG17)</f>
        <v>-0.7335216825886</v>
      </c>
      <c r="AH152" s="22" t="n">
        <f aca="false">100*(AH18-AH17)</f>
        <v>-0.735846821183417</v>
      </c>
      <c r="AI152" s="22" t="n">
        <f aca="false">100*(AI18-AI17)</f>
        <v>-0.737714557453106</v>
      </c>
      <c r="AJ152" s="22" t="n">
        <f aca="false">100*(AJ18-AJ17)</f>
        <v>-0.739196463438674</v>
      </c>
      <c r="AK152" s="22" t="n">
        <f aca="false">100*(AK18-AK17)</f>
        <v>-0.740371400125506</v>
      </c>
      <c r="AL152" s="22" t="n">
        <f aca="false">100*(AL18-AL17)</f>
        <v>-0.741324734841076</v>
      </c>
      <c r="AM152" s="22" t="n">
        <f aca="false">100*(AM18-AM17)</f>
        <v>-0.742146295791901</v>
      </c>
      <c r="AN152" s="22" t="n">
        <f aca="false">100*(AN18-AN17)</f>
        <v>-0.742928392393116</v>
      </c>
      <c r="AO152" s="22" t="n">
        <f aca="false">100*(AO18-AO17)</f>
        <v>-0.74376442639541</v>
      </c>
      <c r="AP152" s="22" t="n">
        <f aca="false">100*(AP18-AP17)</f>
        <v>-0.744745043757122</v>
      </c>
      <c r="AQ152" s="22" t="n">
        <f aca="false">100*(AQ18-AQ17)</f>
        <v>-0.745955543115606</v>
      </c>
      <c r="AR152" s="22" t="n">
        <f aca="false">100*(AR18-AR17)</f>
        <v>-0.747469734100603</v>
      </c>
      <c r="AS152" s="22" t="n">
        <f aca="false">100*(AS18-AS17)</f>
        <v>-0.749347926876798</v>
      </c>
      <c r="AT152" s="22" t="n">
        <f aca="false">100*(AT18-AT17)</f>
        <v>-0.751637957646789</v>
      </c>
      <c r="AU152" s="22" t="n">
        <f aca="false">100*(AU18-AU17)</f>
        <v>-0.754374155687598</v>
      </c>
      <c r="AV152" s="22" t="n">
        <f aca="false">AVERAGE(C152:AU152)</f>
        <v>-0.232785431203622</v>
      </c>
    </row>
    <row r="153" customFormat="false" ht="15" hidden="false" customHeight="false" outlineLevel="0" collapsed="false">
      <c r="A153" s="20" t="n">
        <f aca="false">A19</f>
        <v>-106</v>
      </c>
      <c r="B153" s="21" t="n">
        <f aca="false">B19</f>
        <v>43021</v>
      </c>
      <c r="C153" s="22" t="n">
        <f aca="false">100*(C19-C18)</f>
        <v>0.363616887367418</v>
      </c>
      <c r="D153" s="22" t="n">
        <f aca="false">100*(D19-D18)</f>
        <v>0.50982431463113</v>
      </c>
      <c r="E153" s="22" t="n">
        <f aca="false">100*(E19-E18)</f>
        <v>0.581580165845619</v>
      </c>
      <c r="F153" s="22" t="n">
        <f aca="false">100*(F19-F18)</f>
        <v>0.583343150234539</v>
      </c>
      <c r="G153" s="22" t="n">
        <f aca="false">100*(G19-G18)</f>
        <v>0.529567184273438</v>
      </c>
      <c r="H153" s="22" t="n">
        <f aca="false">100*(H19-H18)</f>
        <v>0.43517857410752</v>
      </c>
      <c r="I153" s="22" t="n">
        <f aca="false">100*(I19-I18)</f>
        <v>0.312766369047723</v>
      </c>
      <c r="J153" s="22" t="n">
        <f aca="false">100*(J19-J18)</f>
        <v>0.171997514201006</v>
      </c>
      <c r="K153" s="22" t="n">
        <f aca="false">100*(K19-K18)</f>
        <v>0.0204345517558546</v>
      </c>
      <c r="L153" s="22" t="n">
        <f aca="false">100*(L19-L18)</f>
        <v>-0.136015210116991</v>
      </c>
      <c r="M153" s="22" t="n">
        <f aca="false">100*(M19-M18)</f>
        <v>-0.292511980520294</v>
      </c>
      <c r="N153" s="22" t="n">
        <f aca="false">100*(N19-N18)</f>
        <v>-0.445468812151995</v>
      </c>
      <c r="O153" s="22" t="n">
        <f aca="false">100*(O19-O18)</f>
        <v>-1.72797353758831</v>
      </c>
      <c r="P153" s="22" t="n">
        <f aca="false">100*(P19-P18)</f>
        <v>-1.78314079653279</v>
      </c>
      <c r="Q153" s="22" t="n">
        <f aca="false">100*(Q19-Q18)</f>
        <v>-1.83472174736592</v>
      </c>
      <c r="R153" s="22" t="n">
        <f aca="false">100*(R19-R18)</f>
        <v>-1.8831347571157</v>
      </c>
      <c r="S153" s="22" t="n">
        <f aca="false">100*(S19-S18)</f>
        <v>-1.9287444374964</v>
      </c>
      <c r="T153" s="22" t="n">
        <f aca="false">100*(T19-T18)</f>
        <v>-1.9718656102099</v>
      </c>
      <c r="U153" s="22" t="n">
        <f aca="false">100*(U19-U18)</f>
        <v>-2.01277061199419</v>
      </c>
      <c r="V153" s="22" t="n">
        <f aca="false">100*(V19-V18)</f>
        <v>-2.05169135024579</v>
      </c>
      <c r="W153" s="22" t="n">
        <f aca="false">100*(W19-W18)</f>
        <v>-2.08879665837392</v>
      </c>
      <c r="X153" s="22" t="n">
        <f aca="false">100*(X19-X18)</f>
        <v>-2.1241810659657</v>
      </c>
      <c r="Y153" s="22" t="n">
        <f aca="false">100*(Y19-Y18)</f>
        <v>-2.15787559566949</v>
      </c>
      <c r="Z153" s="22" t="n">
        <f aca="false">100*(Z19-Z18)</f>
        <v>-2.18987188993762</v>
      </c>
      <c r="AA153" s="22" t="n">
        <f aca="false">100*(AA19-AA18)</f>
        <v>-2.22013885341279</v>
      </c>
      <c r="AB153" s="22" t="n">
        <f aca="false">100*(AB19-AB18)</f>
        <v>-2.24862611034147</v>
      </c>
      <c r="AC153" s="22" t="n">
        <f aca="false">100*(AC19-AC18)</f>
        <v>-2.27526629985881</v>
      </c>
      <c r="AD153" s="22" t="n">
        <f aca="false">100*(AD19-AD18)</f>
        <v>-2.29997722812549</v>
      </c>
      <c r="AE153" s="22" t="n">
        <f aca="false">100*(AE19-AE18)</f>
        <v>-2.3226727817768</v>
      </c>
      <c r="AF153" s="22" t="n">
        <f aca="false">100*(AF19-AF18)</f>
        <v>-2.34328514140398</v>
      </c>
      <c r="AG153" s="22" t="n">
        <f aca="false">100*(AG19-AG18)</f>
        <v>-2.3617667371163</v>
      </c>
      <c r="AH153" s="22" t="n">
        <f aca="false">100*(AH19-AH18)</f>
        <v>-2.37808735932639</v>
      </c>
      <c r="AI153" s="22" t="n">
        <f aca="false">100*(AI19-AI18)</f>
        <v>-2.39223484751872</v>
      </c>
      <c r="AJ153" s="22" t="n">
        <f aca="false">100*(AJ19-AJ18)</f>
        <v>-2.40422289574429</v>
      </c>
      <c r="AK153" s="22" t="n">
        <f aca="false">100*(AK19-AK18)</f>
        <v>-2.41409163521737</v>
      </c>
      <c r="AL153" s="22" t="n">
        <f aca="false">100*(AL19-AL18)</f>
        <v>-2.42190497539112</v>
      </c>
      <c r="AM153" s="22" t="n">
        <f aca="false">100*(AM19-AM18)</f>
        <v>-2.42774897471163</v>
      </c>
      <c r="AN153" s="22" t="n">
        <f aca="false">100*(AN19-AN18)</f>
        <v>-2.43173519317472</v>
      </c>
      <c r="AO153" s="22" t="n">
        <f aca="false">100*(AO19-AO18)</f>
        <v>-2.43399938341669</v>
      </c>
      <c r="AP153" s="22" t="n">
        <f aca="false">100*(AP19-AP18)</f>
        <v>-2.43469690164337</v>
      </c>
      <c r="AQ153" s="22" t="n">
        <f aca="false">100*(AQ19-AQ18)</f>
        <v>-2.43399846233832</v>
      </c>
      <c r="AR153" s="22" t="n">
        <f aca="false">100*(AR19-AR18)</f>
        <v>-2.43207879423371</v>
      </c>
      <c r="AS153" s="22" t="n">
        <f aca="false">100*(AS19-AS18)</f>
        <v>-2.42911151639069</v>
      </c>
      <c r="AT153" s="22" t="n">
        <f aca="false">100*(AT19-AT18)</f>
        <v>-2.42526903660631</v>
      </c>
      <c r="AU153" s="22" t="n">
        <f aca="false">100*(AU19-AU18)</f>
        <v>-2.42071872892502</v>
      </c>
      <c r="AV153" s="22" t="n">
        <f aca="false">AVERAGE(C153:AU153)</f>
        <v>-1.57937971569988</v>
      </c>
    </row>
    <row r="154" customFormat="false" ht="15" hidden="false" customHeight="false" outlineLevel="0" collapsed="false">
      <c r="A154" s="20" t="n">
        <f aca="false">A20</f>
        <v>-105</v>
      </c>
      <c r="B154" s="21" t="n">
        <f aca="false">B20</f>
        <v>43024</v>
      </c>
      <c r="C154" s="22" t="n">
        <f aca="false">100*(C20-C19)</f>
        <v>-1.61187754699894</v>
      </c>
      <c r="D154" s="22" t="n">
        <f aca="false">100*(D20-D19)</f>
        <v>-1.72055414124486</v>
      </c>
      <c r="E154" s="22" t="n">
        <f aca="false">100*(E20-E19)</f>
        <v>-1.79468815998425</v>
      </c>
      <c r="F154" s="22" t="n">
        <f aca="false">100*(F20-F19)</f>
        <v>-1.85352486158776</v>
      </c>
      <c r="G154" s="22" t="n">
        <f aca="false">100*(G20-G19)</f>
        <v>-1.90528295116256</v>
      </c>
      <c r="H154" s="22" t="n">
        <f aca="false">100*(H20-H19)</f>
        <v>-1.95402653248723</v>
      </c>
      <c r="I154" s="22" t="n">
        <f aca="false">100*(I20-I19)</f>
        <v>-2.00228402045259</v>
      </c>
      <c r="J154" s="22" t="n">
        <f aca="false">100*(J20-J19)</f>
        <v>-2.0520132820078</v>
      </c>
      <c r="K154" s="22" t="n">
        <f aca="false">100*(K20-K19)</f>
        <v>-2.10465816992267</v>
      </c>
      <c r="L154" s="22" t="n">
        <f aca="false">100*(L20-L19)</f>
        <v>-2.16119057386429</v>
      </c>
      <c r="M154" s="22" t="n">
        <f aca="false">100*(M20-M19)</f>
        <v>-2.22190642351359</v>
      </c>
      <c r="N154" s="22" t="n">
        <f aca="false">100*(N20-N19)</f>
        <v>-2.28659151742541</v>
      </c>
      <c r="O154" s="22" t="n">
        <f aca="false">100*(O20-O19)</f>
        <v>-2.9808046104403</v>
      </c>
      <c r="P154" s="22" t="n">
        <f aca="false">100*(P20-P19)</f>
        <v>-3.0012873453219</v>
      </c>
      <c r="Q154" s="22" t="n">
        <f aca="false">100*(Q20-Q19)</f>
        <v>-3.01762459321129</v>
      </c>
      <c r="R154" s="22" t="n">
        <f aca="false">100*(R20-R19)</f>
        <v>-3.0302479698362</v>
      </c>
      <c r="S154" s="22" t="n">
        <f aca="false">100*(S20-S19)</f>
        <v>-3.03956963219749</v>
      </c>
      <c r="T154" s="22" t="n">
        <f aca="false">100*(T20-T19)</f>
        <v>-3.0459805247842</v>
      </c>
      <c r="U154" s="22" t="n">
        <f aca="false">100*(U20-U19)</f>
        <v>-3.04985348577911</v>
      </c>
      <c r="V154" s="22" t="n">
        <f aca="false">100*(V20-V19)</f>
        <v>-3.05154553559401</v>
      </c>
      <c r="W154" s="22" t="n">
        <f aca="false">100*(W20-W19)</f>
        <v>-3.05139761526159</v>
      </c>
      <c r="X154" s="22" t="n">
        <f aca="false">100*(X20-X19)</f>
        <v>-3.04973487597329</v>
      </c>
      <c r="Y154" s="22" t="n">
        <f aca="false">100*(Y20-Y19)</f>
        <v>-3.0468653751236</v>
      </c>
      <c r="Z154" s="22" t="n">
        <f aca="false">100*(Z20-Z19)</f>
        <v>-3.04306282607498</v>
      </c>
      <c r="AA154" s="22" t="n">
        <f aca="false">100*(AA20-AA19)</f>
        <v>-3.0385590151838</v>
      </c>
      <c r="AB154" s="22" t="n">
        <f aca="false">100*(AB20-AB19)</f>
        <v>-3.03354838154393</v>
      </c>
      <c r="AC154" s="22" t="n">
        <f aca="false">100*(AC20-AC19)</f>
        <v>-3.0281924630907</v>
      </c>
      <c r="AD154" s="22" t="n">
        <f aca="false">100*(AD20-AD19)</f>
        <v>-3.02262322604672</v>
      </c>
      <c r="AE154" s="22" t="n">
        <f aca="false">100*(AE20-AE19)</f>
        <v>-3.01693266467828</v>
      </c>
      <c r="AF154" s="22" t="n">
        <f aca="false">100*(AF20-AF19)</f>
        <v>-3.0111542579208</v>
      </c>
      <c r="AG154" s="22" t="n">
        <f aca="false">100*(AG20-AG19)</f>
        <v>-3.00527851609891</v>
      </c>
      <c r="AH154" s="22" t="n">
        <f aca="false">100*(AH20-AH19)</f>
        <v>-2.99926678261961</v>
      </c>
      <c r="AI154" s="22" t="n">
        <f aca="false">100*(AI20-AI19)</f>
        <v>-2.99305844623219</v>
      </c>
      <c r="AJ154" s="22" t="n">
        <f aca="false">100*(AJ20-AJ19)</f>
        <v>-2.98658186929623</v>
      </c>
      <c r="AK154" s="22" t="n">
        <f aca="false">100*(AK20-AK19)</f>
        <v>-2.9797576311799</v>
      </c>
      <c r="AL154" s="22" t="n">
        <f aca="false">100*(AL20-AL19)</f>
        <v>-2.97249943449649</v>
      </c>
      <c r="AM154" s="22" t="n">
        <f aca="false">100*(AM20-AM19)</f>
        <v>-2.96472011639448</v>
      </c>
      <c r="AN154" s="22" t="n">
        <f aca="false">100*(AN20-AN19)</f>
        <v>-2.95634358995747</v>
      </c>
      <c r="AO154" s="22" t="n">
        <f aca="false">100*(AO20-AO19)</f>
        <v>-2.94730733850819</v>
      </c>
      <c r="AP154" s="22" t="n">
        <f aca="false">100*(AP20-AP19)</f>
        <v>-2.9375642370981</v>
      </c>
      <c r="AQ154" s="22" t="n">
        <f aca="false">100*(AQ20-AQ19)</f>
        <v>-2.92708351580429</v>
      </c>
      <c r="AR154" s="22" t="n">
        <f aca="false">100*(AR20-AR19)</f>
        <v>-2.9158522675504</v>
      </c>
      <c r="AS154" s="22" t="n">
        <f aca="false">100*(AS20-AS19)</f>
        <v>-2.9038747973255</v>
      </c>
      <c r="AT154" s="22" t="n">
        <f aca="false">100*(AT20-AT19)</f>
        <v>-2.89117125580791</v>
      </c>
      <c r="AU154" s="22" t="n">
        <f aca="false">100*(AU20-AU19)</f>
        <v>-2.87777843719359</v>
      </c>
      <c r="AV154" s="22" t="n">
        <f aca="false">AVERAGE(C154:AU154)</f>
        <v>-2.72190490698394</v>
      </c>
    </row>
    <row r="155" customFormat="false" ht="15" hidden="false" customHeight="false" outlineLevel="0" collapsed="false">
      <c r="A155" s="20" t="n">
        <f aca="false">A21</f>
        <v>-104</v>
      </c>
      <c r="B155" s="21" t="n">
        <f aca="false">B21</f>
        <v>43025</v>
      </c>
      <c r="C155" s="22" t="n">
        <f aca="false">100*(C21-C20)</f>
        <v>-4.09667302044251</v>
      </c>
      <c r="D155" s="22" t="n">
        <f aca="false">100*(D21-D20)</f>
        <v>-4.42288120060688</v>
      </c>
      <c r="E155" s="22" t="n">
        <f aca="false">100*(E21-E20)</f>
        <v>-4.69732330835853</v>
      </c>
      <c r="F155" s="22" t="n">
        <f aca="false">100*(F21-F20)</f>
        <v>-4.92590452229329</v>
      </c>
      <c r="G155" s="22" t="n">
        <f aca="false">100*(G21-G20)</f>
        <v>-5.1122907557538</v>
      </c>
      <c r="H155" s="22" t="n">
        <f aca="false">100*(H21-H20)</f>
        <v>-5.26129405875398</v>
      </c>
      <c r="I155" s="22" t="n">
        <f aca="false">100*(I21-I20)</f>
        <v>-5.37822163650256</v>
      </c>
      <c r="J155" s="22" t="n">
        <f aca="false">100*(J21-J20)</f>
        <v>-5.46816766114263</v>
      </c>
      <c r="K155" s="22" t="n">
        <f aca="false">100*(K21-K20)</f>
        <v>-5.53555701399228</v>
      </c>
      <c r="L155" s="22" t="n">
        <f aca="false">100*(L21-L20)</f>
        <v>-5.58417139302621</v>
      </c>
      <c r="M155" s="22" t="n">
        <f aca="false">100*(M21-M20)</f>
        <v>-5.61706931660508</v>
      </c>
      <c r="N155" s="22" t="n">
        <f aca="false">100*(N21-N20)</f>
        <v>-5.6366573288676</v>
      </c>
      <c r="O155" s="22" t="n">
        <f aca="false">100*(O21-O20)</f>
        <v>-5.15982636001899</v>
      </c>
      <c r="P155" s="22" t="n">
        <f aca="false">100*(P21-P20)</f>
        <v>-5.0932804612805</v>
      </c>
      <c r="Q155" s="22" t="n">
        <f aca="false">100*(Q21-Q20)</f>
        <v>-5.02586768863611</v>
      </c>
      <c r="R155" s="22" t="n">
        <f aca="false">100*(R21-R20)</f>
        <v>-4.9579182107089</v>
      </c>
      <c r="S155" s="22" t="n">
        <f aca="false">100*(S21-S20)</f>
        <v>-4.8897263272669</v>
      </c>
      <c r="T155" s="22" t="n">
        <f aca="false">100*(T21-T20)</f>
        <v>-4.821565536047</v>
      </c>
      <c r="U155" s="22" t="n">
        <f aca="false">100*(U21-U20)</f>
        <v>-4.7536916248363</v>
      </c>
      <c r="V155" s="22" t="n">
        <f aca="false">100*(V21-V20)</f>
        <v>-4.68635394279968</v>
      </c>
      <c r="W155" s="22" t="n">
        <f aca="false">100*(W21-W20)</f>
        <v>-4.61984912340792</v>
      </c>
      <c r="X155" s="22" t="n">
        <f aca="false">100*(X21-X20)</f>
        <v>-4.55454740629491</v>
      </c>
      <c r="Y155" s="22" t="n">
        <f aca="false">100*(Y21-Y20)</f>
        <v>-4.49087606403931</v>
      </c>
      <c r="Z155" s="22" t="n">
        <f aca="false">100*(Z21-Z20)</f>
        <v>-4.42926204008671</v>
      </c>
      <c r="AA155" s="22" t="n">
        <f aca="false">100*(AA21-AA20)</f>
        <v>-4.37010134351661</v>
      </c>
      <c r="AB155" s="22" t="n">
        <f aca="false">100*(AB21-AB20)</f>
        <v>-4.31376143793618</v>
      </c>
      <c r="AC155" s="22" t="n">
        <f aca="false">100*(AC21-AC20)</f>
        <v>-4.2605846397497</v>
      </c>
      <c r="AD155" s="22" t="n">
        <f aca="false">100*(AD21-AD20)</f>
        <v>-4.21088987063361</v>
      </c>
      <c r="AE155" s="22" t="n">
        <f aca="false">100*(AE21-AE20)</f>
        <v>-4.164942394478</v>
      </c>
      <c r="AF155" s="22" t="n">
        <f aca="false">100*(AF21-AF20)</f>
        <v>-4.12290115668321</v>
      </c>
      <c r="AG155" s="22" t="n">
        <f aca="false">100*(AG21-AG20)</f>
        <v>-4.08483190267099</v>
      </c>
      <c r="AH155" s="22" t="n">
        <f aca="false">100*(AH21-AH20)</f>
        <v>-4.05072559171469</v>
      </c>
      <c r="AI155" s="22" t="n">
        <f aca="false">100*(AI21-AI20)</f>
        <v>-4.0205071639511</v>
      </c>
      <c r="AJ155" s="22" t="n">
        <f aca="false">100*(AJ21-AJ20)</f>
        <v>-3.99404473159648</v>
      </c>
      <c r="AK155" s="22" t="n">
        <f aca="false">100*(AK21-AK20)</f>
        <v>-3.97115608054341</v>
      </c>
      <c r="AL155" s="22" t="n">
        <f aca="false">100*(AL21-AL20)</f>
        <v>-3.9516137661288</v>
      </c>
      <c r="AM155" s="22" t="n">
        <f aca="false">100*(AM21-AM20)</f>
        <v>-3.93515531663871</v>
      </c>
      <c r="AN155" s="22" t="n">
        <f aca="false">100*(AN21-AN20)</f>
        <v>-3.92149910439732</v>
      </c>
      <c r="AO155" s="22" t="n">
        <f aca="false">100*(AO21-AO20)</f>
        <v>-3.91034944781372</v>
      </c>
      <c r="AP155" s="22" t="n">
        <f aca="false">100*(AP21-AP20)</f>
        <v>-3.9013999855529</v>
      </c>
      <c r="AQ155" s="22" t="n">
        <f aca="false">100*(AQ21-AQ20)</f>
        <v>-3.89433943041591</v>
      </c>
      <c r="AR155" s="22" t="n">
        <f aca="false">100*(AR21-AR20)</f>
        <v>-3.88886486430871</v>
      </c>
      <c r="AS155" s="22" t="n">
        <f aca="false">100*(AS21-AS20)</f>
        <v>-3.8846856647607</v>
      </c>
      <c r="AT155" s="22" t="n">
        <f aca="false">100*(AT21-AT20)</f>
        <v>-3.8815227872419</v>
      </c>
      <c r="AU155" s="22" t="n">
        <f aca="false">100*(AU21-AU20)</f>
        <v>-3.8791148329643</v>
      </c>
      <c r="AV155" s="22" t="n">
        <f aca="false">AVERAGE(C155:AU155)</f>
        <v>-4.52959927812146</v>
      </c>
    </row>
    <row r="156" customFormat="false" ht="15" hidden="false" customHeight="false" outlineLevel="0" collapsed="false">
      <c r="A156" s="20" t="n">
        <f aca="false">A22</f>
        <v>-103</v>
      </c>
      <c r="B156" s="21" t="n">
        <f aca="false">B22</f>
        <v>43026</v>
      </c>
      <c r="C156" s="22" t="n">
        <f aca="false">100*(C22-C21)</f>
        <v>2.51725355349105</v>
      </c>
      <c r="D156" s="22" t="n">
        <f aca="false">100*(D22-D21)</f>
        <v>2.57506474628459</v>
      </c>
      <c r="E156" s="22" t="n">
        <f aca="false">100*(E22-E21)</f>
        <v>2.65924016253021</v>
      </c>
      <c r="F156" s="22" t="n">
        <f aca="false">100*(F22-F21)</f>
        <v>2.75886927668702</v>
      </c>
      <c r="G156" s="22" t="n">
        <f aca="false">100*(G22-G21)</f>
        <v>2.86126474144712</v>
      </c>
      <c r="H156" s="22" t="n">
        <f aca="false">100*(H22-H21)</f>
        <v>2.95574973686764</v>
      </c>
      <c r="I156" s="22" t="n">
        <f aca="false">100*(I22-I21)</f>
        <v>3.03566002924983</v>
      </c>
      <c r="J156" s="22" t="n">
        <f aca="false">100*(J22-J21)</f>
        <v>3.0984126688671</v>
      </c>
      <c r="K156" s="22" t="n">
        <f aca="false">100*(K22-K21)</f>
        <v>3.14415681217244</v>
      </c>
      <c r="L156" s="22" t="n">
        <f aca="false">100*(L22-L21)</f>
        <v>3.17451115784552</v>
      </c>
      <c r="M156" s="22" t="n">
        <f aca="false">100*(M22-M21)</f>
        <v>3.19176839772748</v>
      </c>
      <c r="N156" s="22" t="n">
        <f aca="false">100*(N22-N21)</f>
        <v>3.19845989369481</v>
      </c>
      <c r="O156" s="22" t="n">
        <f aca="false">100*(O22-O21)</f>
        <v>3.00128092014991</v>
      </c>
      <c r="P156" s="22" t="n">
        <f aca="false">100*(P22-P21)</f>
        <v>2.982966985727</v>
      </c>
      <c r="Q156" s="22" t="n">
        <f aca="false">100*(Q22-Q21)</f>
        <v>2.9643223771328</v>
      </c>
      <c r="R156" s="22" t="n">
        <f aca="false">100*(R22-R21)</f>
        <v>2.94525470275049</v>
      </c>
      <c r="S156" s="22" t="n">
        <f aca="false">100*(S22-S21)</f>
        <v>2.9257254190318</v>
      </c>
      <c r="T156" s="22" t="n">
        <f aca="false">100*(T22-T21)</f>
        <v>2.9057481957004</v>
      </c>
      <c r="U156" s="22" t="n">
        <f aca="false">100*(U22-U21)</f>
        <v>2.8853812543687</v>
      </c>
      <c r="V156" s="22" t="n">
        <f aca="false">100*(V22-V21)</f>
        <v>2.86472207124728</v>
      </c>
      <c r="W156" s="22" t="n">
        <f aca="false">100*(W22-W21)</f>
        <v>2.84390967885801</v>
      </c>
      <c r="X156" s="22" t="n">
        <f aca="false">100*(X22-X21)</f>
        <v>2.82312452845901</v>
      </c>
      <c r="Y156" s="22" t="n">
        <f aca="false">100*(Y22-Y21)</f>
        <v>2.8025779796371</v>
      </c>
      <c r="Z156" s="22" t="n">
        <f aca="false">100*(Z22-Z21)</f>
        <v>2.78247450599771</v>
      </c>
      <c r="AA156" s="22" t="n">
        <f aca="false">100*(AA22-AA21)</f>
        <v>2.76299085949669</v>
      </c>
      <c r="AB156" s="22" t="n">
        <f aca="false">100*(AB22-AB21)</f>
        <v>2.7442783984049</v>
      </c>
      <c r="AC156" s="22" t="n">
        <f aca="false">100*(AC22-AC21)</f>
        <v>2.7264661103656</v>
      </c>
      <c r="AD156" s="22" t="n">
        <f aca="false">100*(AD22-AD21)</f>
        <v>2.70966275345421</v>
      </c>
      <c r="AE156" s="22" t="n">
        <f aca="false">100*(AE22-AE21)</f>
        <v>2.69394392066331</v>
      </c>
      <c r="AF156" s="22" t="n">
        <f aca="false">100*(AF22-AF21)</f>
        <v>2.6793267396618</v>
      </c>
      <c r="AG156" s="22" t="n">
        <f aca="false">100*(AG22-AG21)</f>
        <v>2.66578008065732</v>
      </c>
      <c r="AH156" s="22" t="n">
        <f aca="false">100*(AH22-AH21)</f>
        <v>2.65323657079719</v>
      </c>
      <c r="AI156" s="22" t="n">
        <f aca="false">100*(AI22-AI21)</f>
        <v>2.6416034361215</v>
      </c>
      <c r="AJ156" s="22" t="n">
        <f aca="false">100*(AJ22-AJ21)</f>
        <v>2.63077653474499</v>
      </c>
      <c r="AK156" s="22" t="n">
        <f aca="false">100*(AK22-AK21)</f>
        <v>2.62064348312729</v>
      </c>
      <c r="AL156" s="22" t="n">
        <f aca="false">100*(AL22-AL21)</f>
        <v>2.61108474089697</v>
      </c>
      <c r="AM156" s="22" t="n">
        <f aca="false">100*(AM22-AM21)</f>
        <v>2.60198159394462</v>
      </c>
      <c r="AN156" s="22" t="n">
        <f aca="false">100*(AN22-AN21)</f>
        <v>2.5932290658242</v>
      </c>
      <c r="AO156" s="22" t="n">
        <f aca="false">100*(AO22-AO21)</f>
        <v>2.584738681243</v>
      </c>
      <c r="AP156" s="22" t="n">
        <f aca="false">100*(AP22-AP21)</f>
        <v>2.5764419739071</v>
      </c>
      <c r="AQ156" s="22" t="n">
        <f aca="false">100*(AQ22-AQ21)</f>
        <v>2.5682902075473</v>
      </c>
      <c r="AR156" s="22" t="n">
        <f aca="false">100*(AR22-AR21)</f>
        <v>2.56025295052471</v>
      </c>
      <c r="AS156" s="22" t="n">
        <f aca="false">100*(AS22-AS21)</f>
        <v>2.5523169074235</v>
      </c>
      <c r="AT156" s="22" t="n">
        <f aca="false">100*(AT22-AT21)</f>
        <v>2.5444844299882</v>
      </c>
      <c r="AU156" s="22" t="n">
        <f aca="false">100*(AU22-AU21)</f>
        <v>2.536771221885</v>
      </c>
      <c r="AV156" s="22" t="n">
        <f aca="false">AVERAGE(C156:AU156)</f>
        <v>2.78124889903565</v>
      </c>
    </row>
    <row r="157" customFormat="false" ht="15" hidden="false" customHeight="false" outlineLevel="0" collapsed="false">
      <c r="A157" s="20" t="n">
        <f aca="false">A23</f>
        <v>-102</v>
      </c>
      <c r="B157" s="21" t="n">
        <f aca="false">B23</f>
        <v>43027</v>
      </c>
      <c r="C157" s="22" t="n">
        <f aca="false">100*(C23-C22)</f>
        <v>-2.70615286817974</v>
      </c>
      <c r="D157" s="22" t="n">
        <f aca="false">100*(D23-D22)</f>
        <v>-2.84802251557915</v>
      </c>
      <c r="E157" s="22" t="n">
        <f aca="false">100*(E23-E22)</f>
        <v>-2.98525546789765</v>
      </c>
      <c r="F157" s="22" t="n">
        <f aca="false">100*(F23-F22)</f>
        <v>-3.11307098673226</v>
      </c>
      <c r="G157" s="22" t="n">
        <f aca="false">100*(G23-G22)</f>
        <v>-3.23072047163849</v>
      </c>
      <c r="H157" s="22" t="n">
        <f aca="false">100*(H23-H22)</f>
        <v>-3.33906467462043</v>
      </c>
      <c r="I157" s="22" t="n">
        <f aca="false">100*(I23-I22)</f>
        <v>-3.43916835041145</v>
      </c>
      <c r="J157" s="22" t="n">
        <f aca="false">100*(J23-J22)</f>
        <v>-3.531886337057</v>
      </c>
      <c r="K157" s="22" t="n">
        <f aca="false">100*(K23-K22)</f>
        <v>-3.6174538617805</v>
      </c>
      <c r="L157" s="22" t="n">
        <f aca="false">100*(L23-L22)</f>
        <v>-3.69557318655259</v>
      </c>
      <c r="M157" s="22" t="n">
        <f aca="false">100*(M23-M22)</f>
        <v>-3.76558710966093</v>
      </c>
      <c r="N157" s="22" t="n">
        <f aca="false">100*(N23-N22)</f>
        <v>-3.8266698887208</v>
      </c>
      <c r="O157" s="22" t="n">
        <f aca="false">100*(O23-O22)</f>
        <v>-3.83135183393051</v>
      </c>
      <c r="P157" s="22" t="n">
        <f aca="false">100*(P23-P22)</f>
        <v>-3.79717539715569</v>
      </c>
      <c r="Q157" s="22" t="n">
        <f aca="false">100*(Q23-Q22)</f>
        <v>-3.7624377647284</v>
      </c>
      <c r="R157" s="22" t="n">
        <f aca="false">100*(R23-R22)</f>
        <v>-3.72757191678579</v>
      </c>
      <c r="S157" s="22" t="n">
        <f aca="false">100*(S23-S22)</f>
        <v>-3.6928930043078</v>
      </c>
      <c r="T157" s="22" t="n">
        <f aca="false">100*(T23-T22)</f>
        <v>-3.65861810609129</v>
      </c>
      <c r="U157" s="22" t="n">
        <f aca="false">100*(U23-U22)</f>
        <v>-3.62488066076581</v>
      </c>
      <c r="V157" s="22" t="n">
        <f aca="false">100*(V23-V22)</f>
        <v>-3.59174681619998</v>
      </c>
      <c r="W157" s="22" t="n">
        <f aca="false">100*(W23-W22)</f>
        <v>-3.55924968747161</v>
      </c>
      <c r="X157" s="22" t="n">
        <f aca="false">100*(X23-X22)</f>
        <v>-3.5274083975553</v>
      </c>
      <c r="Y157" s="22" t="n">
        <f aca="false">100*(Y23-Y22)</f>
        <v>-3.49623304008628</v>
      </c>
      <c r="Z157" s="22" t="n">
        <f aca="false">100*(Z23-Z22)</f>
        <v>-3.4657418815222</v>
      </c>
      <c r="AA157" s="22" t="n">
        <f aca="false">100*(AA23-AA22)</f>
        <v>-3.4359707167986</v>
      </c>
      <c r="AB157" s="22" t="n">
        <f aca="false">100*(AB23-AB22)</f>
        <v>-3.4069712404964</v>
      </c>
      <c r="AC157" s="22" t="n">
        <f aca="false">100*(AC23-AC22)</f>
        <v>-3.378809154027</v>
      </c>
      <c r="AD157" s="22" t="n">
        <f aca="false">100*(AD23-AD22)</f>
        <v>-3.35156261943321</v>
      </c>
      <c r="AE157" s="22" t="n">
        <f aca="false">100*(AE23-AE22)</f>
        <v>-3.32532487141322</v>
      </c>
      <c r="AF157" s="22" t="n">
        <f aca="false">100*(AF23-AF22)</f>
        <v>-3.3002090476238</v>
      </c>
      <c r="AG157" s="22" t="n">
        <f aca="false">100*(AG23-AG22)</f>
        <v>-3.27633150397133</v>
      </c>
      <c r="AH157" s="22" t="n">
        <f aca="false">100*(AH23-AH22)</f>
        <v>-3.25380065519199</v>
      </c>
      <c r="AI157" s="22" t="n">
        <f aca="false">100*(AI23-AI22)</f>
        <v>-3.23270655277479</v>
      </c>
      <c r="AJ157" s="22" t="n">
        <f aca="false">100*(AJ23-AJ22)</f>
        <v>-3.21310408539359</v>
      </c>
      <c r="AK157" s="22" t="n">
        <f aca="false">100*(AK23-AK22)</f>
        <v>-3.1950131322259</v>
      </c>
      <c r="AL157" s="22" t="n">
        <f aca="false">100*(AL23-AL22)</f>
        <v>-3.17842181602137</v>
      </c>
      <c r="AM157" s="22" t="n">
        <f aca="false">100*(AM23-AM22)</f>
        <v>-3.16328554704681</v>
      </c>
      <c r="AN157" s="22" t="n">
        <f aca="false">100*(AN23-AN22)</f>
        <v>-3.1495237004922</v>
      </c>
      <c r="AO157" s="22" t="n">
        <f aca="false">100*(AO23-AO22)</f>
        <v>-3.13702289146329</v>
      </c>
      <c r="AP157" s="22" t="n">
        <f aca="false">100*(AP23-AP22)</f>
        <v>-3.12564371365061</v>
      </c>
      <c r="AQ157" s="22" t="n">
        <f aca="false">100*(AQ23-AQ22)</f>
        <v>-3.11522870586349</v>
      </c>
      <c r="AR157" s="22" t="n">
        <f aca="false">100*(AR23-AR22)</f>
        <v>-3.10561714565631</v>
      </c>
      <c r="AS157" s="22" t="n">
        <f aca="false">100*(AS23-AS22)</f>
        <v>-3.09664993052341</v>
      </c>
      <c r="AT157" s="22" t="n">
        <f aca="false">100*(AT23-AT22)</f>
        <v>-3.08816976974791</v>
      </c>
      <c r="AU157" s="22" t="n">
        <f aca="false">100*(AU23-AU22)</f>
        <v>-3.08002794526039</v>
      </c>
      <c r="AV157" s="22" t="n">
        <f aca="false">AVERAGE(C157:AU157)</f>
        <v>-3.36540731045572</v>
      </c>
    </row>
    <row r="158" customFormat="false" ht="15" hidden="false" customHeight="false" outlineLevel="0" collapsed="false">
      <c r="A158" s="20" t="n">
        <f aca="false">A24</f>
        <v>-101</v>
      </c>
      <c r="B158" s="21" t="n">
        <f aca="false">B24</f>
        <v>43028</v>
      </c>
      <c r="C158" s="22" t="n">
        <f aca="false">100*(C24-C23)</f>
        <v>2.90404974816029</v>
      </c>
      <c r="D158" s="22" t="n">
        <f aca="false">100*(D24-D23)</f>
        <v>3.10850606325661</v>
      </c>
      <c r="E158" s="22" t="n">
        <f aca="false">100*(E24-E23)</f>
        <v>3.34750734424386</v>
      </c>
      <c r="F158" s="22" t="n">
        <f aca="false">100*(F24-F23)</f>
        <v>3.60369212186428</v>
      </c>
      <c r="G158" s="22" t="n">
        <f aca="false">100*(G24-G23)</f>
        <v>3.86342488861997</v>
      </c>
      <c r="H158" s="22" t="n">
        <f aca="false">100*(H24-H23)</f>
        <v>4.11765807419503</v>
      </c>
      <c r="I158" s="22" t="n">
        <f aca="false">100*(I24-I23)</f>
        <v>4.36087944725135</v>
      </c>
      <c r="J158" s="22" t="n">
        <f aca="false">100*(J24-J23)</f>
        <v>4.58962265056421</v>
      </c>
      <c r="K158" s="22" t="n">
        <f aca="false">100*(K24-K23)</f>
        <v>4.80198601392278</v>
      </c>
      <c r="L158" s="22" t="n">
        <f aca="false">100*(L24-L23)</f>
        <v>4.99666509037522</v>
      </c>
      <c r="M158" s="22" t="n">
        <f aca="false">100*(M24-M23)</f>
        <v>5.17291020523611</v>
      </c>
      <c r="N158" s="22" t="n">
        <f aca="false">100*(N24-N23)</f>
        <v>5.330679141697</v>
      </c>
      <c r="O158" s="22" t="n">
        <f aca="false">100*(O24-O23)</f>
        <v>6.2190139871503</v>
      </c>
      <c r="P158" s="22" t="n">
        <f aca="false">100*(P24-P23)</f>
        <v>6.22956796491829</v>
      </c>
      <c r="Q158" s="22" t="n">
        <f aca="false">100*(Q24-Q23)</f>
        <v>6.2344849343307</v>
      </c>
      <c r="R158" s="22" t="n">
        <f aca="false">100*(R24-R23)</f>
        <v>6.23430382058881</v>
      </c>
      <c r="S158" s="22" t="n">
        <f aca="false">100*(S24-S23)</f>
        <v>6.22957887043369</v>
      </c>
      <c r="T158" s="22" t="n">
        <f aca="false">100*(T24-T23)</f>
        <v>6.22087360917178</v>
      </c>
      <c r="U158" s="22" t="n">
        <f aca="false">100*(U24-U23)</f>
        <v>6.20875945973791</v>
      </c>
      <c r="V158" s="22" t="n">
        <f aca="false">100*(V24-V23)</f>
        <v>6.19381002701118</v>
      </c>
      <c r="W158" s="22" t="n">
        <f aca="false">100*(W24-W23)</f>
        <v>6.17657931379121</v>
      </c>
      <c r="X158" s="22" t="n">
        <f aca="false">100*(X24-X23)</f>
        <v>6.15759409811889</v>
      </c>
      <c r="Y158" s="22" t="n">
        <f aca="false">100*(Y24-Y23)</f>
        <v>6.13735182256319</v>
      </c>
      <c r="Z158" s="22" t="n">
        <f aca="false">100*(Z24-Z23)</f>
        <v>6.11629074724649</v>
      </c>
      <c r="AA158" s="22" t="n">
        <f aca="false">100*(AA24-AA23)</f>
        <v>6.09477615662128</v>
      </c>
      <c r="AB158" s="22" t="n">
        <f aca="false">100*(AB24-AB23)</f>
        <v>6.07310825995038</v>
      </c>
      <c r="AC158" s="22" t="n">
        <f aca="false">100*(AC24-AC23)</f>
        <v>6.05152993835301</v>
      </c>
      <c r="AD158" s="22" t="n">
        <f aca="false">100*(AD24-AD23)</f>
        <v>6.030233148252</v>
      </c>
      <c r="AE158" s="22" t="n">
        <f aca="false">100*(AE24-AE23)</f>
        <v>6.00935307414252</v>
      </c>
      <c r="AF158" s="22" t="n">
        <f aca="false">100*(AF24-AF23)</f>
        <v>5.98895115623261</v>
      </c>
      <c r="AG158" s="22" t="n">
        <f aca="false">100*(AG24-AG23)</f>
        <v>5.96903106091562</v>
      </c>
      <c r="AH158" s="22" t="n">
        <f aca="false">100*(AH24-AH23)</f>
        <v>5.94955339627548</v>
      </c>
      <c r="AI158" s="22" t="n">
        <f aca="false">100*(AI24-AI23)</f>
        <v>5.93045235489649</v>
      </c>
      <c r="AJ158" s="22" t="n">
        <f aca="false">100*(AJ24-AJ23)</f>
        <v>5.91165473217288</v>
      </c>
      <c r="AK158" s="22" t="n">
        <f aca="false">100*(AK24-AK23)</f>
        <v>5.89308263104162</v>
      </c>
      <c r="AL158" s="22" t="n">
        <f aca="false">100*(AL24-AL23)</f>
        <v>5.8746543778277</v>
      </c>
      <c r="AM158" s="22" t="n">
        <f aca="false">100*(AM24-AM23)</f>
        <v>5.85629422650997</v>
      </c>
      <c r="AN158" s="22" t="n">
        <f aca="false">100*(AN24-AN23)</f>
        <v>5.837945158611</v>
      </c>
      <c r="AO158" s="22" t="n">
        <f aca="false">100*(AO24-AO23)</f>
        <v>5.81957017940011</v>
      </c>
      <c r="AP158" s="22" t="n">
        <f aca="false">100*(AP24-AP23)</f>
        <v>5.801153194127</v>
      </c>
      <c r="AQ158" s="22" t="n">
        <f aca="false">100*(AQ24-AQ23)</f>
        <v>5.78269654214809</v>
      </c>
      <c r="AR158" s="22" t="n">
        <f aca="false">100*(AR24-AR23)</f>
        <v>5.76421890131491</v>
      </c>
      <c r="AS158" s="22" t="n">
        <f aca="false">100*(AS24-AS23)</f>
        <v>5.74575476836912</v>
      </c>
      <c r="AT158" s="22" t="n">
        <f aca="false">100*(AT24-AT23)</f>
        <v>5.72735294985551</v>
      </c>
      <c r="AU158" s="22" t="n">
        <f aca="false">100*(AU24-AU23)</f>
        <v>5.70907172727289</v>
      </c>
      <c r="AV158" s="22" t="n">
        <f aca="false">AVERAGE(C158:AU158)</f>
        <v>5.51947171952754</v>
      </c>
    </row>
    <row r="159" customFormat="false" ht="15" hidden="false" customHeight="false" outlineLevel="0" collapsed="false">
      <c r="A159" s="20" t="n">
        <f aca="false">A25</f>
        <v>-100</v>
      </c>
      <c r="B159" s="21" t="n">
        <f aca="false">B25</f>
        <v>43031</v>
      </c>
      <c r="C159" s="22" t="n">
        <f aca="false">100*(C25-C24)</f>
        <v>-0.891377391510051</v>
      </c>
      <c r="D159" s="22" t="n">
        <f aca="false">100*(D25-D24)</f>
        <v>-0.910199950956525</v>
      </c>
      <c r="E159" s="22" t="n">
        <f aca="false">100*(E25-E24)</f>
        <v>-0.954681050773998</v>
      </c>
      <c r="F159" s="22" t="n">
        <f aca="false">100*(F25-F24)</f>
        <v>-1.02116228873875</v>
      </c>
      <c r="G159" s="22" t="n">
        <f aca="false">100*(G25-G24)</f>
        <v>-1.10582571719303</v>
      </c>
      <c r="H159" s="22" t="n">
        <f aca="false">100*(H25-H24)</f>
        <v>-1.20460176492078</v>
      </c>
      <c r="I159" s="22" t="n">
        <f aca="false">100*(I25-I24)</f>
        <v>-1.31300275295496</v>
      </c>
      <c r="J159" s="22" t="n">
        <f aca="false">100*(J25-J24)</f>
        <v>-1.42629632908877</v>
      </c>
      <c r="K159" s="22" t="n">
        <f aca="false">100*(K25-K24)</f>
        <v>-1.53976160047318</v>
      </c>
      <c r="L159" s="22" t="n">
        <f aca="false">100*(L25-L24)</f>
        <v>-1.64892790927246</v>
      </c>
      <c r="M159" s="22" t="n">
        <f aca="false">100*(M25-M24)</f>
        <v>-1.7499897723577</v>
      </c>
      <c r="N159" s="22" t="n">
        <f aca="false">100*(N25-N24)</f>
        <v>-1.8398651376041</v>
      </c>
      <c r="O159" s="22" t="n">
        <f aca="false">100*(O25-O24)</f>
        <v>-1.97929374302039</v>
      </c>
      <c r="P159" s="22" t="n">
        <f aca="false">100*(P25-P24)</f>
        <v>-1.9642636218993</v>
      </c>
      <c r="Q159" s="22" t="n">
        <f aca="false">100*(Q25-Q24)</f>
        <v>-1.95309559872778</v>
      </c>
      <c r="R159" s="22" t="n">
        <f aca="false">100*(R25-R24)</f>
        <v>-1.9462667718305</v>
      </c>
      <c r="S159" s="22" t="n">
        <f aca="false">100*(S25-S24)</f>
        <v>-1.94397539539031</v>
      </c>
      <c r="T159" s="22" t="n">
        <f aca="false">100*(T25-T24)</f>
        <v>-1.94618016683208</v>
      </c>
      <c r="U159" s="22" t="n">
        <f aca="false">100*(U25-U24)</f>
        <v>-1.95263545346001</v>
      </c>
      <c r="V159" s="22" t="n">
        <f aca="false">100*(V25-V24)</f>
        <v>-1.96292163096039</v>
      </c>
      <c r="W159" s="22" t="n">
        <f aca="false">100*(W25-W24)</f>
        <v>-1.976473835716</v>
      </c>
      <c r="X159" s="22" t="n">
        <f aca="false">100*(X25-X24)</f>
        <v>-1.99260335799081</v>
      </c>
      <c r="Y159" s="22" t="n">
        <f aca="false">100*(Y25-Y24)</f>
        <v>-2.0105311622298</v>
      </c>
      <c r="Z159" s="22" t="n">
        <f aca="false">100*(Z25-Z24)</f>
        <v>-2.02949603800569</v>
      </c>
      <c r="AA159" s="22" t="n">
        <f aca="false">100*(AA25-AA24)</f>
        <v>-2.04880856949559</v>
      </c>
      <c r="AB159" s="22" t="n">
        <f aca="false">100*(AB25-AB24)</f>
        <v>-2.06784471836188</v>
      </c>
      <c r="AC159" s="22" t="n">
        <f aca="false">100*(AC25-AC24)</f>
        <v>-2.0860380407175</v>
      </c>
      <c r="AD159" s="22" t="n">
        <f aca="false">100*(AD25-AD24)</f>
        <v>-2.10287489475389</v>
      </c>
      <c r="AE159" s="22" t="n">
        <f aca="false">100*(AE25-AE24)</f>
        <v>-2.1179389026647</v>
      </c>
      <c r="AF159" s="22" t="n">
        <f aca="false">100*(AF25-AF24)</f>
        <v>-2.13098333236901</v>
      </c>
      <c r="AG159" s="22" t="n">
        <f aca="false">100*(AG25-AG24)</f>
        <v>-2.14189023666509</v>
      </c>
      <c r="AH159" s="22" t="n">
        <f aca="false">100*(AH25-AH24)</f>
        <v>-2.1506332144932</v>
      </c>
      <c r="AI159" s="22" t="n">
        <f aca="false">100*(AI25-AI24)</f>
        <v>-2.15725590604818</v>
      </c>
      <c r="AJ159" s="22" t="n">
        <f aca="false">100*(AJ25-AJ24)</f>
        <v>-2.16184713045449</v>
      </c>
      <c r="AK159" s="22" t="n">
        <f aca="false">100*(AK25-AK24)</f>
        <v>-2.16453346065211</v>
      </c>
      <c r="AL159" s="22" t="n">
        <f aca="false">100*(AL25-AL24)</f>
        <v>-2.1654750688767</v>
      </c>
      <c r="AM159" s="22" t="n">
        <f aca="false">100*(AM25-AM24)</f>
        <v>-2.16485167109619</v>
      </c>
      <c r="AN159" s="22" t="n">
        <f aca="false">100*(AN25-AN24)</f>
        <v>-2.16284252618539</v>
      </c>
      <c r="AO159" s="22" t="n">
        <f aca="false">100*(AO25-AO24)</f>
        <v>-2.15962213272671</v>
      </c>
      <c r="AP159" s="22" t="n">
        <f aca="false">100*(AP25-AP24)</f>
        <v>-2.15535737053461</v>
      </c>
      <c r="AQ159" s="22" t="n">
        <f aca="false">100*(AQ25-AQ24)</f>
        <v>-2.15020611507299</v>
      </c>
      <c r="AR159" s="22" t="n">
        <f aca="false">100*(AR25-AR24)</f>
        <v>-2.14431341219901</v>
      </c>
      <c r="AS159" s="22" t="n">
        <f aca="false">100*(AS25-AS24)</f>
        <v>-2.13781060864722</v>
      </c>
      <c r="AT159" s="22" t="n">
        <f aca="false">100*(AT25-AT24)</f>
        <v>-2.13081649827791</v>
      </c>
      <c r="AU159" s="22" t="n">
        <f aca="false">100*(AU25-AU24)</f>
        <v>-2.1234382387606</v>
      </c>
      <c r="AV159" s="22" t="n">
        <f aca="false">AVERAGE(C159:AU159)</f>
        <v>-1.86864023313245</v>
      </c>
    </row>
    <row r="160" customFormat="false" ht="15" hidden="false" customHeight="false" outlineLevel="0" collapsed="false">
      <c r="A160" s="20" t="n">
        <f aca="false">A26</f>
        <v>-99</v>
      </c>
      <c r="B160" s="21" t="n">
        <f aca="false">B26</f>
        <v>43032</v>
      </c>
      <c r="C160" s="22" t="n">
        <f aca="false">100*(C26-C25)</f>
        <v>3.02735186285684</v>
      </c>
      <c r="D160" s="22" t="n">
        <f aca="false">100*(D26-D25)</f>
        <v>3.16179710344832</v>
      </c>
      <c r="E160" s="22" t="n">
        <f aca="false">100*(E26-E25)</f>
        <v>3.30343237606093</v>
      </c>
      <c r="F160" s="22" t="n">
        <f aca="false">100*(F26-F25)</f>
        <v>3.45371170361866</v>
      </c>
      <c r="G160" s="22" t="n">
        <f aca="false">100*(G26-G25)</f>
        <v>3.60877388762262</v>
      </c>
      <c r="H160" s="22" t="n">
        <f aca="false">100*(H26-H25)</f>
        <v>3.76374309071097</v>
      </c>
      <c r="I160" s="22" t="n">
        <f aca="false">100*(I26-I25)</f>
        <v>3.91393087442853</v>
      </c>
      <c r="J160" s="22" t="n">
        <f aca="false">100*(J26-J25)</f>
        <v>4.05494170423902</v>
      </c>
      <c r="K160" s="22" t="n">
        <f aca="false">100*(K26-K25)</f>
        <v>4.1828975746995</v>
      </c>
      <c r="L160" s="22" t="n">
        <f aca="false">100*(L26-L25)</f>
        <v>4.29459097612756</v>
      </c>
      <c r="M160" s="22" t="n">
        <f aca="false">100*(M26-M25)</f>
        <v>4.38761425313261</v>
      </c>
      <c r="N160" s="22" t="n">
        <f aca="false">100*(N26-N25)</f>
        <v>4.46046794453769</v>
      </c>
      <c r="O160" s="22" t="n">
        <f aca="false">100*(O26-O25)</f>
        <v>4.0231981182919</v>
      </c>
      <c r="P160" s="22" t="n">
        <f aca="false">100*(P26-P25)</f>
        <v>3.9499606588818</v>
      </c>
      <c r="Q160" s="22" t="n">
        <f aca="false">100*(Q26-Q25)</f>
        <v>3.8791180043763</v>
      </c>
      <c r="R160" s="22" t="n">
        <f aca="false">100*(R26-R25)</f>
        <v>3.81120371653658</v>
      </c>
      <c r="S160" s="22" t="n">
        <f aca="false">100*(S26-S25)</f>
        <v>3.74654424399581</v>
      </c>
      <c r="T160" s="22" t="n">
        <f aca="false">100*(T26-T25)</f>
        <v>3.68529654368599</v>
      </c>
      <c r="U160" s="22" t="n">
        <f aca="false">100*(U26-U25)</f>
        <v>3.62747302510851</v>
      </c>
      <c r="V160" s="22" t="n">
        <f aca="false">100*(V26-V25)</f>
        <v>3.5729694263414</v>
      </c>
      <c r="W160" s="22" t="n">
        <f aca="false">100*(W26-W25)</f>
        <v>3.52162288539899</v>
      </c>
      <c r="X160" s="22" t="n">
        <f aca="false">100*(X26-X25)</f>
        <v>3.4732448735985</v>
      </c>
      <c r="Y160" s="22" t="n">
        <f aca="false">100*(Y26-Y25)</f>
        <v>3.4276310276901</v>
      </c>
      <c r="Z160" s="22" t="n">
        <f aca="false">100*(Z26-Z25)</f>
        <v>3.38459358189338</v>
      </c>
      <c r="AA160" s="22" t="n">
        <f aca="false">100*(AA26-AA25)</f>
        <v>3.34397712013419</v>
      </c>
      <c r="AB160" s="22" t="n">
        <f aca="false">100*(AB26-AB25)</f>
        <v>3.30565538160759</v>
      </c>
      <c r="AC160" s="22" t="n">
        <f aca="false">100*(AC26-AC25)</f>
        <v>3.26952778991116</v>
      </c>
      <c r="AD160" s="22" t="n">
        <f aca="false">100*(AD26-AD25)</f>
        <v>3.23551682260952</v>
      </c>
      <c r="AE160" s="22" t="n">
        <f aca="false">100*(AE26-AE25)</f>
        <v>3.2035740762435</v>
      </c>
      <c r="AF160" s="22" t="n">
        <f aca="false">100*(AF26-AF25)</f>
        <v>3.17368891620271</v>
      </c>
      <c r="AG160" s="22" t="n">
        <f aca="false">100*(AG26-AG25)</f>
        <v>3.1458697463536</v>
      </c>
      <c r="AH160" s="22" t="n">
        <f aca="false">100*(AH26-AH25)</f>
        <v>3.12013117427141</v>
      </c>
      <c r="AI160" s="22" t="n">
        <f aca="false">100*(AI26-AI25)</f>
        <v>3.09648486197198</v>
      </c>
      <c r="AJ160" s="22" t="n">
        <f aca="false">100*(AJ26-AJ25)</f>
        <v>3.07492358642438</v>
      </c>
      <c r="AK160" s="22" t="n">
        <f aca="false">100*(AK26-AK25)</f>
        <v>3.05541967124809</v>
      </c>
      <c r="AL160" s="22" t="n">
        <f aca="false">100*(AL26-AL25)</f>
        <v>3.03792689275708</v>
      </c>
      <c r="AM160" s="22" t="n">
        <f aca="false">100*(AM26-AM25)</f>
        <v>3.02237837894839</v>
      </c>
      <c r="AN160" s="22" t="n">
        <f aca="false">100*(AN26-AN25)</f>
        <v>3.00867998524939</v>
      </c>
      <c r="AO160" s="22" t="n">
        <f aca="false">100*(AO26-AO25)</f>
        <v>2.99671086621098</v>
      </c>
      <c r="AP160" s="22" t="n">
        <f aca="false">100*(AP26-AP25)</f>
        <v>2.98632540399939</v>
      </c>
      <c r="AQ160" s="22" t="n">
        <f aca="false">100*(AQ26-AQ25)</f>
        <v>2.9773583820665</v>
      </c>
      <c r="AR160" s="22" t="n">
        <f aca="false">100*(AR26-AR25)</f>
        <v>2.969638285483</v>
      </c>
      <c r="AS160" s="22" t="n">
        <f aca="false">100*(AS26-AS25)</f>
        <v>2.9629922144025</v>
      </c>
      <c r="AT160" s="22" t="n">
        <f aca="false">100*(AT26-AT25)</f>
        <v>2.95724629979881</v>
      </c>
      <c r="AU160" s="22" t="n">
        <f aca="false">100*(AU26-AU25)</f>
        <v>2.95223251026291</v>
      </c>
      <c r="AV160" s="22" t="n">
        <f aca="false">AVERAGE(C160:AU160)</f>
        <v>3.43583039607644</v>
      </c>
    </row>
    <row r="161" customFormat="false" ht="15" hidden="false" customHeight="false" outlineLevel="0" collapsed="false">
      <c r="A161" s="20" t="n">
        <f aca="false">A27</f>
        <v>-98</v>
      </c>
      <c r="B161" s="21" t="n">
        <f aca="false">B27</f>
        <v>43033</v>
      </c>
      <c r="C161" s="22" t="n">
        <f aca="false">100*(C27-C26)</f>
        <v>4.61553582248909</v>
      </c>
      <c r="D161" s="22" t="n">
        <f aca="false">100*(D27-D26)</f>
        <v>4.89120806824835</v>
      </c>
      <c r="E161" s="22" t="n">
        <f aca="false">100*(E27-E26)</f>
        <v>5.14452510978816</v>
      </c>
      <c r="F161" s="22" t="n">
        <f aca="false">100*(F27-F26)</f>
        <v>5.37682371068194</v>
      </c>
      <c r="G161" s="22" t="n">
        <f aca="false">100*(G27-G26)</f>
        <v>5.5835483473328</v>
      </c>
      <c r="H161" s="22" t="n">
        <f aca="false">100*(H27-H26)</f>
        <v>5.76063599823671</v>
      </c>
      <c r="I161" s="22" t="n">
        <f aca="false">100*(I27-I26)</f>
        <v>5.9060104334261</v>
      </c>
      <c r="J161" s="22" t="n">
        <f aca="false">100*(J27-J26)</f>
        <v>6.01979105118524</v>
      </c>
      <c r="K161" s="22" t="n">
        <f aca="false">100*(K27-K26)</f>
        <v>6.10369956707974</v>
      </c>
      <c r="L161" s="22" t="n">
        <f aca="false">100*(L27-L26)</f>
        <v>6.16042768852275</v>
      </c>
      <c r="M161" s="22" t="n">
        <f aca="false">100*(M27-M26)</f>
        <v>6.19294839260469</v>
      </c>
      <c r="N161" s="22" t="n">
        <f aca="false">100*(N27-N26)</f>
        <v>6.2043401722478</v>
      </c>
      <c r="O161" s="22" t="n">
        <f aca="false">100*(O27-O26)</f>
        <v>5.36971053004338</v>
      </c>
      <c r="P161" s="22" t="n">
        <f aca="false">100*(P27-P26)</f>
        <v>5.2737671288001</v>
      </c>
      <c r="Q161" s="22" t="n">
        <f aca="false">100*(Q27-Q26)</f>
        <v>5.1777611518965</v>
      </c>
      <c r="R161" s="22" t="n">
        <f aca="false">100*(R27-R26)</f>
        <v>5.08237566534251</v>
      </c>
      <c r="S161" s="22" t="n">
        <f aca="false">100*(S27-S26)</f>
        <v>4.98822423666039</v>
      </c>
      <c r="T161" s="22" t="n">
        <f aca="false">100*(T27-T26)</f>
        <v>4.89585761418789</v>
      </c>
      <c r="U161" s="22" t="n">
        <f aca="false">100*(U27-U26)</f>
        <v>4.80577295102769</v>
      </c>
      <c r="V161" s="22" t="n">
        <f aca="false">100*(V27-V26)</f>
        <v>4.7184176129317</v>
      </c>
      <c r="W161" s="22" t="n">
        <f aca="false">100*(W27-W26)</f>
        <v>4.6341764344948</v>
      </c>
      <c r="X161" s="22" t="n">
        <f aca="false">100*(X27-X26)</f>
        <v>4.55336964865991</v>
      </c>
      <c r="Y161" s="22" t="n">
        <f aca="false">100*(Y27-Y26)</f>
        <v>4.47625764378281</v>
      </c>
      <c r="Z161" s="22" t="n">
        <f aca="false">100*(Z27-Z26)</f>
        <v>4.40303080511573</v>
      </c>
      <c r="AA161" s="22" t="n">
        <f aca="false">100*(AA27-AA26)</f>
        <v>4.33380839085422</v>
      </c>
      <c r="AB161" s="22" t="n">
        <f aca="false">100*(AB27-AB26)</f>
        <v>4.26864682837023</v>
      </c>
      <c r="AC161" s="22" t="n">
        <f aca="false">100*(AC27-AC26)</f>
        <v>4.2075471940723</v>
      </c>
      <c r="AD161" s="22" t="n">
        <f aca="false">100*(AD27-AD26)</f>
        <v>4.15046148924301</v>
      </c>
      <c r="AE161" s="22" t="n">
        <f aca="false">100*(AE27-AE26)</f>
        <v>4.09729376495727</v>
      </c>
      <c r="AF161" s="22" t="n">
        <f aca="false">100*(AF27-AF26)</f>
        <v>4.04789791898348</v>
      </c>
      <c r="AG161" s="22" t="n">
        <f aca="false">100*(AG27-AG26)</f>
        <v>4.00208425360398</v>
      </c>
      <c r="AH161" s="22" t="n">
        <f aca="false">100*(AH27-AH26)</f>
        <v>3.95962556435281</v>
      </c>
      <c r="AI161" s="22" t="n">
        <f aca="false">100*(AI27-AI26)</f>
        <v>3.9202662016681</v>
      </c>
      <c r="AJ161" s="22" t="n">
        <f aca="false">100*(AJ27-AJ26)</f>
        <v>3.88373199623993</v>
      </c>
      <c r="AK161" s="22" t="n">
        <f aca="false">100*(AK27-AK26)</f>
        <v>3.84973298321119</v>
      </c>
      <c r="AL161" s="22" t="n">
        <f aca="false">100*(AL27-AL26)</f>
        <v>3.81796531709671</v>
      </c>
      <c r="AM161" s="22" t="n">
        <f aca="false">100*(AM27-AM26)</f>
        <v>3.78812067466603</v>
      </c>
      <c r="AN161" s="22" t="n">
        <f aca="false">100*(AN27-AN26)</f>
        <v>3.75989940987389</v>
      </c>
      <c r="AO161" s="22" t="n">
        <f aca="false">100*(AO27-AO26)</f>
        <v>3.7330143033699</v>
      </c>
      <c r="AP161" s="22" t="n">
        <f aca="false">100*(AP27-AP26)</f>
        <v>3.70719669918422</v>
      </c>
      <c r="AQ161" s="22" t="n">
        <f aca="false">100*(AQ27-AQ26)</f>
        <v>3.6821999794225</v>
      </c>
      <c r="AR161" s="22" t="n">
        <f aca="false">100*(AR27-AR26)</f>
        <v>3.6578075629492</v>
      </c>
      <c r="AS161" s="22" t="n">
        <f aca="false">100*(AS27-AS26)</f>
        <v>3.63383400027122</v>
      </c>
      <c r="AT161" s="22" t="n">
        <f aca="false">100*(AT27-AT26)</f>
        <v>3.61012250804957</v>
      </c>
      <c r="AU161" s="22" t="n">
        <f aca="false">100*(AU27-AU26)</f>
        <v>3.5865461607099</v>
      </c>
      <c r="AV161" s="22" t="n">
        <f aca="false">AVERAGE(C161:AU161)</f>
        <v>4.62302264413192</v>
      </c>
    </row>
    <row r="162" customFormat="false" ht="15" hidden="false" customHeight="false" outlineLevel="0" collapsed="false">
      <c r="A162" s="20" t="n">
        <f aca="false">A28</f>
        <v>-97</v>
      </c>
      <c r="B162" s="21" t="n">
        <f aca="false">B28</f>
        <v>43034</v>
      </c>
      <c r="C162" s="22" t="n">
        <f aca="false">100*(C28-C27)</f>
        <v>-1.42950820250442</v>
      </c>
      <c r="D162" s="22" t="n">
        <f aca="false">100*(D28-D27)</f>
        <v>-1.47914763647248</v>
      </c>
      <c r="E162" s="22" t="n">
        <f aca="false">100*(E28-E27)</f>
        <v>-1.49423437115297</v>
      </c>
      <c r="F162" s="22" t="n">
        <f aca="false">100*(F28-F27)</f>
        <v>-1.48498169087199</v>
      </c>
      <c r="G162" s="22" t="n">
        <f aca="false">100*(G28-G27)</f>
        <v>-1.45809611764216</v>
      </c>
      <c r="H162" s="22" t="n">
        <f aca="false">100*(H28-H27)</f>
        <v>-1.4181317533674</v>
      </c>
      <c r="I162" s="22" t="n">
        <f aca="false">100*(I28-I27)</f>
        <v>-1.36866746563409</v>
      </c>
      <c r="J162" s="22" t="n">
        <f aca="false">100*(J28-J27)</f>
        <v>-1.31284230675245</v>
      </c>
      <c r="K162" s="22" t="n">
        <f aca="false">100*(K28-K27)</f>
        <v>-1.25354766409531</v>
      </c>
      <c r="L162" s="22" t="n">
        <f aca="false">100*(L28-L27)</f>
        <v>-1.1933248307183</v>
      </c>
      <c r="M162" s="22" t="n">
        <f aca="false">100*(M28-M27)</f>
        <v>-1.1342664533599</v>
      </c>
      <c r="N162" s="22" t="n">
        <f aca="false">100*(N28-N27)</f>
        <v>-1.07776498155661</v>
      </c>
      <c r="O162" s="22" t="n">
        <f aca="false">100*(O28-O27)</f>
        <v>-0.500935867760388</v>
      </c>
      <c r="P162" s="22" t="n">
        <f aca="false">100*(P28-P27)</f>
        <v>-0.459280191564493</v>
      </c>
      <c r="Q162" s="22" t="n">
        <f aca="false">100*(Q28-Q27)</f>
        <v>-0.417756529275404</v>
      </c>
      <c r="R162" s="22" t="n">
        <f aca="false">100*(R28-R27)</f>
        <v>-0.37639413060031</v>
      </c>
      <c r="S162" s="22" t="n">
        <f aca="false">100*(S28-S27)</f>
        <v>-0.335210163514188</v>
      </c>
      <c r="T162" s="22" t="n">
        <f aca="false">100*(T28-T27)</f>
        <v>-0.294210307201293</v>
      </c>
      <c r="U162" s="22" t="n">
        <f aca="false">100*(U28-U27)</f>
        <v>-0.253390443102108</v>
      </c>
      <c r="V162" s="22" t="n">
        <f aca="false">100*(V28-V27)</f>
        <v>-0.212738705892002</v>
      </c>
      <c r="W162" s="22" t="n">
        <f aca="false">100*(W28-W27)</f>
        <v>-0.172238467476893</v>
      </c>
      <c r="X162" s="22" t="n">
        <f aca="false">100*(X28-X27)</f>
        <v>-0.131869281764319</v>
      </c>
      <c r="Y162" s="22" t="n">
        <f aca="false">100*(Y28-Y27)</f>
        <v>-0.0916095724436072</v>
      </c>
      <c r="Z162" s="22" t="n">
        <f aca="false">100*(Z28-Z27)</f>
        <v>-0.0514480032883125</v>
      </c>
      <c r="AA162" s="22" t="n">
        <f aca="false">100*(AA28-AA27)</f>
        <v>-0.0113881422167061</v>
      </c>
      <c r="AB162" s="22" t="n">
        <f aca="false">100*(AB28-AB27)</f>
        <v>0.0285531468211975</v>
      </c>
      <c r="AC162" s="22" t="n">
        <f aca="false">100*(AC28-AC27)</f>
        <v>0.0683472867043289</v>
      </c>
      <c r="AD162" s="22" t="n">
        <f aca="false">100*(AD28-AD27)</f>
        <v>0.107955207125388</v>
      </c>
      <c r="AE162" s="22" t="n">
        <f aca="false">100*(AE28-AE27)</f>
        <v>0.147324704955532</v>
      </c>
      <c r="AF162" s="22" t="n">
        <f aca="false">100*(AF28-AF27)</f>
        <v>0.186387720801706</v>
      </c>
      <c r="AG162" s="22" t="n">
        <f aca="false">100*(AG28-AG27)</f>
        <v>0.225074941941283</v>
      </c>
      <c r="AH162" s="22" t="n">
        <f aca="false">100*(AH28-AH27)</f>
        <v>0.263323930871495</v>
      </c>
      <c r="AI162" s="22" t="n">
        <f aca="false">100*(AI28-AI27)</f>
        <v>0.301083605197405</v>
      </c>
      <c r="AJ162" s="22" t="n">
        <f aca="false">100*(AJ28-AJ27)</f>
        <v>0.338319532978204</v>
      </c>
      <c r="AK162" s="22" t="n">
        <f aca="false">100*(AK28-AK27)</f>
        <v>0.375013006697111</v>
      </c>
      <c r="AL162" s="22" t="n">
        <f aca="false">100*(AL28-AL27)</f>
        <v>0.411159572097208</v>
      </c>
      <c r="AM162" s="22" t="n">
        <f aca="false">100*(AM28-AM27)</f>
        <v>0.446767883065213</v>
      </c>
      <c r="AN162" s="22" t="n">
        <f aca="false">100*(AN28-AN27)</f>
        <v>0.481857159481036</v>
      </c>
      <c r="AO162" s="22" t="n">
        <f aca="false">100*(AO28-AO27)</f>
        <v>0.516454353690721</v>
      </c>
      <c r="AP162" s="22" t="n">
        <f aca="false">100*(AP28-AP27)</f>
        <v>0.550588931163976</v>
      </c>
      <c r="AQ162" s="22" t="n">
        <f aca="false">100*(AQ28-AQ27)</f>
        <v>0.584288029551594</v>
      </c>
      <c r="AR162" s="22" t="n">
        <f aca="false">100*(AR28-AR27)</f>
        <v>0.617568195540619</v>
      </c>
      <c r="AS162" s="22" t="n">
        <f aca="false">100*(AS28-AS27)</f>
        <v>0.650433647490578</v>
      </c>
      <c r="AT162" s="22" t="n">
        <f aca="false">100*(AT28-AT27)</f>
        <v>0.682877055267106</v>
      </c>
      <c r="AU162" s="22" t="n">
        <f aca="false">100*(AU28-AU27)</f>
        <v>0.714875255222713</v>
      </c>
      <c r="AV162" s="22" t="n">
        <f aca="false">AVERAGE(C162:AU162)</f>
        <v>-0.260327335856971</v>
      </c>
    </row>
    <row r="163" customFormat="false" ht="15" hidden="false" customHeight="false" outlineLevel="0" collapsed="false">
      <c r="A163" s="20" t="n">
        <f aca="false">A29</f>
        <v>-96</v>
      </c>
      <c r="B163" s="21" t="n">
        <f aca="false">B29</f>
        <v>43035</v>
      </c>
      <c r="C163" s="22" t="n">
        <f aca="false">100*(C29-C28)</f>
        <v>-2.78448487152324</v>
      </c>
      <c r="D163" s="22" t="n">
        <f aca="false">100*(D29-D28)</f>
        <v>-2.96580752316358</v>
      </c>
      <c r="E163" s="22" t="n">
        <f aca="false">100*(E29-E28)</f>
        <v>-3.13490032251789</v>
      </c>
      <c r="F163" s="22" t="n">
        <f aca="false">100*(F29-F28)</f>
        <v>-3.29940863295666</v>
      </c>
      <c r="G163" s="22" t="n">
        <f aca="false">100*(G29-G28)</f>
        <v>-3.4593344914253</v>
      </c>
      <c r="H163" s="22" t="n">
        <f aca="false">100*(H29-H28)</f>
        <v>-3.6118173856692</v>
      </c>
      <c r="I163" s="22" t="n">
        <f aca="false">100*(I29-I28)</f>
        <v>-3.75385520676469</v>
      </c>
      <c r="J163" s="22" t="n">
        <f aca="false">100*(J29-J28)</f>
        <v>-3.88307633660009</v>
      </c>
      <c r="K163" s="22" t="n">
        <f aca="false">100*(K29-K28)</f>
        <v>-3.99817959314202</v>
      </c>
      <c r="L163" s="22" t="n">
        <f aca="false">100*(L29-L28)</f>
        <v>-4.0982810668271</v>
      </c>
      <c r="M163" s="22" t="n">
        <f aca="false">100*(M29-M28)</f>
        <v>-4.1830202370607</v>
      </c>
      <c r="N163" s="22" t="n">
        <f aca="false">100*(N29-N28)</f>
        <v>-4.25232189121729</v>
      </c>
      <c r="O163" s="22" t="n">
        <f aca="false">100*(O29-O28)</f>
        <v>-4.06544692467941</v>
      </c>
      <c r="P163" s="22" t="n">
        <f aca="false">100*(P29-P28)</f>
        <v>-4.00014999673459</v>
      </c>
      <c r="Q163" s="22" t="n">
        <f aca="false">100*(Q29-Q28)</f>
        <v>-3.9320140016849</v>
      </c>
      <c r="R163" s="22" t="n">
        <f aca="false">100*(R29-R28)</f>
        <v>-3.86175317963509</v>
      </c>
      <c r="S163" s="22" t="n">
        <f aca="false">100*(S29-S28)</f>
        <v>-3.79008076598371</v>
      </c>
      <c r="T163" s="22" t="n">
        <f aca="false">100*(T29-T28)</f>
        <v>-3.71771324717851</v>
      </c>
      <c r="U163" s="22" t="n">
        <f aca="false">100*(U29-U28)</f>
        <v>-3.6453698939128</v>
      </c>
      <c r="V163" s="22" t="n">
        <f aca="false">100*(V29-V28)</f>
        <v>-3.57377170816839</v>
      </c>
      <c r="W163" s="22" t="n">
        <f aca="false">100*(W29-W28)</f>
        <v>-3.5036330390485</v>
      </c>
      <c r="X163" s="22" t="n">
        <f aca="false">100*(X29-X28)</f>
        <v>-3.43565574374858</v>
      </c>
      <c r="Y163" s="22" t="n">
        <f aca="false">100*(Y29-Y28)</f>
        <v>-3.37051768454411</v>
      </c>
      <c r="Z163" s="22" t="n">
        <f aca="false">100*(Z29-Z28)</f>
        <v>-3.3088079556435</v>
      </c>
      <c r="AA163" s="22" t="n">
        <f aca="false">100*(AA29-AA28)</f>
        <v>-3.2510002225385</v>
      </c>
      <c r="AB163" s="22" t="n">
        <f aca="false">100*(AB29-AB28)</f>
        <v>-3.1974653399661</v>
      </c>
      <c r="AC163" s="22" t="n">
        <f aca="false">100*(AC29-AC28)</f>
        <v>-3.14848359128272</v>
      </c>
      <c r="AD163" s="22" t="n">
        <f aca="false">100*(AD29-AD28)</f>
        <v>-3.10425403088859</v>
      </c>
      <c r="AE163" s="22" t="n">
        <f aca="false">100*(AE29-AE28)</f>
        <v>-3.06487745042161</v>
      </c>
      <c r="AF163" s="22" t="n">
        <f aca="false">100*(AF29-AF28)</f>
        <v>-3.03032822025098</v>
      </c>
      <c r="AG163" s="22" t="n">
        <f aca="false">100*(AG29-AG28)</f>
        <v>-3.00047940559787</v>
      </c>
      <c r="AH163" s="22" t="n">
        <f aca="false">100*(AH29-AH28)</f>
        <v>-2.9751250492938</v>
      </c>
      <c r="AI163" s="22" t="n">
        <f aca="false">100*(AI29-AI28)</f>
        <v>-2.95399541676229</v>
      </c>
      <c r="AJ163" s="22" t="n">
        <f aca="false">100*(AJ29-AJ28)</f>
        <v>-2.93678038113621</v>
      </c>
      <c r="AK163" s="22" t="n">
        <f aca="false">100*(AK29-AK28)</f>
        <v>-2.9231376537648</v>
      </c>
      <c r="AL163" s="22" t="n">
        <f aca="false">100*(AL29-AL28)</f>
        <v>-2.9126959936618</v>
      </c>
      <c r="AM163" s="22" t="n">
        <f aca="false">100*(AM29-AM28)</f>
        <v>-2.90506366226553</v>
      </c>
      <c r="AN163" s="22" t="n">
        <f aca="false">100*(AN29-AN28)</f>
        <v>-2.8998448359717</v>
      </c>
      <c r="AO163" s="22" t="n">
        <f aca="false">100*(AO29-AO28)</f>
        <v>-2.89664422942169</v>
      </c>
      <c r="AP163" s="22" t="n">
        <f aca="false">100*(AP29-AP28)</f>
        <v>-2.89507085688228</v>
      </c>
      <c r="AQ163" s="22" t="n">
        <f aca="false">100*(AQ29-AQ28)</f>
        <v>-2.89474622014327</v>
      </c>
      <c r="AR163" s="22" t="n">
        <f aca="false">100*(AR29-AR28)</f>
        <v>-2.89532145057381</v>
      </c>
      <c r="AS163" s="22" t="n">
        <f aca="false">100*(AS29-AS28)</f>
        <v>-2.8964799605562</v>
      </c>
      <c r="AT163" s="22" t="n">
        <f aca="false">100*(AT29-AT28)</f>
        <v>-2.89793523352018</v>
      </c>
      <c r="AU163" s="22" t="n">
        <f aca="false">100*(AU29-AU28)</f>
        <v>-2.89943755393891</v>
      </c>
      <c r="AV163" s="22" t="n">
        <f aca="false">AVERAGE(C163:AU163)</f>
        <v>-3.33796818797041</v>
      </c>
    </row>
    <row r="164" customFormat="false" ht="15" hidden="false" customHeight="false" outlineLevel="0" collapsed="false">
      <c r="A164" s="20" t="n">
        <f aca="false">A30</f>
        <v>-95</v>
      </c>
      <c r="B164" s="21" t="n">
        <f aca="false">B30</f>
        <v>43038</v>
      </c>
      <c r="C164" s="22" t="n">
        <f aca="false">100*(C30-C29)</f>
        <v>-1.71506729574759</v>
      </c>
      <c r="D164" s="22" t="n">
        <f aca="false">100*(D30-D29)</f>
        <v>-1.87980343885983</v>
      </c>
      <c r="E164" s="22" t="n">
        <f aca="false">100*(E30-E29)</f>
        <v>-2.0274987312885</v>
      </c>
      <c r="F164" s="22" t="n">
        <f aca="false">100*(F30-F29)</f>
        <v>-2.16306230655221</v>
      </c>
      <c r="G164" s="22" t="n">
        <f aca="false">100*(G30-G29)</f>
        <v>-2.28535294527378</v>
      </c>
      <c r="H164" s="22" t="n">
        <f aca="false">100*(H30-H29)</f>
        <v>-2.39293679327826</v>
      </c>
      <c r="I164" s="22" t="n">
        <f aca="false">100*(I30-I29)</f>
        <v>-2.48527476865734</v>
      </c>
      <c r="J164" s="22" t="n">
        <f aca="false">100*(J30-J29)</f>
        <v>-2.56256227117597</v>
      </c>
      <c r="K164" s="22" t="n">
        <f aca="false">100*(K30-K29)</f>
        <v>-2.62557533786417</v>
      </c>
      <c r="L164" s="22" t="n">
        <f aca="false">100*(L30-L29)</f>
        <v>-2.67523788871371</v>
      </c>
      <c r="M164" s="22" t="n">
        <f aca="false">100*(M30-M29)</f>
        <v>-2.71250872332429</v>
      </c>
      <c r="N164" s="22" t="n">
        <f aca="false">100*(N30-N29)</f>
        <v>-2.73848597155191</v>
      </c>
      <c r="O164" s="22" t="n">
        <f aca="false">100*(O30-O29)</f>
        <v>-2.5190256458151</v>
      </c>
      <c r="P164" s="22" t="n">
        <f aca="false">100*(P30-P29)</f>
        <v>-2.4852903233586</v>
      </c>
      <c r="Q164" s="22" t="n">
        <f aca="false">100*(Q30-Q29)</f>
        <v>-2.451601437285</v>
      </c>
      <c r="R164" s="22" t="n">
        <f aca="false">100*(R30-R29)</f>
        <v>-2.41821744804212</v>
      </c>
      <c r="S164" s="22" t="n">
        <f aca="false">100*(S30-S29)</f>
        <v>-2.3853675553819</v>
      </c>
      <c r="T164" s="22" t="n">
        <f aca="false">100*(T30-T29)</f>
        <v>-2.35325770343979</v>
      </c>
      <c r="U164" s="22" t="n">
        <f aca="false">100*(U30-U29)</f>
        <v>-2.32207400716609</v>
      </c>
      <c r="V164" s="22" t="n">
        <f aca="false">100*(V30-V29)</f>
        <v>-2.29198665444441</v>
      </c>
      <c r="W164" s="22" t="n">
        <f aca="false">100*(W30-W29)</f>
        <v>-2.26315606342089</v>
      </c>
      <c r="X164" s="22" t="n">
        <f aca="false">100*(X30-X29)</f>
        <v>-2.23573560392651</v>
      </c>
      <c r="Y164" s="22" t="n">
        <f aca="false">100*(Y30-Y29)</f>
        <v>-2.2098687668477</v>
      </c>
      <c r="Z164" s="22" t="n">
        <f aca="false">100*(Z30-Z29)</f>
        <v>-2.18567149513191</v>
      </c>
      <c r="AA164" s="22" t="n">
        <f aca="false">100*(AA30-AA29)</f>
        <v>-2.16322559574311</v>
      </c>
      <c r="AB164" s="22" t="n">
        <f aca="false">100*(AB30-AB29)</f>
        <v>-2.1425825463457</v>
      </c>
      <c r="AC164" s="22" t="n">
        <f aca="false">100*(AC30-AC29)</f>
        <v>-2.12376710593598</v>
      </c>
      <c r="AD164" s="22" t="n">
        <f aca="false">100*(AD30-AD29)</f>
        <v>-2.10677991869352</v>
      </c>
      <c r="AE164" s="22" t="n">
        <f aca="false">100*(AE30-AE29)</f>
        <v>-2.09158980163071</v>
      </c>
      <c r="AF164" s="22" t="n">
        <f aca="false">100*(AF30-AF29)</f>
        <v>-2.07812268143344</v>
      </c>
      <c r="AG164" s="22" t="n">
        <f aca="false">100*(AG30-AG29)</f>
        <v>-2.06627208871102</v>
      </c>
      <c r="AH164" s="22" t="n">
        <f aca="false">100*(AH30-AH29)</f>
        <v>-2.0559075654826</v>
      </c>
      <c r="AI164" s="22" t="n">
        <f aca="false">100*(AI30-AI29)</f>
        <v>-2.04688101047781</v>
      </c>
      <c r="AJ164" s="22" t="n">
        <f aca="false">100*(AJ30-AJ29)</f>
        <v>-2.03903631174471</v>
      </c>
      <c r="AK164" s="22" t="n">
        <f aca="false">100*(AK30-AK29)</f>
        <v>-2.03221185551059</v>
      </c>
      <c r="AL164" s="22" t="n">
        <f aca="false">100*(AL30-AL29)</f>
        <v>-2.02624117037842</v>
      </c>
      <c r="AM164" s="22" t="n">
        <f aca="false">100*(AM30-AM29)</f>
        <v>-2.02095719972659</v>
      </c>
      <c r="AN164" s="22" t="n">
        <f aca="false">100*(AN30-AN29)</f>
        <v>-2.01620017126061</v>
      </c>
      <c r="AO164" s="22" t="n">
        <f aca="false">100*(AO30-AO29)</f>
        <v>-2.01181880230164</v>
      </c>
      <c r="AP164" s="22" t="n">
        <f aca="false">100*(AP30-AP29)</f>
        <v>-2.00767075005182</v>
      </c>
      <c r="AQ164" s="22" t="n">
        <f aca="false">100*(AQ30-AQ29)</f>
        <v>-2.00362346673602</v>
      </c>
      <c r="AR164" s="22" t="n">
        <f aca="false">100*(AR30-AR29)</f>
        <v>-1.99955563256702</v>
      </c>
      <c r="AS164" s="22" t="n">
        <f aca="false">100*(AS30-AS29)</f>
        <v>-1.99535660292041</v>
      </c>
      <c r="AT164" s="22" t="n">
        <f aca="false">100*(AT30-AT29)</f>
        <v>-1.99092559820651</v>
      </c>
      <c r="AU164" s="22" t="n">
        <f aca="false">100*(AU30-AU29)</f>
        <v>-1.98617227337141</v>
      </c>
      <c r="AV164" s="22" t="n">
        <f aca="false">AVERAGE(C164:AU164)</f>
        <v>-2.20865594057283</v>
      </c>
    </row>
    <row r="165" customFormat="false" ht="15" hidden="false" customHeight="false" outlineLevel="0" collapsed="false">
      <c r="A165" s="20" t="n">
        <f aca="false">A31</f>
        <v>-94</v>
      </c>
      <c r="B165" s="21" t="n">
        <f aca="false">B31</f>
        <v>43039</v>
      </c>
      <c r="C165" s="22" t="n">
        <f aca="false">100*(C31-C30)</f>
        <v>1.22658940253737</v>
      </c>
      <c r="D165" s="22" t="n">
        <f aca="false">100*(D31-D30)</f>
        <v>1.11642916477492</v>
      </c>
      <c r="E165" s="22" t="n">
        <f aca="false">100*(E31-E30)</f>
        <v>1.05427700674954</v>
      </c>
      <c r="F165" s="22" t="n">
        <f aca="false">100*(F31-F30)</f>
        <v>1.0157070999359</v>
      </c>
      <c r="G165" s="22" t="n">
        <f aca="false">100*(G31-G30)</f>
        <v>0.987933473262648</v>
      </c>
      <c r="H165" s="22" t="n">
        <f aca="false">100*(H31-H30)</f>
        <v>0.964337152854355</v>
      </c>
      <c r="I165" s="22" t="n">
        <f aca="false">100*(I31-I30)</f>
        <v>0.941221953488758</v>
      </c>
      <c r="J165" s="22" t="n">
        <f aca="false">100*(J31-J30)</f>
        <v>0.916294019538011</v>
      </c>
      <c r="K165" s="22" t="n">
        <f aca="false">100*(K31-K30)</f>
        <v>0.887838804938446</v>
      </c>
      <c r="L165" s="22" t="n">
        <f aca="false">100*(L31-L30)</f>
        <v>0.854655272612981</v>
      </c>
      <c r="M165" s="22" t="n">
        <f aca="false">100*(M31-M30)</f>
        <v>0.815991375440084</v>
      </c>
      <c r="N165" s="22" t="n">
        <f aca="false">100*(N31-N30)</f>
        <v>0.771425975738804</v>
      </c>
      <c r="O165" s="22" t="n">
        <f aca="false">100*(O31-O30)</f>
        <v>-0.0603056113337885</v>
      </c>
      <c r="P165" s="22" t="n">
        <f aca="false">100*(P31-P30)</f>
        <v>-0.113973657484312</v>
      </c>
      <c r="Q165" s="22" t="n">
        <f aca="false">100*(Q31-Q30)</f>
        <v>-0.164065945737613</v>
      </c>
      <c r="R165" s="22" t="n">
        <f aca="false">100*(R31-R30)</f>
        <v>-0.210798452639693</v>
      </c>
      <c r="S165" s="22" t="n">
        <f aca="false">100*(S31-S30)</f>
        <v>-0.254427170193394</v>
      </c>
      <c r="T165" s="22" t="n">
        <f aca="false">100*(T31-T30)</f>
        <v>-0.295232664610601</v>
      </c>
      <c r="U165" s="22" t="n">
        <f aca="false">100*(U31-U30)</f>
        <v>-0.333516438591408</v>
      </c>
      <c r="V165" s="22" t="n">
        <f aca="false">100*(V31-V30)</f>
        <v>-0.369590640209494</v>
      </c>
      <c r="W165" s="22" t="n">
        <f aca="false">100*(W31-W30)</f>
        <v>-0.403738449385305</v>
      </c>
      <c r="X165" s="22" t="n">
        <f aca="false">100*(X31-X30)</f>
        <v>-0.436197129790994</v>
      </c>
      <c r="Y165" s="22" t="n">
        <f aca="false">100*(Y31-Y30)</f>
        <v>-0.467162383256103</v>
      </c>
      <c r="Z165" s="22" t="n">
        <f aca="false">100*(Z31-Z30)</f>
        <v>-0.496789537302589</v>
      </c>
      <c r="AA165" s="22" t="n">
        <f aca="false">100*(AA31-AA30)</f>
        <v>-0.525196585637189</v>
      </c>
      <c r="AB165" s="22" t="n">
        <f aca="false">100*(AB31-AB30)</f>
        <v>-0.552468681282603</v>
      </c>
      <c r="AC165" s="22" t="n">
        <f aca="false">100*(AC31-AC30)</f>
        <v>-0.57866204618211</v>
      </c>
      <c r="AD165" s="22" t="n">
        <f aca="false">100*(AD31-AD30)</f>
        <v>-0.603807280821789</v>
      </c>
      <c r="AE165" s="22" t="n">
        <f aca="false">100*(AE31-AE30)</f>
        <v>-0.627912094457006</v>
      </c>
      <c r="AF165" s="22" t="n">
        <f aca="false">100*(AF31-AF30)</f>
        <v>-0.650965596978992</v>
      </c>
      <c r="AG165" s="22" t="n">
        <f aca="false">100*(AG31-AG30)</f>
        <v>-0.672946483407477</v>
      </c>
      <c r="AH165" s="22" t="n">
        <f aca="false">100*(AH31-AH30)</f>
        <v>-0.693827731210295</v>
      </c>
      <c r="AI165" s="22" t="n">
        <f aca="false">100*(AI31-AI30)</f>
        <v>-0.713582853480999</v>
      </c>
      <c r="AJ165" s="22" t="n">
        <f aca="false">100*(AJ31-AJ30)</f>
        <v>-0.732196541706998</v>
      </c>
      <c r="AK165" s="22" t="n">
        <f aca="false">100*(AK31-AK30)</f>
        <v>-0.749665693861701</v>
      </c>
      <c r="AL165" s="22" t="n">
        <f aca="false">100*(AL31-AL30)</f>
        <v>-0.765998198440077</v>
      </c>
      <c r="AM165" s="22" t="n">
        <f aca="false">100*(AM31-AM30)</f>
        <v>-0.781212705512102</v>
      </c>
      <c r="AN165" s="22" t="n">
        <f aca="false">100*(AN31-AN30)</f>
        <v>-0.795340351155316</v>
      </c>
      <c r="AO165" s="22" t="n">
        <f aca="false">100*(AO31-AO30)</f>
        <v>-0.808423344824982</v>
      </c>
      <c r="AP165" s="22" t="n">
        <f aca="false">100*(AP31-AP30)</f>
        <v>-0.820511616103881</v>
      </c>
      <c r="AQ165" s="22" t="n">
        <f aca="false">100*(AQ31-AQ30)</f>
        <v>-0.831660936545586</v>
      </c>
      <c r="AR165" s="22" t="n">
        <f aca="false">100*(AR31-AR30)</f>
        <v>-0.841929563152388</v>
      </c>
      <c r="AS165" s="22" t="n">
        <f aca="false">100*(AS31-AS30)</f>
        <v>-0.851376786741387</v>
      </c>
      <c r="AT165" s="22" t="n">
        <f aca="false">100*(AT31-AT30)</f>
        <v>-0.860062789990512</v>
      </c>
      <c r="AU165" s="22" t="n">
        <f aca="false">100*(AU31-AU30)</f>
        <v>-0.868046949901102</v>
      </c>
      <c r="AV165" s="22" t="n">
        <f aca="false">AVERAGE(C165:AU165)</f>
        <v>-0.163975382445733</v>
      </c>
    </row>
    <row r="166" customFormat="false" ht="15" hidden="false" customHeight="false" outlineLevel="0" collapsed="false">
      <c r="A166" s="20" t="n">
        <f aca="false">A32</f>
        <v>-93</v>
      </c>
      <c r="B166" s="21" t="n">
        <f aca="false">B32</f>
        <v>43040</v>
      </c>
      <c r="C166" s="22" t="n">
        <f aca="false">100*(C32-C31)</f>
        <v>2.99644940511018</v>
      </c>
      <c r="D166" s="22" t="n">
        <f aca="false">100*(D32-D31)</f>
        <v>3.14155879255296</v>
      </c>
      <c r="E166" s="22" t="n">
        <f aca="false">100*(E32-E31)</f>
        <v>3.22565378532754</v>
      </c>
      <c r="F166" s="22" t="n">
        <f aca="false">100*(F32-F31)</f>
        <v>3.25244101385574</v>
      </c>
      <c r="G166" s="22" t="n">
        <f aca="false">100*(G32-G31)</f>
        <v>3.22816074852313</v>
      </c>
      <c r="H166" s="22" t="n">
        <f aca="false">100*(H32-H31)</f>
        <v>3.1601375930788</v>
      </c>
      <c r="I166" s="22" t="n">
        <f aca="false">100*(I32-I31)</f>
        <v>3.05605803089845</v>
      </c>
      <c r="J166" s="22" t="n">
        <f aca="false">100*(J32-J31)</f>
        <v>2.92342468075648</v>
      </c>
      <c r="K166" s="22" t="n">
        <f aca="false">100*(K32-K31)</f>
        <v>2.76887398137879</v>
      </c>
      <c r="L166" s="22" t="n">
        <f aca="false">100*(L32-L31)</f>
        <v>2.59838944234233</v>
      </c>
      <c r="M166" s="22" t="n">
        <f aca="false">100*(M32-M31)</f>
        <v>2.41724169661901</v>
      </c>
      <c r="N166" s="22" t="n">
        <f aca="false">100*(N32-N31)</f>
        <v>2.22997544182639</v>
      </c>
      <c r="O166" s="22" t="n">
        <f aca="false">100*(O32-O31)</f>
        <v>0.339385820558191</v>
      </c>
      <c r="P166" s="22" t="n">
        <f aca="false">100*(P32-P31)</f>
        <v>0.268703453850705</v>
      </c>
      <c r="Q166" s="22" t="n">
        <f aca="false">100*(Q32-Q31)</f>
        <v>0.208172697059905</v>
      </c>
      <c r="R166" s="22" t="n">
        <f aca="false">100*(R32-R31)</f>
        <v>0.156955091272604</v>
      </c>
      <c r="S166" s="22" t="n">
        <f aca="false">100*(S32-S31)</f>
        <v>0.114183193082495</v>
      </c>
      <c r="T166" s="22" t="n">
        <f aca="false">100*(T32-T31)</f>
        <v>0.0789747072738933</v>
      </c>
      <c r="U166" s="22" t="n">
        <f aca="false">100*(U32-U31)</f>
        <v>0.0504347013932982</v>
      </c>
      <c r="V166" s="22" t="n">
        <f aca="false">100*(V32-V31)</f>
        <v>0.0276669940181939</v>
      </c>
      <c r="W166" s="22" t="n">
        <f aca="false">100*(W32-W31)</f>
        <v>0.00982271643958921</v>
      </c>
      <c r="X166" s="22" t="n">
        <f aca="false">100*(X32-X31)</f>
        <v>-0.00388034634719592</v>
      </c>
      <c r="Y166" s="22" t="n">
        <f aca="false">100*(Y32-Y31)</f>
        <v>-0.0141598105105833</v>
      </c>
      <c r="Z166" s="22" t="n">
        <f aca="false">100*(Z32-Z31)</f>
        <v>-0.0216488863008069</v>
      </c>
      <c r="AA166" s="22" t="n">
        <f aca="false">100*(AA32-AA31)</f>
        <v>-0.0268925246625029</v>
      </c>
      <c r="AB166" s="22" t="n">
        <f aca="false">100*(AB32-AB31)</f>
        <v>-0.0303576975481334</v>
      </c>
      <c r="AC166" s="22" t="n">
        <f aca="false">100*(AC32-AC31)</f>
        <v>-0.0324426811320055</v>
      </c>
      <c r="AD166" s="22" t="n">
        <f aca="false">100*(AD32-AD31)</f>
        <v>-0.0334844085615238</v>
      </c>
      <c r="AE166" s="22" t="n">
        <f aca="false">100*(AE32-AE31)</f>
        <v>-0.0337527673405891</v>
      </c>
      <c r="AF166" s="22" t="n">
        <f aca="false">100*(AF32-AF31)</f>
        <v>-0.0334419424359744</v>
      </c>
      <c r="AG166" s="22" t="n">
        <f aca="false">100*(AG32-AG31)</f>
        <v>-0.0326908603801357</v>
      </c>
      <c r="AH166" s="22" t="n">
        <f aca="false">100*(AH32-AH31)</f>
        <v>-0.0315975127123114</v>
      </c>
      <c r="AI166" s="22" t="n">
        <f aca="false">100*(AI32-AI31)</f>
        <v>-0.030229194358089</v>
      </c>
      <c r="AJ166" s="22" t="n">
        <f aca="false">100*(AJ32-AJ31)</f>
        <v>-0.0286363376349907</v>
      </c>
      <c r="AK166" s="22" t="n">
        <f aca="false">100*(AK32-AK31)</f>
        <v>-0.0268562904721215</v>
      </c>
      <c r="AL166" s="22" t="n">
        <f aca="false">100*(AL32-AL31)</f>
        <v>-0.0249146398194178</v>
      </c>
      <c r="AM166" s="22" t="n">
        <f aca="false">100*(AM32-AM31)</f>
        <v>-0.0228285154002972</v>
      </c>
      <c r="AN166" s="22" t="n">
        <f aca="false">100*(AN32-AN31)</f>
        <v>-0.0206122611566162</v>
      </c>
      <c r="AO166" s="22" t="n">
        <f aca="false">100*(AO32-AO31)</f>
        <v>-0.0182780179212028</v>
      </c>
      <c r="AP166" s="22" t="n">
        <f aca="false">100*(AP32-AP31)</f>
        <v>-0.0158343369057956</v>
      </c>
      <c r="AQ166" s="22" t="n">
        <f aca="false">100*(AQ32-AQ31)</f>
        <v>-0.0132868748782045</v>
      </c>
      <c r="AR166" s="22" t="n">
        <f aca="false">100*(AR32-AR31)</f>
        <v>-0.0106396789328</v>
      </c>
      <c r="AS166" s="22" t="n">
        <f aca="false">100*(AS32-AS31)</f>
        <v>-0.00789533632070683</v>
      </c>
      <c r="AT166" s="22" t="n">
        <f aca="false">100*(AT32-AT31)</f>
        <v>-0.00505510775770102</v>
      </c>
      <c r="AU166" s="22" t="n">
        <f aca="false">100*(AU32-AU31)</f>
        <v>-0.00211856092988683</v>
      </c>
      <c r="AV166" s="22" t="n">
        <f aca="false">AVERAGE(C166:AU166)</f>
        <v>0.794025097706647</v>
      </c>
    </row>
    <row r="167" customFormat="false" ht="15" hidden="false" customHeight="false" outlineLevel="0" collapsed="false">
      <c r="A167" s="20" t="n">
        <f aca="false">A33</f>
        <v>-92</v>
      </c>
      <c r="B167" s="21" t="n">
        <f aca="false">B33</f>
        <v>43041</v>
      </c>
      <c r="C167" s="22" t="n">
        <f aca="false">100*(C33-C32)</f>
        <v>-8.87486363594579</v>
      </c>
      <c r="D167" s="22" t="n">
        <f aca="false">100*(D33-D32)</f>
        <v>-9.4540564572232</v>
      </c>
      <c r="E167" s="22" t="n">
        <f aca="false">100*(E33-E32)</f>
        <v>-9.86217622030951</v>
      </c>
      <c r="F167" s="22" t="n">
        <f aca="false">100*(F33-F32)</f>
        <v>-10.1362896705059</v>
      </c>
      <c r="G167" s="22" t="n">
        <f aca="false">100*(G33-G32)</f>
        <v>-10.2983200574286</v>
      </c>
      <c r="H167" s="22" t="n">
        <f aca="false">100*(H33-H32)</f>
        <v>-10.3656866730763</v>
      </c>
      <c r="I167" s="22" t="n">
        <f aca="false">100*(I33-I32)</f>
        <v>-10.3541976062211</v>
      </c>
      <c r="J167" s="22" t="n">
        <f aca="false">100*(J33-J32)</f>
        <v>-10.2789128376394</v>
      </c>
      <c r="K167" s="22" t="n">
        <f aca="false">100*(K33-K32)</f>
        <v>-10.153435287786</v>
      </c>
      <c r="L167" s="22" t="n">
        <f aca="false">100*(L33-L32)</f>
        <v>-9.98967310577641</v>
      </c>
      <c r="M167" s="22" t="n">
        <f aca="false">100*(M33-M32)</f>
        <v>-9.79745111025654</v>
      </c>
      <c r="N167" s="22" t="n">
        <f aca="false">100*(N33-N32)</f>
        <v>-9.58492425078799</v>
      </c>
      <c r="O167" s="22" t="n">
        <f aca="false">100*(O33-O32)</f>
        <v>-6.7348598763761</v>
      </c>
      <c r="P167" s="22" t="n">
        <f aca="false">100*(P33-P32)</f>
        <v>-6.5760866014464</v>
      </c>
      <c r="Q167" s="22" t="n">
        <f aca="false">100*(Q33-Q32)</f>
        <v>-6.4301484761824</v>
      </c>
      <c r="R167" s="22" t="n">
        <f aca="false">100*(R33-R32)</f>
        <v>-6.2968142800919</v>
      </c>
      <c r="S167" s="22" t="n">
        <f aca="false">100*(S33-S32)</f>
        <v>-6.17567245138571</v>
      </c>
      <c r="T167" s="22" t="n">
        <f aca="false">100*(T33-T32)</f>
        <v>-6.06616268012898</v>
      </c>
      <c r="U167" s="22" t="n">
        <f aca="false">100*(U33-U32)</f>
        <v>-5.96759780881819</v>
      </c>
      <c r="V167" s="22" t="n">
        <f aca="false">100*(V33-V32)</f>
        <v>-5.879189658512</v>
      </c>
      <c r="W167" s="22" t="n">
        <f aca="false">100*(W33-W32)</f>
        <v>-5.80010028329898</v>
      </c>
      <c r="X167" s="22" t="n">
        <f aca="false">100*(X33-X32)</f>
        <v>-5.72946774860481</v>
      </c>
      <c r="Y167" s="22" t="n">
        <f aca="false">100*(Y33-Y32)</f>
        <v>-5.66641737845151</v>
      </c>
      <c r="Z167" s="22" t="n">
        <f aca="false">100*(Z33-Z32)</f>
        <v>-5.61010037716689</v>
      </c>
      <c r="AA167" s="22" t="n">
        <f aca="false">100*(AA33-AA32)</f>
        <v>-5.55970995954118</v>
      </c>
      <c r="AB167" s="22" t="n">
        <f aca="false">100*(AB33-AB32)</f>
        <v>-5.51447690128177</v>
      </c>
      <c r="AC167" s="22" t="n">
        <f aca="false">100*(AC33-AC32)</f>
        <v>-5.47366506747529</v>
      </c>
      <c r="AD167" s="22" t="n">
        <f aca="false">100*(AD33-AD32)</f>
        <v>-5.43656829522758</v>
      </c>
      <c r="AE167" s="22" t="n">
        <f aca="false">100*(AE33-AE32)</f>
        <v>-5.4025236715759</v>
      </c>
      <c r="AF167" s="22" t="n">
        <f aca="false">100*(AF33-AF32)</f>
        <v>-5.3709329760613</v>
      </c>
      <c r="AG167" s="22" t="n">
        <f aca="false">100*(AG33-AG32)</f>
        <v>-5.34125560035659</v>
      </c>
      <c r="AH167" s="22" t="n">
        <f aca="false">100*(AH33-AH32)</f>
        <v>-5.3130001559814</v>
      </c>
      <c r="AI167" s="22" t="n">
        <f aca="false">100*(AI33-AI32)</f>
        <v>-5.28572154600591</v>
      </c>
      <c r="AJ167" s="22" t="n">
        <f aca="false">100*(AJ33-AJ32)</f>
        <v>-5.25902134048819</v>
      </c>
      <c r="AK167" s="22" t="n">
        <f aca="false">100*(AK33-AK32)</f>
        <v>-5.2325442357837</v>
      </c>
      <c r="AL167" s="22" t="n">
        <f aca="false">100*(AL33-AL32)</f>
        <v>-5.20597387966559</v>
      </c>
      <c r="AM167" s="22" t="n">
        <f aca="false">100*(AM33-AM32)</f>
        <v>-5.17903154149739</v>
      </c>
      <c r="AN167" s="22" t="n">
        <f aca="false">100*(AN33-AN32)</f>
        <v>-5.15147777014888</v>
      </c>
      <c r="AO167" s="22" t="n">
        <f aca="false">100*(AO33-AO32)</f>
        <v>-5.1231120779379</v>
      </c>
      <c r="AP167" s="22" t="n">
        <f aca="false">100*(AP33-AP32)</f>
        <v>-5.09377616856301</v>
      </c>
      <c r="AQ167" s="22" t="n">
        <f aca="false">100*(AQ33-AQ32)</f>
        <v>-5.06335562222411</v>
      </c>
      <c r="AR167" s="22" t="n">
        <f aca="false">100*(AR33-AR32)</f>
        <v>-5.0317843223221</v>
      </c>
      <c r="AS167" s="22" t="n">
        <f aca="false">100*(AS33-AS32)</f>
        <v>-4.9990425462485</v>
      </c>
      <c r="AT167" s="22" t="n">
        <f aca="false">100*(AT33-AT32)</f>
        <v>-4.96515335849068</v>
      </c>
      <c r="AU167" s="22" t="n">
        <f aca="false">100*(AU33-AU32)</f>
        <v>-4.9301849217062</v>
      </c>
      <c r="AV167" s="22" t="n">
        <f aca="false">AVERAGE(C167:AU167)</f>
        <v>-6.71144258871119</v>
      </c>
    </row>
    <row r="168" customFormat="false" ht="15" hidden="false" customHeight="false" outlineLevel="0" collapsed="false">
      <c r="A168" s="20" t="n">
        <f aca="false">A34</f>
        <v>-91</v>
      </c>
      <c r="B168" s="21" t="n">
        <f aca="false">B34</f>
        <v>43042</v>
      </c>
      <c r="C168" s="22" t="n">
        <f aca="false">100*(C34-C33)</f>
        <v>3.71217788480188</v>
      </c>
      <c r="D168" s="22" t="n">
        <f aca="false">100*(D34-D33)</f>
        <v>3.20636114051765</v>
      </c>
      <c r="E168" s="22" t="n">
        <f aca="false">100*(E34-E33)</f>
        <v>2.70714692015012</v>
      </c>
      <c r="F168" s="22" t="n">
        <f aca="false">100*(F34-F33)</f>
        <v>2.24996160549247</v>
      </c>
      <c r="G168" s="22" t="n">
        <f aca="false">100*(G34-G33)</f>
        <v>1.84842989521163</v>
      </c>
      <c r="H168" s="22" t="n">
        <f aca="false">100*(H34-H33)</f>
        <v>1.50383142190987</v>
      </c>
      <c r="I168" s="22" t="n">
        <f aca="false">100*(I34-I33)</f>
        <v>1.2121136904573</v>
      </c>
      <c r="J168" s="22" t="n">
        <f aca="false">100*(J34-J33)</f>
        <v>0.967480143390131</v>
      </c>
      <c r="K168" s="22" t="n">
        <f aca="false">100*(K34-K33)</f>
        <v>0.764382963121579</v>
      </c>
      <c r="L168" s="22" t="n">
        <f aca="false">100*(L34-L33)</f>
        <v>0.598013734381964</v>
      </c>
      <c r="M168" s="22" t="n">
        <f aca="false">100*(M34-M33)</f>
        <v>0.464676245896845</v>
      </c>
      <c r="N168" s="22" t="n">
        <f aca="false">100*(N34-N33)</f>
        <v>0.361114669465179</v>
      </c>
      <c r="O168" s="22" t="n">
        <f aca="false">100*(O34-O33)</f>
        <v>0.590351865948091</v>
      </c>
      <c r="P168" s="22" t="n">
        <f aca="false">100*(P34-P33)</f>
        <v>0.658161000449598</v>
      </c>
      <c r="Q168" s="22" t="n">
        <f aca="false">100*(Q34-Q33)</f>
        <v>0.725573206405206</v>
      </c>
      <c r="R168" s="22" t="n">
        <f aca="false">100*(R34-R33)</f>
        <v>0.791740984866696</v>
      </c>
      <c r="S168" s="22" t="n">
        <f aca="false">100*(S34-S33)</f>
        <v>0.855996698610606</v>
      </c>
      <c r="T168" s="22" t="n">
        <f aca="false">100*(T34-T33)</f>
        <v>0.917829241712398</v>
      </c>
      <c r="U168" s="22" t="n">
        <f aca="false">100*(U34-U33)</f>
        <v>0.976861016288688</v>
      </c>
      <c r="V168" s="22" t="n">
        <f aca="false">100*(V34-V33)</f>
        <v>1.03282938512299</v>
      </c>
      <c r="W168" s="22" t="n">
        <f aca="false">100*(W34-W33)</f>
        <v>1.08557568392278</v>
      </c>
      <c r="X168" s="22" t="n">
        <f aca="false">100*(X34-X33)</f>
        <v>1.13503479375632</v>
      </c>
      <c r="Y168" s="22" t="n">
        <f aca="false">100*(Y34-Y33)</f>
        <v>1.18122221580599</v>
      </c>
      <c r="Z168" s="22" t="n">
        <f aca="false">100*(Z34-Z33)</f>
        <v>1.22421911354709</v>
      </c>
      <c r="AA168" s="22" t="n">
        <f aca="false">100*(AA34-AA33)</f>
        <v>1.2641614092473</v>
      </c>
      <c r="AB168" s="22" t="n">
        <f aca="false">100*(AB34-AB33)</f>
        <v>1.30123299703688</v>
      </c>
      <c r="AC168" s="22" t="n">
        <f aca="false">100*(AC34-AC33)</f>
        <v>1.33566003197321</v>
      </c>
      <c r="AD168" s="22" t="n">
        <f aca="false">100*(AD34-AD33)</f>
        <v>1.3677058794348</v>
      </c>
      <c r="AE168" s="22" t="n">
        <f aca="false">100*(AE34-AE33)</f>
        <v>1.3976614624432</v>
      </c>
      <c r="AF168" s="22" t="n">
        <f aca="false">100*(AF34-AF33)</f>
        <v>1.42583084932248</v>
      </c>
      <c r="AG168" s="22" t="n">
        <f aca="false">100*(AG34-AG33)</f>
        <v>1.45252413825021</v>
      </c>
      <c r="AH168" s="22" t="n">
        <f aca="false">100*(AH34-AH33)</f>
        <v>1.47805425200351</v>
      </c>
      <c r="AI168" s="22" t="n">
        <f aca="false">100*(AI34-AI33)</f>
        <v>1.50272631092299</v>
      </c>
      <c r="AJ168" s="22" t="n">
        <f aca="false">100*(AJ34-AJ33)</f>
        <v>1.52681853976289</v>
      </c>
      <c r="AK168" s="22" t="n">
        <f aca="false">100*(AK34-AK33)</f>
        <v>1.5505810232429</v>
      </c>
      <c r="AL168" s="22" t="n">
        <f aca="false">100*(AL34-AL33)</f>
        <v>1.5742382625733</v>
      </c>
      <c r="AM168" s="22" t="n">
        <f aca="false">100*(AM34-AM33)</f>
        <v>1.59798392111579</v>
      </c>
      <c r="AN168" s="22" t="n">
        <f aca="false">100*(AN34-AN33)</f>
        <v>1.621968131083</v>
      </c>
      <c r="AO168" s="22" t="n">
        <f aca="false">100*(AO34-AO33)</f>
        <v>1.64629812185451</v>
      </c>
      <c r="AP168" s="22" t="n">
        <f aca="false">100*(AP34-AP33)</f>
        <v>1.67104006320451</v>
      </c>
      <c r="AQ168" s="22" t="n">
        <f aca="false">100*(AQ34-AQ33)</f>
        <v>1.69622111359391</v>
      </c>
      <c r="AR168" s="22" t="n">
        <f aca="false">100*(AR34-AR33)</f>
        <v>1.7218344434853</v>
      </c>
      <c r="AS168" s="22" t="n">
        <f aca="false">100*(AS34-AS33)</f>
        <v>1.74784367221159</v>
      </c>
      <c r="AT168" s="22" t="n">
        <f aca="false">100*(AT34-AT33)</f>
        <v>1.77418517220069</v>
      </c>
      <c r="AU168" s="22" t="n">
        <f aca="false">100*(AU34-AU33)</f>
        <v>1.80076822504169</v>
      </c>
      <c r="AV168" s="22" t="n">
        <f aca="false">AVERAGE(C168:AU168)</f>
        <v>1.40503163424973</v>
      </c>
    </row>
    <row r="169" customFormat="false" ht="15" hidden="false" customHeight="false" outlineLevel="0" collapsed="false">
      <c r="A169" s="20" t="n">
        <f aca="false">A35</f>
        <v>-90</v>
      </c>
      <c r="B169" s="21" t="n">
        <f aca="false">B35</f>
        <v>43045</v>
      </c>
      <c r="C169" s="22" t="n">
        <f aca="false">100*(C35-C34)</f>
        <v>-0.262741976148229</v>
      </c>
      <c r="D169" s="22" t="n">
        <f aca="false">100*(D35-D34)</f>
        <v>-0.309039234385783</v>
      </c>
      <c r="E169" s="22" t="n">
        <f aca="false">100*(E35-E34)</f>
        <v>-0.341235984610561</v>
      </c>
      <c r="F169" s="22" t="n">
        <f aca="false">100*(F35-F34)</f>
        <v>-0.361926237171373</v>
      </c>
      <c r="G169" s="22" t="n">
        <f aca="false">100*(G35-G34)</f>
        <v>-0.37582789970616</v>
      </c>
      <c r="H169" s="22" t="n">
        <f aca="false">100*(H35-H34)</f>
        <v>-0.387144355638991</v>
      </c>
      <c r="I169" s="22" t="n">
        <f aca="false">100*(I35-I34)</f>
        <v>-0.398581959733191</v>
      </c>
      <c r="J169" s="22" t="n">
        <f aca="false">100*(J35-J34)</f>
        <v>-0.411607911942047</v>
      </c>
      <c r="K169" s="22" t="n">
        <f aca="false">100*(K35-K34)</f>
        <v>-0.427205105179784</v>
      </c>
      <c r="L169" s="22" t="n">
        <f aca="false">100*(L35-L34)</f>
        <v>-0.446282424848188</v>
      </c>
      <c r="M169" s="22" t="n">
        <f aca="false">100*(M35-M34)</f>
        <v>-0.469564388354493</v>
      </c>
      <c r="N169" s="22" t="n">
        <f aca="false">100*(N35-N34)</f>
        <v>-0.497571937532992</v>
      </c>
      <c r="O169" s="22" t="n">
        <f aca="false">100*(O35-O34)</f>
        <v>-1.0204900886885</v>
      </c>
      <c r="P169" s="22" t="n">
        <f aca="false">100*(P35-P34)</f>
        <v>-1.0444408330273</v>
      </c>
      <c r="Q169" s="22" t="n">
        <f aca="false">100*(Q35-Q34)</f>
        <v>-1.0637625455493</v>
      </c>
      <c r="R169" s="22" t="n">
        <f aca="false">100*(R35-R34)</f>
        <v>-1.0786066749559</v>
      </c>
      <c r="S169" s="22" t="n">
        <f aca="false">100*(S35-S34)</f>
        <v>-1.08921987698389</v>
      </c>
      <c r="T169" s="22" t="n">
        <f aca="false">100*(T35-T34)</f>
        <v>-1.09592636305271</v>
      </c>
      <c r="U169" s="22" t="n">
        <f aca="false">100*(U35-U34)</f>
        <v>-1.0991164817354</v>
      </c>
      <c r="V169" s="22" t="n">
        <f aca="false">100*(V35-V34)</f>
        <v>-1.09923298752799</v>
      </c>
      <c r="W169" s="22" t="n">
        <f aca="false">100*(W35-W34)</f>
        <v>-1.09674321447408</v>
      </c>
      <c r="X169" s="22" t="n">
        <f aca="false">100*(X35-X34)</f>
        <v>-1.09212529270961</v>
      </c>
      <c r="Y169" s="22" t="n">
        <f aca="false">100*(Y35-Y34)</f>
        <v>-1.0858594448977</v>
      </c>
      <c r="Z169" s="22" t="n">
        <f aca="false">100*(Z35-Z34)</f>
        <v>-1.0783960814744</v>
      </c>
      <c r="AA169" s="22" t="n">
        <f aca="false">100*(AA35-AA34)</f>
        <v>-1.0701441538582</v>
      </c>
      <c r="AB169" s="22" t="n">
        <f aca="false">100*(AB35-AB34)</f>
        <v>-1.06147574207129</v>
      </c>
      <c r="AC169" s="22" t="n">
        <f aca="false">100*(AC35-AC34)</f>
        <v>-1.05273044419192</v>
      </c>
      <c r="AD169" s="22" t="n">
        <f aca="false">100*(AD35-AD34)</f>
        <v>-1.0442181760359</v>
      </c>
      <c r="AE169" s="22" t="n">
        <f aca="false">100*(AE35-AE34)</f>
        <v>-1.03620419570829</v>
      </c>
      <c r="AF169" s="22" t="n">
        <f aca="false">100*(AF35-AF34)</f>
        <v>-1.02888811669359</v>
      </c>
      <c r="AG169" s="22" t="n">
        <f aca="false">100*(AG35-AG34)</f>
        <v>-1.02241004313961</v>
      </c>
      <c r="AH169" s="22" t="n">
        <f aca="false">100*(AH35-AH34)</f>
        <v>-1.0168584214955</v>
      </c>
      <c r="AI169" s="22" t="n">
        <f aca="false">100*(AI35-AI34)</f>
        <v>-1.0122757648352</v>
      </c>
      <c r="AJ169" s="22" t="n">
        <f aca="false">100*(AJ35-AJ34)</f>
        <v>-1.00866497927419</v>
      </c>
      <c r="AK169" s="22" t="n">
        <f aca="false">100*(AK35-AK34)</f>
        <v>-1.0059938032331</v>
      </c>
      <c r="AL169" s="22" t="n">
        <f aca="false">100*(AL35-AL34)</f>
        <v>-1.00419845761801</v>
      </c>
      <c r="AM169" s="22" t="n">
        <f aca="false">100*(AM35-AM34)</f>
        <v>-1.0031918640063</v>
      </c>
      <c r="AN169" s="22" t="n">
        <f aca="false">100*(AN35-AN34)</f>
        <v>-1.0028748333117</v>
      </c>
      <c r="AO169" s="22" t="n">
        <f aca="false">100*(AO35-AO34)</f>
        <v>-1.00313966090511</v>
      </c>
      <c r="AP169" s="22" t="n">
        <f aca="false">100*(AP35-AP34)</f>
        <v>-1.0038737323889</v>
      </c>
      <c r="AQ169" s="22" t="n">
        <f aca="false">100*(AQ35-AQ34)</f>
        <v>-1.0049638053802</v>
      </c>
      <c r="AR169" s="22" t="n">
        <f aca="false">100*(AR35-AR34)</f>
        <v>-1.00630289817352</v>
      </c>
      <c r="AS169" s="22" t="n">
        <f aca="false">100*(AS35-AS34)</f>
        <v>-1.00779144272818</v>
      </c>
      <c r="AT169" s="22" t="n">
        <f aca="false">100*(AT35-AT34)</f>
        <v>-1.00933690787761</v>
      </c>
      <c r="AU169" s="22" t="n">
        <f aca="false">100*(AU35-AU34)</f>
        <v>-1.0108571513771</v>
      </c>
      <c r="AV169" s="22" t="n">
        <f aca="false">AVERAGE(C169:AU169)</f>
        <v>-0.867756530991822</v>
      </c>
    </row>
    <row r="170" customFormat="false" ht="15" hidden="false" customHeight="false" outlineLevel="0" collapsed="false">
      <c r="A170" s="20" t="n">
        <f aca="false">A36</f>
        <v>-89</v>
      </c>
      <c r="B170" s="21" t="n">
        <f aca="false">B36</f>
        <v>43046</v>
      </c>
      <c r="C170" s="22" t="n">
        <f aca="false">100*(C36-C35)</f>
        <v>-0.460974585677748</v>
      </c>
      <c r="D170" s="22" t="n">
        <f aca="false">100*(D36-D35)</f>
        <v>-0.612992888964098</v>
      </c>
      <c r="E170" s="22" t="n">
        <f aca="false">100*(E36-E35)</f>
        <v>-0.726648912952299</v>
      </c>
      <c r="F170" s="22" t="n">
        <f aca="false">100*(F36-F35)</f>
        <v>-0.819894812612165</v>
      </c>
      <c r="G170" s="22" t="n">
        <f aca="false">100*(G36-G35)</f>
        <v>-0.905440513691225</v>
      </c>
      <c r="H170" s="22" t="n">
        <f aca="false">100*(H36-H35)</f>
        <v>-0.990240752789673</v>
      </c>
      <c r="I170" s="22" t="n">
        <f aca="false">100*(I36-I35)</f>
        <v>-1.07686300806957</v>
      </c>
      <c r="J170" s="22" t="n">
        <f aca="false">100*(J36-J35)</f>
        <v>-1.16499375433843</v>
      </c>
      <c r="K170" s="22" t="n">
        <f aca="false">100*(K36-K35)</f>
        <v>-1.25271464731781</v>
      </c>
      <c r="L170" s="22" t="n">
        <f aca="false">100*(L36-L35)</f>
        <v>-1.33754119938324</v>
      </c>
      <c r="M170" s="22" t="n">
        <f aca="false">100*(M36-M35)</f>
        <v>-1.417154485018</v>
      </c>
      <c r="N170" s="22" t="n">
        <f aca="false">100*(N36-N35)</f>
        <v>-1.4896174598783</v>
      </c>
      <c r="O170" s="22" t="n">
        <f aca="false">100*(O36-O35)</f>
        <v>-1.7656103054227</v>
      </c>
      <c r="P170" s="22" t="n">
        <f aca="false">100*(P36-P35)</f>
        <v>-1.7627034362806</v>
      </c>
      <c r="Q170" s="22" t="n">
        <f aca="false">100*(Q36-Q35)</f>
        <v>-1.7603923763799</v>
      </c>
      <c r="R170" s="22" t="n">
        <f aca="false">100*(R36-R35)</f>
        <v>-1.75908599279939</v>
      </c>
      <c r="S170" s="22" t="n">
        <f aca="false">100*(S36-S35)</f>
        <v>-1.75907687711461</v>
      </c>
      <c r="T170" s="22" t="n">
        <f aca="false">100*(T36-T35)</f>
        <v>-1.76055783397009</v>
      </c>
      <c r="U170" s="22" t="n">
        <f aca="false">100*(U36-U35)</f>
        <v>-1.7636365622014</v>
      </c>
      <c r="V170" s="22" t="n">
        <f aca="false">100*(V36-V35)</f>
        <v>-1.7683491744126</v>
      </c>
      <c r="W170" s="22" t="n">
        <f aca="false">100*(W36-W35)</f>
        <v>-1.77467583873261</v>
      </c>
      <c r="X170" s="22" t="n">
        <f aca="false">100*(X36-X35)</f>
        <v>-1.78255090779509</v>
      </c>
      <c r="Y170" s="22" t="n">
        <f aca="false">100*(Y36-Y35)</f>
        <v>-1.79187553432318</v>
      </c>
      <c r="Z170" s="22" t="n">
        <f aca="false">100*(Z36-Z35)</f>
        <v>-1.8025521495147</v>
      </c>
      <c r="AA170" s="22" t="n">
        <f aca="false">100*(AA36-AA35)</f>
        <v>-1.81449920162011</v>
      </c>
      <c r="AB170" s="22" t="n">
        <f aca="false">100*(AB36-AB35)</f>
        <v>-1.82764966848039</v>
      </c>
      <c r="AC170" s="22" t="n">
        <f aca="false">100*(AC36-AC35)</f>
        <v>-1.84194932781399</v>
      </c>
      <c r="AD170" s="22" t="n">
        <f aca="false">100*(AD36-AD35)</f>
        <v>-1.85735598411469</v>
      </c>
      <c r="AE170" s="22" t="n">
        <f aca="false">100*(AE36-AE35)</f>
        <v>-1.87385299052052</v>
      </c>
      <c r="AF170" s="22" t="n">
        <f aca="false">100*(AF36-AF35)</f>
        <v>-1.8914667962405</v>
      </c>
      <c r="AG170" s="22" t="n">
        <f aca="false">100*(AG36-AG35)</f>
        <v>-1.9102541899725</v>
      </c>
      <c r="AH170" s="22" t="n">
        <f aca="false">100*(AH36-AH35)</f>
        <v>-1.93029267676781</v>
      </c>
      <c r="AI170" s="22" t="n">
        <f aca="false">100*(AI36-AI35)</f>
        <v>-1.95166485444398</v>
      </c>
      <c r="AJ170" s="22" t="n">
        <f aca="false">100*(AJ36-AJ35)</f>
        <v>-1.97443929165282</v>
      </c>
      <c r="AK170" s="22" t="n">
        <f aca="false">100*(AK36-AK35)</f>
        <v>-1.99866933247239</v>
      </c>
      <c r="AL170" s="22" t="n">
        <f aca="false">100*(AL36-AL35)</f>
        <v>-2.02439388043421</v>
      </c>
      <c r="AM170" s="22" t="n">
        <f aca="false">100*(AM36-AM35)</f>
        <v>-2.0516255800024</v>
      </c>
      <c r="AN170" s="22" t="n">
        <f aca="false">100*(AN36-AN35)</f>
        <v>-2.08033425726359</v>
      </c>
      <c r="AO170" s="22" t="n">
        <f aca="false">100*(AO36-AO35)</f>
        <v>-2.1104452042882</v>
      </c>
      <c r="AP170" s="22" t="n">
        <f aca="false">100*(AP36-AP35)</f>
        <v>-2.1418360675705</v>
      </c>
      <c r="AQ170" s="22" t="n">
        <f aca="false">100*(AQ36-AQ35)</f>
        <v>-2.174342988925</v>
      </c>
      <c r="AR170" s="22" t="n">
        <f aca="false">100*(AR36-AR35)</f>
        <v>-2.2077733189499</v>
      </c>
      <c r="AS170" s="22" t="n">
        <f aca="false">100*(AS36-AS35)</f>
        <v>-2.24191040585622</v>
      </c>
      <c r="AT170" s="22" t="n">
        <f aca="false">100*(AT36-AT35)</f>
        <v>-2.2765159218078</v>
      </c>
      <c r="AU170" s="22" t="n">
        <f aca="false">100*(AU36-AU35)</f>
        <v>-2.3113362859539</v>
      </c>
      <c r="AV170" s="22" t="n">
        <f aca="false">AVERAGE(C170:AU170)</f>
        <v>-1.68886116077313</v>
      </c>
    </row>
    <row r="171" customFormat="false" ht="15" hidden="false" customHeight="false" outlineLevel="0" collapsed="false">
      <c r="A171" s="20" t="n">
        <f aca="false">A37</f>
        <v>-88</v>
      </c>
      <c r="B171" s="21" t="n">
        <f aca="false">B37</f>
        <v>43047</v>
      </c>
      <c r="C171" s="22" t="n">
        <f aca="false">100*(C37-C36)</f>
        <v>-0.626047817734082</v>
      </c>
      <c r="D171" s="22" t="n">
        <f aca="false">100*(D37-D36)</f>
        <v>-0.790090758691919</v>
      </c>
      <c r="E171" s="22" t="n">
        <f aca="false">100*(E37-E36)</f>
        <v>-0.960633175005449</v>
      </c>
      <c r="F171" s="22" t="n">
        <f aca="false">100*(F37-F36)</f>
        <v>-1.13170918441921</v>
      </c>
      <c r="G171" s="22" t="n">
        <f aca="false">100*(G37-G36)</f>
        <v>-1.30345277234661</v>
      </c>
      <c r="H171" s="22" t="n">
        <f aca="false">100*(H37-H36)</f>
        <v>-1.47532153069203</v>
      </c>
      <c r="I171" s="22" t="n">
        <f aca="false">100*(I37-I36)</f>
        <v>-1.64565312875196</v>
      </c>
      <c r="J171" s="22" t="n">
        <f aca="false">100*(J37-J36)</f>
        <v>-1.8125907445987</v>
      </c>
      <c r="K171" s="22" t="n">
        <f aca="false">100*(K37-K36)</f>
        <v>-1.97456217076815</v>
      </c>
      <c r="L171" s="22" t="n">
        <f aca="false">100*(L37-L36)</f>
        <v>-2.13054942948466</v>
      </c>
      <c r="M171" s="22" t="n">
        <f aca="false">100*(M37-M36)</f>
        <v>-2.2800885420458</v>
      </c>
      <c r="N171" s="22" t="n">
        <f aca="false">100*(N37-N36)</f>
        <v>-2.42308624193313</v>
      </c>
      <c r="O171" s="22" t="n">
        <f aca="false">100*(O37-O36)</f>
        <v>-3.84242926177238</v>
      </c>
      <c r="P171" s="22" t="n">
        <f aca="false">100*(P37-P36)</f>
        <v>-3.9148865977841</v>
      </c>
      <c r="Q171" s="22" t="n">
        <f aca="false">100*(Q37-Q36)</f>
        <v>-3.98098042256561</v>
      </c>
      <c r="R171" s="22" t="n">
        <f aca="false">100*(R37-R36)</f>
        <v>-4.0408572950799</v>
      </c>
      <c r="S171" s="22" t="n">
        <f aca="false">100*(S37-S36)</f>
        <v>-4.09473597805179</v>
      </c>
      <c r="T171" s="22" t="n">
        <f aca="false">100*(T37-T36)</f>
        <v>-4.142893313573</v>
      </c>
      <c r="U171" s="22" t="n">
        <f aca="false">100*(U37-U36)</f>
        <v>-4.1856556770884</v>
      </c>
      <c r="V171" s="22" t="n">
        <f aca="false">100*(V37-V36)</f>
        <v>-4.2233902644204</v>
      </c>
      <c r="W171" s="22" t="n">
        <f aca="false">100*(W37-W36)</f>
        <v>-4.2564914956265</v>
      </c>
      <c r="X171" s="22" t="n">
        <f aca="false">100*(X37-X36)</f>
        <v>-4.28537326717551</v>
      </c>
      <c r="Y171" s="22" t="n">
        <f aca="false">100*(Y37-Y36)</f>
        <v>-4.31046143526122</v>
      </c>
      <c r="Z171" s="22" t="n">
        <f aca="false">100*(Z37-Z36)</f>
        <v>-4.33217099291499</v>
      </c>
      <c r="AA171" s="22" t="n">
        <f aca="false">100*(AA37-AA36)</f>
        <v>-4.35089737277439</v>
      </c>
      <c r="AB171" s="22" t="n">
        <f aca="false">100*(AB37-AB36)</f>
        <v>-4.36701854183481</v>
      </c>
      <c r="AC171" s="22" t="n">
        <f aca="false">100*(AC37-AC36)</f>
        <v>-4.38089708069211</v>
      </c>
      <c r="AD171" s="22" t="n">
        <f aca="false">100*(AD37-AD36)</f>
        <v>-4.3928811000236</v>
      </c>
      <c r="AE171" s="22" t="n">
        <f aca="false">100*(AE37-AE36)</f>
        <v>-4.40329026824009</v>
      </c>
      <c r="AF171" s="22" t="n">
        <f aca="false">100*(AF37-AF36)</f>
        <v>-4.4123981429381</v>
      </c>
      <c r="AG171" s="22" t="n">
        <f aca="false">100*(AG37-AG36)</f>
        <v>-4.42043919654069</v>
      </c>
      <c r="AH171" s="22" t="n">
        <f aca="false">100*(AH37-AH36)</f>
        <v>-4.4276154173331</v>
      </c>
      <c r="AI171" s="22" t="n">
        <f aca="false">100*(AI37-AI36)</f>
        <v>-4.434096986293</v>
      </c>
      <c r="AJ171" s="22" t="n">
        <f aca="false">100*(AJ37-AJ36)</f>
        <v>-4.44002281649949</v>
      </c>
      <c r="AK171" s="22" t="n">
        <f aca="false">100*(AK37-AK36)</f>
        <v>-4.44550353401931</v>
      </c>
      <c r="AL171" s="22" t="n">
        <f aca="false">100*(AL37-AL36)</f>
        <v>-4.45062411115189</v>
      </c>
      <c r="AM171" s="22" t="n">
        <f aca="false">100*(AM37-AM36)</f>
        <v>-4.45544477975368</v>
      </c>
      <c r="AN171" s="22" t="n">
        <f aca="false">100*(AN37-AN36)</f>
        <v>-4.4600022165461</v>
      </c>
      <c r="AO171" s="22" t="n">
        <f aca="false">100*(AO37-AO36)</f>
        <v>-4.46431163588901</v>
      </c>
      <c r="AP171" s="22" t="n">
        <f aca="false">100*(AP37-AP36)</f>
        <v>-4.4683689755215</v>
      </c>
      <c r="AQ171" s="22" t="n">
        <f aca="false">100*(AQ37-AQ36)</f>
        <v>-4.47215513204731</v>
      </c>
      <c r="AR171" s="22" t="n">
        <f aca="false">100*(AR37-AR36)</f>
        <v>-4.4756421459941</v>
      </c>
      <c r="AS171" s="22" t="n">
        <f aca="false">100*(AS37-AS36)</f>
        <v>-4.47879498834929</v>
      </c>
      <c r="AT171" s="22" t="n">
        <f aca="false">100*(AT37-AT36)</f>
        <v>-4.48157231825659</v>
      </c>
      <c r="AU171" s="22" t="n">
        <f aca="false">100*(AU37-AU36)</f>
        <v>-4.48392901104551</v>
      </c>
      <c r="AV171" s="22" t="n">
        <f aca="false">AVERAGE(C171:AU171)</f>
        <v>-3.58511149487843</v>
      </c>
    </row>
    <row r="172" customFormat="false" ht="15" hidden="false" customHeight="false" outlineLevel="0" collapsed="false">
      <c r="A172" s="20" t="n">
        <f aca="false">A38</f>
        <v>-87</v>
      </c>
      <c r="B172" s="21" t="n">
        <f aca="false">B38</f>
        <v>43048</v>
      </c>
      <c r="C172" s="22" t="n">
        <f aca="false">100*(C38-C37)</f>
        <v>2.82307710602659</v>
      </c>
      <c r="D172" s="22" t="n">
        <f aca="false">100*(D38-D37)</f>
        <v>3.10421517390994</v>
      </c>
      <c r="E172" s="22" t="n">
        <f aca="false">100*(E38-E37)</f>
        <v>3.39919168647578</v>
      </c>
      <c r="F172" s="22" t="n">
        <f aca="false">100*(F38-F37)</f>
        <v>3.68890773347498</v>
      </c>
      <c r="G172" s="22" t="n">
        <f aca="false">100*(G38-G37)</f>
        <v>3.96101941595759</v>
      </c>
      <c r="H172" s="22" t="n">
        <f aca="false">100*(H38-H37)</f>
        <v>4.20835533816729</v>
      </c>
      <c r="I172" s="22" t="n">
        <f aca="false">100*(I38-I37)</f>
        <v>4.42767128363385</v>
      </c>
      <c r="J172" s="22" t="n">
        <f aca="false">100*(J38-J37)</f>
        <v>4.61848991688171</v>
      </c>
      <c r="K172" s="22" t="n">
        <f aca="false">100*(K38-K37)</f>
        <v>4.78200867828236</v>
      </c>
      <c r="L172" s="22" t="n">
        <f aca="false">100*(L38-L37)</f>
        <v>4.92016252038728</v>
      </c>
      <c r="M172" s="22" t="n">
        <f aca="false">100*(M38-M37)</f>
        <v>5.03510389434497</v>
      </c>
      <c r="N172" s="22" t="n">
        <f aca="false">100*(N38-N37)</f>
        <v>5.12899288084623</v>
      </c>
      <c r="O172" s="22" t="n">
        <f aca="false">100*(O38-O37)</f>
        <v>5.12836647377528</v>
      </c>
      <c r="P172" s="22" t="n">
        <f aca="false">100*(P38-P37)</f>
        <v>5.07552225523429</v>
      </c>
      <c r="Q172" s="22" t="n">
        <f aca="false">100*(Q38-Q37)</f>
        <v>5.0204893067644</v>
      </c>
      <c r="R172" s="22" t="n">
        <f aca="false">100*(R38-R37)</f>
        <v>4.96420219067399</v>
      </c>
      <c r="S172" s="22" t="n">
        <f aca="false">100*(S38-S37)</f>
        <v>4.9074869224069</v>
      </c>
      <c r="T172" s="22" t="n">
        <f aca="false">100*(T38-T37)</f>
        <v>4.85107009088091</v>
      </c>
      <c r="U172" s="22" t="n">
        <f aca="false">100*(U38-U37)</f>
        <v>4.79559346649581</v>
      </c>
      <c r="V172" s="22" t="n">
        <f aca="false">100*(V38-V37)</f>
        <v>4.74162406220229</v>
      </c>
      <c r="W172" s="22" t="n">
        <f aca="false">100*(W38-W37)</f>
        <v>4.6896558751504</v>
      </c>
      <c r="X172" s="22" t="n">
        <f aca="false">100*(X38-X37)</f>
        <v>4.64011586314319</v>
      </c>
      <c r="Y172" s="22" t="n">
        <f aca="false">100*(Y38-Y37)</f>
        <v>4.59337259856061</v>
      </c>
      <c r="Z172" s="22" t="n">
        <f aca="false">100*(Z38-Z37)</f>
        <v>4.54974292595249</v>
      </c>
      <c r="AA172" s="22" t="n">
        <f aca="false">100*(AA38-AA37)</f>
        <v>4.50949780499219</v>
      </c>
      <c r="AB172" s="22" t="n">
        <f aca="false">100*(AB38-AB37)</f>
        <v>4.4728678756049</v>
      </c>
      <c r="AC172" s="22" t="n">
        <f aca="false">100*(AC38-AC37)</f>
        <v>4.44004825793771</v>
      </c>
      <c r="AD172" s="22" t="n">
        <f aca="false">100*(AD38-AD37)</f>
        <v>4.4112024558097</v>
      </c>
      <c r="AE172" s="22" t="n">
        <f aca="false">100*(AE38-AE37)</f>
        <v>4.3864606102924</v>
      </c>
      <c r="AF172" s="22" t="n">
        <f aca="false">100*(AF38-AF37)</f>
        <v>4.3659150325851</v>
      </c>
      <c r="AG172" s="22" t="n">
        <f aca="false">100*(AG38-AG37)</f>
        <v>4.3496250288088</v>
      </c>
      <c r="AH172" s="22" t="n">
        <f aca="false">100*(AH38-AH37)</f>
        <v>4.33762131274511</v>
      </c>
      <c r="AI172" s="22" t="n">
        <f aca="false">100*(AI38-AI37)</f>
        <v>4.32990772877688</v>
      </c>
      <c r="AJ172" s="22" t="n">
        <f aca="false">100*(AJ38-AJ37)</f>
        <v>4.32646069984091</v>
      </c>
      <c r="AK172" s="22" t="n">
        <f aca="false">100*(AK38-AK37)</f>
        <v>4.3272312237274</v>
      </c>
      <c r="AL172" s="22" t="n">
        <f aca="false">100*(AL38-AL37)</f>
        <v>4.3321473159962</v>
      </c>
      <c r="AM172" s="22" t="n">
        <f aca="false">100*(AM38-AM37)</f>
        <v>4.3411140458042</v>
      </c>
      <c r="AN172" s="22" t="n">
        <f aca="false">100*(AN38-AN37)</f>
        <v>4.3540112869495</v>
      </c>
      <c r="AO172" s="22" t="n">
        <f aca="false">100*(AO38-AO37)</f>
        <v>4.3706937117816</v>
      </c>
      <c r="AP172" s="22" t="n">
        <f aca="false">100*(AP38-AP37)</f>
        <v>4.39098878763589</v>
      </c>
      <c r="AQ172" s="22" t="n">
        <f aca="false">100*(AQ38-AQ37)</f>
        <v>4.4146963339019</v>
      </c>
      <c r="AR172" s="22" t="n">
        <f aca="false">100*(AR38-AR37)</f>
        <v>4.441588214702</v>
      </c>
      <c r="AS172" s="22" t="n">
        <f aca="false">100*(AS38-AS37)</f>
        <v>4.47141036777499</v>
      </c>
      <c r="AT172" s="22" t="n">
        <f aca="false">100*(AT38-AT37)</f>
        <v>4.5038848354501</v>
      </c>
      <c r="AU172" s="22" t="n">
        <f aca="false">100*(AU38-AU37)</f>
        <v>4.5387096689925</v>
      </c>
      <c r="AV172" s="22" t="n">
        <f aca="false">AVERAGE(C172:AU172)</f>
        <v>4.45490045021642</v>
      </c>
    </row>
    <row r="173" customFormat="false" ht="15" hidden="false" customHeight="false" outlineLevel="0" collapsed="false">
      <c r="A173" s="20" t="n">
        <f aca="false">A39</f>
        <v>-86</v>
      </c>
      <c r="B173" s="21" t="n">
        <f aca="false">B39</f>
        <v>43049</v>
      </c>
      <c r="C173" s="22" t="n">
        <f aca="false">100*(C39-C38)</f>
        <v>2.62142092882869</v>
      </c>
      <c r="D173" s="22" t="n">
        <f aca="false">100*(D39-D38)</f>
        <v>3.33889294288641</v>
      </c>
      <c r="E173" s="22" t="n">
        <f aca="false">100*(E39-E38)</f>
        <v>4.04594654143114</v>
      </c>
      <c r="F173" s="22" t="n">
        <f aca="false">100*(F39-F38)</f>
        <v>4.70888922711336</v>
      </c>
      <c r="G173" s="22" t="n">
        <f aca="false">100*(G39-G38)</f>
        <v>5.31033631235942</v>
      </c>
      <c r="H173" s="22" t="n">
        <f aca="false">100*(H39-H38)</f>
        <v>5.84264234223104</v>
      </c>
      <c r="I173" s="22" t="n">
        <f aca="false">100*(I39-I38)</f>
        <v>6.30418123765436</v>
      </c>
      <c r="J173" s="22" t="n">
        <f aca="false">100*(J39-J38)</f>
        <v>6.69692586471239</v>
      </c>
      <c r="K173" s="22" t="n">
        <f aca="false">100*(K39-K38)</f>
        <v>7.02528973825072</v>
      </c>
      <c r="L173" s="22" t="n">
        <f aca="false">100*(L39-L38)</f>
        <v>7.29446558640665</v>
      </c>
      <c r="M173" s="22" t="n">
        <f aca="false">100*(M39-M38)</f>
        <v>7.50996932106792</v>
      </c>
      <c r="N173" s="22" t="n">
        <f aca="false">100*(N39-N38)</f>
        <v>7.67755498271081</v>
      </c>
      <c r="O173" s="22" t="n">
        <f aca="false">100*(O39-O38)</f>
        <v>7.62154118188592</v>
      </c>
      <c r="P173" s="22" t="n">
        <f aca="false">100*(P39-P38)</f>
        <v>7.55656431004872</v>
      </c>
      <c r="Q173" s="22" t="n">
        <f aca="false">100*(Q39-Q38)</f>
        <v>7.49248000852421</v>
      </c>
      <c r="R173" s="22" t="n">
        <f aca="false">100*(R39-R38)</f>
        <v>7.43018388486061</v>
      </c>
      <c r="S173" s="22" t="n">
        <f aca="false">100*(S39-S38)</f>
        <v>7.370394749953</v>
      </c>
      <c r="T173" s="22" t="n">
        <f aca="false">100*(T39-T38)</f>
        <v>7.31368031819479</v>
      </c>
      <c r="U173" s="22" t="n">
        <f aca="false">100*(U39-U38)</f>
        <v>7.26047943041079</v>
      </c>
      <c r="V173" s="22" t="n">
        <f aca="false">100*(V39-V38)</f>
        <v>7.21112284255461</v>
      </c>
      <c r="W173" s="22" t="n">
        <f aca="false">100*(W39-W38)</f>
        <v>7.16586007533571</v>
      </c>
      <c r="X173" s="22" t="n">
        <f aca="false">100*(X39-X38)</f>
        <v>7.1248765163517</v>
      </c>
      <c r="Y173" s="22" t="n">
        <f aca="false">100*(Y39-Y38)</f>
        <v>7.0882972408838</v>
      </c>
      <c r="Z173" s="22" t="n">
        <f aca="false">100*(Z39-Z38)</f>
        <v>7.05617274642931</v>
      </c>
      <c r="AA173" s="22" t="n">
        <f aca="false">100*(AA39-AA38)</f>
        <v>7.0284776020815</v>
      </c>
      <c r="AB173" s="22" t="n">
        <f aca="false">100*(AB39-AB38)</f>
        <v>7.00511938491062</v>
      </c>
      <c r="AC173" s="22" t="n">
        <f aca="false">100*(AC39-AC38)</f>
        <v>6.98594665520449</v>
      </c>
      <c r="AD173" s="22" t="n">
        <f aca="false">100*(AD39-AD38)</f>
        <v>6.9707553575719</v>
      </c>
      <c r="AE173" s="22" t="n">
        <f aca="false">100*(AE39-AE38)</f>
        <v>6.95928368870058</v>
      </c>
      <c r="AF173" s="22" t="n">
        <f aca="false">100*(AF39-AF38)</f>
        <v>6.95120339325441</v>
      </c>
      <c r="AG173" s="22" t="n">
        <f aca="false">100*(AG39-AG38)</f>
        <v>6.94613646448898</v>
      </c>
      <c r="AH173" s="22" t="n">
        <f aca="false">100*(AH39-AH38)</f>
        <v>6.94366676538309</v>
      </c>
      <c r="AI173" s="22" t="n">
        <f aca="false">100*(AI39-AI38)</f>
        <v>6.94335779568722</v>
      </c>
      <c r="AJ173" s="22" t="n">
        <f aca="false">100*(AJ39-AJ38)</f>
        <v>6.9447697822751</v>
      </c>
      <c r="AK173" s="22" t="n">
        <f aca="false">100*(AK39-AK38)</f>
        <v>6.94746137742892</v>
      </c>
      <c r="AL173" s="22" t="n">
        <f aca="false">100*(AL39-AL38)</f>
        <v>6.95099075679531</v>
      </c>
      <c r="AM173" s="22" t="n">
        <f aca="false">100*(AM39-AM38)</f>
        <v>6.95492944047689</v>
      </c>
      <c r="AN173" s="22" t="n">
        <f aca="false">100*(AN39-AN38)</f>
        <v>6.95887731507558</v>
      </c>
      <c r="AO173" s="22" t="n">
        <f aca="false">100*(AO39-AO38)</f>
        <v>6.96246430093241</v>
      </c>
      <c r="AP173" s="22" t="n">
        <f aca="false">100*(AP39-AP38)</f>
        <v>6.96535261791802</v>
      </c>
      <c r="AQ173" s="22" t="n">
        <f aca="false">100*(AQ39-AQ38)</f>
        <v>6.9672393597745</v>
      </c>
      <c r="AR173" s="22" t="n">
        <f aca="false">100*(AR39-AR38)</f>
        <v>6.96786882818581</v>
      </c>
      <c r="AS173" s="22" t="n">
        <f aca="false">100*(AS39-AS38)</f>
        <v>6.9670338626413</v>
      </c>
      <c r="AT173" s="22" t="n">
        <f aca="false">100*(AT39-AT38)</f>
        <v>6.9645719017527</v>
      </c>
      <c r="AU173" s="22" t="n">
        <f aca="false">100*(AU39-AU38)</f>
        <v>6.96036668157161</v>
      </c>
      <c r="AV173" s="22" t="n">
        <f aca="false">AVERAGE(C173:AU173)</f>
        <v>6.71808981473771</v>
      </c>
    </row>
    <row r="174" customFormat="false" ht="15" hidden="false" customHeight="false" outlineLevel="0" collapsed="false">
      <c r="A174" s="20" t="n">
        <f aca="false">A40</f>
        <v>-85</v>
      </c>
      <c r="B174" s="21" t="n">
        <f aca="false">B40</f>
        <v>43052</v>
      </c>
      <c r="C174" s="22" t="n">
        <f aca="false">100*(C40-C39)</f>
        <v>-0.0269258656711402</v>
      </c>
      <c r="D174" s="22" t="n">
        <f aca="false">100*(D40-D39)</f>
        <v>-0.140996347665767</v>
      </c>
      <c r="E174" s="22" t="n">
        <f aca="false">100*(E40-E39)</f>
        <v>-0.253321666021933</v>
      </c>
      <c r="F174" s="22" t="n">
        <f aca="false">100*(F40-F39)</f>
        <v>-0.353583415244008</v>
      </c>
      <c r="G174" s="22" t="n">
        <f aca="false">100*(G40-G39)</f>
        <v>-0.44042222783689</v>
      </c>
      <c r="H174" s="22" t="n">
        <f aca="false">100*(H40-H39)</f>
        <v>-0.515467618095011</v>
      </c>
      <c r="I174" s="22" t="n">
        <f aca="false">100*(I40-I39)</f>
        <v>-0.580977139651628</v>
      </c>
      <c r="J174" s="22" t="n">
        <f aca="false">100*(J40-J39)</f>
        <v>-0.638906179590104</v>
      </c>
      <c r="K174" s="22" t="n">
        <f aca="false">100*(K40-K39)</f>
        <v>-0.690455182937999</v>
      </c>
      <c r="L174" s="22" t="n">
        <f aca="false">100*(L40-L39)</f>
        <v>-0.736152988549588</v>
      </c>
      <c r="M174" s="22" t="n">
        <f aca="false">100*(M40-M39)</f>
        <v>-0.776254806389898</v>
      </c>
      <c r="N174" s="22" t="n">
        <f aca="false">100*(N40-N39)</f>
        <v>-0.810870087466209</v>
      </c>
      <c r="O174" s="22" t="n">
        <f aca="false">100*(O40-O39)</f>
        <v>-0.948074518683306</v>
      </c>
      <c r="P174" s="22" t="n">
        <f aca="false">100*(P40-P39)</f>
        <v>-0.951691721314107</v>
      </c>
      <c r="Q174" s="22" t="n">
        <f aca="false">100*(Q40-Q39)</f>
        <v>-0.955699609479899</v>
      </c>
      <c r="R174" s="22" t="n">
        <f aca="false">100*(R40-R39)</f>
        <v>-0.9600530789589</v>
      </c>
      <c r="S174" s="22" t="n">
        <f aca="false">100*(S40-S39)</f>
        <v>-0.964687396777419</v>
      </c>
      <c r="T174" s="22" t="n">
        <f aca="false">100*(T40-T39)</f>
        <v>-0.9695250024778</v>
      </c>
      <c r="U174" s="22" t="n">
        <f aca="false">100*(U40-U39)</f>
        <v>-0.974477397703111</v>
      </c>
      <c r="V174" s="22" t="n">
        <f aca="false">100*(V40-V39)</f>
        <v>-0.97944674867021</v>
      </c>
      <c r="W174" s="22" t="n">
        <f aca="false">100*(W40-W39)</f>
        <v>-0.984326930205892</v>
      </c>
      <c r="X174" s="22" t="n">
        <f aca="false">100*(X40-X39)</f>
        <v>-0.989004374243785</v>
      </c>
      <c r="Y174" s="22" t="n">
        <f aca="false">100*(Y40-Y39)</f>
        <v>-0.993362525973596</v>
      </c>
      <c r="Z174" s="22" t="n">
        <f aca="false">100*(Z40-Z39)</f>
        <v>-0.997297057816216</v>
      </c>
      <c r="AA174" s="22" t="n">
        <f aca="false">100*(AA40-AA39)</f>
        <v>-1.00072110069589</v>
      </c>
      <c r="AB174" s="22" t="n">
        <f aca="false">100*(AB40-AB39)</f>
        <v>-1.00356329783122</v>
      </c>
      <c r="AC174" s="22" t="n">
        <f aca="false">100*(AC40-AC39)</f>
        <v>-1.00576595803461</v>
      </c>
      <c r="AD174" s="22" t="n">
        <f aca="false">100*(AD40-AD39)</f>
        <v>-1.0072839375002</v>
      </c>
      <c r="AE174" s="22" t="n">
        <f aca="false">100*(AE40-AE39)</f>
        <v>-1.00809214285338</v>
      </c>
      <c r="AF174" s="22" t="n">
        <f aca="false">100*(AF40-AF39)</f>
        <v>-1.00819563729893</v>
      </c>
      <c r="AG174" s="22" t="n">
        <f aca="false">100*(AG40-AG39)</f>
        <v>-1.00762612809548</v>
      </c>
      <c r="AH174" s="22" t="n">
        <f aca="false">100*(AH40-AH39)</f>
        <v>-1.00643814955141</v>
      </c>
      <c r="AI174" s="22" t="n">
        <f aca="false">100*(AI40-AI39)</f>
        <v>-1.0047042361641</v>
      </c>
      <c r="AJ174" s="22" t="n">
        <f aca="false">100*(AJ40-AJ39)</f>
        <v>-1.00251128531919</v>
      </c>
      <c r="AK174" s="22" t="n">
        <f aca="false">100*(AK40-AK39)</f>
        <v>-0.999959143966311</v>
      </c>
      <c r="AL174" s="22" t="n">
        <f aca="false">100*(AL40-AL39)</f>
        <v>-0.997159008720105</v>
      </c>
      <c r="AM174" s="22" t="n">
        <f aca="false">100*(AM40-AM39)</f>
        <v>-0.994227818426507</v>
      </c>
      <c r="AN174" s="22" t="n">
        <f aca="false">100*(AN40-AN39)</f>
        <v>-0.991282660726478</v>
      </c>
      <c r="AO174" s="22" t="n">
        <f aca="false">100*(AO40-AO39)</f>
        <v>-0.988438848766426</v>
      </c>
      <c r="AP174" s="22" t="n">
        <f aca="false">100*(AP40-AP39)</f>
        <v>-0.985807100489811</v>
      </c>
      <c r="AQ174" s="22" t="n">
        <f aca="false">100*(AQ40-AQ39)</f>
        <v>-0.983491021797911</v>
      </c>
      <c r="AR174" s="22" t="n">
        <f aca="false">100*(AR40-AR39)</f>
        <v>-0.981580866629006</v>
      </c>
      <c r="AS174" s="22" t="n">
        <f aca="false">100*(AS40-AS39)</f>
        <v>-0.980152501617404</v>
      </c>
      <c r="AT174" s="22" t="n">
        <f aca="false">100*(AT40-AT39)</f>
        <v>-0.979268506064401</v>
      </c>
      <c r="AU174" s="22" t="n">
        <f aca="false">100*(AU40-AU39)</f>
        <v>-0.978976505347595</v>
      </c>
      <c r="AV174" s="22" t="n">
        <f aca="false">AVERAGE(C174:AU174)</f>
        <v>-0.85660501651824</v>
      </c>
    </row>
    <row r="175" customFormat="false" ht="15" hidden="false" customHeight="false" outlineLevel="0" collapsed="false">
      <c r="A175" s="20" t="n">
        <f aca="false">A41</f>
        <v>-84</v>
      </c>
      <c r="B175" s="21" t="n">
        <f aca="false">B41</f>
        <v>43053</v>
      </c>
      <c r="C175" s="22" t="n">
        <f aca="false">100*(C41-C40)</f>
        <v>-1.76121470646448</v>
      </c>
      <c r="D175" s="22" t="n">
        <f aca="false">100*(D41-D40)</f>
        <v>-1.93094107067355</v>
      </c>
      <c r="E175" s="22" t="n">
        <f aca="false">100*(E41-E40)</f>
        <v>-2.04279031184862</v>
      </c>
      <c r="F175" s="22" t="n">
        <f aca="false">100*(F41-F40)</f>
        <v>-2.1080372229743</v>
      </c>
      <c r="G175" s="22" t="n">
        <f aca="false">100*(G41-G40)</f>
        <v>-2.13951126925381</v>
      </c>
      <c r="H175" s="22" t="n">
        <f aca="false">100*(H41-H40)</f>
        <v>-2.14718358148704</v>
      </c>
      <c r="I175" s="22" t="n">
        <f aca="false">100*(I41-I40)</f>
        <v>-2.1382158545768</v>
      </c>
      <c r="J175" s="22" t="n">
        <f aca="false">100*(J41-J40)</f>
        <v>-2.11772604130428</v>
      </c>
      <c r="K175" s="22" t="n">
        <f aca="false">100*(K41-K40)</f>
        <v>-2.08953062760991</v>
      </c>
      <c r="L175" s="22" t="n">
        <f aca="false">100*(L41-L40)</f>
        <v>-2.05655322510856</v>
      </c>
      <c r="M175" s="22" t="n">
        <f aca="false">100*(M41-M40)</f>
        <v>-2.0210547900346</v>
      </c>
      <c r="N175" s="22" t="n">
        <f aca="false">100*(N41-N40)</f>
        <v>-1.98460225413679</v>
      </c>
      <c r="O175" s="22" t="n">
        <f aca="false">100*(O41-O40)</f>
        <v>-1.48685070135259</v>
      </c>
      <c r="P175" s="22" t="n">
        <f aca="false">100*(P41-P40)</f>
        <v>-1.44668719454191</v>
      </c>
      <c r="Q175" s="22" t="n">
        <f aca="false">100*(Q41-Q40)</f>
        <v>-1.40734178447941</v>
      </c>
      <c r="R175" s="22" t="n">
        <f aca="false">100*(R41-R40)</f>
        <v>-1.36901260166782</v>
      </c>
      <c r="S175" s="22" t="n">
        <f aca="false">100*(S41-S40)</f>
        <v>-1.33183003484378</v>
      </c>
      <c r="T175" s="22" t="n">
        <f aca="false">100*(T41-T40)</f>
        <v>-1.29586429177229</v>
      </c>
      <c r="U175" s="22" t="n">
        <f aca="false">100*(U41-U40)</f>
        <v>-1.26113424722609</v>
      </c>
      <c r="V175" s="22" t="n">
        <f aca="false">100*(V41-V40)</f>
        <v>-1.22761407641159</v>
      </c>
      <c r="W175" s="22" t="n">
        <f aca="false">100*(W41-W40)</f>
        <v>-1.195236148872</v>
      </c>
      <c r="X175" s="22" t="n">
        <f aca="false">100*(X41-X40)</f>
        <v>-1.1638950490273</v>
      </c>
      <c r="Y175" s="22" t="n">
        <f aca="false">100*(Y41-Y40)</f>
        <v>-1.13345622003291</v>
      </c>
      <c r="Z175" s="22" t="n">
        <f aca="false">100*(Z41-Z40)</f>
        <v>-1.1037750874338</v>
      </c>
      <c r="AA175" s="22" t="n">
        <f aca="false">100*(AA41-AA40)</f>
        <v>-1.07470515505181</v>
      </c>
      <c r="AB175" s="22" t="n">
        <f aca="false">100*(AB41-AB40)</f>
        <v>-1.0460984160529</v>
      </c>
      <c r="AC175" s="22" t="n">
        <f aca="false">100*(AC41-AC40)</f>
        <v>-1.01780553278679</v>
      </c>
      <c r="AD175" s="22" t="n">
        <f aca="false">100*(AD41-AD40)</f>
        <v>-0.98967631114899</v>
      </c>
      <c r="AE175" s="22" t="n">
        <f aca="false">100*(AE41-AE40)</f>
        <v>-0.961565861664981</v>
      </c>
      <c r="AF175" s="22" t="n">
        <f aca="false">100*(AF41-AF40)</f>
        <v>-0.933342692695494</v>
      </c>
      <c r="AG175" s="22" t="n">
        <f aca="false">100*(AG41-AG40)</f>
        <v>-0.904888661934189</v>
      </c>
      <c r="AH175" s="22" t="n">
        <f aca="false">100*(AH41-AH40)</f>
        <v>-0.87609787466727</v>
      </c>
      <c r="AI175" s="22" t="n">
        <f aca="false">100*(AI41-AI40)</f>
        <v>-0.846877515789402</v>
      </c>
      <c r="AJ175" s="22" t="n">
        <f aca="false">100*(AJ41-AJ40)</f>
        <v>-0.817150974957137</v>
      </c>
      <c r="AK175" s="22" t="n">
        <f aca="false">100*(AK41-AK40)</f>
        <v>-0.786857109508388</v>
      </c>
      <c r="AL175" s="22" t="n">
        <f aca="false">100*(AL41-AL40)</f>
        <v>-0.755948828134612</v>
      </c>
      <c r="AM175" s="22" t="n">
        <f aca="false">100*(AM41-AM40)</f>
        <v>-0.724394981223586</v>
      </c>
      <c r="AN175" s="22" t="n">
        <f aca="false">100*(AN41-AN40)</f>
        <v>-0.692184768561122</v>
      </c>
      <c r="AO175" s="22" t="n">
        <f aca="false">100*(AO41-AO40)</f>
        <v>-0.659328483990374</v>
      </c>
      <c r="AP175" s="22" t="n">
        <f aca="false">100*(AP41-AP40)</f>
        <v>-0.625859922556193</v>
      </c>
      <c r="AQ175" s="22" t="n">
        <f aca="false">100*(AQ41-AQ40)</f>
        <v>-0.591834932461</v>
      </c>
      <c r="AR175" s="22" t="n">
        <f aca="false">100*(AR41-AR40)</f>
        <v>-0.557326886367182</v>
      </c>
      <c r="AS175" s="22" t="n">
        <f aca="false">100*(AS41-AS40)</f>
        <v>-0.522424171693681</v>
      </c>
      <c r="AT175" s="22" t="n">
        <f aca="false">100*(AT41-AT40)</f>
        <v>-0.487228940216999</v>
      </c>
      <c r="AU175" s="22" t="n">
        <f aca="false">100*(AU41-AU40)</f>
        <v>-0.451855541995916</v>
      </c>
      <c r="AV175" s="22" t="n">
        <f aca="false">AVERAGE(C175:AU175)</f>
        <v>-1.25074471014649</v>
      </c>
    </row>
    <row r="176" customFormat="false" ht="15" hidden="false" customHeight="false" outlineLevel="0" collapsed="false">
      <c r="A176" s="20" t="n">
        <f aca="false">A42</f>
        <v>-83</v>
      </c>
      <c r="B176" s="21" t="n">
        <f aca="false">B42</f>
        <v>43054</v>
      </c>
      <c r="C176" s="22" t="n">
        <f aca="false">100*(C42-C41)</f>
        <v>-0.0438504538280204</v>
      </c>
      <c r="D176" s="22" t="n">
        <f aca="false">100*(D42-D41)</f>
        <v>-0.323069181708557</v>
      </c>
      <c r="E176" s="22" t="n">
        <f aca="false">100*(E42-E41)</f>
        <v>-0.616203230540513</v>
      </c>
      <c r="F176" s="22" t="n">
        <f aca="false">100*(F42-F41)</f>
        <v>-0.893807070404429</v>
      </c>
      <c r="G176" s="22" t="n">
        <f aca="false">100*(G42-G41)</f>
        <v>-1.14400233070682</v>
      </c>
      <c r="H176" s="22" t="n">
        <f aca="false">100*(H42-H41)</f>
        <v>-1.36405358304087</v>
      </c>
      <c r="I176" s="22" t="n">
        <f aca="false">100*(I42-I41)</f>
        <v>-1.55523964488998</v>
      </c>
      <c r="J176" s="22" t="n">
        <f aca="false">100*(J42-J41)</f>
        <v>-1.72023469650394</v>
      </c>
      <c r="K176" s="22" t="n">
        <f aca="false">100*(K42-K41)</f>
        <v>-1.86203607876928</v>
      </c>
      <c r="L176" s="22" t="n">
        <f aca="false">100*(L42-L41)</f>
        <v>-1.9834558896671</v>
      </c>
      <c r="M176" s="22" t="n">
        <f aca="false">100*(M42-M41)</f>
        <v>-2.08707231963481</v>
      </c>
      <c r="N176" s="22" t="n">
        <f aca="false">100*(N42-N41)</f>
        <v>-2.17516861842291</v>
      </c>
      <c r="O176" s="22" t="n">
        <f aca="false">100*(O42-O41)</f>
        <v>-2.50128657408319</v>
      </c>
      <c r="P176" s="22" t="n">
        <f aca="false">100*(P42-P41)</f>
        <v>-2.48868283484989</v>
      </c>
      <c r="Q176" s="22" t="n">
        <f aca="false">100*(Q42-Q41)</f>
        <v>-2.4735299671498</v>
      </c>
      <c r="R176" s="22" t="n">
        <f aca="false">100*(R42-R41)</f>
        <v>-2.4563741640856</v>
      </c>
      <c r="S176" s="22" t="n">
        <f aca="false">100*(S42-S41)</f>
        <v>-2.4377063076136</v>
      </c>
      <c r="T176" s="22" t="n">
        <f aca="false">100*(T42-T41)</f>
        <v>-2.41796596898132</v>
      </c>
      <c r="U176" s="22" t="n">
        <f aca="false">100*(U42-U41)</f>
        <v>-2.3975489410186</v>
      </c>
      <c r="V176" s="22" t="n">
        <f aca="false">100*(V42-V41)</f>
        <v>-2.37681074163201</v>
      </c>
      <c r="W176" s="22" t="n">
        <f aca="false">100*(W42-W41)</f>
        <v>-2.356060596277</v>
      </c>
      <c r="X176" s="22" t="n">
        <f aca="false">100*(X42-X41)</f>
        <v>-2.33556243212831</v>
      </c>
      <c r="Y176" s="22" t="n">
        <f aca="false">100*(Y42-Y41)</f>
        <v>-2.3155406911219</v>
      </c>
      <c r="Z176" s="22" t="n">
        <f aca="false">100*(Z42-Z41)</f>
        <v>-2.29618519713739</v>
      </c>
      <c r="AA176" s="22" t="n">
        <f aca="false">100*(AA42-AA41)</f>
        <v>-2.27765532885389</v>
      </c>
      <c r="AB176" s="22" t="n">
        <f aca="false">100*(AB42-AB41)</f>
        <v>-2.26008372529289</v>
      </c>
      <c r="AC176" s="22" t="n">
        <f aca="false">100*(AC42-AC41)</f>
        <v>-2.2435794691096</v>
      </c>
      <c r="AD176" s="22" t="n">
        <f aca="false">100*(AD42-AD41)</f>
        <v>-2.22823043267231</v>
      </c>
      <c r="AE176" s="22" t="n">
        <f aca="false">100*(AE42-AE41)</f>
        <v>-2.21409969922581</v>
      </c>
      <c r="AF176" s="22" t="n">
        <f aca="false">100*(AF42-AF41)</f>
        <v>-2.20122166306538</v>
      </c>
      <c r="AG176" s="22" t="n">
        <f aca="false">100*(AG42-AG41)</f>
        <v>-2.18960833013522</v>
      </c>
      <c r="AH176" s="22" t="n">
        <f aca="false">100*(AH42-AH41)</f>
        <v>-2.17925394991252</v>
      </c>
      <c r="AI176" s="22" t="n">
        <f aca="false">100*(AI42-AI41)</f>
        <v>-2.17014162753462</v>
      </c>
      <c r="AJ176" s="22" t="n">
        <f aca="false">100*(AJ42-AJ41)</f>
        <v>-2.16225236257999</v>
      </c>
      <c r="AK176" s="22" t="n">
        <f aca="false">100*(AK42-AK41)</f>
        <v>-2.15556658578753</v>
      </c>
      <c r="AL176" s="22" t="n">
        <f aca="false">100*(AL42-AL41)</f>
        <v>-2.1500642656245</v>
      </c>
      <c r="AM176" s="22" t="n">
        <f aca="false">100*(AM42-AM41)</f>
        <v>-2.14572724388049</v>
      </c>
      <c r="AN176" s="22" t="n">
        <f aca="false">100*(AN42-AN41)</f>
        <v>-2.14254346931699</v>
      </c>
      <c r="AO176" s="22" t="n">
        <f aca="false">100*(AO42-AO41)</f>
        <v>-2.1405054353143</v>
      </c>
      <c r="AP176" s="22" t="n">
        <f aca="false">100*(AP42-AP41)</f>
        <v>-2.13960589511981</v>
      </c>
      <c r="AQ176" s="22" t="n">
        <f aca="false">100*(AQ42-AQ41)</f>
        <v>-2.13983417524588</v>
      </c>
      <c r="AR176" s="22" t="n">
        <f aca="false">100*(AR42-AR41)</f>
        <v>-2.14116859866951</v>
      </c>
      <c r="AS176" s="22" t="n">
        <f aca="false">100*(AS42-AS41)</f>
        <v>-2.14357506835481</v>
      </c>
      <c r="AT176" s="22" t="n">
        <f aca="false">100*(AT42-AT41)</f>
        <v>-2.1470079476718</v>
      </c>
      <c r="AU176" s="22" t="n">
        <f aca="false">100*(AU42-AU41)</f>
        <v>-2.15140745218669</v>
      </c>
      <c r="AV176" s="22" t="n">
        <f aca="false">AVERAGE(C176:AU176)</f>
        <v>-2.00765733866112</v>
      </c>
    </row>
    <row r="177" customFormat="false" ht="15" hidden="false" customHeight="false" outlineLevel="0" collapsed="false">
      <c r="A177" s="20" t="n">
        <f aca="false">A43</f>
        <v>-82</v>
      </c>
      <c r="B177" s="21" t="n">
        <f aca="false">B43</f>
        <v>43055</v>
      </c>
      <c r="C177" s="22" t="n">
        <f aca="false">100*(C43-C42)</f>
        <v>1.54396354520533</v>
      </c>
      <c r="D177" s="22" t="n">
        <f aca="false">100*(D43-D42)</f>
        <v>1.67253567700115</v>
      </c>
      <c r="E177" s="22" t="n">
        <f aca="false">100*(E43-E42)</f>
        <v>1.75210412743682</v>
      </c>
      <c r="F177" s="22" t="n">
        <f aca="false">100*(F43-F42)</f>
        <v>1.80208296467386</v>
      </c>
      <c r="G177" s="22" t="n">
        <f aca="false">100*(G43-G42)</f>
        <v>1.83131537977763</v>
      </c>
      <c r="H177" s="22" t="n">
        <f aca="false">100*(H43-H42)</f>
        <v>1.84405522563125</v>
      </c>
      <c r="I177" s="22" t="n">
        <f aca="false">100*(I43-I42)</f>
        <v>1.84280415987711</v>
      </c>
      <c r="J177" s="22" t="n">
        <f aca="false">100*(J43-J42)</f>
        <v>1.82965844260149</v>
      </c>
      <c r="K177" s="22" t="n">
        <f aca="false">100*(K43-K42)</f>
        <v>1.80655750991956</v>
      </c>
      <c r="L177" s="22" t="n">
        <f aca="false">100*(L43-L42)</f>
        <v>1.77537131080232</v>
      </c>
      <c r="M177" s="22" t="n">
        <f aca="false">100*(M43-M42)</f>
        <v>1.7377309140979</v>
      </c>
      <c r="N177" s="22" t="n">
        <f aca="false">100*(N43-N42)</f>
        <v>1.6951150137716</v>
      </c>
      <c r="O177" s="22" t="n">
        <f aca="false">100*(O43-O42)</f>
        <v>1.05964730997259</v>
      </c>
      <c r="P177" s="22" t="n">
        <f aca="false">100*(P43-P42)</f>
        <v>1.02153709539019</v>
      </c>
      <c r="Q177" s="22" t="n">
        <f aca="false">100*(Q43-Q42)</f>
        <v>0.986124765304819</v>
      </c>
      <c r="R177" s="22" t="n">
        <f aca="false">100*(R43-R42)</f>
        <v>0.953366582745807</v>
      </c>
      <c r="S177" s="22" t="n">
        <f aca="false">100*(S43-S42)</f>
        <v>0.923175694806888</v>
      </c>
      <c r="T177" s="22" t="n">
        <f aca="false">100*(T43-T42)</f>
        <v>0.895429333327402</v>
      </c>
      <c r="U177" s="22" t="n">
        <f aca="false">100*(U43-U42)</f>
        <v>0.869974116953998</v>
      </c>
      <c r="V177" s="22" t="n">
        <f aca="false">100*(V43-V42)</f>
        <v>0.846634362310006</v>
      </c>
      <c r="W177" s="22" t="n">
        <f aca="false">100*(W43-W42)</f>
        <v>0.825231276371286</v>
      </c>
      <c r="X177" s="22" t="n">
        <f aca="false">100*(X43-X42)</f>
        <v>0.805590459906402</v>
      </c>
      <c r="Y177" s="22" t="n">
        <f aca="false">100*(Y43-Y42)</f>
        <v>0.787541174676298</v>
      </c>
      <c r="Z177" s="22" t="n">
        <f aca="false">100*(Z43-Z42)</f>
        <v>0.770914698053393</v>
      </c>
      <c r="AA177" s="22" t="n">
        <f aca="false">100*(AA43-AA42)</f>
        <v>0.755543628842492</v>
      </c>
      <c r="AB177" s="22" t="n">
        <f aca="false">100*(AB43-AB42)</f>
        <v>0.741261718556197</v>
      </c>
      <c r="AC177" s="22" t="n">
        <f aca="false">100*(AC43-AC42)</f>
        <v>0.727903734187607</v>
      </c>
      <c r="AD177" s="22" t="n">
        <f aca="false">100*(AD43-AD42)</f>
        <v>0.715305182369708</v>
      </c>
      <c r="AE177" s="22" t="n">
        <f aca="false">100*(AE43-AE42)</f>
        <v>0.703299008482894</v>
      </c>
      <c r="AF177" s="22" t="n">
        <f aca="false">100*(AF43-AF42)</f>
        <v>0.691712158705493</v>
      </c>
      <c r="AG177" s="22" t="n">
        <f aca="false">100*(AG43-AG42)</f>
        <v>0.680369558909821</v>
      </c>
      <c r="AH177" s="22" t="n">
        <f aca="false">100*(AH43-AH42)</f>
        <v>0.66909670723001</v>
      </c>
      <c r="AI177" s="22" t="n">
        <f aca="false">100*(AI43-AI42)</f>
        <v>0.657731301735498</v>
      </c>
      <c r="AJ177" s="22" t="n">
        <f aca="false">100*(AJ43-AJ42)</f>
        <v>0.646136122854912</v>
      </c>
      <c r="AK177" s="22" t="n">
        <f aca="false">100*(AK43-AK42)</f>
        <v>0.634198159111099</v>
      </c>
      <c r="AL177" s="22" t="n">
        <f aca="false">100*(AL43-AL42)</f>
        <v>0.621826969702499</v>
      </c>
      <c r="AM177" s="22" t="n">
        <f aca="false">100*(AM43-AM42)</f>
        <v>0.608963638528692</v>
      </c>
      <c r="AN177" s="22" t="n">
        <f aca="false">100*(AN43-AN42)</f>
        <v>0.595591658724293</v>
      </c>
      <c r="AO177" s="22" t="n">
        <f aca="false">100*(AO43-AO42)</f>
        <v>0.581736497816188</v>
      </c>
      <c r="AP177" s="22" t="n">
        <f aca="false">100*(AP43-AP42)</f>
        <v>0.567465450246507</v>
      </c>
      <c r="AQ177" s="22" t="n">
        <f aca="false">100*(AQ43-AQ42)</f>
        <v>0.552881677315686</v>
      </c>
      <c r="AR177" s="22" t="n">
        <f aca="false">100*(AR43-AR42)</f>
        <v>0.53811475196579</v>
      </c>
      <c r="AS177" s="22" t="n">
        <f aca="false">100*(AS43-AS42)</f>
        <v>0.523317002250989</v>
      </c>
      <c r="AT177" s="22" t="n">
        <f aca="false">100*(AT43-AT42)</f>
        <v>0.508661341610894</v>
      </c>
      <c r="AU177" s="22" t="n">
        <f aca="false">100*(AU43-AU42)</f>
        <v>0.494336285457409</v>
      </c>
      <c r="AV177" s="22" t="n">
        <f aca="false">AVERAGE(C177:AU177)</f>
        <v>1.00208697100488</v>
      </c>
    </row>
    <row r="178" customFormat="false" ht="15" hidden="false" customHeight="false" outlineLevel="0" collapsed="false">
      <c r="A178" s="20" t="n">
        <f aca="false">A44</f>
        <v>-81</v>
      </c>
      <c r="B178" s="21" t="n">
        <f aca="false">B44</f>
        <v>43056</v>
      </c>
      <c r="C178" s="22" t="n">
        <f aca="false">100*(C44-C43)</f>
        <v>-0.395717272804319</v>
      </c>
      <c r="D178" s="22" t="n">
        <f aca="false">100*(D44-D43)</f>
        <v>-0.0237413491396832</v>
      </c>
      <c r="E178" s="22" t="n">
        <f aca="false">100*(E44-E43)</f>
        <v>0.240272009965203</v>
      </c>
      <c r="F178" s="22" t="n">
        <f aca="false">100*(F44-F43)</f>
        <v>0.421784885450838</v>
      </c>
      <c r="G178" s="22" t="n">
        <f aca="false">100*(G44-G43)</f>
        <v>0.538866236598257</v>
      </c>
      <c r="H178" s="22" t="n">
        <f aca="false">100*(H44-H43)</f>
        <v>0.605349749882189</v>
      </c>
      <c r="I178" s="22" t="n">
        <f aca="false">100*(I44-I43)</f>
        <v>0.632142653740464</v>
      </c>
      <c r="J178" s="22" t="n">
        <f aca="false">100*(J44-J43)</f>
        <v>0.62836899157902</v>
      </c>
      <c r="K178" s="22" t="n">
        <f aca="false">100*(K44-K43)</f>
        <v>0.601396600309379</v>
      </c>
      <c r="L178" s="22" t="n">
        <f aca="false">100*(L44-L43)</f>
        <v>0.557497028696896</v>
      </c>
      <c r="M178" s="22" t="n">
        <f aca="false">100*(M44-M43)</f>
        <v>0.5016418496818</v>
      </c>
      <c r="N178" s="22" t="n">
        <f aca="false">100*(N44-N43)</f>
        <v>0.437794474666098</v>
      </c>
      <c r="O178" s="22" t="n">
        <f aca="false">100*(O44-O43)</f>
        <v>-0.4677037858549</v>
      </c>
      <c r="P178" s="22" t="n">
        <f aca="false">100*(P44-P43)</f>
        <v>-0.524387268120208</v>
      </c>
      <c r="Q178" s="22" t="n">
        <f aca="false">100*(Q44-Q43)</f>
        <v>-0.57710495947001</v>
      </c>
      <c r="R178" s="22" t="n">
        <f aca="false">100*(R44-R43)</f>
        <v>-0.625407730642102</v>
      </c>
      <c r="S178" s="22" t="n">
        <f aca="false">100*(S44-S43)</f>
        <v>-0.668938429503707</v>
      </c>
      <c r="T178" s="22" t="n">
        <f aca="false">100*(T44-T43)</f>
        <v>-0.707426266743694</v>
      </c>
      <c r="U178" s="22" t="n">
        <f aca="false">100*(U44-U43)</f>
        <v>-0.740674215751103</v>
      </c>
      <c r="V178" s="22" t="n">
        <f aca="false">100*(V44-V43)</f>
        <v>-0.768564189947907</v>
      </c>
      <c r="W178" s="22" t="n">
        <f aca="false">100*(W44-W43)</f>
        <v>-0.791106963529886</v>
      </c>
      <c r="X178" s="22" t="n">
        <f aca="false">100*(X44-X43)</f>
        <v>-0.8084502414347</v>
      </c>
      <c r="Y178" s="22" t="n">
        <f aca="false">100*(Y44-Y43)</f>
        <v>-0.820855820389599</v>
      </c>
      <c r="Z178" s="22" t="n">
        <f aca="false">100*(Z44-Z43)</f>
        <v>-0.828663558122589</v>
      </c>
      <c r="AA178" s="22" t="n">
        <f aca="false">100*(AA44-AA43)</f>
        <v>-0.832272466122697</v>
      </c>
      <c r="AB178" s="22" t="n">
        <f aca="false">100*(AB44-AB43)</f>
        <v>-0.832133276938896</v>
      </c>
      <c r="AC178" s="22" t="n">
        <f aca="false">100*(AC44-AC43)</f>
        <v>-0.828742286912609</v>
      </c>
      <c r="AD178" s="22" t="n">
        <f aca="false">100*(AD44-AD43)</f>
        <v>-0.822634203816519</v>
      </c>
      <c r="AE178" s="22" t="n">
        <f aca="false">100*(AE44-AE43)</f>
        <v>-0.814350758454396</v>
      </c>
      <c r="AF178" s="22" t="n">
        <f aca="false">100*(AF44-AF43)</f>
        <v>-0.804406629386012</v>
      </c>
      <c r="AG178" s="22" t="n">
        <f aca="false">100*(AG44-AG43)</f>
        <v>-0.793288264108405</v>
      </c>
      <c r="AH178" s="22" t="n">
        <f aca="false">100*(AH44-AH43)</f>
        <v>-0.781456253393809</v>
      </c>
      <c r="AI178" s="22" t="n">
        <f aca="false">100*(AI44-AI43)</f>
        <v>-0.769334368162289</v>
      </c>
      <c r="AJ178" s="22" t="n">
        <f aca="false">100*(AJ44-AJ43)</f>
        <v>-0.757300453778309</v>
      </c>
      <c r="AK178" s="22" t="n">
        <f aca="false">100*(AK44-AK43)</f>
        <v>-0.745690180213288</v>
      </c>
      <c r="AL178" s="22" t="n">
        <f aca="false">100*(AL44-AL43)</f>
        <v>-0.734800639474598</v>
      </c>
      <c r="AM178" s="22" t="n">
        <f aca="false">100*(AM44-AM43)</f>
        <v>-0.724889982368393</v>
      </c>
      <c r="AN178" s="22" t="n">
        <f aca="false">100*(AN44-AN43)</f>
        <v>-0.716179953638396</v>
      </c>
      <c r="AO178" s="22" t="n">
        <f aca="false">100*(AO44-AO43)</f>
        <v>-0.708859119133098</v>
      </c>
      <c r="AP178" s="22" t="n">
        <f aca="false">100*(AP44-AP43)</f>
        <v>-0.7030860288328</v>
      </c>
      <c r="AQ178" s="22" t="n">
        <f aca="false">100*(AQ44-AQ43)</f>
        <v>-0.698989048341803</v>
      </c>
      <c r="AR178" s="22" t="n">
        <f aca="false">100*(AR44-AR43)</f>
        <v>-0.696658250948801</v>
      </c>
      <c r="AS178" s="22" t="n">
        <f aca="false">100*(AS44-AS43)</f>
        <v>-0.696145198781895</v>
      </c>
      <c r="AT178" s="22" t="n">
        <f aca="false">100*(AT44-AT43)</f>
        <v>-0.697466134468794</v>
      </c>
      <c r="AU178" s="22" t="n">
        <f aca="false">100*(AU44-AU43)</f>
        <v>-0.700601515222599</v>
      </c>
      <c r="AV178" s="22" t="n">
        <f aca="false">AVERAGE(C178:AU178)</f>
        <v>-0.43206472407517</v>
      </c>
    </row>
    <row r="179" customFormat="false" ht="15" hidden="false" customHeight="false" outlineLevel="0" collapsed="false">
      <c r="A179" s="20" t="n">
        <f aca="false">A45</f>
        <v>-80</v>
      </c>
      <c r="B179" s="21" t="n">
        <f aca="false">B45</f>
        <v>43059</v>
      </c>
      <c r="C179" s="22" t="n">
        <f aca="false">100*(C45-C44)</f>
        <v>-0.795769206046382</v>
      </c>
      <c r="D179" s="22" t="n">
        <f aca="false">100*(D45-D44)</f>
        <v>-0.849501266996361</v>
      </c>
      <c r="E179" s="22" t="n">
        <f aca="false">100*(E45-E44)</f>
        <v>-0.943870892473031</v>
      </c>
      <c r="F179" s="22" t="n">
        <f aca="false">100*(F45-F44)</f>
        <v>-1.05284376966872</v>
      </c>
      <c r="G179" s="22" t="n">
        <f aca="false">100*(G45-G44)</f>
        <v>-1.16408782964217</v>
      </c>
      <c r="H179" s="22" t="n">
        <f aca="false">100*(H45-H44)</f>
        <v>-1.27157926928007</v>
      </c>
      <c r="I179" s="22" t="n">
        <f aca="false">100*(I45-I44)</f>
        <v>-1.37284351175551</v>
      </c>
      <c r="J179" s="22" t="n">
        <f aca="false">100*(J45-J44)</f>
        <v>-1.46751450765621</v>
      </c>
      <c r="K179" s="22" t="n">
        <f aca="false">100*(K45-K44)</f>
        <v>-1.55641478826588</v>
      </c>
      <c r="L179" s="22" t="n">
        <f aca="false">100*(L45-L44)</f>
        <v>-1.64075292652918</v>
      </c>
      <c r="M179" s="22" t="n">
        <f aca="false">100*(M45-M44)</f>
        <v>-1.7218429957375</v>
      </c>
      <c r="N179" s="22" t="n">
        <f aca="false">100*(N45-N44)</f>
        <v>-1.8010994416457</v>
      </c>
      <c r="O179" s="22" t="n">
        <f aca="false">100*(O45-O44)</f>
        <v>-2.95124265129521</v>
      </c>
      <c r="P179" s="22" t="n">
        <f aca="false">100*(P45-P44)</f>
        <v>-3.0339870571114</v>
      </c>
      <c r="Q179" s="22" t="n">
        <f aca="false">100*(Q45-Q44)</f>
        <v>-3.1113066885829</v>
      </c>
      <c r="R179" s="22" t="n">
        <f aca="false">100*(R45-R44)</f>
        <v>-3.1825617058765</v>
      </c>
      <c r="S179" s="22" t="n">
        <f aca="false">100*(S45-S44)</f>
        <v>-3.2473026458018</v>
      </c>
      <c r="T179" s="22" t="n">
        <f aca="false">100*(T45-T44)</f>
        <v>-3.30524766939799</v>
      </c>
      <c r="U179" s="22" t="n">
        <f aca="false">100*(U45-U44)</f>
        <v>-3.356257966206</v>
      </c>
      <c r="V179" s="22" t="n">
        <f aca="false">100*(V45-V44)</f>
        <v>-3.4003249739216</v>
      </c>
      <c r="W179" s="22" t="n">
        <f aca="false">100*(W45-W44)</f>
        <v>-3.43758074668892</v>
      </c>
      <c r="X179" s="22" t="n">
        <f aca="false">100*(X45-X44)</f>
        <v>-3.4682903839238</v>
      </c>
      <c r="Y179" s="22" t="n">
        <f aca="false">100*(Y45-Y44)</f>
        <v>-3.4928291716533</v>
      </c>
      <c r="Z179" s="22" t="n">
        <f aca="false">100*(Z45-Z44)</f>
        <v>-3.5116472527374</v>
      </c>
      <c r="AA179" s="22" t="n">
        <f aca="false">100*(AA45-AA44)</f>
        <v>-3.5252515664483</v>
      </c>
      <c r="AB179" s="22" t="n">
        <f aca="false">100*(AB45-AB44)</f>
        <v>-3.53419873036691</v>
      </c>
      <c r="AC179" s="22" t="n">
        <f aca="false">100*(AC45-AC44)</f>
        <v>-3.53908912629679</v>
      </c>
      <c r="AD179" s="22" t="n">
        <f aca="false">100*(AD45-AD44)</f>
        <v>-3.5405606447374</v>
      </c>
      <c r="AE179" s="22" t="n">
        <f aca="false">100*(AE45-AE44)</f>
        <v>-3.53926770284141</v>
      </c>
      <c r="AF179" s="22" t="n">
        <f aca="false">100*(AF45-AF44)</f>
        <v>-3.53586045152239</v>
      </c>
      <c r="AG179" s="22" t="n">
        <f aca="false">100*(AG45-AG44)</f>
        <v>-3.53098794782101</v>
      </c>
      <c r="AH179" s="22" t="n">
        <f aca="false">100*(AH45-AH44)</f>
        <v>-3.5252990985859</v>
      </c>
      <c r="AI179" s="22" t="n">
        <f aca="false">100*(AI45-AI44)</f>
        <v>-3.51942109603411</v>
      </c>
      <c r="AJ179" s="22" t="n">
        <f aca="false">100*(AJ45-AJ44)</f>
        <v>-3.51393582753299</v>
      </c>
      <c r="AK179" s="22" t="n">
        <f aca="false">100*(AK45-AK44)</f>
        <v>-3.50938145868089</v>
      </c>
      <c r="AL179" s="22" t="n">
        <f aca="false">100*(AL45-AL44)</f>
        <v>-3.50625537913449</v>
      </c>
      <c r="AM179" s="22" t="n">
        <f aca="false">100*(AM45-AM44)</f>
        <v>-3.50499852169841</v>
      </c>
      <c r="AN179" s="22" t="n">
        <f aca="false">100*(AN45-AN44)</f>
        <v>-3.5059767438933</v>
      </c>
      <c r="AO179" s="22" t="n">
        <f aca="false">100*(AO45-AO44)</f>
        <v>-3.5094827207709</v>
      </c>
      <c r="AP179" s="22" t="n">
        <f aca="false">100*(AP45-AP44)</f>
        <v>-3.51573809378529</v>
      </c>
      <c r="AQ179" s="22" t="n">
        <f aca="false">100*(AQ45-AQ44)</f>
        <v>-3.524894647043</v>
      </c>
      <c r="AR179" s="22" t="n">
        <f aca="false">100*(AR45-AR44)</f>
        <v>-3.53702983912438</v>
      </c>
      <c r="AS179" s="22" t="n">
        <f aca="false">100*(AS45-AS44)</f>
        <v>-3.5521503631061</v>
      </c>
      <c r="AT179" s="22" t="n">
        <f aca="false">100*(AT45-AT44)</f>
        <v>-3.57019773845941</v>
      </c>
      <c r="AU179" s="22" t="n">
        <f aca="false">100*(AU45-AU44)</f>
        <v>-3.59104694433972</v>
      </c>
      <c r="AV179" s="22" t="n">
        <f aca="false">AVERAGE(C179:AU179)</f>
        <v>-2.87261608802481</v>
      </c>
    </row>
    <row r="180" customFormat="false" ht="15" hidden="false" customHeight="false" outlineLevel="0" collapsed="false">
      <c r="A180" s="20" t="n">
        <f aca="false">A46</f>
        <v>-79</v>
      </c>
      <c r="B180" s="21" t="n">
        <f aca="false">B46</f>
        <v>43060</v>
      </c>
      <c r="C180" s="22" t="n">
        <f aca="false">100*(C46-C45)</f>
        <v>0.40187600280252</v>
      </c>
      <c r="D180" s="22" t="n">
        <f aca="false">100*(D46-D45)</f>
        <v>0.416560716103548</v>
      </c>
      <c r="E180" s="22" t="n">
        <f aca="false">100*(E46-E45)</f>
        <v>0.344735194415557</v>
      </c>
      <c r="F180" s="22" t="n">
        <f aca="false">100*(F46-F45)</f>
        <v>0.230982465227314</v>
      </c>
      <c r="G180" s="22" t="n">
        <f aca="false">100*(G46-G45)</f>
        <v>0.0981742625898008</v>
      </c>
      <c r="H180" s="22" t="n">
        <f aca="false">100*(H46-H45)</f>
        <v>-0.0411458799770115</v>
      </c>
      <c r="I180" s="22" t="n">
        <f aca="false">100*(I46-I45)</f>
        <v>-0.179737241232647</v>
      </c>
      <c r="J180" s="22" t="n">
        <f aca="false">100*(J46-J45)</f>
        <v>-0.313205045482057</v>
      </c>
      <c r="K180" s="22" t="n">
        <f aca="false">100*(K46-K45)</f>
        <v>-0.438999653263938</v>
      </c>
      <c r="L180" s="22" t="n">
        <f aca="false">100*(L46-L45)</f>
        <v>-0.555679105768314</v>
      </c>
      <c r="M180" s="22" t="n">
        <f aca="false">100*(M46-M45)</f>
        <v>-0.662580887129094</v>
      </c>
      <c r="N180" s="22" t="n">
        <f aca="false">100*(N46-N45)</f>
        <v>-0.759634308632884</v>
      </c>
      <c r="O180" s="22" t="n">
        <f aca="false">100*(O46-O45)</f>
        <v>-1.38750169297499</v>
      </c>
      <c r="P180" s="22" t="n">
        <f aca="false">100*(P46-P45)</f>
        <v>-1.4051764906619</v>
      </c>
      <c r="Q180" s="22" t="n">
        <f aca="false">100*(Q46-Q45)</f>
        <v>-1.4198627265581</v>
      </c>
      <c r="R180" s="22" t="n">
        <f aca="false">100*(R46-R45)</f>
        <v>-1.43170861785191</v>
      </c>
      <c r="S180" s="22" t="n">
        <f aca="false">100*(S46-S45)</f>
        <v>-1.44088143931109</v>
      </c>
      <c r="T180" s="22" t="n">
        <f aca="false">100*(T46-T45)</f>
        <v>-1.4475667281894</v>
      </c>
      <c r="U180" s="22" t="n">
        <f aca="false">100*(U46-U45)</f>
        <v>-1.45196563189969</v>
      </c>
      <c r="V180" s="22" t="n">
        <f aca="false">100*(V46-V45)</f>
        <v>-1.4542965964514</v>
      </c>
      <c r="W180" s="22" t="n">
        <f aca="false">100*(W46-W45)</f>
        <v>-1.45480657662398</v>
      </c>
      <c r="X180" s="22" t="n">
        <f aca="false">100*(X46-X45)</f>
        <v>-1.45377224930781</v>
      </c>
      <c r="Y180" s="22" t="n">
        <f aca="false">100*(Y46-Y45)</f>
        <v>-1.45148970051709</v>
      </c>
      <c r="Z180" s="22" t="n">
        <f aca="false">100*(Z46-Z45)</f>
        <v>-1.44824791769451</v>
      </c>
      <c r="AA180" s="22" t="n">
        <f aca="false">100*(AA46-AA45)</f>
        <v>-1.4443200405698</v>
      </c>
      <c r="AB180" s="22" t="n">
        <f aca="false">100*(AB46-AB45)</f>
        <v>-1.43996509142079</v>
      </c>
      <c r="AC180" s="22" t="n">
        <f aca="false">100*(AC46-AC45)</f>
        <v>-1.4354296557229</v>
      </c>
      <c r="AD180" s="22" t="n">
        <f aca="false">100*(AD46-AD45)</f>
        <v>-1.43094809763009</v>
      </c>
      <c r="AE180" s="22" t="n">
        <f aca="false">100*(AE46-AE45)</f>
        <v>-1.4267268824576</v>
      </c>
      <c r="AF180" s="22" t="n">
        <f aca="false">100*(AF46-AF45)</f>
        <v>-1.4229324074001</v>
      </c>
      <c r="AG180" s="22" t="n">
        <f aca="false">100*(AG46-AG45)</f>
        <v>-1.41971209499441</v>
      </c>
      <c r="AH180" s="22" t="n">
        <f aca="false">100*(AH46-AH45)</f>
        <v>-1.41720445708899</v>
      </c>
      <c r="AI180" s="22" t="n">
        <f aca="false">100*(AI46-AI45)</f>
        <v>-1.4155416412915</v>
      </c>
      <c r="AJ180" s="22" t="n">
        <f aca="false">100*(AJ46-AJ45)</f>
        <v>-1.41485395699381</v>
      </c>
      <c r="AK180" s="22" t="n">
        <f aca="false">100*(AK46-AK45)</f>
        <v>-1.4152708633242</v>
      </c>
      <c r="AL180" s="22" t="n">
        <f aca="false">100*(AL46-AL45)</f>
        <v>-1.4169208995086</v>
      </c>
      <c r="AM180" s="22" t="n">
        <f aca="false">100*(AM46-AM45)</f>
        <v>-1.4199313348674</v>
      </c>
      <c r="AN180" s="22" t="n">
        <f aca="false">100*(AN46-AN45)</f>
        <v>-1.4244293694663</v>
      </c>
      <c r="AO180" s="22" t="n">
        <f aca="false">100*(AO46-AO45)</f>
        <v>-1.4305398192235</v>
      </c>
      <c r="AP180" s="22" t="n">
        <f aca="false">100*(AP46-AP45)</f>
        <v>-1.4383798563808</v>
      </c>
      <c r="AQ180" s="22" t="n">
        <f aca="false">100*(AQ46-AQ45)</f>
        <v>-1.44805392919161</v>
      </c>
      <c r="AR180" s="22" t="n">
        <f aca="false">100*(AR46-AR45)</f>
        <v>-1.45964363773521</v>
      </c>
      <c r="AS180" s="22" t="n">
        <f aca="false">100*(AS46-AS45)</f>
        <v>-1.47320677103489</v>
      </c>
      <c r="AT180" s="22" t="n">
        <f aca="false">100*(AT46-AT45)</f>
        <v>-1.48877910495209</v>
      </c>
      <c r="AU180" s="22" t="n">
        <f aca="false">100*(AU46-AU45)</f>
        <v>-1.5063723106703</v>
      </c>
      <c r="AV180" s="22" t="n">
        <f aca="false">AVERAGE(C180:AU180)</f>
        <v>-1.08655760156253</v>
      </c>
    </row>
    <row r="181" customFormat="false" ht="15" hidden="false" customHeight="false" outlineLevel="0" collapsed="false">
      <c r="A181" s="20" t="n">
        <f aca="false">A47</f>
        <v>-78</v>
      </c>
      <c r="B181" s="21" t="n">
        <f aca="false">B47</f>
        <v>43061</v>
      </c>
      <c r="C181" s="22" t="n">
        <f aca="false">100*(C47-C46)</f>
        <v>-1.3384673737085</v>
      </c>
      <c r="D181" s="22" t="n">
        <f aca="false">100*(D47-D46)</f>
        <v>-1.09070053414754</v>
      </c>
      <c r="E181" s="22" t="n">
        <f aca="false">100*(E47-E46)</f>
        <v>-0.840329083520153</v>
      </c>
      <c r="F181" s="22" t="n">
        <f aca="false">100*(F47-F46)</f>
        <v>-0.615316976252156</v>
      </c>
      <c r="G181" s="22" t="n">
        <f aca="false">100*(G47-G46)</f>
        <v>-0.42369844922785</v>
      </c>
      <c r="H181" s="22" t="n">
        <f aca="false">100*(H47-H46)</f>
        <v>-0.263280650221576</v>
      </c>
      <c r="I181" s="22" t="n">
        <f aca="false">100*(I47-I46)</f>
        <v>-0.128874437287585</v>
      </c>
      <c r="J181" s="22" t="n">
        <f aca="false">100*(J47-J46)</f>
        <v>-0.0155029828490694</v>
      </c>
      <c r="K181" s="22" t="n">
        <f aca="false">100*(K47-K46)</f>
        <v>0.0805982225355217</v>
      </c>
      <c r="L181" s="22" t="n">
        <f aca="false">100*(L47-L46)</f>
        <v>0.162140008324019</v>
      </c>
      <c r="M181" s="22" t="n">
        <f aca="false">100*(M47-M46)</f>
        <v>0.231105016467792</v>
      </c>
      <c r="N181" s="22" t="n">
        <f aca="false">100*(N47-N46)</f>
        <v>0.289044433224484</v>
      </c>
      <c r="O181" s="22" t="n">
        <f aca="false">100*(O47-O46)</f>
        <v>0.672503918821588</v>
      </c>
      <c r="P181" s="22" t="n">
        <f aca="false">100*(P47-P46)</f>
        <v>0.705372891587808</v>
      </c>
      <c r="Q181" s="22" t="n">
        <f aca="false">100*(Q47-Q46)</f>
        <v>0.740293770872103</v>
      </c>
      <c r="R181" s="22" t="n">
        <f aca="false">100*(R47-R46)</f>
        <v>0.777239987901801</v>
      </c>
      <c r="S181" s="22" t="n">
        <f aca="false">100*(S47-S46)</f>
        <v>0.81613379071499</v>
      </c>
      <c r="T181" s="22" t="n">
        <f aca="false">100*(T47-T46)</f>
        <v>0.856852457577184</v>
      </c>
      <c r="U181" s="22" t="n">
        <f aca="false">100*(U47-U46)</f>
        <v>0.899234900513202</v>
      </c>
      <c r="V181" s="22" t="n">
        <f aca="false">100*(V47-V46)</f>
        <v>0.943086886647304</v>
      </c>
      <c r="W181" s="22" t="n">
        <f aca="false">100*(W47-W46)</f>
        <v>0.988186024771887</v>
      </c>
      <c r="X181" s="22" t="n">
        <f aca="false">100*(X47-X46)</f>
        <v>1.03428628151301</v>
      </c>
      <c r="Y181" s="22" t="n">
        <f aca="false">100*(Y47-Y46)</f>
        <v>1.08112602196491</v>
      </c>
      <c r="Z181" s="22" t="n">
        <f aca="false">100*(Z47-Z46)</f>
        <v>1.12844745970191</v>
      </c>
      <c r="AA181" s="22" t="n">
        <f aca="false">100*(AA47-AA46)</f>
        <v>1.1760029311247</v>
      </c>
      <c r="AB181" s="22" t="n">
        <f aca="false">100*(AB47-AB46)</f>
        <v>1.2235537920934</v>
      </c>
      <c r="AC181" s="22" t="n">
        <f aca="false">100*(AC47-AC46)</f>
        <v>1.27086934418279</v>
      </c>
      <c r="AD181" s="22" t="n">
        <f aca="false">100*(AD47-AD46)</f>
        <v>1.31772680661459</v>
      </c>
      <c r="AE181" s="22" t="n">
        <f aca="false">100*(AE47-AE46)</f>
        <v>1.36392197239901</v>
      </c>
      <c r="AF181" s="22" t="n">
        <f aca="false">100*(AF47-AF46)</f>
        <v>1.4092779017258</v>
      </c>
      <c r="AG181" s="22" t="n">
        <f aca="false">100*(AG47-AG46)</f>
        <v>1.4536352540413</v>
      </c>
      <c r="AH181" s="22" t="n">
        <f aca="false">100*(AH47-AH46)</f>
        <v>1.49684734038349</v>
      </c>
      <c r="AI181" s="22" t="n">
        <f aca="false">100*(AI47-AI46)</f>
        <v>1.5387812277571</v>
      </c>
      <c r="AJ181" s="22" t="n">
        <f aca="false">100*(AJ47-AJ46)</f>
        <v>1.5793174127213</v>
      </c>
      <c r="AK181" s="22" t="n">
        <f aca="false">100*(AK47-AK46)</f>
        <v>1.61834829409859</v>
      </c>
      <c r="AL181" s="22" t="n">
        <f aca="false">100*(AL47-AL46)</f>
        <v>1.65577726349029</v>
      </c>
      <c r="AM181" s="22" t="n">
        <f aca="false">100*(AM47-AM46)</f>
        <v>1.69151964131331</v>
      </c>
      <c r="AN181" s="22" t="n">
        <f aca="false">100*(AN47-AN46)</f>
        <v>1.72550240242151</v>
      </c>
      <c r="AO181" s="22" t="n">
        <f aca="false">100*(AO47-AO46)</f>
        <v>1.7576641774796</v>
      </c>
      <c r="AP181" s="22" t="n">
        <f aca="false">100*(AP47-AP46)</f>
        <v>1.7879562296407</v>
      </c>
      <c r="AQ181" s="22" t="n">
        <f aca="false">100*(AQ47-AQ46)</f>
        <v>1.81634346806532</v>
      </c>
      <c r="AR181" s="22" t="n">
        <f aca="false">100*(AR47-AR46)</f>
        <v>1.842807987596</v>
      </c>
      <c r="AS181" s="22" t="n">
        <f aca="false">100*(AS47-AS46)</f>
        <v>1.8673488848207</v>
      </c>
      <c r="AT181" s="22" t="n">
        <f aca="false">100*(AT47-AT46)</f>
        <v>1.88998081981779</v>
      </c>
      <c r="AU181" s="22" t="n">
        <f aca="false">100*(AU47-AU46)</f>
        <v>1.9107332961636</v>
      </c>
      <c r="AV181" s="22" t="n">
        <f aca="false">AVERAGE(C181:AU181)</f>
        <v>0.890742178530577</v>
      </c>
    </row>
    <row r="182" customFormat="false" ht="15" hidden="false" customHeight="false" outlineLevel="0" collapsed="false">
      <c r="A182" s="20" t="n">
        <f aca="false">A48</f>
        <v>-77</v>
      </c>
      <c r="B182" s="21" t="n">
        <f aca="false">B48</f>
        <v>43062</v>
      </c>
      <c r="C182" s="22" t="n">
        <f aca="false">100*(C48-C47)</f>
        <v>-1.40103851567858</v>
      </c>
      <c r="D182" s="22" t="n">
        <f aca="false">100*(D48-D47)</f>
        <v>-1.66108327938201</v>
      </c>
      <c r="E182" s="22" t="n">
        <f aca="false">100*(E48-E47)</f>
        <v>-1.90066017173882</v>
      </c>
      <c r="F182" s="22" t="n">
        <f aca="false">100*(F48-F47)</f>
        <v>-2.12177726965425</v>
      </c>
      <c r="G182" s="22" t="n">
        <f aca="false">100*(G48-G47)</f>
        <v>-2.3202467573042</v>
      </c>
      <c r="H182" s="22" t="n">
        <f aca="false">100*(H48-H47)</f>
        <v>-2.49245684048076</v>
      </c>
      <c r="I182" s="22" t="n">
        <f aca="false">100*(I48-I47)</f>
        <v>-2.63650884457484</v>
      </c>
      <c r="J182" s="22" t="n">
        <f aca="false">100*(J48-J47)</f>
        <v>-2.75206153471479</v>
      </c>
      <c r="K182" s="22" t="n">
        <f aca="false">100*(K48-K47)</f>
        <v>-2.83957235135804</v>
      </c>
      <c r="L182" s="22" t="n">
        <f aca="false">100*(L48-L47)</f>
        <v>-2.89987222295369</v>
      </c>
      <c r="M182" s="22" t="n">
        <f aca="false">100*(M48-M47)</f>
        <v>-2.93401722294077</v>
      </c>
      <c r="N182" s="22" t="n">
        <f aca="false">100*(N48-N47)</f>
        <v>-2.94345865194039</v>
      </c>
      <c r="O182" s="22" t="n">
        <f aca="false">100*(O48-O47)</f>
        <v>-1.96782366701609</v>
      </c>
      <c r="P182" s="22" t="n">
        <f aca="false">100*(P48-P47)</f>
        <v>-1.89771193679931</v>
      </c>
      <c r="Q182" s="22" t="n">
        <f aca="false">100*(Q48-Q47)</f>
        <v>-1.8371169587114</v>
      </c>
      <c r="R182" s="22" t="n">
        <f aca="false">100*(R48-R47)</f>
        <v>-1.78650595657779</v>
      </c>
      <c r="S182" s="22" t="n">
        <f aca="false">100*(S48-S47)</f>
        <v>-1.74603072530819</v>
      </c>
      <c r="T182" s="22" t="n">
        <f aca="false">100*(T48-T47)</f>
        <v>-1.7155720143877</v>
      </c>
      <c r="U182" s="22" t="n">
        <f aca="false">100*(U48-U47)</f>
        <v>-1.6947793729533</v>
      </c>
      <c r="V182" s="22" t="n">
        <f aca="false">100*(V48-V47)</f>
        <v>-1.68310114913881</v>
      </c>
      <c r="W182" s="22" t="n">
        <f aca="false">100*(W48-W47)</f>
        <v>-1.67979995835801</v>
      </c>
      <c r="X182" s="22" t="n">
        <f aca="false">100*(X48-X47)</f>
        <v>-1.6839724279833</v>
      </c>
      <c r="Y182" s="22" t="n">
        <f aca="false">100*(Y48-Y47)</f>
        <v>-1.69458926875441</v>
      </c>
      <c r="Z182" s="22" t="n">
        <f aca="false">100*(Z48-Z47)</f>
        <v>-1.71057955332421</v>
      </c>
      <c r="AA182" s="22" t="n">
        <f aca="false">100*(AA48-AA47)</f>
        <v>-1.73086334069601</v>
      </c>
      <c r="AB182" s="22" t="n">
        <f aca="false">100*(AB48-AB47)</f>
        <v>-1.75435335556211</v>
      </c>
      <c r="AC182" s="22" t="n">
        <f aca="false">100*(AC48-AC47)</f>
        <v>-1.77995586143689</v>
      </c>
      <c r="AD182" s="22" t="n">
        <f aca="false">100*(AD48-AD47)</f>
        <v>-1.80657472335029</v>
      </c>
      <c r="AE182" s="22" t="n">
        <f aca="false">100*(AE48-AE47)</f>
        <v>-1.8331613617339</v>
      </c>
      <c r="AF182" s="22" t="n">
        <f aca="false">100*(AF48-AF47)</f>
        <v>-1.8587694490567</v>
      </c>
      <c r="AG182" s="22" t="n">
        <f aca="false">100*(AG48-AG47)</f>
        <v>-1.88254462915829</v>
      </c>
      <c r="AH182" s="22" t="n">
        <f aca="false">100*(AH48-AH47)</f>
        <v>-1.9037132938758</v>
      </c>
      <c r="AI182" s="22" t="n">
        <f aca="false">100*(AI48-AI47)</f>
        <v>-1.92159434809069</v>
      </c>
      <c r="AJ182" s="22" t="n">
        <f aca="false">100*(AJ48-AJ47)</f>
        <v>-1.93561668784861</v>
      </c>
      <c r="AK182" s="22" t="n">
        <f aca="false">100*(AK48-AK47)</f>
        <v>-1.94531173410699</v>
      </c>
      <c r="AL182" s="22" t="n">
        <f aca="false">100*(AL48-AL47)</f>
        <v>-1.9503039933368</v>
      </c>
      <c r="AM182" s="22" t="n">
        <f aca="false">100*(AM48-AM47)</f>
        <v>-1.95031326487831</v>
      </c>
      <c r="AN182" s="22" t="n">
        <f aca="false">100*(AN48-AN47)</f>
        <v>-1.94516128685651</v>
      </c>
      <c r="AO182" s="22" t="n">
        <f aca="false">100*(AO48-AO47)</f>
        <v>-1.93476550447491</v>
      </c>
      <c r="AP182" s="22" t="n">
        <f aca="false">100*(AP48-AP47)</f>
        <v>-1.91913335385541</v>
      </c>
      <c r="AQ182" s="22" t="n">
        <f aca="false">100*(AQ48-AQ47)</f>
        <v>-1.89835541561751</v>
      </c>
      <c r="AR182" s="22" t="n">
        <f aca="false">100*(AR48-AR47)</f>
        <v>-1.87259827925961</v>
      </c>
      <c r="AS182" s="22" t="n">
        <f aca="false">100*(AS48-AS47)</f>
        <v>-1.84209788334551</v>
      </c>
      <c r="AT182" s="22" t="n">
        <f aca="false">100*(AT48-AT47)</f>
        <v>-1.8071537488896</v>
      </c>
      <c r="AU182" s="22" t="n">
        <f aca="false">100*(AU48-AU47)</f>
        <v>-1.7681245759589</v>
      </c>
      <c r="AV182" s="22" t="n">
        <f aca="false">AVERAGE(C182:AU182)</f>
        <v>-1.98312894985384</v>
      </c>
    </row>
    <row r="183" customFormat="false" ht="15" hidden="false" customHeight="false" outlineLevel="0" collapsed="false">
      <c r="A183" s="20" t="n">
        <f aca="false">A49</f>
        <v>-76</v>
      </c>
      <c r="B183" s="21" t="n">
        <f aca="false">B49</f>
        <v>43063</v>
      </c>
      <c r="C183" s="22" t="n">
        <f aca="false">100*(C49-C48)</f>
        <v>0.467176460409258</v>
      </c>
      <c r="D183" s="22" t="n">
        <f aca="false">100*(D49-D48)</f>
        <v>0.428008616505438</v>
      </c>
      <c r="E183" s="22" t="n">
        <f aca="false">100*(E49-E48)</f>
        <v>0.395396318116881</v>
      </c>
      <c r="F183" s="22" t="n">
        <f aca="false">100*(F49-F48)</f>
        <v>0.366627515481499</v>
      </c>
      <c r="G183" s="22" t="n">
        <f aca="false">100*(G49-G48)</f>
        <v>0.34029567408489</v>
      </c>
      <c r="H183" s="22" t="n">
        <f aca="false">100*(H49-H48)</f>
        <v>0.314903691427981</v>
      </c>
      <c r="I183" s="22" t="n">
        <f aca="false">100*(I49-I48)</f>
        <v>0.289333862773444</v>
      </c>
      <c r="J183" s="22" t="n">
        <f aca="false">100*(J49-J48)</f>
        <v>0.262872314924312</v>
      </c>
      <c r="K183" s="22" t="n">
        <f aca="false">100*(K49-K48)</f>
        <v>0.234944154346894</v>
      </c>
      <c r="L183" s="22" t="n">
        <f aca="false">100*(L49-L48)</f>
        <v>0.205030345323931</v>
      </c>
      <c r="M183" s="22" t="n">
        <f aca="false">100*(M49-M48)</f>
        <v>0.172710398623643</v>
      </c>
      <c r="N183" s="22" t="n">
        <f aca="false">100*(N49-N48)</f>
        <v>0.137358089871387</v>
      </c>
      <c r="O183" s="22" t="n">
        <f aca="false">100*(O49-O48)</f>
        <v>-0.706509707713909</v>
      </c>
      <c r="P183" s="22" t="n">
        <f aca="false">100*(P49-P48)</f>
        <v>-0.787822117923609</v>
      </c>
      <c r="Q183" s="22" t="n">
        <f aca="false">100*(Q49-Q48)</f>
        <v>-0.867858487927209</v>
      </c>
      <c r="R183" s="22" t="n">
        <f aca="false">100*(R49-R48)</f>
        <v>-0.946013597888995</v>
      </c>
      <c r="S183" s="22" t="n">
        <f aca="false">100*(S49-S48)</f>
        <v>-1.02178673679509</v>
      </c>
      <c r="T183" s="22" t="n">
        <f aca="false">100*(T49-T48)</f>
        <v>-1.09476865058129</v>
      </c>
      <c r="U183" s="22" t="n">
        <f aca="false">100*(U49-U48)</f>
        <v>-1.1646281339843</v>
      </c>
      <c r="V183" s="22" t="n">
        <f aca="false">100*(V49-V48)</f>
        <v>-1.23110315363608</v>
      </c>
      <c r="W183" s="22" t="n">
        <f aca="false">100*(W49-W48)</f>
        <v>-1.29399579780629</v>
      </c>
      <c r="X183" s="22" t="n">
        <f aca="false">100*(X49-X48)</f>
        <v>-1.35316408186179</v>
      </c>
      <c r="Y183" s="22" t="n">
        <f aca="false">100*(Y49-Y48)</f>
        <v>-1.4085183782701</v>
      </c>
      <c r="Z183" s="22" t="n">
        <f aca="false">100*(Z49-Z48)</f>
        <v>-1.4600282892703</v>
      </c>
      <c r="AA183" s="22" t="n">
        <f aca="false">100*(AA49-AA48)</f>
        <v>-1.5077204758468</v>
      </c>
      <c r="AB183" s="22" t="n">
        <f aca="false">100*(AB49-AB48)</f>
        <v>-1.55167180039448</v>
      </c>
      <c r="AC183" s="22" t="n">
        <f aca="false">100*(AC49-AC48)</f>
        <v>-1.5920033503614</v>
      </c>
      <c r="AD183" s="22" t="n">
        <f aca="false">100*(AD49-AD48)</f>
        <v>-1.62887602513211</v>
      </c>
      <c r="AE183" s="22" t="n">
        <f aca="false">100*(AE49-AE48)</f>
        <v>-1.66249880186211</v>
      </c>
      <c r="AF183" s="22" t="n">
        <f aca="false">100*(AF49-AF48)</f>
        <v>-1.69313741283021</v>
      </c>
      <c r="AG183" s="22" t="n">
        <f aca="false">100*(AG49-AG48)</f>
        <v>-1.7210990018923</v>
      </c>
      <c r="AH183" s="22" t="n">
        <f aca="false">100*(AH49-AH48)</f>
        <v>-1.74672205303361</v>
      </c>
      <c r="AI183" s="22" t="n">
        <f aca="false">100*(AI49-AI48)</f>
        <v>-1.7703588549953</v>
      </c>
      <c r="AJ183" s="22" t="n">
        <f aca="false">100*(AJ49-AJ48)</f>
        <v>-1.7923623749863</v>
      </c>
      <c r="AK183" s="22" t="n">
        <f aca="false">100*(AK49-AK48)</f>
        <v>-1.81308562510001</v>
      </c>
      <c r="AL183" s="22" t="n">
        <f aca="false">100*(AL49-AL48)</f>
        <v>-1.8328801616861</v>
      </c>
      <c r="AM183" s="22" t="n">
        <f aca="false">100*(AM49-AM48)</f>
        <v>-1.8520800692339</v>
      </c>
      <c r="AN183" s="22" t="n">
        <f aca="false">100*(AN49-AN48)</f>
        <v>-1.87098857204349</v>
      </c>
      <c r="AO183" s="22" t="n">
        <f aca="false">100*(AO49-AO48)</f>
        <v>-1.8898759360082</v>
      </c>
      <c r="AP183" s="22" t="n">
        <f aca="false">100*(AP49-AP48)</f>
        <v>-1.9089763536339</v>
      </c>
      <c r="AQ183" s="22" t="n">
        <f aca="false">100*(AQ49-AQ48)</f>
        <v>-1.92848660095439</v>
      </c>
      <c r="AR183" s="22" t="n">
        <f aca="false">100*(AR49-AR48)</f>
        <v>-1.94855975534509</v>
      </c>
      <c r="AS183" s="22" t="n">
        <f aca="false">100*(AS49-AS48)</f>
        <v>-1.9693063635412</v>
      </c>
      <c r="AT183" s="22" t="n">
        <f aca="false">100*(AT49-AT48)</f>
        <v>-1.9907977651537</v>
      </c>
      <c r="AU183" s="22" t="n">
        <f aca="false">100*(AU49-AU48)</f>
        <v>-2.01306369690819</v>
      </c>
      <c r="AV183" s="22" t="n">
        <f aca="false">AVERAGE(C183:AU183)</f>
        <v>-1.05346868317138</v>
      </c>
    </row>
    <row r="184" customFormat="false" ht="15" hidden="false" customHeight="false" outlineLevel="0" collapsed="false">
      <c r="A184" s="20" t="n">
        <f aca="false">A50</f>
        <v>-75</v>
      </c>
      <c r="B184" s="21" t="n">
        <f aca="false">B50</f>
        <v>43066</v>
      </c>
      <c r="C184" s="22" t="n">
        <f aca="false">100*(C50-C49)</f>
        <v>1.06429819418207</v>
      </c>
      <c r="D184" s="22" t="n">
        <f aca="false">100*(D50-D49)</f>
        <v>1.07950483255004</v>
      </c>
      <c r="E184" s="22" t="n">
        <f aca="false">100*(E50-E49)</f>
        <v>1.09687190625213</v>
      </c>
      <c r="F184" s="22" t="n">
        <f aca="false">100*(F50-F49)</f>
        <v>1.10995285378515</v>
      </c>
      <c r="G184" s="22" t="n">
        <f aca="false">100*(G50-G49)</f>
        <v>1.11755337420405</v>
      </c>
      <c r="H184" s="22" t="n">
        <f aca="false">100*(H50-H49)</f>
        <v>1.12024590503705</v>
      </c>
      <c r="I184" s="22" t="n">
        <f aca="false">100*(I50-I49)</f>
        <v>1.11901362279225</v>
      </c>
      <c r="J184" s="22" t="n">
        <f aca="false">100*(J50-J49)</f>
        <v>1.11482443865182</v>
      </c>
      <c r="K184" s="22" t="n">
        <f aca="false">100*(K50-K49)</f>
        <v>1.10859399794405</v>
      </c>
      <c r="L184" s="22" t="n">
        <f aca="false">100*(L50-L49)</f>
        <v>1.10124208302952</v>
      </c>
      <c r="M184" s="22" t="n">
        <f aca="false">100*(M50-M49)</f>
        <v>1.09376075200439</v>
      </c>
      <c r="N184" s="22" t="n">
        <f aca="false">100*(N50-N49)</f>
        <v>1.08713949123411</v>
      </c>
      <c r="O184" s="22" t="n">
        <f aca="false">100*(O50-O49)</f>
        <v>1.31876969683471</v>
      </c>
      <c r="P184" s="22" t="n">
        <f aca="false">100*(P50-P49)</f>
        <v>1.35210444297271</v>
      </c>
      <c r="Q184" s="22" t="n">
        <f aca="false">100*(Q50-Q49)</f>
        <v>1.3849086361541</v>
      </c>
      <c r="R184" s="22" t="n">
        <f aca="false">100*(R50-R49)</f>
        <v>1.41689088542398</v>
      </c>
      <c r="S184" s="22" t="n">
        <f aca="false">100*(S50-S49)</f>
        <v>1.4478319036942</v>
      </c>
      <c r="T184" s="22" t="n">
        <f aca="false">100*(T50-T49)</f>
        <v>1.47757247929139</v>
      </c>
      <c r="U184" s="22" t="n">
        <f aca="false">100*(U50-U49)</f>
        <v>1.50600457069621</v>
      </c>
      <c r="V184" s="22" t="n">
        <f aca="false">100*(V50-V49)</f>
        <v>1.53305679627709</v>
      </c>
      <c r="W184" s="22" t="n">
        <f aca="false">100*(W50-W49)</f>
        <v>1.55866545359069</v>
      </c>
      <c r="X184" s="22" t="n">
        <f aca="false">100*(X50-X49)</f>
        <v>1.58276489155509</v>
      </c>
      <c r="Y184" s="22" t="n">
        <f aca="false">100*(Y50-Y49)</f>
        <v>1.60529118758819</v>
      </c>
      <c r="Z184" s="22" t="n">
        <f aca="false">100*(Z50-Z49)</f>
        <v>1.6261944525545</v>
      </c>
      <c r="AA184" s="22" t="n">
        <f aca="false">100*(AA50-AA49)</f>
        <v>1.6454418667893</v>
      </c>
      <c r="AB184" s="22" t="n">
        <f aca="false">100*(AB50-AB49)</f>
        <v>1.66301568950189</v>
      </c>
      <c r="AC184" s="22" t="n">
        <f aca="false">100*(AC50-AC49)</f>
        <v>1.67891146367269</v>
      </c>
      <c r="AD184" s="22" t="n">
        <f aca="false">100*(AD50-AD49)</f>
        <v>1.6931372608981</v>
      </c>
      <c r="AE184" s="22" t="n">
        <f aca="false">100*(AE50-AE49)</f>
        <v>1.70572219751042</v>
      </c>
      <c r="AF184" s="22" t="n">
        <f aca="false">100*(AF50-AF49)</f>
        <v>1.71672419541511</v>
      </c>
      <c r="AG184" s="22" t="n">
        <f aca="false">100*(AG50-AG49)</f>
        <v>1.72622477389579</v>
      </c>
      <c r="AH184" s="22" t="n">
        <f aca="false">100*(AH50-AH49)</f>
        <v>1.7343250120714</v>
      </c>
      <c r="AI184" s="22" t="n">
        <f aca="false">100*(AI50-AI49)</f>
        <v>1.74113920235139</v>
      </c>
      <c r="AJ184" s="22" t="n">
        <f aca="false">100*(AJ50-AJ49)</f>
        <v>1.74678662337351</v>
      </c>
      <c r="AK184" s="22" t="n">
        <f aca="false">100*(AK50-AK49)</f>
        <v>1.75138999539179</v>
      </c>
      <c r="AL184" s="22" t="n">
        <f aca="false">100*(AL50-AL49)</f>
        <v>1.75507493436731</v>
      </c>
      <c r="AM184" s="22" t="n">
        <f aca="false">100*(AM50-AM49)</f>
        <v>1.75796473112011</v>
      </c>
      <c r="AN184" s="22" t="n">
        <f aca="false">100*(AN50-AN49)</f>
        <v>1.76017297637598</v>
      </c>
      <c r="AO184" s="22" t="n">
        <f aca="false">100*(AO50-AO49)</f>
        <v>1.76180228513421</v>
      </c>
      <c r="AP184" s="22" t="n">
        <f aca="false">100*(AP50-AP49)</f>
        <v>1.7629423274357</v>
      </c>
      <c r="AQ184" s="22" t="n">
        <f aca="false">100*(AQ50-AQ49)</f>
        <v>1.76366883671419</v>
      </c>
      <c r="AR184" s="22" t="n">
        <f aca="false">100*(AR50-AR49)</f>
        <v>1.7640424916765</v>
      </c>
      <c r="AS184" s="22" t="n">
        <f aca="false">100*(AS50-AS49)</f>
        <v>1.7641097979809</v>
      </c>
      <c r="AT184" s="22" t="n">
        <f aca="false">100*(AT50-AT49)</f>
        <v>1.7639041286208</v>
      </c>
      <c r="AU184" s="22" t="n">
        <f aca="false">100*(AU50-AU49)</f>
        <v>1.7634451947965</v>
      </c>
      <c r="AV184" s="22" t="n">
        <f aca="false">AVERAGE(C184:AU184)</f>
        <v>1.49873339629762</v>
      </c>
    </row>
    <row r="185" customFormat="false" ht="15" hidden="false" customHeight="false" outlineLevel="0" collapsed="false">
      <c r="A185" s="20" t="n">
        <f aca="false">A51</f>
        <v>-74</v>
      </c>
      <c r="B185" s="21" t="n">
        <f aca="false">B51</f>
        <v>43067</v>
      </c>
      <c r="C185" s="22" t="n">
        <f aca="false">100*(C51-C50)</f>
        <v>0.207642409690506</v>
      </c>
      <c r="D185" s="22" t="n">
        <f aca="false">100*(D51-D50)</f>
        <v>0.238981305024671</v>
      </c>
      <c r="E185" s="22" t="n">
        <f aca="false">100*(E51-E50)</f>
        <v>0.256162417233963</v>
      </c>
      <c r="F185" s="22" t="n">
        <f aca="false">100*(F51-F50)</f>
        <v>0.248171672477504</v>
      </c>
      <c r="G185" s="22" t="n">
        <f aca="false">100*(G51-G50)</f>
        <v>0.213542291312285</v>
      </c>
      <c r="H185" s="22" t="n">
        <f aca="false">100*(H51-H50)</f>
        <v>0.155695124131738</v>
      </c>
      <c r="I185" s="22" t="n">
        <f aca="false">100*(I51-I50)</f>
        <v>0.0802544134724026</v>
      </c>
      <c r="J185" s="22" t="n">
        <f aca="false">100*(J51-J50)</f>
        <v>-0.00630358932884878</v>
      </c>
      <c r="K185" s="22" t="n">
        <f aca="false">100*(K51-K50)</f>
        <v>-0.0973252522963541</v>
      </c>
      <c r="L185" s="22" t="n">
        <f aca="false">100*(L51-L50)</f>
        <v>-0.186553152562319</v>
      </c>
      <c r="M185" s="22" t="n">
        <f aca="false">100*(M51-M50)</f>
        <v>-0.268663146847936</v>
      </c>
      <c r="N185" s="22" t="n">
        <f aca="false">100*(N51-N50)</f>
        <v>-0.339317697217201</v>
      </c>
      <c r="O185" s="22" t="n">
        <f aca="false">100*(O51-O50)</f>
        <v>-0.0588039397710016</v>
      </c>
      <c r="P185" s="22" t="n">
        <f aca="false">100*(P51-P50)</f>
        <v>-0.00312667622990315</v>
      </c>
      <c r="Q185" s="22" t="n">
        <f aca="false">100*(Q51-Q50)</f>
        <v>0.0482899893456068</v>
      </c>
      <c r="R185" s="22" t="n">
        <f aca="false">100*(R51-R50)</f>
        <v>0.0946054181120148</v>
      </c>
      <c r="S185" s="22" t="n">
        <f aca="false">100*(S51-S50)</f>
        <v>0.135283501850192</v>
      </c>
      <c r="T185" s="22" t="n">
        <f aca="false">100*(T51-T50)</f>
        <v>0.170050381425302</v>
      </c>
      <c r="U185" s="22" t="n">
        <f aca="false">100*(U51-U50)</f>
        <v>0.198855877630288</v>
      </c>
      <c r="V185" s="22" t="n">
        <f aca="false">100*(V51-V50)</f>
        <v>0.2218424230362</v>
      </c>
      <c r="W185" s="22" t="n">
        <f aca="false">100*(W51-W50)</f>
        <v>0.239322895477012</v>
      </c>
      <c r="X185" s="22" t="n">
        <f aca="false">100*(X51-X50)</f>
        <v>0.251759697507303</v>
      </c>
      <c r="Y185" s="22" t="n">
        <f aca="false">100*(Y51-Y50)</f>
        <v>0.259727138633004</v>
      </c>
      <c r="Z185" s="22" t="n">
        <f aca="false">100*(Z51-Z50)</f>
        <v>0.263835335164009</v>
      </c>
      <c r="AA185" s="22" t="n">
        <f aca="false">100*(AA51-AA50)</f>
        <v>0.264702668448713</v>
      </c>
      <c r="AB185" s="22" t="n">
        <f aca="false">100*(AB51-AB50)</f>
        <v>0.262954360237</v>
      </c>
      <c r="AC185" s="22" t="n">
        <f aca="false">100*(AC51-AC50)</f>
        <v>0.25922165834571</v>
      </c>
      <c r="AD185" s="22" t="n">
        <f aca="false">100*(AD51-AD50)</f>
        <v>0.254138901618806</v>
      </c>
      <c r="AE185" s="22" t="n">
        <f aca="false">100*(AE51-AE50)</f>
        <v>0.248312609312396</v>
      </c>
      <c r="AF185" s="22" t="n">
        <f aca="false">100*(AF51-AF50)</f>
        <v>0.242291317937693</v>
      </c>
      <c r="AG185" s="22" t="n">
        <f aca="false">100*(AG51-AG50)</f>
        <v>0.236576007963718</v>
      </c>
      <c r="AH185" s="22" t="n">
        <f aca="false">100*(AH51-AH50)</f>
        <v>0.231627455140604</v>
      </c>
      <c r="AI185" s="22" t="n">
        <f aca="false">100*(AI51-AI50)</f>
        <v>0.227859103305805</v>
      </c>
      <c r="AJ185" s="22" t="n">
        <f aca="false">100*(AJ51-AJ50)</f>
        <v>0.225626946503787</v>
      </c>
      <c r="AK185" s="22" t="n">
        <f aca="false">100*(AK51-AK50)</f>
        <v>0.225233360384602</v>
      </c>
      <c r="AL185" s="22" t="n">
        <f aca="false">100*(AL51-AL50)</f>
        <v>0.226931933489594</v>
      </c>
      <c r="AM185" s="22" t="n">
        <f aca="false">100*(AM51-AM50)</f>
        <v>0.23092436440828</v>
      </c>
      <c r="AN185" s="22" t="n">
        <f aca="false">100*(AN51-AN50)</f>
        <v>0.237354578041904</v>
      </c>
      <c r="AO185" s="22" t="n">
        <f aca="false">100*(AO51-AO50)</f>
        <v>0.246311691971202</v>
      </c>
      <c r="AP185" s="22" t="n">
        <f aca="false">100*(AP51-AP50)</f>
        <v>0.257832367087807</v>
      </c>
      <c r="AQ185" s="22" t="n">
        <f aca="false">100*(AQ51-AQ50)</f>
        <v>0.271904517418697</v>
      </c>
      <c r="AR185" s="22" t="n">
        <f aca="false">100*(AR51-AR50)</f>
        <v>0.288471558850811</v>
      </c>
      <c r="AS185" s="22" t="n">
        <f aca="false">100*(AS51-AS50)</f>
        <v>0.307436354287205</v>
      </c>
      <c r="AT185" s="22" t="n">
        <f aca="false">100*(AT51-AT50)</f>
        <v>0.328664586843797</v>
      </c>
      <c r="AU185" s="22" t="n">
        <f aca="false">100*(AU51-AU50)</f>
        <v>0.351987617449101</v>
      </c>
      <c r="AV185" s="22" t="n">
        <f aca="false">AVERAGE(C185:AU185)</f>
        <v>0.172228728807059</v>
      </c>
    </row>
    <row r="186" customFormat="false" ht="15" hidden="false" customHeight="false" outlineLevel="0" collapsed="false">
      <c r="A186" s="20" t="n">
        <f aca="false">A52</f>
        <v>-73</v>
      </c>
      <c r="B186" s="21" t="n">
        <f aca="false">B52</f>
        <v>43068</v>
      </c>
      <c r="C186" s="22" t="n">
        <f aca="false">100*(C52-C51)</f>
        <v>5.77506402606479</v>
      </c>
      <c r="D186" s="22" t="n">
        <f aca="false">100*(D52-D51)</f>
        <v>6.44141736084287</v>
      </c>
      <c r="E186" s="22" t="n">
        <f aca="false">100*(E52-E51)</f>
        <v>7.08469621551964</v>
      </c>
      <c r="F186" s="22" t="n">
        <f aca="false">100*(F52-F51)</f>
        <v>7.66836658141305</v>
      </c>
      <c r="G186" s="22" t="n">
        <f aca="false">100*(G52-G51)</f>
        <v>8.17939958326786</v>
      </c>
      <c r="H186" s="22" t="n">
        <f aca="false">100*(H52-H51)</f>
        <v>8.61551545604036</v>
      </c>
      <c r="I186" s="22" t="n">
        <f aca="false">100*(I52-I51)</f>
        <v>8.97906308898024</v>
      </c>
      <c r="J186" s="22" t="n">
        <f aca="false">100*(J52-J51)</f>
        <v>9.2741756478232</v>
      </c>
      <c r="K186" s="22" t="n">
        <f aca="false">100*(K52-K51)</f>
        <v>9.50554309056978</v>
      </c>
      <c r="L186" s="22" t="n">
        <f aca="false">100*(L52-L51)</f>
        <v>9.67793371165237</v>
      </c>
      <c r="M186" s="22" t="n">
        <f aca="false">100*(M52-M51)</f>
        <v>9.79629755759777</v>
      </c>
      <c r="N186" s="22" t="n">
        <f aca="false">100*(N52-N51)</f>
        <v>9.8658183440083</v>
      </c>
      <c r="O186" s="22" t="n">
        <f aca="false">100*(O52-O51)</f>
        <v>8.5904604365032</v>
      </c>
      <c r="P186" s="22" t="n">
        <f aca="false">100*(P52-P51)</f>
        <v>8.45829544316821</v>
      </c>
      <c r="Q186" s="22" t="n">
        <f aca="false">100*(Q52-Q51)</f>
        <v>8.33291327462109</v>
      </c>
      <c r="R186" s="22" t="n">
        <f aca="false">100*(R52-R51)</f>
        <v>8.21502749113039</v>
      </c>
      <c r="S186" s="22" t="n">
        <f aca="false">100*(S52-S51)</f>
        <v>8.10508099209131</v>
      </c>
      <c r="T186" s="22" t="n">
        <f aca="false">100*(T52-T51)</f>
        <v>8.0032895030941</v>
      </c>
      <c r="U186" s="22" t="n">
        <f aca="false">100*(U52-U51)</f>
        <v>7.90967508333491</v>
      </c>
      <c r="V186" s="22" t="n">
        <f aca="false">100*(V52-V51)</f>
        <v>7.82410570220051</v>
      </c>
      <c r="W186" s="22" t="n">
        <f aca="false">100*(W52-W51)</f>
        <v>7.74635859259449</v>
      </c>
      <c r="X186" s="22" t="n">
        <f aca="false">100*(X52-X51)</f>
        <v>7.6761486649273</v>
      </c>
      <c r="Y186" s="22" t="n">
        <f aca="false">100*(Y52-Y51)</f>
        <v>7.61314678775631</v>
      </c>
      <c r="Z186" s="22" t="n">
        <f aca="false">100*(Z52-Z51)</f>
        <v>7.55701929269961</v>
      </c>
      <c r="AA186" s="22" t="n">
        <f aca="false">100*(AA52-AA51)</f>
        <v>7.50744130912799</v>
      </c>
      <c r="AB186" s="22" t="n">
        <f aca="false">100*(AB52-AB51)</f>
        <v>7.4640959266018</v>
      </c>
      <c r="AC186" s="22" t="n">
        <f aca="false">100*(AC52-AC51)</f>
        <v>7.42667324723039</v>
      </c>
      <c r="AD186" s="22" t="n">
        <f aca="false">100*(AD52-AD51)</f>
        <v>7.39487099094991</v>
      </c>
      <c r="AE186" s="22" t="n">
        <f aca="false">100*(AE52-AE51)</f>
        <v>7.36841180299011</v>
      </c>
      <c r="AF186" s="22" t="n">
        <f aca="false">100*(AF52-AF51)</f>
        <v>7.34705838470708</v>
      </c>
      <c r="AG186" s="22" t="n">
        <f aca="false">100*(AG52-AG51)</f>
        <v>7.3306027840218</v>
      </c>
      <c r="AH186" s="22" t="n">
        <f aca="false">100*(AH52-AH51)</f>
        <v>7.31885934554482</v>
      </c>
      <c r="AI186" s="22" t="n">
        <f aca="false">100*(AI52-AI51)</f>
        <v>7.3116528395949</v>
      </c>
      <c r="AJ186" s="22" t="n">
        <f aca="false">100*(AJ52-AJ51)</f>
        <v>7.30880494276323</v>
      </c>
      <c r="AK186" s="22" t="n">
        <f aca="false">100*(AK52-AK51)</f>
        <v>7.31013295936842</v>
      </c>
      <c r="AL186" s="22" t="n">
        <f aca="false">100*(AL52-AL51)</f>
        <v>7.31544972498031</v>
      </c>
      <c r="AM186" s="22" t="n">
        <f aca="false">100*(AM52-AM51)</f>
        <v>7.32455512560719</v>
      </c>
      <c r="AN186" s="22" t="n">
        <f aca="false">100*(AN52-AN51)</f>
        <v>7.3372254500123</v>
      </c>
      <c r="AO186" s="22" t="n">
        <f aca="false">100*(AO52-AO51)</f>
        <v>7.3532121232919</v>
      </c>
      <c r="AP186" s="22" t="n">
        <f aca="false">100*(AP52-AP51)</f>
        <v>7.3722394986846</v>
      </c>
      <c r="AQ186" s="22" t="n">
        <f aca="false">100*(AQ52-AQ51)</f>
        <v>7.3940086829813</v>
      </c>
      <c r="AR186" s="22" t="n">
        <f aca="false">100*(AR52-AR51)</f>
        <v>7.41820521788679</v>
      </c>
      <c r="AS186" s="22" t="n">
        <f aca="false">100*(AS52-AS51)</f>
        <v>7.44450176936209</v>
      </c>
      <c r="AT186" s="22" t="n">
        <f aca="false">100*(AT52-AT51)</f>
        <v>7.472559597832</v>
      </c>
      <c r="AU186" s="22" t="n">
        <f aca="false">100*(AU52-AU51)</f>
        <v>7.50203529738041</v>
      </c>
      <c r="AV186" s="22" t="n">
        <f aca="false">AVERAGE(C186:AU186)</f>
        <v>7.82038686552935</v>
      </c>
    </row>
    <row r="187" customFormat="false" ht="15" hidden="false" customHeight="false" outlineLevel="0" collapsed="false">
      <c r="A187" s="20" t="n">
        <f aca="false">A53</f>
        <v>-72</v>
      </c>
      <c r="B187" s="21" t="n">
        <f aca="false">B53</f>
        <v>43069</v>
      </c>
      <c r="C187" s="22" t="n">
        <f aca="false">100*(C53-C52)</f>
        <v>-1.17568500281355</v>
      </c>
      <c r="D187" s="22" t="n">
        <f aca="false">100*(D53-D52)</f>
        <v>-1.4924165367186</v>
      </c>
      <c r="E187" s="22" t="n">
        <f aca="false">100*(E53-E52)</f>
        <v>-1.76759074649049</v>
      </c>
      <c r="F187" s="22" t="n">
        <f aca="false">100*(F53-F52)</f>
        <v>-1.99400989661075</v>
      </c>
      <c r="G187" s="22" t="n">
        <f aca="false">100*(G53-G52)</f>
        <v>-2.17531669626164</v>
      </c>
      <c r="H187" s="22" t="n">
        <f aca="false">100*(H53-H52)</f>
        <v>-2.31582245597588</v>
      </c>
      <c r="I187" s="22" t="n">
        <f aca="false">100*(I53-I52)</f>
        <v>-2.41976671280066</v>
      </c>
      <c r="J187" s="22" t="n">
        <f aca="false">100*(J53-J52)</f>
        <v>-2.49180673496826</v>
      </c>
      <c r="K187" s="22" t="n">
        <f aca="false">100*(K53-K52)</f>
        <v>-2.53687218764168</v>
      </c>
      <c r="L187" s="22" t="n">
        <f aca="false">100*(L53-L52)</f>
        <v>-2.5601901778177</v>
      </c>
      <c r="M187" s="22" t="n">
        <f aca="false">100*(M53-M52)</f>
        <v>-2.56689009121101</v>
      </c>
      <c r="N187" s="22" t="n">
        <f aca="false">100*(N53-N52)</f>
        <v>-2.5617442973962</v>
      </c>
      <c r="O187" s="22" t="n">
        <f aca="false">100*(O53-O52)</f>
        <v>-2.4486183093694</v>
      </c>
      <c r="P187" s="22" t="n">
        <f aca="false">100*(P53-P52)</f>
        <v>-2.4496456384947</v>
      </c>
      <c r="Q187" s="22" t="n">
        <f aca="false">100*(Q53-Q52)</f>
        <v>-2.4497238100518</v>
      </c>
      <c r="R187" s="22" t="n">
        <f aca="false">100*(R53-R52)</f>
        <v>-2.4484004984737</v>
      </c>
      <c r="S187" s="22" t="n">
        <f aca="false">100*(S53-S52)</f>
        <v>-2.44532100804959</v>
      </c>
      <c r="T187" s="22" t="n">
        <f aca="false">100*(T53-T52)</f>
        <v>-2.44021569218309</v>
      </c>
      <c r="U187" s="22" t="n">
        <f aca="false">100*(U53-U52)</f>
        <v>-2.43288749290431</v>
      </c>
      <c r="V187" s="22" t="n">
        <f aca="false">100*(V53-V52)</f>
        <v>-2.42320567414991</v>
      </c>
      <c r="W187" s="22" t="n">
        <f aca="false">100*(W53-W52)</f>
        <v>-2.41110944791649</v>
      </c>
      <c r="X187" s="22" t="n">
        <f aca="false">100*(X53-X52)</f>
        <v>-2.39660286861569</v>
      </c>
      <c r="Y187" s="22" t="n">
        <f aca="false">100*(Y53-Y52)</f>
        <v>-2.37974430918271</v>
      </c>
      <c r="Z187" s="22" t="n">
        <f aca="false">100*(Z53-Z52)</f>
        <v>-2.3606322890501</v>
      </c>
      <c r="AA187" s="22" t="n">
        <f aca="false">100*(AA53-AA52)</f>
        <v>-2.33939770802489</v>
      </c>
      <c r="AB187" s="22" t="n">
        <f aca="false">100*(AB53-AB52)</f>
        <v>-2.3161998457776</v>
      </c>
      <c r="AC187" s="22" t="n">
        <f aca="false">100*(AC53-AC52)</f>
        <v>-2.29122298328819</v>
      </c>
      <c r="AD187" s="22" t="n">
        <f aca="false">100*(AD53-AD52)</f>
        <v>-2.26467267950152</v>
      </c>
      <c r="AE187" s="22" t="n">
        <f aca="false">100*(AE53-AE52)</f>
        <v>-2.23676350656061</v>
      </c>
      <c r="AF187" s="22" t="n">
        <f aca="false">100*(AF53-AF52)</f>
        <v>-2.20770454777608</v>
      </c>
      <c r="AG187" s="22" t="n">
        <f aca="false">100*(AG53-AG52)</f>
        <v>-2.17768869037092</v>
      </c>
      <c r="AH187" s="22" t="n">
        <f aca="false">100*(AH53-AH52)</f>
        <v>-2.1468901290234</v>
      </c>
      <c r="AI187" s="22" t="n">
        <f aca="false">100*(AI53-AI52)</f>
        <v>-2.1154613449641</v>
      </c>
      <c r="AJ187" s="22" t="n">
        <f aca="false">100*(AJ53-AJ52)</f>
        <v>-2.08353123367562</v>
      </c>
      <c r="AK187" s="22" t="n">
        <f aca="false">100*(AK53-AK52)</f>
        <v>-2.05120722856802</v>
      </c>
      <c r="AL187" s="22" t="n">
        <f aca="false">100*(AL53-AL52)</f>
        <v>-2.0185773211288</v>
      </c>
      <c r="AM187" s="22" t="n">
        <f aca="false">100*(AM53-AM52)</f>
        <v>-1.98571244338068</v>
      </c>
      <c r="AN187" s="22" t="n">
        <f aca="false">100*(AN53-AN52)</f>
        <v>-1.9526701137266</v>
      </c>
      <c r="AO187" s="22" t="n">
        <f aca="false">100*(AO53-AO52)</f>
        <v>-1.9194996426017</v>
      </c>
      <c r="AP187" s="22" t="n">
        <f aca="false">100*(AP53-AP52)</f>
        <v>-1.88625063144661</v>
      </c>
      <c r="AQ187" s="22" t="n">
        <f aca="false">100*(AQ53-AQ52)</f>
        <v>-1.85297770713739</v>
      </c>
      <c r="AR187" s="22" t="n">
        <f aca="false">100*(AR53-AR52)</f>
        <v>-1.81974575827919</v>
      </c>
      <c r="AS187" s="22" t="n">
        <f aca="false">100*(AS53-AS52)</f>
        <v>-1.78663017820688</v>
      </c>
      <c r="AT187" s="22" t="n">
        <f aca="false">100*(AT53-AT52)</f>
        <v>-1.753716369484</v>
      </c>
      <c r="AU187" s="22" t="n">
        <f aca="false">100*(AU53-AU52)</f>
        <v>-1.72110349442041</v>
      </c>
      <c r="AV187" s="22" t="n">
        <f aca="false">AVERAGE(C187:AU187)</f>
        <v>-2.17937426961091</v>
      </c>
    </row>
    <row r="188" customFormat="false" ht="15" hidden="false" customHeight="false" outlineLevel="0" collapsed="false">
      <c r="A188" s="20" t="n">
        <f aca="false">A54</f>
        <v>-71</v>
      </c>
      <c r="B188" s="21" t="n">
        <f aca="false">B54</f>
        <v>43070</v>
      </c>
      <c r="C188" s="22" t="n">
        <f aca="false">100*(C54-C53)</f>
        <v>-7.60402938550474</v>
      </c>
      <c r="D188" s="22" t="n">
        <f aca="false">100*(D54-D53)</f>
        <v>-7.74678964363776</v>
      </c>
      <c r="E188" s="22" t="n">
        <f aca="false">100*(E54-E53)</f>
        <v>-7.98841006781462</v>
      </c>
      <c r="F188" s="22" t="n">
        <f aca="false">100*(F54-F53)</f>
        <v>-8.28066181889223</v>
      </c>
      <c r="G188" s="22" t="n">
        <f aca="false">100*(G54-G53)</f>
        <v>-8.58770343969601</v>
      </c>
      <c r="H188" s="22" t="n">
        <f aca="false">100*(H54-H53)</f>
        <v>-8.88740109749764</v>
      </c>
      <c r="I188" s="22" t="n">
        <f aca="false">100*(I54-I53)</f>
        <v>-9.16688052243684</v>
      </c>
      <c r="J188" s="22" t="n">
        <f aca="false">100*(J54-J53)</f>
        <v>-9.41884852051559</v>
      </c>
      <c r="K188" s="22" t="n">
        <f aca="false">100*(K54-K53)</f>
        <v>-9.63889482271769</v>
      </c>
      <c r="L188" s="22" t="n">
        <f aca="false">100*(L54-L53)</f>
        <v>-9.8245732875154</v>
      </c>
      <c r="M188" s="22" t="n">
        <f aca="false">100*(M54-M53)</f>
        <v>-9.97482277874632</v>
      </c>
      <c r="N188" s="22" t="n">
        <f aca="false">100*(N54-N53)</f>
        <v>-10.0895234072848</v>
      </c>
      <c r="O188" s="22" t="n">
        <f aca="false">100*(O54-O53)</f>
        <v>-9.46615209994901</v>
      </c>
      <c r="P188" s="22" t="n">
        <f aca="false">100*(P54-P53)</f>
        <v>-9.3675986523877</v>
      </c>
      <c r="Q188" s="22" t="n">
        <f aca="false">100*(Q54-Q53)</f>
        <v>-9.2738289013663</v>
      </c>
      <c r="R188" s="22" t="n">
        <f aca="false">100*(R54-R53)</f>
        <v>-9.1855447263316</v>
      </c>
      <c r="S188" s="22" t="n">
        <f aca="false">100*(S54-S53)</f>
        <v>-9.1031164498399</v>
      </c>
      <c r="T188" s="22" t="n">
        <f aca="false">100*(T54-T53)</f>
        <v>-9.02663512085471</v>
      </c>
      <c r="U188" s="22" t="n">
        <f aca="false">100*(U54-U53)</f>
        <v>-8.95595378873699</v>
      </c>
      <c r="V188" s="22" t="n">
        <f aca="false">100*(V54-V53)</f>
        <v>-8.8907380931309</v>
      </c>
      <c r="W188" s="22" t="n">
        <f aca="false">100*(W54-W53)</f>
        <v>-8.8305426141305</v>
      </c>
      <c r="X188" s="22" t="n">
        <f aca="false">100*(X54-X53)</f>
        <v>-8.77484269863791</v>
      </c>
      <c r="Y188" s="22" t="n">
        <f aca="false">100*(Y54-Y53)</f>
        <v>-8.72306628316759</v>
      </c>
      <c r="Z188" s="22" t="n">
        <f aca="false">100*(Z54-Z53)</f>
        <v>-8.67466729657631</v>
      </c>
      <c r="AA188" s="22" t="n">
        <f aca="false">100*(AA54-AA53)</f>
        <v>-8.6291457668547</v>
      </c>
      <c r="AB188" s="22" t="n">
        <f aca="false">100*(AB54-AB53)</f>
        <v>-8.58604255624049</v>
      </c>
      <c r="AC188" s="22" t="n">
        <f aca="false">100*(AC54-AC53)</f>
        <v>-8.5449344999978</v>
      </c>
      <c r="AD188" s="22" t="n">
        <f aca="false">100*(AD54-AD53)</f>
        <v>-8.50543317996459</v>
      </c>
      <c r="AE188" s="22" t="n">
        <f aca="false">100*(AE54-AE53)</f>
        <v>-8.46721950841909</v>
      </c>
      <c r="AF188" s="22" t="n">
        <f aca="false">100*(AF54-AF53)</f>
        <v>-8.4300718755399</v>
      </c>
      <c r="AG188" s="22" t="n">
        <f aca="false">100*(AG54-AG53)</f>
        <v>-8.39383626746109</v>
      </c>
      <c r="AH188" s="22" t="n">
        <f aca="false">100*(AH54-AH53)</f>
        <v>-8.3584094690579</v>
      </c>
      <c r="AI188" s="22" t="n">
        <f aca="false">100*(AI54-AI53)</f>
        <v>-8.32372031309929</v>
      </c>
      <c r="AJ188" s="22" t="n">
        <f aca="false">100*(AJ54-AJ53)</f>
        <v>-8.28971632389879</v>
      </c>
      <c r="AK188" s="22" t="n">
        <f aca="false">100*(AK54-AK53)</f>
        <v>-8.25636143129129</v>
      </c>
      <c r="AL188" s="22" t="n">
        <f aca="false">100*(AL54-AL53)</f>
        <v>-8.22363310226571</v>
      </c>
      <c r="AM188" s="22" t="n">
        <f aca="false">100*(AM54-AM53)</f>
        <v>-8.19150980684811</v>
      </c>
      <c r="AN188" s="22" t="n">
        <f aca="false">100*(AN54-AN53)</f>
        <v>-8.1599623767816</v>
      </c>
      <c r="AO188" s="22" t="n">
        <f aca="false">100*(AO54-AO53)</f>
        <v>-8.12895373975031</v>
      </c>
      <c r="AP188" s="22" t="n">
        <f aca="false">100*(AP54-AP53)</f>
        <v>-8.0984402120152</v>
      </c>
      <c r="AQ188" s="22" t="n">
        <f aca="false">100*(AQ54-AQ53)</f>
        <v>-8.06837618262151</v>
      </c>
      <c r="AR188" s="22" t="n">
        <f aca="false">100*(AR54-AR53)</f>
        <v>-8.03871998378081</v>
      </c>
      <c r="AS188" s="22" t="n">
        <f aca="false">100*(AS54-AS53)</f>
        <v>-8.00943440251341</v>
      </c>
      <c r="AT188" s="22" t="n">
        <f aca="false">100*(AT54-AT53)</f>
        <v>-7.9804871574094</v>
      </c>
      <c r="AU188" s="22" t="n">
        <f aca="false">100*(AU54-AU53)</f>
        <v>-7.95185965305791</v>
      </c>
      <c r="AV188" s="22" t="n">
        <f aca="false">AVERAGE(C188:AU188)</f>
        <v>-8.64705540724973</v>
      </c>
    </row>
    <row r="189" customFormat="false" ht="15" hidden="false" customHeight="false" outlineLevel="0" collapsed="false">
      <c r="A189" s="20" t="n">
        <f aca="false">A55</f>
        <v>-70</v>
      </c>
      <c r="B189" s="21" t="n">
        <f aca="false">B55</f>
        <v>43073</v>
      </c>
      <c r="C189" s="22" t="n">
        <f aca="false">100*(C55-C54)</f>
        <v>6.46414526550691</v>
      </c>
      <c r="D189" s="22" t="n">
        <f aca="false">100*(D55-D54)</f>
        <v>6.3813417430196</v>
      </c>
      <c r="E189" s="22" t="n">
        <f aca="false">100*(E55-E54)</f>
        <v>6.26371885509427</v>
      </c>
      <c r="F189" s="22" t="n">
        <f aca="false">100*(F55-F54)</f>
        <v>6.14924286703497</v>
      </c>
      <c r="G189" s="22" t="n">
        <f aca="false">100*(G55-G54)</f>
        <v>6.05313828747206</v>
      </c>
      <c r="H189" s="22" t="n">
        <f aca="false">100*(H55-H54)</f>
        <v>5.98015958723842</v>
      </c>
      <c r="I189" s="22" t="n">
        <f aca="false">100*(I55-I54)</f>
        <v>5.930131911884</v>
      </c>
      <c r="J189" s="22" t="n">
        <f aca="false">100*(J55-J54)</f>
        <v>5.90043389536849</v>
      </c>
      <c r="K189" s="22" t="n">
        <f aca="false">100*(K55-K54)</f>
        <v>5.88730231426153</v>
      </c>
      <c r="L189" s="22" t="n">
        <f aca="false">100*(L55-L54)</f>
        <v>5.88648186387089</v>
      </c>
      <c r="M189" s="22" t="n">
        <f aca="false">100*(M55-M54)</f>
        <v>5.89382574128193</v>
      </c>
      <c r="N189" s="22" t="n">
        <f aca="false">100*(N55-N54)</f>
        <v>5.9056546171224</v>
      </c>
      <c r="O189" s="22" t="n">
        <f aca="false">100*(O55-O54)</f>
        <v>5.88940375622922</v>
      </c>
      <c r="P189" s="22" t="n">
        <f aca="false">100*(P55-P54)</f>
        <v>5.8740933595469</v>
      </c>
      <c r="Q189" s="22" t="n">
        <f aca="false">100*(Q55-Q54)</f>
        <v>5.8584409424387</v>
      </c>
      <c r="R189" s="22" t="n">
        <f aca="false">100*(R55-R54)</f>
        <v>5.84268615588741</v>
      </c>
      <c r="S189" s="22" t="n">
        <f aca="false">100*(S55-S54)</f>
        <v>5.82701705456679</v>
      </c>
      <c r="T189" s="22" t="n">
        <f aca="false">100*(T55-T54)</f>
        <v>5.8115775366987</v>
      </c>
      <c r="U189" s="22" t="n">
        <f aca="false">100*(U55-U54)</f>
        <v>5.7964738512166</v>
      </c>
      <c r="V189" s="22" t="n">
        <f aca="false">100*(V55-V54)</f>
        <v>5.78178260735369</v>
      </c>
      <c r="W189" s="22" t="n">
        <f aca="false">100*(W55-W54)</f>
        <v>5.7675650033</v>
      </c>
      <c r="X189" s="22" t="n">
        <f aca="false">100*(X55-X54)</f>
        <v>5.75387299296171</v>
      </c>
      <c r="Y189" s="22" t="n">
        <f aca="false">100*(Y55-Y54)</f>
        <v>5.74074898106269</v>
      </c>
      <c r="Z189" s="22" t="n">
        <f aca="false">100*(Z55-Z54)</f>
        <v>5.72822305866612</v>
      </c>
      <c r="AA189" s="22" t="n">
        <f aca="false">100*(AA55-AA54)</f>
        <v>5.71631354080369</v>
      </c>
      <c r="AB189" s="22" t="n">
        <f aca="false">100*(AB55-AB54)</f>
        <v>5.70502840091181</v>
      </c>
      <c r="AC189" s="22" t="n">
        <f aca="false">100*(AC55-AC54)</f>
        <v>5.6943665019727</v>
      </c>
      <c r="AD189" s="22" t="n">
        <f aca="false">100*(AD55-AD54)</f>
        <v>5.68431820460991</v>
      </c>
      <c r="AE189" s="22" t="n">
        <f aca="false">100*(AE55-AE54)</f>
        <v>5.6748607241556</v>
      </c>
      <c r="AF189" s="22" t="n">
        <f aca="false">100*(AF55-AF54)</f>
        <v>5.66595470438911</v>
      </c>
      <c r="AG189" s="22" t="n">
        <f aca="false">100*(AG55-AG54)</f>
        <v>5.65754868953279</v>
      </c>
      <c r="AH189" s="22" t="n">
        <f aca="false">100*(AH55-AH54)</f>
        <v>5.64958186474409</v>
      </c>
      <c r="AI189" s="22" t="n">
        <f aca="false">100*(AI55-AI54)</f>
        <v>5.641989758265</v>
      </c>
      <c r="AJ189" s="22" t="n">
        <f aca="false">100*(AJ55-AJ54)</f>
        <v>5.63470807688509</v>
      </c>
      <c r="AK189" s="22" t="n">
        <f aca="false">100*(AK55-AK54)</f>
        <v>5.6276728210674</v>
      </c>
      <c r="AL189" s="22" t="n">
        <f aca="false">100*(AL55-AL54)</f>
        <v>5.62082075231369</v>
      </c>
      <c r="AM189" s="22" t="n">
        <f aca="false">100*(AM55-AM54)</f>
        <v>5.61409373003492</v>
      </c>
      <c r="AN189" s="22" t="n">
        <f aca="false">100*(AN55-AN54)</f>
        <v>5.60744163726601</v>
      </c>
      <c r="AO189" s="22" t="n">
        <f aca="false">100*(AO55-AO54)</f>
        <v>5.60082185750481</v>
      </c>
      <c r="AP189" s="22" t="n">
        <f aca="false">100*(AP55-AP54)</f>
        <v>5.5941981407962</v>
      </c>
      <c r="AQ189" s="22" t="n">
        <f aca="false">100*(AQ55-AQ54)</f>
        <v>5.58753945432902</v>
      </c>
      <c r="AR189" s="22" t="n">
        <f aca="false">100*(AR55-AR54)</f>
        <v>5.5808193330225</v>
      </c>
      <c r="AS189" s="22" t="n">
        <f aca="false">100*(AS55-AS54)</f>
        <v>5.57401556976029</v>
      </c>
      <c r="AT189" s="22" t="n">
        <f aca="false">100*(AT55-AT54)</f>
        <v>5.56710972573351</v>
      </c>
      <c r="AU189" s="22" t="n">
        <f aca="false">100*(AU55-AU54)</f>
        <v>5.56008594773101</v>
      </c>
      <c r="AV189" s="22" t="n">
        <f aca="false">AVERAGE(C189:AU189)</f>
        <v>5.79170559299807</v>
      </c>
    </row>
    <row r="190" customFormat="false" ht="15" hidden="false" customHeight="false" outlineLevel="0" collapsed="false">
      <c r="A190" s="20" t="n">
        <f aca="false">A56</f>
        <v>-69</v>
      </c>
      <c r="B190" s="21" t="n">
        <f aca="false">B56</f>
        <v>43074</v>
      </c>
      <c r="C190" s="22" t="n">
        <f aca="false">100*(C56-C55)</f>
        <v>-0.430332549396373</v>
      </c>
      <c r="D190" s="22" t="n">
        <f aca="false">100*(D56-D55)</f>
        <v>-0.621780473394951</v>
      </c>
      <c r="E190" s="22" t="n">
        <f aca="false">100*(E56-E55)</f>
        <v>-0.805140661934933</v>
      </c>
      <c r="F190" s="22" t="n">
        <f aca="false">100*(F56-F55)</f>
        <v>-0.974320033142007</v>
      </c>
      <c r="G190" s="22" t="n">
        <f aca="false">100*(G56-G55)</f>
        <v>-1.12645727809282</v>
      </c>
      <c r="H190" s="22" t="n">
        <f aca="false">100*(H56-H55)</f>
        <v>-1.26127006011184</v>
      </c>
      <c r="I190" s="22" t="n">
        <f aca="false">100*(I56-I55)</f>
        <v>-1.37988297304917</v>
      </c>
      <c r="J190" s="22" t="n">
        <f aca="false">100*(J56-J55)</f>
        <v>-1.48387594700788</v>
      </c>
      <c r="K190" s="22" t="n">
        <f aca="false">100*(K56-K55)</f>
        <v>-1.57465823446747</v>
      </c>
      <c r="L190" s="22" t="n">
        <f aca="false">100*(L56-L55)</f>
        <v>-1.65327789205515</v>
      </c>
      <c r="M190" s="22" t="n">
        <f aca="false">100*(M56-M55)</f>
        <v>-1.7205402330227</v>
      </c>
      <c r="N190" s="22" t="n">
        <f aca="false">100*(N56-N55)</f>
        <v>-1.7770772454816</v>
      </c>
      <c r="O190" s="22" t="n">
        <f aca="false">100*(O56-O55)</f>
        <v>-1.82799118812551</v>
      </c>
      <c r="P190" s="22" t="n">
        <f aca="false">100*(P56-P55)</f>
        <v>-1.8082846007959</v>
      </c>
      <c r="Q190" s="22" t="n">
        <f aca="false">100*(Q56-Q55)</f>
        <v>-1.78941504494829</v>
      </c>
      <c r="R190" s="22" t="n">
        <f aca="false">100*(R56-R55)</f>
        <v>-1.77191492249451</v>
      </c>
      <c r="S190" s="22" t="n">
        <f aca="false">100*(S56-S55)</f>
        <v>-1.756193056676</v>
      </c>
      <c r="T190" s="22" t="n">
        <f aca="false">100*(T56-T55)</f>
        <v>-1.74255105558039</v>
      </c>
      <c r="U190" s="22" t="n">
        <f aca="false">100*(U56-U55)</f>
        <v>-1.73119905152861</v>
      </c>
      <c r="V190" s="22" t="n">
        <f aca="false">100*(V56-V55)</f>
        <v>-1.7222650620901</v>
      </c>
      <c r="W190" s="22" t="n">
        <f aca="false">100*(W56-W55)</f>
        <v>-1.71579313737151</v>
      </c>
      <c r="X190" s="22" t="n">
        <f aca="false">100*(X56-X55)</f>
        <v>-1.71174968391721</v>
      </c>
      <c r="Y190" s="22" t="n">
        <f aca="false">100*(Y56-Y55)</f>
        <v>-1.7100391573811</v>
      </c>
      <c r="Z190" s="22" t="n">
        <f aca="false">100*(Z56-Z55)</f>
        <v>-1.7105283044168</v>
      </c>
      <c r="AA190" s="22" t="n">
        <f aca="false">100*(AA56-AA55)</f>
        <v>-1.71305605904859</v>
      </c>
      <c r="AB190" s="22" t="n">
        <f aca="false">100*(AB56-AB55)</f>
        <v>-1.71743699744031</v>
      </c>
      <c r="AC190" s="22" t="n">
        <f aca="false">100*(AC56-AC55)</f>
        <v>-1.7234642376398</v>
      </c>
      <c r="AD190" s="22" t="n">
        <f aca="false">100*(AD56-AD55)</f>
        <v>-1.7309126816295</v>
      </c>
      <c r="AE190" s="22" t="n">
        <f aca="false">100*(AE56-AE55)</f>
        <v>-1.7395500307769</v>
      </c>
      <c r="AF190" s="22" t="n">
        <f aca="false">100*(AF56-AF55)</f>
        <v>-1.7491472965204</v>
      </c>
      <c r="AG190" s="22" t="n">
        <f aca="false">100*(AG56-AG55)</f>
        <v>-1.7594809125163</v>
      </c>
      <c r="AH190" s="22" t="n">
        <f aca="false">100*(AH56-AH55)</f>
        <v>-1.770333294141</v>
      </c>
      <c r="AI190" s="22" t="n">
        <f aca="false">100*(AI56-AI55)</f>
        <v>-1.78149820271041</v>
      </c>
      <c r="AJ190" s="22" t="n">
        <f aca="false">100*(AJ56-AJ55)</f>
        <v>-1.79278760998389</v>
      </c>
      <c r="AK190" s="22" t="n">
        <f aca="false">100*(AK56-AK55)</f>
        <v>-1.80403089479531</v>
      </c>
      <c r="AL190" s="22" t="n">
        <f aca="false">100*(AL56-AL55)</f>
        <v>-1.81507325508659</v>
      </c>
      <c r="AM190" s="22" t="n">
        <f aca="false">100*(AM56-AM55)</f>
        <v>-1.82577749051551</v>
      </c>
      <c r="AN190" s="22" t="n">
        <f aca="false">100*(AN56-AN55)</f>
        <v>-1.83602740698681</v>
      </c>
      <c r="AO190" s="22" t="n">
        <f aca="false">100*(AO56-AO55)</f>
        <v>-1.84572783172341</v>
      </c>
      <c r="AP190" s="22" t="n">
        <f aca="false">100*(AP56-AP55)</f>
        <v>-1.8548055606993</v>
      </c>
      <c r="AQ190" s="22" t="n">
        <f aca="false">100*(AQ56-AQ55)</f>
        <v>-1.8632074537853</v>
      </c>
      <c r="AR190" s="22" t="n">
        <f aca="false">100*(AR56-AR55)</f>
        <v>-1.8708969608048</v>
      </c>
      <c r="AS190" s="22" t="n">
        <f aca="false">100*(AS56-AS55)</f>
        <v>-1.8778522235948</v>
      </c>
      <c r="AT190" s="22" t="n">
        <f aca="false">100*(AT56-AT55)</f>
        <v>-1.8840647999254</v>
      </c>
      <c r="AU190" s="22" t="n">
        <f aca="false">100*(AU56-AU55)</f>
        <v>-1.8895374564448</v>
      </c>
      <c r="AV190" s="22" t="n">
        <f aca="false">AVERAGE(C190:AU190)</f>
        <v>-1.63669347785004</v>
      </c>
    </row>
    <row r="191" customFormat="false" ht="15" hidden="false" customHeight="false" outlineLevel="0" collapsed="false">
      <c r="A191" s="20" t="n">
        <f aca="false">A57</f>
        <v>-68</v>
      </c>
      <c r="B191" s="21" t="n">
        <f aca="false">B57</f>
        <v>43075</v>
      </c>
      <c r="C191" s="22" t="n">
        <f aca="false">100*(C57-C56)</f>
        <v>-0.921026511638018</v>
      </c>
      <c r="D191" s="22" t="n">
        <f aca="false">100*(D57-D56)</f>
        <v>-1.01665059110742</v>
      </c>
      <c r="E191" s="22" t="n">
        <f aca="false">100*(E57-E56)</f>
        <v>-1.15291808576553</v>
      </c>
      <c r="F191" s="22" t="n">
        <f aca="false">100*(F57-F56)</f>
        <v>-1.32568362488338</v>
      </c>
      <c r="G191" s="22" t="n">
        <f aca="false">100*(G57-G56)</f>
        <v>-1.52286460999163</v>
      </c>
      <c r="H191" s="22" t="n">
        <f aca="false">100*(H57-H56)</f>
        <v>-1.73380810486669</v>
      </c>
      <c r="I191" s="22" t="n">
        <f aca="false">100*(I57-I56)</f>
        <v>-1.94977281117931</v>
      </c>
      <c r="J191" s="22" t="n">
        <f aca="false">100*(J57-J56)</f>
        <v>-2.16345835693385</v>
      </c>
      <c r="K191" s="22" t="n">
        <f aca="false">100*(K57-K56)</f>
        <v>-2.36892080220721</v>
      </c>
      <c r="L191" s="22" t="n">
        <f aca="false">100*(L57-L56)</f>
        <v>-2.56128502357519</v>
      </c>
      <c r="M191" s="22" t="n">
        <f aca="false">100*(M57-M56)</f>
        <v>-2.73690558362087</v>
      </c>
      <c r="N191" s="22" t="n">
        <f aca="false">100*(N57-N56)</f>
        <v>-2.89323766405141</v>
      </c>
      <c r="O191" s="22" t="n">
        <f aca="false">100*(O57-O56)</f>
        <v>-3.38908027539959</v>
      </c>
      <c r="P191" s="22" t="n">
        <f aca="false">100*(P57-P56)</f>
        <v>-3.3581795420891</v>
      </c>
      <c r="Q191" s="22" t="n">
        <f aca="false">100*(Q57-Q56)</f>
        <v>-3.3238972988304</v>
      </c>
      <c r="R191" s="22" t="n">
        <f aca="false">100*(R57-R56)</f>
        <v>-3.2871674678465</v>
      </c>
      <c r="S191" s="22" t="n">
        <f aca="false">100*(S57-S56)</f>
        <v>-3.24883726165699</v>
      </c>
      <c r="T191" s="22" t="n">
        <f aca="false">100*(T57-T56)</f>
        <v>-3.20967912330161</v>
      </c>
      <c r="U191" s="22" t="n">
        <f aca="false">100*(U57-U56)</f>
        <v>-3.1704017178817</v>
      </c>
      <c r="V191" s="22" t="n">
        <f aca="false">100*(V57-V56)</f>
        <v>-3.13165754746019</v>
      </c>
      <c r="W191" s="22" t="n">
        <f aca="false">100*(W57-W56)</f>
        <v>-3.09404468024359</v>
      </c>
      <c r="X191" s="22" t="n">
        <f aca="false">100*(X57-X56)</f>
        <v>-3.0581115358685</v>
      </c>
      <c r="Y191" s="22" t="n">
        <f aca="false">100*(Y57-Y56)</f>
        <v>-3.02435976640549</v>
      </c>
      <c r="Z191" s="22" t="n">
        <f aca="false">100*(Z57-Z56)</f>
        <v>-2.993237762329</v>
      </c>
      <c r="AA191" s="22" t="n">
        <f aca="false">100*(AA57-AA56)</f>
        <v>-2.96514263194441</v>
      </c>
      <c r="AB191" s="22" t="n">
        <f aca="false">100*(AB57-AB56)</f>
        <v>-2.94042637217549</v>
      </c>
      <c r="AC191" s="22" t="n">
        <f aca="false">100*(AC57-AC56)</f>
        <v>-2.9194012389663</v>
      </c>
      <c r="AD191" s="22" t="n">
        <f aca="false">100*(AD57-AD56)</f>
        <v>-2.90234348855269</v>
      </c>
      <c r="AE191" s="22" t="n">
        <f aca="false">100*(AE57-AE56)</f>
        <v>-2.88948715301389</v>
      </c>
      <c r="AF191" s="22" t="n">
        <f aca="false">100*(AF57-AF56)</f>
        <v>-2.88101621112691</v>
      </c>
      <c r="AG191" s="22" t="n">
        <f aca="false">100*(AG57-AG56)</f>
        <v>-2.87706404624639</v>
      </c>
      <c r="AH191" s="22" t="n">
        <f aca="false">100*(AH57-AH56)</f>
        <v>-2.8777160258505</v>
      </c>
      <c r="AI191" s="22" t="n">
        <f aca="false">100*(AI57-AI56)</f>
        <v>-2.8830003255248</v>
      </c>
      <c r="AJ191" s="22" t="n">
        <f aca="false">100*(AJ57-AJ56)</f>
        <v>-2.89288043079221</v>
      </c>
      <c r="AK191" s="22" t="n">
        <f aca="false">100*(AK57-AK56)</f>
        <v>-2.9072605045072</v>
      </c>
      <c r="AL191" s="22" t="n">
        <f aca="false">100*(AL57-AL56)</f>
        <v>-2.9259905262754</v>
      </c>
      <c r="AM191" s="22" t="n">
        <f aca="false">100*(AM57-AM56)</f>
        <v>-2.94886511801671</v>
      </c>
      <c r="AN191" s="22" t="n">
        <f aca="false">100*(AN57-AN56)</f>
        <v>-2.97562346919449</v>
      </c>
      <c r="AO191" s="22" t="n">
        <f aca="false">100*(AO57-AO56)</f>
        <v>-3.0059573882794</v>
      </c>
      <c r="AP191" s="22" t="n">
        <f aca="false">100*(AP57-AP56)</f>
        <v>-3.03952233620739</v>
      </c>
      <c r="AQ191" s="22" t="n">
        <f aca="false">100*(AQ57-AQ56)</f>
        <v>-3.0759482939219</v>
      </c>
      <c r="AR191" s="22" t="n">
        <f aca="false">100*(AR57-AR56)</f>
        <v>-3.11485323354899</v>
      </c>
      <c r="AS191" s="22" t="n">
        <f aca="false">100*(AS57-AS56)</f>
        <v>-3.1558462692475</v>
      </c>
      <c r="AT191" s="22" t="n">
        <f aca="false">100*(AT57-AT56)</f>
        <v>-3.19852906086611</v>
      </c>
      <c r="AU191" s="22" t="n">
        <f aca="false">100*(AU57-AU56)</f>
        <v>-3.2425037338488</v>
      </c>
      <c r="AV191" s="22" t="n">
        <f aca="false">AVERAGE(C191:AU191)</f>
        <v>-2.73899030238313</v>
      </c>
    </row>
    <row r="192" customFormat="false" ht="15" hidden="false" customHeight="false" outlineLevel="0" collapsed="false">
      <c r="A192" s="20" t="n">
        <f aca="false">A58</f>
        <v>-67</v>
      </c>
      <c r="B192" s="21" t="n">
        <f aca="false">B58</f>
        <v>43076</v>
      </c>
      <c r="C192" s="22" t="n">
        <f aca="false">100*(C58-C57)</f>
        <v>1.38870881801451</v>
      </c>
      <c r="D192" s="22" t="n">
        <f aca="false">100*(D58-D57)</f>
        <v>1.44308998300932</v>
      </c>
      <c r="E192" s="22" t="n">
        <f aca="false">100*(E58-E57)</f>
        <v>1.50314612132333</v>
      </c>
      <c r="F192" s="22" t="n">
        <f aca="false">100*(F58-F57)</f>
        <v>1.56725352051259</v>
      </c>
      <c r="G192" s="22" t="n">
        <f aca="false">100*(G58-G57)</f>
        <v>1.63424790166863</v>
      </c>
      <c r="H192" s="22" t="n">
        <f aca="false">100*(H58-H57)</f>
        <v>1.70341695094444</v>
      </c>
      <c r="I192" s="22" t="n">
        <f aca="false">100*(I58-I57)</f>
        <v>1.77417891164339</v>
      </c>
      <c r="J192" s="22" t="n">
        <f aca="false">100*(J58-J57)</f>
        <v>1.84593252845676</v>
      </c>
      <c r="K192" s="22" t="n">
        <f aca="false">100*(K58-K57)</f>
        <v>1.91803561494834</v>
      </c>
      <c r="L192" s="22" t="n">
        <f aca="false">100*(L58-L57)</f>
        <v>1.98983141726605</v>
      </c>
      <c r="M192" s="22" t="n">
        <f aca="false">100*(M58-M57)</f>
        <v>2.06067376624217</v>
      </c>
      <c r="N192" s="22" t="n">
        <f aca="false">100*(N58-N57)</f>
        <v>2.13000818465632</v>
      </c>
      <c r="O192" s="22" t="n">
        <f aca="false">100*(O58-O57)</f>
        <v>2.75843939464688</v>
      </c>
      <c r="P192" s="22" t="n">
        <f aca="false">100*(P58-P57)</f>
        <v>2.78682890984359</v>
      </c>
      <c r="Q192" s="22" t="n">
        <f aca="false">100*(Q58-Q57)</f>
        <v>2.813974502425</v>
      </c>
      <c r="R192" s="22" t="n">
        <f aca="false">100*(R58-R57)</f>
        <v>2.8401634112903</v>
      </c>
      <c r="S192" s="22" t="n">
        <f aca="false">100*(S58-S57)</f>
        <v>2.86561438452431</v>
      </c>
      <c r="T192" s="22" t="n">
        <f aca="false">100*(T58-T57)</f>
        <v>2.89048663670011</v>
      </c>
      <c r="U192" s="22" t="n">
        <f aca="false">100*(U58-U57)</f>
        <v>2.91488859449891</v>
      </c>
      <c r="V192" s="22" t="n">
        <f aca="false">100*(V58-V57)</f>
        <v>2.93888548701309</v>
      </c>
      <c r="W192" s="22" t="n">
        <f aca="false">100*(W58-W57)</f>
        <v>2.96250771666731</v>
      </c>
      <c r="X192" s="22" t="n">
        <f aca="false">100*(X58-X57)</f>
        <v>2.98575681493432</v>
      </c>
      <c r="Y192" s="22" t="n">
        <f aca="false">100*(Y58-Y57)</f>
        <v>3.00861065323199</v>
      </c>
      <c r="Z192" s="22" t="n">
        <f aca="false">100*(Z58-Z57)</f>
        <v>3.03103188847931</v>
      </c>
      <c r="AA192" s="22" t="n">
        <f aca="false">100*(AA58-AA57)</f>
        <v>3.05297207136499</v>
      </c>
      <c r="AB192" s="22" t="n">
        <f aca="false">100*(AB58-AB57)</f>
        <v>3.07437304514149</v>
      </c>
      <c r="AC192" s="22" t="n">
        <f aca="false">100*(AC58-AC57)</f>
        <v>3.09516810127071</v>
      </c>
      <c r="AD192" s="22" t="n">
        <f aca="false">100*(AD58-AD57)</f>
        <v>3.11528302964299</v>
      </c>
      <c r="AE192" s="22" t="n">
        <f aca="false">100*(AE58-AE57)</f>
        <v>3.1346374987931</v>
      </c>
      <c r="AF192" s="22" t="n">
        <f aca="false">100*(AF58-AF57)</f>
        <v>3.15314673802711</v>
      </c>
      <c r="AG192" s="22" t="n">
        <f aca="false">100*(AG58-AG57)</f>
        <v>3.17072298940679</v>
      </c>
      <c r="AH192" s="22" t="n">
        <f aca="false">100*(AH58-AH57)</f>
        <v>3.18727678233091</v>
      </c>
      <c r="AI192" s="22" t="n">
        <f aca="false">100*(AI58-AI57)</f>
        <v>3.2027256633631</v>
      </c>
      <c r="AJ192" s="22" t="n">
        <f aca="false">100*(AJ58-AJ57)</f>
        <v>3.2170006503015</v>
      </c>
      <c r="AK192" s="22" t="n">
        <f aca="false">100*(AK58-AK57)</f>
        <v>3.23004535429041</v>
      </c>
      <c r="AL192" s="22" t="n">
        <f aca="false">100*(AL58-AL57)</f>
        <v>3.241815313476</v>
      </c>
      <c r="AM192" s="22" t="n">
        <f aca="false">100*(AM58-AM57)</f>
        <v>3.2522817156873</v>
      </c>
      <c r="AN192" s="22" t="n">
        <f aca="false">100*(AN58-AN57)</f>
        <v>3.26143348864278</v>
      </c>
      <c r="AO192" s="22" t="n">
        <f aca="false">100*(AO58-AO57)</f>
        <v>3.26927298844322</v>
      </c>
      <c r="AP192" s="22" t="n">
        <f aca="false">100*(AP58-AP57)</f>
        <v>3.27580923537698</v>
      </c>
      <c r="AQ192" s="22" t="n">
        <f aca="false">100*(AQ58-AQ57)</f>
        <v>3.28105710029849</v>
      </c>
      <c r="AR192" s="22" t="n">
        <f aca="false">100*(AR58-AR57)</f>
        <v>3.28503916101379</v>
      </c>
      <c r="AS192" s="22" t="n">
        <f aca="false">100*(AS58-AS57)</f>
        <v>3.2877856480088</v>
      </c>
      <c r="AT192" s="22" t="n">
        <f aca="false">100*(AT58-AT57)</f>
        <v>3.28933372696281</v>
      </c>
      <c r="AU192" s="22" t="n">
        <f aca="false">100*(AU58-AU57)</f>
        <v>3.28972686914499</v>
      </c>
      <c r="AV192" s="22" t="n">
        <f aca="false">AVERAGE(C192:AU192)</f>
        <v>2.73605820630954</v>
      </c>
    </row>
    <row r="193" customFormat="false" ht="15" hidden="false" customHeight="false" outlineLevel="0" collapsed="false">
      <c r="A193" s="20" t="n">
        <f aca="false">A59</f>
        <v>-66</v>
      </c>
      <c r="B193" s="21" t="n">
        <f aca="false">B59</f>
        <v>43077</v>
      </c>
      <c r="C193" s="22" t="n">
        <f aca="false">100*(C59-C58)</f>
        <v>-0.350404586286168</v>
      </c>
      <c r="D193" s="22" t="n">
        <f aca="false">100*(D59-D58)</f>
        <v>0.143189817535228</v>
      </c>
      <c r="E193" s="22" t="n">
        <f aca="false">100*(E59-E58)</f>
        <v>0.598402956949062</v>
      </c>
      <c r="F193" s="22" t="n">
        <f aca="false">100*(F59-F58)</f>
        <v>0.998514874570178</v>
      </c>
      <c r="G193" s="22" t="n">
        <f aca="false">100*(G59-G58)</f>
        <v>1.34039416568978</v>
      </c>
      <c r="H193" s="22" t="n">
        <f aca="false">100*(H59-H58)</f>
        <v>1.62768881467306</v>
      </c>
      <c r="I193" s="22" t="n">
        <f aca="false">100*(I59-I58)</f>
        <v>1.86647688264157</v>
      </c>
      <c r="J193" s="22" t="n">
        <f aca="false">100*(J59-J58)</f>
        <v>2.06327476003849</v>
      </c>
      <c r="K193" s="22" t="n">
        <f aca="false">100*(K59-K58)</f>
        <v>2.223907430457</v>
      </c>
      <c r="L193" s="22" t="n">
        <f aca="false">100*(L59-L58)</f>
        <v>2.35342767872018</v>
      </c>
      <c r="M193" s="22" t="n">
        <f aca="false">100*(M59-M58)</f>
        <v>2.45588670000001</v>
      </c>
      <c r="N193" s="22" t="n">
        <f aca="false">100*(N59-N58)</f>
        <v>2.53462483276969</v>
      </c>
      <c r="O193" s="22" t="n">
        <f aca="false">100*(O59-O58)</f>
        <v>2.35567306859141</v>
      </c>
      <c r="P193" s="22" t="n">
        <f aca="false">100*(P59-P58)</f>
        <v>2.30699301308961</v>
      </c>
      <c r="Q193" s="22" t="n">
        <f aca="false">100*(Q59-Q58)</f>
        <v>2.25932823007771</v>
      </c>
      <c r="R193" s="22" t="n">
        <f aca="false">100*(R59-R58)</f>
        <v>2.21322271461111</v>
      </c>
      <c r="S193" s="22" t="n">
        <f aca="false">100*(S59-S58)</f>
        <v>2.1690867396311</v>
      </c>
      <c r="T193" s="22" t="n">
        <f aca="false">100*(T59-T58)</f>
        <v>2.12721736751751</v>
      </c>
      <c r="U193" s="22" t="n">
        <f aca="false">100*(U59-U58)</f>
        <v>2.08781509351219</v>
      </c>
      <c r="V193" s="22" t="n">
        <f aca="false">100*(V59-V58)</f>
        <v>2.05100033203112</v>
      </c>
      <c r="W193" s="22" t="n">
        <f aca="false">100*(W59-W58)</f>
        <v>2.0168363605537</v>
      </c>
      <c r="X193" s="22" t="n">
        <f aca="false">100*(X59-X58)</f>
        <v>1.9853421372106</v>
      </c>
      <c r="Y193" s="22" t="n">
        <f aca="false">100*(Y59-Y58)</f>
        <v>1.95650031066341</v>
      </c>
      <c r="Z193" s="22" t="n">
        <f aca="false">100*(Z59-Z58)</f>
        <v>1.9302712999244</v>
      </c>
      <c r="AA193" s="22" t="n">
        <f aca="false">100*(AA59-AA58)</f>
        <v>1.90660020965392</v>
      </c>
      <c r="AB193" s="22" t="n">
        <f aca="false">100*(AB59-AB58)</f>
        <v>1.88541878699591</v>
      </c>
      <c r="AC193" s="22" t="n">
        <f aca="false">100*(AC59-AC58)</f>
        <v>1.86664701175909</v>
      </c>
      <c r="AD193" s="22" t="n">
        <f aca="false">100*(AD59-AD58)</f>
        <v>1.850194882252</v>
      </c>
      <c r="AE193" s="22" t="n">
        <f aca="false">100*(AE59-AE58)</f>
        <v>1.83596775144119</v>
      </c>
      <c r="AF193" s="22" t="n">
        <f aca="false">100*(AF59-AF58)</f>
        <v>1.82387155135388</v>
      </c>
      <c r="AG193" s="22" t="n">
        <f aca="false">100*(AG59-AG58)</f>
        <v>1.81381317277689</v>
      </c>
      <c r="AH193" s="22" t="n">
        <f aca="false">100*(AH59-AH58)</f>
        <v>1.8057004880577</v>
      </c>
      <c r="AI193" s="22" t="n">
        <f aca="false">100*(AI59-AI58)</f>
        <v>1.79944572191211</v>
      </c>
      <c r="AJ193" s="22" t="n">
        <f aca="false">100*(AJ59-AJ58)</f>
        <v>1.7949631423817</v>
      </c>
      <c r="AK193" s="22" t="n">
        <f aca="false">100*(AK59-AK58)</f>
        <v>1.7921680034199</v>
      </c>
      <c r="AL193" s="22" t="n">
        <f aca="false">100*(AL59-AL58)</f>
        <v>1.79097711884559</v>
      </c>
      <c r="AM193" s="22" t="n">
        <f aca="false">100*(AM59-AM58)</f>
        <v>1.79131055222672</v>
      </c>
      <c r="AN193" s="22" t="n">
        <f aca="false">100*(AN59-AN58)</f>
        <v>1.79308871349961</v>
      </c>
      <c r="AO193" s="22" t="n">
        <f aca="false">100*(AO59-AO58)</f>
        <v>1.79623145680559</v>
      </c>
      <c r="AP193" s="22" t="n">
        <f aca="false">100*(AP59-AP58)</f>
        <v>1.80065687752491</v>
      </c>
      <c r="AQ193" s="22" t="n">
        <f aca="false">100*(AQ59-AQ58)</f>
        <v>1.806279856496</v>
      </c>
      <c r="AR193" s="22" t="n">
        <f aca="false">100*(AR59-AR58)</f>
        <v>1.8130120615381</v>
      </c>
      <c r="AS193" s="22" t="n">
        <f aca="false">100*(AS59-AS58)</f>
        <v>1.82076257891941</v>
      </c>
      <c r="AT193" s="22" t="n">
        <f aca="false">100*(AT59-AT58)</f>
        <v>1.82943762312451</v>
      </c>
      <c r="AU193" s="22" t="n">
        <f aca="false">100*(AU59-AU58)</f>
        <v>1.8389373279271</v>
      </c>
      <c r="AV193" s="22" t="n">
        <f aca="false">AVERAGE(C193:AU193)</f>
        <v>1.81267013075742</v>
      </c>
    </row>
    <row r="194" customFormat="false" ht="15" hidden="false" customHeight="false" outlineLevel="0" collapsed="false">
      <c r="A194" s="20" t="n">
        <f aca="false">A60</f>
        <v>-65</v>
      </c>
      <c r="B194" s="21" t="n">
        <f aca="false">B60</f>
        <v>43080</v>
      </c>
      <c r="C194" s="22" t="n">
        <f aca="false">100*(C60-C59)</f>
        <v>-4.26836366617308</v>
      </c>
      <c r="D194" s="22" t="n">
        <f aca="false">100*(D60-D59)</f>
        <v>-4.66153400766484</v>
      </c>
      <c r="E194" s="22" t="n">
        <f aca="false">100*(E60-E59)</f>
        <v>-5.05372082222376</v>
      </c>
      <c r="F194" s="22" t="n">
        <f aca="false">100*(F60-F59)</f>
        <v>-5.42905791333204</v>
      </c>
      <c r="G194" s="22" t="n">
        <f aca="false">100*(G60-G59)</f>
        <v>-5.77784133248946</v>
      </c>
      <c r="H194" s="22" t="n">
        <f aca="false">100*(H60-H59)</f>
        <v>-6.09540612963854</v>
      </c>
      <c r="I194" s="22" t="n">
        <f aca="false">100*(I60-I59)</f>
        <v>-6.3799154623837</v>
      </c>
      <c r="J194" s="22" t="n">
        <f aca="false">100*(J60-J59)</f>
        <v>-6.63093606755335</v>
      </c>
      <c r="K194" s="22" t="n">
        <f aca="false">100*(K60-K59)</f>
        <v>-6.84860231772166</v>
      </c>
      <c r="L194" s="22" t="n">
        <f aca="false">100*(L60-L59)</f>
        <v>-7.03311828568067</v>
      </c>
      <c r="M194" s="22" t="n">
        <f aca="false">100*(M60-M59)</f>
        <v>-7.18489001150965</v>
      </c>
      <c r="N194" s="22" t="n">
        <f aca="false">100*(N60-N59)</f>
        <v>-7.30473413128761</v>
      </c>
      <c r="O194" s="22" t="n">
        <f aca="false">100*(O60-O59)</f>
        <v>-7.01595293555031</v>
      </c>
      <c r="P194" s="22" t="n">
        <f aca="false">100*(P60-P59)</f>
        <v>-6.9421465885483</v>
      </c>
      <c r="Q194" s="22" t="n">
        <f aca="false">100*(Q60-Q59)</f>
        <v>-6.87032314121221</v>
      </c>
      <c r="R194" s="22" t="n">
        <f aca="false">100*(R60-R59)</f>
        <v>-6.8012781220719</v>
      </c>
      <c r="S194" s="22" t="n">
        <f aca="false">100*(S60-S59)</f>
        <v>-6.7355992515864</v>
      </c>
      <c r="T194" s="22" t="n">
        <f aca="false">100*(T60-T59)</f>
        <v>-6.67369781827512</v>
      </c>
      <c r="U194" s="22" t="n">
        <f aca="false">100*(U60-U59)</f>
        <v>-6.61583463574349</v>
      </c>
      <c r="V194" s="22" t="n">
        <f aca="false">100*(V60-V59)</f>
        <v>-6.56214139370992</v>
      </c>
      <c r="W194" s="22" t="n">
        <f aca="false">100*(W60-W59)</f>
        <v>-6.51263701240481</v>
      </c>
      <c r="X194" s="22" t="n">
        <f aca="false">100*(X60-X59)</f>
        <v>-6.46724216364409</v>
      </c>
      <c r="Y194" s="22" t="n">
        <f aca="false">100*(Y60-Y59)</f>
        <v>-6.42580260199059</v>
      </c>
      <c r="Z194" s="22" t="n">
        <f aca="false">100*(Z60-Z59)</f>
        <v>-6.38812802559501</v>
      </c>
      <c r="AA194" s="22" t="n">
        <f aca="false">100*(AA60-AA59)</f>
        <v>-6.35400553658692</v>
      </c>
      <c r="AB194" s="22" t="n">
        <f aca="false">100*(AB60-AB59)</f>
        <v>-6.32320249708851</v>
      </c>
      <c r="AC194" s="22" t="n">
        <f aca="false">100*(AC60-AC59)</f>
        <v>-6.29546887921511</v>
      </c>
      <c r="AD194" s="22" t="n">
        <f aca="false">100*(AD60-AD59)</f>
        <v>-6.2705415603046</v>
      </c>
      <c r="AE194" s="22" t="n">
        <f aca="false">100*(AE60-AE59)</f>
        <v>-6.2481704151488</v>
      </c>
      <c r="AF194" s="22" t="n">
        <f aca="false">100*(AF60-AF59)</f>
        <v>-6.22813946069099</v>
      </c>
      <c r="AG194" s="22" t="n">
        <f aca="false">100*(AG60-AG59)</f>
        <v>-6.21026128420008</v>
      </c>
      <c r="AH194" s="22" t="n">
        <f aca="false">100*(AH60-AH59)</f>
        <v>-6.1943728539765</v>
      </c>
      <c r="AI194" s="22" t="n">
        <f aca="false">100*(AI60-AI59)</f>
        <v>-6.18033402958331</v>
      </c>
      <c r="AJ194" s="22" t="n">
        <f aca="false">100*(AJ60-AJ59)</f>
        <v>-6.16802806711241</v>
      </c>
      <c r="AK194" s="22" t="n">
        <f aca="false">100*(AK60-AK59)</f>
        <v>-6.15735975547211</v>
      </c>
      <c r="AL194" s="22" t="n">
        <f aca="false">100*(AL60-AL59)</f>
        <v>-6.14825262678611</v>
      </c>
      <c r="AM194" s="22" t="n">
        <f aca="false">100*(AM60-AM59)</f>
        <v>-6.14064155981642</v>
      </c>
      <c r="AN194" s="22" t="n">
        <f aca="false">100*(AN60-AN59)</f>
        <v>-6.13446744565391</v>
      </c>
      <c r="AO194" s="22" t="n">
        <f aca="false">100*(AO60-AO59)</f>
        <v>-6.12967351478271</v>
      </c>
      <c r="AP194" s="22" t="n">
        <f aca="false">100*(AP60-AP59)</f>
        <v>-6.1262004058545</v>
      </c>
      <c r="AQ194" s="22" t="n">
        <f aca="false">100*(AQ60-AQ59)</f>
        <v>-6.12398419001559</v>
      </c>
      <c r="AR194" s="22" t="n">
        <f aca="false">100*(AR60-AR59)</f>
        <v>-6.1229536192259</v>
      </c>
      <c r="AS194" s="22" t="n">
        <f aca="false">100*(AS60-AS59)</f>
        <v>-6.12303003976591</v>
      </c>
      <c r="AT194" s="22" t="n">
        <f aca="false">100*(AT60-AT59)</f>
        <v>-6.12412816543202</v>
      </c>
      <c r="AU194" s="22" t="n">
        <f aca="false">100*(AU60-AU59)</f>
        <v>-6.1261574586668</v>
      </c>
      <c r="AV194" s="22" t="n">
        <f aca="false">AVERAGE(C194:AU194)</f>
        <v>-6.28018393785266</v>
      </c>
    </row>
    <row r="195" customFormat="false" ht="15" hidden="false" customHeight="false" outlineLevel="0" collapsed="false">
      <c r="A195" s="20" t="n">
        <f aca="false">A61</f>
        <v>-64</v>
      </c>
      <c r="B195" s="21" t="n">
        <f aca="false">B61</f>
        <v>43081</v>
      </c>
      <c r="C195" s="22" t="n">
        <f aca="false">100*(C61-C60)</f>
        <v>0.944127042577103</v>
      </c>
      <c r="D195" s="22" t="n">
        <f aca="false">100*(D61-D60)</f>
        <v>1.15786666558379</v>
      </c>
      <c r="E195" s="22" t="n">
        <f aca="false">100*(E61-E60)</f>
        <v>1.35075235201674</v>
      </c>
      <c r="F195" s="22" t="n">
        <f aca="false">100*(F61-F60)</f>
        <v>1.53061304105899</v>
      </c>
      <c r="G195" s="22" t="n">
        <f aca="false">100*(G61-G60)</f>
        <v>1.69758910347465</v>
      </c>
      <c r="H195" s="22" t="n">
        <f aca="false">100*(H61-H60)</f>
        <v>1.85013207575152</v>
      </c>
      <c r="I195" s="22" t="n">
        <f aca="false">100*(I61-I60)</f>
        <v>1.98675071440916</v>
      </c>
      <c r="J195" s="22" t="n">
        <f aca="false">100*(J61-J60)</f>
        <v>2.10629290195387</v>
      </c>
      <c r="K195" s="22" t="n">
        <f aca="false">100*(K61-K60)</f>
        <v>2.20774816340867</v>
      </c>
      <c r="L195" s="22" t="n">
        <f aca="false">100*(L61-L60)</f>
        <v>2.29028376372359</v>
      </c>
      <c r="M195" s="22" t="n">
        <f aca="false">100*(M61-M60)</f>
        <v>2.35327127888149</v>
      </c>
      <c r="N195" s="22" t="n">
        <f aca="false">100*(N61-N60)</f>
        <v>2.39631972390659</v>
      </c>
      <c r="O195" s="22" t="n">
        <f aca="false">100*(O61-O60)</f>
        <v>1.62261165922701</v>
      </c>
      <c r="P195" s="22" t="n">
        <f aca="false">100*(P61-P60)</f>
        <v>1.5308255320313</v>
      </c>
      <c r="Q195" s="22" t="n">
        <f aca="false">100*(Q61-Q60)</f>
        <v>1.4442651926653</v>
      </c>
      <c r="R195" s="22" t="n">
        <f aca="false">100*(R61-R60)</f>
        <v>1.3638207202356</v>
      </c>
      <c r="S195" s="22" t="n">
        <f aca="false">100*(S61-S60)</f>
        <v>1.2901169452803</v>
      </c>
      <c r="T195" s="22" t="n">
        <f aca="false">100*(T61-T60)</f>
        <v>1.2235543984888</v>
      </c>
      <c r="U195" s="22" t="n">
        <f aca="false">100*(U61-U60)</f>
        <v>1.16434237909289</v>
      </c>
      <c r="V195" s="22" t="n">
        <f aca="false">100*(V61-V60)</f>
        <v>1.112533021891</v>
      </c>
      <c r="W195" s="22" t="n">
        <f aca="false">100*(W61-W60)</f>
        <v>1.0680636791577</v>
      </c>
      <c r="X195" s="22" t="n">
        <f aca="false">100*(X61-X60)</f>
        <v>1.0307792878278</v>
      </c>
      <c r="Y195" s="22" t="n">
        <f aca="false">100*(Y61-Y60)</f>
        <v>1.0004478684972</v>
      </c>
      <c r="Z195" s="22" t="n">
        <f aca="false">100*(Z61-Z60)</f>
        <v>0.976781058031206</v>
      </c>
      <c r="AA195" s="22" t="n">
        <f aca="false">100*(AA61-AA60)</f>
        <v>0.959444936198906</v>
      </c>
      <c r="AB195" s="22" t="n">
        <f aca="false">100*(AB61-AB60)</f>
        <v>0.94806563998</v>
      </c>
      <c r="AC195" s="22" t="n">
        <f aca="false">100*(AC61-AC60)</f>
        <v>0.942234118659102</v>
      </c>
      <c r="AD195" s="22" t="n">
        <f aca="false">100*(AD61-AD60)</f>
        <v>0.941510427654713</v>
      </c>
      <c r="AE195" s="22" t="n">
        <f aca="false">100*(AE61-AE60)</f>
        <v>0.945429605821402</v>
      </c>
      <c r="AF195" s="22" t="n">
        <f aca="false">100*(AF61-AF60)</f>
        <v>0.953508765195488</v>
      </c>
      <c r="AG195" s="22" t="n">
        <f aca="false">100*(AG61-AG60)</f>
        <v>0.965253985251979</v>
      </c>
      <c r="AH195" s="22" t="n">
        <f aca="false">100*(AH61-AH60)</f>
        <v>0.980164055753008</v>
      </c>
      <c r="AI195" s="22" t="n">
        <f aca="false">100*(AI61-AI60)</f>
        <v>0.997743434056497</v>
      </c>
      <c r="AJ195" s="22" t="n">
        <f aca="false">100*(AJ61-AJ60)</f>
        <v>1.0175118476716</v>
      </c>
      <c r="AK195" s="22" t="n">
        <f aca="false">100*(AK61-AK60)</f>
        <v>1.0390034623291</v>
      </c>
      <c r="AL195" s="22" t="n">
        <f aca="false">100*(AL61-AL60)</f>
        <v>1.06176674885241</v>
      </c>
      <c r="AM195" s="22" t="n">
        <f aca="false">100*(AM61-AM60)</f>
        <v>1.0853751189557</v>
      </c>
      <c r="AN195" s="22" t="n">
        <f aca="false">100*(AN61-AN60)</f>
        <v>1.10943509913621</v>
      </c>
      <c r="AO195" s="22" t="n">
        <f aca="false">100*(AO61-AO60)</f>
        <v>1.13358699475952</v>
      </c>
      <c r="AP195" s="22" t="n">
        <f aca="false">100*(AP61-AP60)</f>
        <v>1.1575066225106</v>
      </c>
      <c r="AQ195" s="22" t="n">
        <f aca="false">100*(AQ61-AQ60)</f>
        <v>1.18090692364139</v>
      </c>
      <c r="AR195" s="22" t="n">
        <f aca="false">100*(AR61-AR60)</f>
        <v>1.2035423342835</v>
      </c>
      <c r="AS195" s="22" t="n">
        <f aca="false">100*(AS61-AS60)</f>
        <v>1.2252067260579</v>
      </c>
      <c r="AT195" s="22" t="n">
        <f aca="false">100*(AT61-AT60)</f>
        <v>1.24573045688061</v>
      </c>
      <c r="AU195" s="22" t="n">
        <f aca="false">100*(AU61-AU60)</f>
        <v>1.26498235313031</v>
      </c>
      <c r="AV195" s="22" t="n">
        <f aca="false">AVERAGE(C195:AU195)</f>
        <v>1.31239551613227</v>
      </c>
    </row>
    <row r="196" customFormat="false" ht="15" hidden="false" customHeight="false" outlineLevel="0" collapsed="false">
      <c r="A196" s="20" t="n">
        <f aca="false">A62</f>
        <v>-63</v>
      </c>
      <c r="B196" s="21" t="n">
        <f aca="false">B62</f>
        <v>43082</v>
      </c>
      <c r="C196" s="22" t="n">
        <f aca="false">100*(C62-C61)</f>
        <v>1.48061385065152</v>
      </c>
      <c r="D196" s="22" t="n">
        <f aca="false">100*(D62-D61)</f>
        <v>1.50559476033525</v>
      </c>
      <c r="E196" s="22" t="n">
        <f aca="false">100*(E62-E61)</f>
        <v>1.42296868246568</v>
      </c>
      <c r="F196" s="22" t="n">
        <f aca="false">100*(F62-F61)</f>
        <v>1.28271600859163</v>
      </c>
      <c r="G196" s="22" t="n">
        <f aca="false">100*(G62-G61)</f>
        <v>1.10924347443744</v>
      </c>
      <c r="H196" s="22" t="n">
        <f aca="false">100*(H62-H61)</f>
        <v>0.916923471563957</v>
      </c>
      <c r="I196" s="22" t="n">
        <f aca="false">100*(I62-I61)</f>
        <v>0.715487045096142</v>
      </c>
      <c r="J196" s="22" t="n">
        <f aca="false">100*(J62-J61)</f>
        <v>0.512224189261679</v>
      </c>
      <c r="K196" s="22" t="n">
        <f aca="false">100*(K62-K61)</f>
        <v>0.312848794571474</v>
      </c>
      <c r="L196" s="22" t="n">
        <f aca="false">100*(L62-L61)</f>
        <v>0.121935332858436</v>
      </c>
      <c r="M196" s="22" t="n">
        <f aca="false">100*(M62-M61)</f>
        <v>-0.057059049854602</v>
      </c>
      <c r="N196" s="22" t="n">
        <f aca="false">100*(N62-N61)</f>
        <v>-0.221747766299685</v>
      </c>
      <c r="O196" s="22" t="n">
        <f aca="false">100*(O62-O61)</f>
        <v>-1.1764048787775</v>
      </c>
      <c r="P196" s="22" t="n">
        <f aca="false">100*(P62-P61)</f>
        <v>-1.1948948082344</v>
      </c>
      <c r="Q196" s="22" t="n">
        <f aca="false">100*(Q62-Q61)</f>
        <v>-1.20997665530429</v>
      </c>
      <c r="R196" s="22" t="n">
        <f aca="false">100*(R62-R61)</f>
        <v>-1.22216091091061</v>
      </c>
      <c r="S196" s="22" t="n">
        <f aca="false">100*(S62-S61)</f>
        <v>-1.23187957490931</v>
      </c>
      <c r="T196" s="22" t="n">
        <f aca="false">100*(T62-T61)</f>
        <v>-1.2394975609944</v>
      </c>
      <c r="U196" s="22" t="n">
        <f aca="false">100*(U62-U61)</f>
        <v>-1.2453226398903</v>
      </c>
      <c r="V196" s="22" t="n">
        <f aca="false">100*(V62-V61)</f>
        <v>-1.24961814664719</v>
      </c>
      <c r="W196" s="22" t="n">
        <f aca="false">100*(W62-W61)</f>
        <v>-1.25262119071281</v>
      </c>
      <c r="X196" s="22" t="n">
        <f aca="false">100*(X62-X61)</f>
        <v>-1.25454968027521</v>
      </c>
      <c r="Y196" s="22" t="n">
        <f aca="false">100*(Y62-Y61)</f>
        <v>-1.25560519719612</v>
      </c>
      <c r="Z196" s="22" t="n">
        <f aca="false">100*(Z62-Z61)</f>
        <v>-1.25597474983181</v>
      </c>
      <c r="AA196" s="22" t="n">
        <f aca="false">100*(AA62-AA61)</f>
        <v>-1.25583209907241</v>
      </c>
      <c r="AB196" s="22" t="n">
        <f aca="false">100*(AB62-AB61)</f>
        <v>-1.25533935644859</v>
      </c>
      <c r="AC196" s="22" t="n">
        <f aca="false">100*(AC62-AC61)</f>
        <v>-1.2546483709601</v>
      </c>
      <c r="AD196" s="22" t="n">
        <f aca="false">100*(AD62-AD61)</f>
        <v>-1.25390123874471</v>
      </c>
      <c r="AE196" s="22" t="n">
        <f aca="false">100*(AE62-AE61)</f>
        <v>-1.25322415011131</v>
      </c>
      <c r="AF196" s="22" t="n">
        <f aca="false">100*(AF62-AF61)</f>
        <v>-1.25272367519589</v>
      </c>
      <c r="AG196" s="22" t="n">
        <f aca="false">100*(AG62-AG61)</f>
        <v>-1.25249379517569</v>
      </c>
      <c r="AH196" s="22" t="n">
        <f aca="false">100*(AH62-AH61)</f>
        <v>-1.25261889751722</v>
      </c>
      <c r="AI196" s="22" t="n">
        <f aca="false">100*(AI62-AI61)</f>
        <v>-1.2531731208671</v>
      </c>
      <c r="AJ196" s="22" t="n">
        <f aca="false">100*(AJ62-AJ61)</f>
        <v>-1.2542216490983</v>
      </c>
      <c r="AK196" s="22" t="n">
        <f aca="false">100*(AK62-AK61)</f>
        <v>-1.25582185217961</v>
      </c>
      <c r="AL196" s="22" t="n">
        <f aca="false">100*(AL62-AL61)</f>
        <v>-1.2580234676097</v>
      </c>
      <c r="AM196" s="22" t="n">
        <f aca="false">100*(AM62-AM61)</f>
        <v>-1.2608652568199</v>
      </c>
      <c r="AN196" s="22" t="n">
        <f aca="false">100*(AN62-AN61)</f>
        <v>-1.26437359001481</v>
      </c>
      <c r="AO196" s="22" t="n">
        <f aca="false">100*(AO62-AO61)</f>
        <v>-1.26856137357521</v>
      </c>
      <c r="AP196" s="22" t="n">
        <f aca="false">100*(AP62-AP61)</f>
        <v>-1.27342595808229</v>
      </c>
      <c r="AQ196" s="22" t="n">
        <f aca="false">100*(AQ62-AQ61)</f>
        <v>-1.2789482687475</v>
      </c>
      <c r="AR196" s="22" t="n">
        <f aca="false">100*(AR62-AR61)</f>
        <v>-1.2850906890469</v>
      </c>
      <c r="AS196" s="22" t="n">
        <f aca="false">100*(AS62-AS61)</f>
        <v>-1.29179791507941</v>
      </c>
      <c r="AT196" s="22" t="n">
        <f aca="false">100*(AT62-AT61)</f>
        <v>-1.29899822966921</v>
      </c>
      <c r="AU196" s="22" t="n">
        <f aca="false">100*(AU62-AU61)</f>
        <v>-1.30660190842329</v>
      </c>
      <c r="AV196" s="22" t="n">
        <f aca="false">AVERAGE(C196:AU196)</f>
        <v>-0.717054268054315</v>
      </c>
    </row>
    <row r="197" customFormat="false" ht="15" hidden="false" customHeight="false" outlineLevel="0" collapsed="false">
      <c r="A197" s="20" t="n">
        <f aca="false">A63</f>
        <v>-62</v>
      </c>
      <c r="B197" s="21" t="n">
        <f aca="false">B63</f>
        <v>43083</v>
      </c>
      <c r="C197" s="22" t="n">
        <f aca="false">100*(C63-C62)</f>
        <v>-3.25914191043135</v>
      </c>
      <c r="D197" s="22" t="n">
        <f aca="false">100*(D63-D62)</f>
        <v>-3.15036955943809</v>
      </c>
      <c r="E197" s="22" t="n">
        <f aca="false">100*(E63-E62)</f>
        <v>-3.07234890644615</v>
      </c>
      <c r="F197" s="22" t="n">
        <f aca="false">100*(F63-F62)</f>
        <v>-3.02992551751773</v>
      </c>
      <c r="G197" s="22" t="n">
        <f aca="false">100*(G63-G62)</f>
        <v>-3.02264073691682</v>
      </c>
      <c r="H197" s="22" t="n">
        <f aca="false">100*(H63-H62)</f>
        <v>-3.0479013962363</v>
      </c>
      <c r="I197" s="22" t="n">
        <f aca="false">100*(I63-I62)</f>
        <v>-3.10162025376045</v>
      </c>
      <c r="J197" s="22" t="n">
        <f aca="false">100*(J63-J62)</f>
        <v>-3.17869248794079</v>
      </c>
      <c r="K197" s="22" t="n">
        <f aca="false">100*(K63-K62)</f>
        <v>-3.27386854435615</v>
      </c>
      <c r="L197" s="22" t="n">
        <f aca="false">100*(L63-L62)</f>
        <v>-3.38218095292274</v>
      </c>
      <c r="M197" s="22" t="n">
        <f aca="false">100*(M63-M62)</f>
        <v>-3.49935031288503</v>
      </c>
      <c r="N197" s="22" t="n">
        <f aca="false">100*(N63-N62)</f>
        <v>-3.62185791829415</v>
      </c>
      <c r="O197" s="22" t="n">
        <f aca="false">100*(O63-O62)</f>
        <v>-5.09212006201101</v>
      </c>
      <c r="P197" s="22" t="n">
        <f aca="false">100*(P63-P62)</f>
        <v>-5.17393605664009</v>
      </c>
      <c r="Q197" s="22" t="n">
        <f aca="false">100*(Q63-Q62)</f>
        <v>-5.24955564958221</v>
      </c>
      <c r="R197" s="22" t="n">
        <f aca="false">100*(R63-R62)</f>
        <v>-5.3190224067859</v>
      </c>
      <c r="S197" s="22" t="n">
        <f aca="false">100*(S63-S62)</f>
        <v>-5.38246505436169</v>
      </c>
      <c r="T197" s="22" t="n">
        <f aca="false">100*(T63-T62)</f>
        <v>-5.4400844104509</v>
      </c>
      <c r="U197" s="22" t="n">
        <f aca="false">100*(U63-U62)</f>
        <v>-5.49214270397769</v>
      </c>
      <c r="V197" s="22" t="n">
        <f aca="false">100*(V63-V62)</f>
        <v>-5.53894872028491</v>
      </c>
      <c r="W197" s="22" t="n">
        <f aca="false">100*(W63-W62)</f>
        <v>-5.5808332475811</v>
      </c>
      <c r="X197" s="22" t="n">
        <f aca="false">100*(X63-X62)</f>
        <v>-5.6181402364857</v>
      </c>
      <c r="Y197" s="22" t="n">
        <f aca="false">100*(Y63-Y62)</f>
        <v>-5.65122386435859</v>
      </c>
      <c r="Z197" s="22" t="n">
        <f aca="false">100*(Z63-Z62)</f>
        <v>-5.6804428444017</v>
      </c>
      <c r="AA197" s="22" t="n">
        <f aca="false">100*(AA63-AA62)</f>
        <v>-5.7061581371034</v>
      </c>
      <c r="AB197" s="22" t="n">
        <f aca="false">100*(AB63-AB62)</f>
        <v>-5.72873264559941</v>
      </c>
      <c r="AC197" s="22" t="n">
        <f aca="false">100*(AC63-AC62)</f>
        <v>-5.7485309844046</v>
      </c>
      <c r="AD197" s="22" t="n">
        <f aca="false">100*(AD63-AD62)</f>
        <v>-5.7659192641691</v>
      </c>
      <c r="AE197" s="22" t="n">
        <f aca="false">100*(AE63-AE62)</f>
        <v>-5.7812647273283</v>
      </c>
      <c r="AF197" s="22" t="n">
        <f aca="false">100*(AF63-AF62)</f>
        <v>-5.79493686081201</v>
      </c>
      <c r="AG197" s="22" t="n">
        <f aca="false">100*(AG63-AG62)</f>
        <v>-5.80731219779911</v>
      </c>
      <c r="AH197" s="22" t="n">
        <f aca="false">100*(AH63-AH62)</f>
        <v>-5.81877439762148</v>
      </c>
      <c r="AI197" s="22" t="n">
        <f aca="false">100*(AI63-AI62)</f>
        <v>-5.82970527464208</v>
      </c>
      <c r="AJ197" s="22" t="n">
        <f aca="false">100*(AJ63-AJ62)</f>
        <v>-5.8404789670093</v>
      </c>
      <c r="AK197" s="22" t="n">
        <f aca="false">100*(AK63-AK62)</f>
        <v>-5.8514624053418</v>
      </c>
      <c r="AL197" s="22" t="n">
        <f aca="false">100*(AL63-AL62)</f>
        <v>-5.8630145850449</v>
      </c>
      <c r="AM197" s="22" t="n">
        <f aca="false">100*(AM63-AM62)</f>
        <v>-5.87547438676059</v>
      </c>
      <c r="AN197" s="22" t="n">
        <f aca="false">100*(AN63-AN62)</f>
        <v>-5.88915153791789</v>
      </c>
      <c r="AO197" s="22" t="n">
        <f aca="false">100*(AO63-AO62)</f>
        <v>-5.9043272292016</v>
      </c>
      <c r="AP197" s="22" t="n">
        <f aca="false">100*(AP63-AP62)</f>
        <v>-5.9212544761676</v>
      </c>
      <c r="AQ197" s="22" t="n">
        <f aca="false">100*(AQ63-AQ62)</f>
        <v>-5.94014739926789</v>
      </c>
      <c r="AR197" s="22" t="n">
        <f aca="false">100*(AR63-AR62)</f>
        <v>-5.96116197449161</v>
      </c>
      <c r="AS197" s="22" t="n">
        <f aca="false">100*(AS63-AS62)</f>
        <v>-5.98439692493791</v>
      </c>
      <c r="AT197" s="22" t="n">
        <f aca="false">100*(AT63-AT62)</f>
        <v>-6.0098969889981</v>
      </c>
      <c r="AU197" s="22" t="n">
        <f aca="false">100*(AU63-AU62)</f>
        <v>-6.03764019707431</v>
      </c>
      <c r="AV197" s="22" t="n">
        <f aca="false">AVERAGE(C197:AU197)</f>
        <v>-5.04263456257245</v>
      </c>
    </row>
    <row r="198" customFormat="false" ht="15" hidden="false" customHeight="false" outlineLevel="0" collapsed="false">
      <c r="A198" s="20" t="n">
        <f aca="false">A64</f>
        <v>-61</v>
      </c>
      <c r="B198" s="21" t="n">
        <f aca="false">B64</f>
        <v>43084</v>
      </c>
      <c r="C198" s="22" t="n">
        <f aca="false">100*(C64-C63)</f>
        <v>0.367710460459053</v>
      </c>
      <c r="D198" s="22" t="n">
        <f aca="false">100*(D64-D63)</f>
        <v>0.34134525992825</v>
      </c>
      <c r="E198" s="22" t="n">
        <f aca="false">100*(E64-E63)</f>
        <v>0.253130233065235</v>
      </c>
      <c r="F198" s="22" t="n">
        <f aca="false">100*(F64-F63)</f>
        <v>0.126613984852231</v>
      </c>
      <c r="G198" s="22" t="n">
        <f aca="false">100*(G64-G63)</f>
        <v>-0.025468132114892</v>
      </c>
      <c r="H198" s="22" t="n">
        <f aca="false">100*(H64-H63)</f>
        <v>-0.194196548600545</v>
      </c>
      <c r="I198" s="22" t="n">
        <f aca="false">100*(I64-I63)</f>
        <v>-0.372301922186957</v>
      </c>
      <c r="J198" s="22" t="n">
        <f aca="false">100*(J64-J63)</f>
        <v>-0.55337546416776</v>
      </c>
      <c r="K198" s="22" t="n">
        <f aca="false">100*(K64-K63)</f>
        <v>-0.731801003197885</v>
      </c>
      <c r="L198" s="22" t="n">
        <f aca="false">100*(L64-L63)</f>
        <v>-0.902642162044742</v>
      </c>
      <c r="M198" s="22" t="n">
        <f aca="false">100*(M64-M63)</f>
        <v>-1.06173750589893</v>
      </c>
      <c r="N198" s="22" t="n">
        <f aca="false">100*(N64-N63)</f>
        <v>-1.2057703274318</v>
      </c>
      <c r="O198" s="22" t="n">
        <f aca="false">100*(O64-O63)</f>
        <v>-1.5237430928021</v>
      </c>
      <c r="P198" s="22" t="n">
        <f aca="false">100*(P64-P63)</f>
        <v>-1.48071692741969</v>
      </c>
      <c r="Q198" s="22" t="n">
        <f aca="false">100*(Q64-Q63)</f>
        <v>-1.43825845575489</v>
      </c>
      <c r="R198" s="22" t="n">
        <f aca="false">100*(R64-R63)</f>
        <v>-1.3976752520813</v>
      </c>
      <c r="S198" s="22" t="n">
        <f aca="false">100*(S64-S63)</f>
        <v>-1.35997385952811</v>
      </c>
      <c r="T198" s="22" t="n">
        <f aca="false">100*(T64-T63)</f>
        <v>-1.32590234902561</v>
      </c>
      <c r="U198" s="22" t="n">
        <f aca="false">100*(U64-U63)</f>
        <v>-1.2959882205493</v>
      </c>
      <c r="V198" s="22" t="n">
        <f aca="false">100*(V64-V63)</f>
        <v>-1.2705614145452</v>
      </c>
      <c r="W198" s="22" t="n">
        <f aca="false">100*(W64-W63)</f>
        <v>-1.24975643483118</v>
      </c>
      <c r="X198" s="22" t="n">
        <f aca="false">100*(X64-X63)</f>
        <v>-1.2335309308763</v>
      </c>
      <c r="Y198" s="22" t="n">
        <f aca="false">100*(Y64-Y63)</f>
        <v>-1.22170831478401</v>
      </c>
      <c r="Z198" s="22" t="n">
        <f aca="false">100*(Z64-Z63)</f>
        <v>-1.2140438518065</v>
      </c>
      <c r="AA198" s="22" t="n">
        <f aca="false">100*(AA64-AA63)</f>
        <v>-1.21024645446028</v>
      </c>
      <c r="AB198" s="22" t="n">
        <f aca="false">100*(AB64-AB63)</f>
        <v>-1.20998443905029</v>
      </c>
      <c r="AC198" s="22" t="n">
        <f aca="false">100*(AC64-AC63)</f>
        <v>-1.21289035855769</v>
      </c>
      <c r="AD198" s="22" t="n">
        <f aca="false">100*(AD64-AD63)</f>
        <v>-1.21856897746611</v>
      </c>
      <c r="AE198" s="22" t="n">
        <f aca="false">100*(AE64-AE63)</f>
        <v>-1.2266375325962</v>
      </c>
      <c r="AF198" s="22" t="n">
        <f aca="false">100*(AF64-AF63)</f>
        <v>-1.23675323036161</v>
      </c>
      <c r="AG198" s="22" t="n">
        <f aca="false">100*(AG64-AG63)</f>
        <v>-1.24860055704839</v>
      </c>
      <c r="AH198" s="22" t="n">
        <f aca="false">100*(AH64-AH63)</f>
        <v>-1.2618846179014</v>
      </c>
      <c r="AI198" s="22" t="n">
        <f aca="false">100*(AI64-AI63)</f>
        <v>-1.27632486987042</v>
      </c>
      <c r="AJ198" s="22" t="n">
        <f aca="false">100*(AJ64-AJ63)</f>
        <v>-1.2916556458584</v>
      </c>
      <c r="AK198" s="22" t="n">
        <f aca="false">100*(AK64-AK63)</f>
        <v>-1.30762550006369</v>
      </c>
      <c r="AL198" s="22" t="n">
        <f aca="false">100*(AL64-AL63)</f>
        <v>-1.32399446815941</v>
      </c>
      <c r="AM198" s="22" t="n">
        <f aca="false">100*(AM64-AM63)</f>
        <v>-1.3405266499656</v>
      </c>
      <c r="AN198" s="22" t="n">
        <f aca="false">100*(AN64-AN63)</f>
        <v>-1.35698921039951</v>
      </c>
      <c r="AO198" s="22" t="n">
        <f aca="false">100*(AO64-AO63)</f>
        <v>-1.37315196628449</v>
      </c>
      <c r="AP198" s="22" t="n">
        <f aca="false">100*(AP64-AP63)</f>
        <v>-1.3887877524956</v>
      </c>
      <c r="AQ198" s="22" t="n">
        <f aca="false">100*(AQ64-AQ63)</f>
        <v>-1.4036773345169</v>
      </c>
      <c r="AR198" s="22" t="n">
        <f aca="false">100*(AR64-AR63)</f>
        <v>-1.41761611384579</v>
      </c>
      <c r="AS198" s="22" t="n">
        <f aca="false">100*(AS64-AS63)</f>
        <v>-1.43041402192459</v>
      </c>
      <c r="AT198" s="22" t="n">
        <f aca="false">100*(AT64-AT63)</f>
        <v>-1.441895108824</v>
      </c>
      <c r="AU198" s="22" t="n">
        <f aca="false">100*(AU64-AU63)</f>
        <v>-1.4519036151724</v>
      </c>
      <c r="AV198" s="22" t="n">
        <f aca="false">AVERAGE(C198:AU198)</f>
        <v>-1.0577884590259</v>
      </c>
    </row>
    <row r="199" customFormat="false" ht="15" hidden="false" customHeight="false" outlineLevel="0" collapsed="false">
      <c r="A199" s="20" t="n">
        <f aca="false">A65</f>
        <v>-60</v>
      </c>
      <c r="B199" s="21" t="n">
        <f aca="false">B65</f>
        <v>43087</v>
      </c>
      <c r="C199" s="22" t="n">
        <f aca="false">100*(C65-C64)</f>
        <v>-0.711115517903943</v>
      </c>
      <c r="D199" s="22" t="n">
        <f aca="false">100*(D65-D64)</f>
        <v>-0.612142504851443</v>
      </c>
      <c r="E199" s="22" t="n">
        <f aca="false">100*(E65-E64)</f>
        <v>-0.530995236681542</v>
      </c>
      <c r="F199" s="22" t="n">
        <f aca="false">100*(F65-F64)</f>
        <v>-0.47987508803512</v>
      </c>
      <c r="G199" s="22" t="n">
        <f aca="false">100*(G65-G64)</f>
        <v>-0.461348983700693</v>
      </c>
      <c r="H199" s="22" t="n">
        <f aca="false">100*(H65-H64)</f>
        <v>-0.471904161355441</v>
      </c>
      <c r="I199" s="22" t="n">
        <f aca="false">100*(I65-I64)</f>
        <v>-0.505716570265302</v>
      </c>
      <c r="J199" s="22" t="n">
        <f aca="false">100*(J65-J64)</f>
        <v>-0.55639949019598</v>
      </c>
      <c r="K199" s="22" t="n">
        <f aca="false">100*(K65-K64)</f>
        <v>-0.617720515649345</v>
      </c>
      <c r="L199" s="22" t="n">
        <f aca="false">100*(L65-L64)</f>
        <v>-0.683930844415726</v>
      </c>
      <c r="M199" s="22" t="n">
        <f aca="false">100*(M65-M64)</f>
        <v>-0.750266067691974</v>
      </c>
      <c r="N199" s="22" t="n">
        <f aca="false">100*(N65-N64)</f>
        <v>-0.813004319712873</v>
      </c>
      <c r="O199" s="22" t="n">
        <f aca="false">100*(O65-O64)</f>
        <v>-0.998370161672302</v>
      </c>
      <c r="P199" s="22" t="n">
        <f aca="false">100*(P65-P64)</f>
        <v>-0.98683664669581</v>
      </c>
      <c r="Q199" s="22" t="n">
        <f aca="false">100*(Q65-Q64)</f>
        <v>-0.975510429732296</v>
      </c>
      <c r="R199" s="22" t="n">
        <f aca="false">100*(R65-R64)</f>
        <v>-0.964695393064097</v>
      </c>
      <c r="S199" s="22" t="n">
        <f aca="false">100*(S65-S64)</f>
        <v>-0.954587610105095</v>
      </c>
      <c r="T199" s="22" t="n">
        <f aca="false">100*(T65-T64)</f>
        <v>-0.945292237165396</v>
      </c>
      <c r="U199" s="22" t="n">
        <f aca="false">100*(U65-U64)</f>
        <v>-0.936836954500198</v>
      </c>
      <c r="V199" s="22" t="n">
        <f aca="false">100*(V65-V64)</f>
        <v>-0.929186793763992</v>
      </c>
      <c r="W199" s="22" t="n">
        <f aca="false">100*(W65-W64)</f>
        <v>-0.922262395014806</v>
      </c>
      <c r="X199" s="22" t="n">
        <f aca="false">100*(X65-X64)</f>
        <v>-0.915948838607994</v>
      </c>
      <c r="Y199" s="22" t="n">
        <f aca="false">100*(Y65-Y64)</f>
        <v>-0.910110137462095</v>
      </c>
      <c r="Z199" s="22" t="n">
        <f aca="false">100*(Z65-Z64)</f>
        <v>-0.904616183704299</v>
      </c>
      <c r="AA199" s="22" t="n">
        <f aca="false">100*(AA65-AA64)</f>
        <v>-0.899348507445397</v>
      </c>
      <c r="AB199" s="22" t="n">
        <f aca="false">100*(AB65-AB64)</f>
        <v>-0.894198906655896</v>
      </c>
      <c r="AC199" s="22" t="n">
        <f aca="false">100*(AC65-AC64)</f>
        <v>-0.889068224808298</v>
      </c>
      <c r="AD199" s="22" t="n">
        <f aca="false">100*(AD65-AD64)</f>
        <v>-0.883867166345498</v>
      </c>
      <c r="AE199" s="22" t="n">
        <f aca="false">100*(AE65-AE64)</f>
        <v>-0.878532485535688</v>
      </c>
      <c r="AF199" s="22" t="n">
        <f aca="false">100*(AF65-AF64)</f>
        <v>-0.873036795450988</v>
      </c>
      <c r="AG199" s="22" t="n">
        <f aca="false">100*(AG65-AG64)</f>
        <v>-0.86738003777751</v>
      </c>
      <c r="AH199" s="22" t="n">
        <f aca="false">100*(AH65-AH64)</f>
        <v>-0.861584082898603</v>
      </c>
      <c r="AI199" s="22" t="n">
        <f aca="false">100*(AI65-AI64)</f>
        <v>-0.855682690329696</v>
      </c>
      <c r="AJ199" s="22" t="n">
        <f aca="false">100*(AJ65-AJ64)</f>
        <v>-0.849715158213105</v>
      </c>
      <c r="AK199" s="22" t="n">
        <f aca="false">100*(AK65-AK64)</f>
        <v>-0.843725568861298</v>
      </c>
      <c r="AL199" s="22" t="n">
        <f aca="false">100*(AL65-AL64)</f>
        <v>-0.837761216716793</v>
      </c>
      <c r="AM199" s="22" t="n">
        <f aca="false">100*(AM65-AM64)</f>
        <v>-0.831863864230398</v>
      </c>
      <c r="AN199" s="22" t="n">
        <f aca="false">100*(AN65-AN64)</f>
        <v>-0.826064237633806</v>
      </c>
      <c r="AO199" s="22" t="n">
        <f aca="false">100*(AO65-AO64)</f>
        <v>-0.820382102926298</v>
      </c>
      <c r="AP199" s="22" t="n">
        <f aca="false">100*(AP65-AP64)</f>
        <v>-0.814826838912608</v>
      </c>
      <c r="AQ199" s="22" t="n">
        <f aca="false">100*(AQ65-AQ64)</f>
        <v>-0.809400645344804</v>
      </c>
      <c r="AR199" s="22" t="n">
        <f aca="false">100*(AR65-AR64)</f>
        <v>-0.804102597229095</v>
      </c>
      <c r="AS199" s="22" t="n">
        <f aca="false">100*(AS65-AS64)</f>
        <v>-0.798929437437712</v>
      </c>
      <c r="AT199" s="22" t="n">
        <f aca="false">100*(AT65-AT64)</f>
        <v>-0.793876202091104</v>
      </c>
      <c r="AU199" s="22" t="n">
        <f aca="false">100*(AU65-AU64)</f>
        <v>-0.788940092393586</v>
      </c>
      <c r="AV199" s="22" t="n">
        <f aca="false">AVERAGE(C199:AU199)</f>
        <v>-0.805799109804132</v>
      </c>
    </row>
    <row r="200" customFormat="false" ht="15" hidden="false" customHeight="false" outlineLevel="0" collapsed="false">
      <c r="A200" s="20" t="n">
        <f aca="false">A66</f>
        <v>-59</v>
      </c>
      <c r="B200" s="21" t="n">
        <f aca="false">B66</f>
        <v>43088</v>
      </c>
      <c r="C200" s="22" t="n">
        <f aca="false">100*(C66-C65)</f>
        <v>2.06563210951865</v>
      </c>
      <c r="D200" s="22" t="n">
        <f aca="false">100*(D66-D65)</f>
        <v>2.3949925480525</v>
      </c>
      <c r="E200" s="22" t="n">
        <f aca="false">100*(E66-E65)</f>
        <v>2.74140940504817</v>
      </c>
      <c r="F200" s="22" t="n">
        <f aca="false">100*(F66-F65)</f>
        <v>3.08520135239412</v>
      </c>
      <c r="G200" s="22" t="n">
        <f aca="false">100*(G66-G65)</f>
        <v>3.41760513740497</v>
      </c>
      <c r="H200" s="22" t="n">
        <f aca="false">100*(H66-H65)</f>
        <v>3.73526333026256</v>
      </c>
      <c r="I200" s="22" t="n">
        <f aca="false">100*(I66-I65)</f>
        <v>4.03706726332346</v>
      </c>
      <c r="J200" s="22" t="n">
        <f aca="false">100*(J66-J65)</f>
        <v>4.32265186211198</v>
      </c>
      <c r="K200" s="22" t="n">
        <f aca="false">100*(K66-K65)</f>
        <v>4.59176479800425</v>
      </c>
      <c r="L200" s="22" t="n">
        <f aca="false">100*(L66-L65)</f>
        <v>4.84406046029058</v>
      </c>
      <c r="M200" s="22" t="n">
        <f aca="false">100*(M66-M65)</f>
        <v>5.07924730764756</v>
      </c>
      <c r="N200" s="22" t="n">
        <f aca="false">100*(N66-N65)</f>
        <v>5.29721278816481</v>
      </c>
      <c r="O200" s="22" t="n">
        <f aca="false">100*(O66-O65)</f>
        <v>6.8880987099565</v>
      </c>
      <c r="P200" s="22" t="n">
        <f aca="false">100*(P66-P65)</f>
        <v>6.94477178478701</v>
      </c>
      <c r="Q200" s="22" t="n">
        <f aca="false">100*(Q66-Q65)</f>
        <v>6.9956304894341</v>
      </c>
      <c r="R200" s="22" t="n">
        <f aca="false">100*(R66-R65)</f>
        <v>7.04122797498961</v>
      </c>
      <c r="S200" s="22" t="n">
        <f aca="false">100*(S66-S65)</f>
        <v>7.0820765969309</v>
      </c>
      <c r="T200" s="22" t="n">
        <f aca="false">100*(T66-T65)</f>
        <v>7.118653329123</v>
      </c>
      <c r="U200" s="22" t="n">
        <f aca="false">100*(U66-U65)</f>
        <v>7.15140481876719</v>
      </c>
      <c r="V200" s="22" t="n">
        <f aca="false">100*(V66-V65)</f>
        <v>7.1807437653868</v>
      </c>
      <c r="W200" s="22" t="n">
        <f aca="false">100*(W66-W65)</f>
        <v>7.20703327090531</v>
      </c>
      <c r="X200" s="22" t="n">
        <f aca="false">100*(X66-X65)</f>
        <v>7.2305879240367</v>
      </c>
      <c r="Y200" s="22" t="n">
        <f aca="false">100*(Y66-Y65)</f>
        <v>7.25168513741081</v>
      </c>
      <c r="Z200" s="22" t="n">
        <f aca="false">100*(Z66-Z65)</f>
        <v>7.2705851192109</v>
      </c>
      <c r="AA200" s="22" t="n">
        <f aca="false">100*(AA66-AA65)</f>
        <v>7.28753799551658</v>
      </c>
      <c r="AB200" s="22" t="n">
        <f aca="false">100*(AB66-AB65)</f>
        <v>7.3027851030995</v>
      </c>
      <c r="AC200" s="22" t="n">
        <f aca="false">100*(AC66-AC65)</f>
        <v>7.31656003576668</v>
      </c>
      <c r="AD200" s="22" t="n">
        <f aca="false">100*(AD66-AD65)</f>
        <v>7.32909103698751</v>
      </c>
      <c r="AE200" s="22" t="n">
        <f aca="false">100*(AE66-AE65)</f>
        <v>7.34061659175749</v>
      </c>
      <c r="AF200" s="22" t="n">
        <f aca="false">100*(AF66-AF65)</f>
        <v>7.35139513755099</v>
      </c>
      <c r="AG200" s="22" t="n">
        <f aca="false">100*(AG66-AG65)</f>
        <v>7.3616946765624</v>
      </c>
      <c r="AH200" s="22" t="n">
        <f aca="false">100*(AH66-AH65)</f>
        <v>7.37178821353059</v>
      </c>
      <c r="AI200" s="22" t="n">
        <f aca="false">100*(AI66-AI65)</f>
        <v>7.38194568225321</v>
      </c>
      <c r="AJ200" s="22" t="n">
        <f aca="false">100*(AJ66-AJ65)</f>
        <v>7.39242550090091</v>
      </c>
      <c r="AK200" s="22" t="n">
        <f aca="false">100*(AK66-AK65)</f>
        <v>7.4034748076649</v>
      </c>
      <c r="AL200" s="22" t="n">
        <f aca="false">100*(AL66-AL65)</f>
        <v>7.41532958731179</v>
      </c>
      <c r="AM200" s="22" t="n">
        <f aca="false">100*(AM66-AM65)</f>
        <v>7.42820345002089</v>
      </c>
      <c r="AN200" s="22" t="n">
        <f aca="false">100*(AN66-AN65)</f>
        <v>7.44227640488331</v>
      </c>
      <c r="AO200" s="22" t="n">
        <f aca="false">100*(AO66-AO65)</f>
        <v>7.45769159571008</v>
      </c>
      <c r="AP200" s="22" t="n">
        <f aca="false">100*(AP66-AP65)</f>
        <v>7.47454987163869</v>
      </c>
      <c r="AQ200" s="22" t="n">
        <f aca="false">100*(AQ66-AQ65)</f>
        <v>7.49290622938259</v>
      </c>
      <c r="AR200" s="22" t="n">
        <f aca="false">100*(AR66-AR65)</f>
        <v>7.51276472079949</v>
      </c>
      <c r="AS200" s="22" t="n">
        <f aca="false">100*(AS66-AS65)</f>
        <v>7.53408139498031</v>
      </c>
      <c r="AT200" s="22" t="n">
        <f aca="false">100*(AT66-AT65)</f>
        <v>7.55676752442711</v>
      </c>
      <c r="AU200" s="22" t="n">
        <f aca="false">100*(AU66-AU65)</f>
        <v>7.58068600726289</v>
      </c>
      <c r="AV200" s="22" t="n">
        <f aca="false">AVERAGE(C200:AU200)</f>
        <v>6.37131508558156</v>
      </c>
    </row>
    <row r="201" customFormat="false" ht="15" hidden="false" customHeight="false" outlineLevel="0" collapsed="false">
      <c r="A201" s="20" t="n">
        <f aca="false">A67</f>
        <v>-58</v>
      </c>
      <c r="B201" s="21" t="n">
        <f aca="false">B67</f>
        <v>43089</v>
      </c>
      <c r="C201" s="22" t="n">
        <f aca="false">100*(C67-C66)</f>
        <v>2.14834229868445</v>
      </c>
      <c r="D201" s="22" t="n">
        <f aca="false">100*(D67-D66)</f>
        <v>2.31111911153807</v>
      </c>
      <c r="E201" s="22" t="n">
        <f aca="false">100*(E67-E66)</f>
        <v>2.50224061749662</v>
      </c>
      <c r="F201" s="22" t="n">
        <f aca="false">100*(F67-F66)</f>
        <v>2.7270259059474</v>
      </c>
      <c r="G201" s="22" t="n">
        <f aca="false">100*(G67-G66)</f>
        <v>2.98016477527076</v>
      </c>
      <c r="H201" s="22" t="n">
        <f aca="false">100*(H67-H66)</f>
        <v>3.25385617843341</v>
      </c>
      <c r="I201" s="22" t="n">
        <f aca="false">100*(I67-I66)</f>
        <v>3.539612297192</v>
      </c>
      <c r="J201" s="22" t="n">
        <f aca="false">100*(J67-J66)</f>
        <v>3.82873197556149</v>
      </c>
      <c r="K201" s="22" t="n">
        <f aca="false">100*(K67-K66)</f>
        <v>4.11272760887702</v>
      </c>
      <c r="L201" s="22" t="n">
        <f aca="false">100*(L67-L66)</f>
        <v>4.38356200708288</v>
      </c>
      <c r="M201" s="22" t="n">
        <f aca="false">100*(M67-M66)</f>
        <v>4.63437237676503</v>
      </c>
      <c r="N201" s="22" t="n">
        <f aca="false">100*(N67-N66)</f>
        <v>4.8596609252862</v>
      </c>
      <c r="O201" s="22" t="n">
        <f aca="false">100*(O67-O66)</f>
        <v>5.4721641201952</v>
      </c>
      <c r="P201" s="22" t="n">
        <f aca="false">100*(P67-P66)</f>
        <v>5.43339346399701</v>
      </c>
      <c r="Q201" s="22" t="n">
        <f aca="false">100*(Q67-Q66)</f>
        <v>5.39602296963639</v>
      </c>
      <c r="R201" s="22" t="n">
        <f aca="false">100*(R67-R66)</f>
        <v>5.36140227974569</v>
      </c>
      <c r="S201" s="22" t="n">
        <f aca="false">100*(S67-S66)</f>
        <v>5.33052391164131</v>
      </c>
      <c r="T201" s="22" t="n">
        <f aca="false">100*(T67-T66)</f>
        <v>5.3040764422486</v>
      </c>
      <c r="U201" s="22" t="n">
        <f aca="false">100*(U67-U66)</f>
        <v>5.28248926748192</v>
      </c>
      <c r="V201" s="22" t="n">
        <f aca="false">100*(V67-V66)</f>
        <v>5.265973791275</v>
      </c>
      <c r="W201" s="22" t="n">
        <f aca="false">100*(W67-W66)</f>
        <v>5.25456538288049</v>
      </c>
      <c r="X201" s="22" t="n">
        <f aca="false">100*(X67-X66)</f>
        <v>5.2481510226589</v>
      </c>
      <c r="Y201" s="22" t="n">
        <f aca="false">100*(Y67-Y66)</f>
        <v>5.24650642175109</v>
      </c>
      <c r="Z201" s="22" t="n">
        <f aca="false">100*(Z67-Z66)</f>
        <v>5.24935767179049</v>
      </c>
      <c r="AA201" s="22" t="n">
        <f aca="false">100*(AA67-AA66)</f>
        <v>5.25640139208592</v>
      </c>
      <c r="AB201" s="22" t="n">
        <f aca="false">100*(AB67-AB66)</f>
        <v>5.26730846528201</v>
      </c>
      <c r="AC201" s="22" t="n">
        <f aca="false">100*(AC67-AC66)</f>
        <v>5.28172710125621</v>
      </c>
      <c r="AD201" s="22" t="n">
        <f aca="false">100*(AD67-AD66)</f>
        <v>5.29928881337729</v>
      </c>
      <c r="AE201" s="22" t="n">
        <f aca="false">100*(AE67-AE66)</f>
        <v>5.3196420976712</v>
      </c>
      <c r="AF201" s="22" t="n">
        <f aca="false">100*(AF67-AF66)</f>
        <v>5.34247649269271</v>
      </c>
      <c r="AG201" s="22" t="n">
        <f aca="false">100*(AG67-AG66)</f>
        <v>5.36751299904841</v>
      </c>
      <c r="AH201" s="22" t="n">
        <f aca="false">100*(AH67-AH66)</f>
        <v>5.3944993892963</v>
      </c>
      <c r="AI201" s="22" t="n">
        <f aca="false">100*(AI67-AI66)</f>
        <v>5.42321470998979</v>
      </c>
      <c r="AJ201" s="22" t="n">
        <f aca="false">100*(AJ67-AJ66)</f>
        <v>5.453470723413</v>
      </c>
      <c r="AK201" s="22" t="n">
        <f aca="false">100*(AK67-AK66)</f>
        <v>5.4851087937847</v>
      </c>
      <c r="AL201" s="22" t="n">
        <f aca="false">100*(AL67-AL66)</f>
        <v>5.51799705761091</v>
      </c>
      <c r="AM201" s="22" t="n">
        <f aca="false">100*(AM67-AM66)</f>
        <v>5.55202606489591</v>
      </c>
      <c r="AN201" s="22" t="n">
        <f aca="false">100*(AN67-AN66)</f>
        <v>5.58710316793449</v>
      </c>
      <c r="AO201" s="22" t="n">
        <f aca="false">100*(AO67-AO66)</f>
        <v>5.62314701192781</v>
      </c>
      <c r="AP201" s="22" t="n">
        <f aca="false">100*(AP67-AP66)</f>
        <v>5.66008036801282</v>
      </c>
      <c r="AQ201" s="22" t="n">
        <f aca="false">100*(AQ67-AQ66)</f>
        <v>5.69782225421771</v>
      </c>
      <c r="AR201" s="22" t="n">
        <f aca="false">100*(AR67-AR66)</f>
        <v>5.736278354402</v>
      </c>
      <c r="AS201" s="22" t="n">
        <f aca="false">100*(AS67-AS66)</f>
        <v>5.77534063006591</v>
      </c>
      <c r="AT201" s="22" t="n">
        <f aca="false">100*(AT67-AT66)</f>
        <v>5.8148876823275</v>
      </c>
      <c r="AU201" s="22" t="n">
        <f aca="false">100*(AU67-AU66)</f>
        <v>5.8547789124904</v>
      </c>
      <c r="AV201" s="22" t="n">
        <f aca="false">AVERAGE(C201:AU201)</f>
        <v>4.90747011789379</v>
      </c>
    </row>
    <row r="202" customFormat="false" ht="15" hidden="false" customHeight="false" outlineLevel="0" collapsed="false">
      <c r="A202" s="20" t="n">
        <f aca="false">A68</f>
        <v>-57</v>
      </c>
      <c r="B202" s="21" t="n">
        <f aca="false">B68</f>
        <v>43090</v>
      </c>
      <c r="C202" s="22" t="n">
        <f aca="false">100*(C68-C67)</f>
        <v>-1.16575088275816</v>
      </c>
      <c r="D202" s="22" t="n">
        <f aca="false">100*(D68-D67)</f>
        <v>-0.971628398331403</v>
      </c>
      <c r="E202" s="22" t="n">
        <f aca="false">100*(E68-E67)</f>
        <v>-0.801590202892555</v>
      </c>
      <c r="F202" s="22" t="n">
        <f aca="false">100*(F68-F67)</f>
        <v>-0.648773185785978</v>
      </c>
      <c r="G202" s="22" t="n">
        <f aca="false">100*(G68-G67)</f>
        <v>-0.511084745086177</v>
      </c>
      <c r="H202" s="22" t="n">
        <f aca="false">100*(H68-H67)</f>
        <v>-0.388664242862691</v>
      </c>
      <c r="I202" s="22" t="n">
        <f aca="false">100*(I68-I67)</f>
        <v>-0.281746646479042</v>
      </c>
      <c r="J202" s="22" t="n">
        <f aca="false">100*(J68-J67)</f>
        <v>-0.189950403261985</v>
      </c>
      <c r="K202" s="22" t="n">
        <f aca="false">100*(K68-K67)</f>
        <v>-0.112424093570129</v>
      </c>
      <c r="L202" s="22" t="n">
        <f aca="false">100*(L68-L67)</f>
        <v>-0.048148597490405</v>
      </c>
      <c r="M202" s="22" t="n">
        <f aca="false">100*(M68-M67)</f>
        <v>0.00408540253400425</v>
      </c>
      <c r="N202" s="22" t="n">
        <f aca="false">100*(N68-N67)</f>
        <v>0.0456806382785002</v>
      </c>
      <c r="O202" s="22" t="n">
        <f aca="false">100*(O68-O67)</f>
        <v>0.200369471096695</v>
      </c>
      <c r="P202" s="22" t="n">
        <f aca="false">100*(P68-P67)</f>
        <v>0.206020496448689</v>
      </c>
      <c r="Q202" s="22" t="n">
        <f aca="false">100*(Q68-Q67)</f>
        <v>0.211840894751791</v>
      </c>
      <c r="R202" s="22" t="n">
        <f aca="false">100*(R68-R67)</f>
        <v>0.217850808074704</v>
      </c>
      <c r="S202" s="22" t="n">
        <f aca="false">100*(S68-S67)</f>
        <v>0.224045766614389</v>
      </c>
      <c r="T202" s="22" t="n">
        <f aca="false">100*(T68-T67)</f>
        <v>0.230399962648109</v>
      </c>
      <c r="U202" s="22" t="n">
        <f aca="false">100*(U68-U67)</f>
        <v>0.236869342997692</v>
      </c>
      <c r="V202" s="22" t="n">
        <f aca="false">100*(V68-V67)</f>
        <v>0.243392353121008</v>
      </c>
      <c r="W202" s="22" t="n">
        <f aca="false">100*(W68-W67)</f>
        <v>0.249888280990507</v>
      </c>
      <c r="X202" s="22" t="n">
        <f aca="false">100*(X68-X67)</f>
        <v>0.256258932137698</v>
      </c>
      <c r="Y202" s="22" t="n">
        <f aca="false">100*(Y68-Y67)</f>
        <v>0.262393353416712</v>
      </c>
      <c r="Z202" s="22" t="n">
        <f aca="false">100*(Z68-Z67)</f>
        <v>0.268176972127709</v>
      </c>
      <c r="AA202" s="22" t="n">
        <f aca="false">100*(AA68-AA67)</f>
        <v>0.2734945200769</v>
      </c>
      <c r="AB202" s="22" t="n">
        <f aca="false">100*(AB68-AB67)</f>
        <v>0.278230149643988</v>
      </c>
      <c r="AC202" s="22" t="n">
        <f aca="false">100*(AC68-AC67)</f>
        <v>0.2822675027635</v>
      </c>
      <c r="AD202" s="22" t="n">
        <f aca="false">100*(AD68-AD67)</f>
        <v>0.285490360086693</v>
      </c>
      <c r="AE202" s="22" t="n">
        <f aca="false">100*(AE68-AE67)</f>
        <v>0.287788215393903</v>
      </c>
      <c r="AF202" s="22" t="n">
        <f aca="false">100*(AF68-AF67)</f>
        <v>0.289060864133095</v>
      </c>
      <c r="AG202" s="22" t="n">
        <f aca="false">100*(AG68-AG67)</f>
        <v>0.28921758926479</v>
      </c>
      <c r="AH202" s="22" t="n">
        <f aca="false">100*(AH68-AH67)</f>
        <v>0.288176533085904</v>
      </c>
      <c r="AI202" s="22" t="n">
        <f aca="false">100*(AI68-AI67)</f>
        <v>0.285867010540697</v>
      </c>
      <c r="AJ202" s="22" t="n">
        <f aca="false">100*(AJ68-AJ67)</f>
        <v>0.282229283928492</v>
      </c>
      <c r="AK202" s="22" t="n">
        <f aca="false">100*(AK68-AK67)</f>
        <v>0.277213330347603</v>
      </c>
      <c r="AL202" s="22" t="n">
        <f aca="false">100*(AL68-AL67)</f>
        <v>0.270778410442007</v>
      </c>
      <c r="AM202" s="22" t="n">
        <f aca="false">100*(AM68-AM67)</f>
        <v>0.262894682622905</v>
      </c>
      <c r="AN202" s="22" t="n">
        <f aca="false">100*(AN68-AN67)</f>
        <v>0.253542804652307</v>
      </c>
      <c r="AO202" s="22" t="n">
        <f aca="false">100*(AO68-AO67)</f>
        <v>0.242714375495989</v>
      </c>
      <c r="AP202" s="22" t="n">
        <f aca="false">100*(AP68-AP67)</f>
        <v>0.230413077590486</v>
      </c>
      <c r="AQ202" s="22" t="n">
        <f aca="false">100*(AQ68-AQ67)</f>
        <v>0.216656577312602</v>
      </c>
      <c r="AR202" s="22" t="n">
        <f aca="false">100*(AR68-AR67)</f>
        <v>0.201480095859385</v>
      </c>
      <c r="AS202" s="22" t="n">
        <f aca="false">100*(AS68-AS67)</f>
        <v>0.184935770258399</v>
      </c>
      <c r="AT202" s="22" t="n">
        <f aca="false">100*(AT68-AT67)</f>
        <v>0.167091346180692</v>
      </c>
      <c r="AU202" s="22" t="n">
        <f aca="false">100*(AU68-AU67)</f>
        <v>0.148030834177892</v>
      </c>
      <c r="AV202" s="22" t="n">
        <f aca="false">AVERAGE(C202:AU202)</f>
        <v>0.0674463246795092</v>
      </c>
    </row>
    <row r="203" customFormat="false" ht="15" hidden="false" customHeight="false" outlineLevel="0" collapsed="false">
      <c r="A203" s="20" t="n">
        <f aca="false">A69</f>
        <v>-56</v>
      </c>
      <c r="B203" s="21" t="n">
        <f aca="false">B69</f>
        <v>43091</v>
      </c>
      <c r="C203" s="22" t="n">
        <f aca="false">100*(C69-C68)</f>
        <v>-1.87721853965823</v>
      </c>
      <c r="D203" s="22" t="n">
        <f aca="false">100*(D69-D68)</f>
        <v>-1.86939333179617</v>
      </c>
      <c r="E203" s="22" t="n">
        <f aca="false">100*(E69-E68)</f>
        <v>-1.8748234411484</v>
      </c>
      <c r="F203" s="22" t="n">
        <f aca="false">100*(F69-F68)</f>
        <v>-1.8950691392047</v>
      </c>
      <c r="G203" s="22" t="n">
        <f aca="false">100*(G69-G68)</f>
        <v>-1.92687418930324</v>
      </c>
      <c r="H203" s="22" t="n">
        <f aca="false">100*(H69-H68)</f>
        <v>-1.96617905836657</v>
      </c>
      <c r="I203" s="22" t="n">
        <f aca="false">100*(I69-I68)</f>
        <v>-2.00936759546194</v>
      </c>
      <c r="J203" s="22" t="n">
        <f aca="false">100*(J69-J68)</f>
        <v>-2.05335444488601</v>
      </c>
      <c r="K203" s="22" t="n">
        <f aca="false">100*(K69-K68)</f>
        <v>-2.09541534981558</v>
      </c>
      <c r="L203" s="22" t="n">
        <f aca="false">100*(L69-L68)</f>
        <v>-2.13348555079537</v>
      </c>
      <c r="M203" s="22" t="n">
        <f aca="false">100*(M69-M68)</f>
        <v>-2.1661663522432</v>
      </c>
      <c r="N203" s="22" t="n">
        <f aca="false">100*(N69-N68)</f>
        <v>-2.1924516173345</v>
      </c>
      <c r="O203" s="22" t="n">
        <f aca="false">100*(O69-O68)</f>
        <v>-2.0870470040282</v>
      </c>
      <c r="P203" s="22" t="n">
        <f aca="false">100*(P69-P68)</f>
        <v>-2.0703664442254</v>
      </c>
      <c r="Q203" s="22" t="n">
        <f aca="false">100*(Q69-Q68)</f>
        <v>-2.05550539262769</v>
      </c>
      <c r="R203" s="22" t="n">
        <f aca="false">100*(R69-R68)</f>
        <v>-2.04263510341041</v>
      </c>
      <c r="S203" s="22" t="n">
        <f aca="false">100*(S69-S68)</f>
        <v>-2.0318330960021</v>
      </c>
      <c r="T203" s="22" t="n">
        <f aca="false">100*(T69-T68)</f>
        <v>-2.02309767523792</v>
      </c>
      <c r="U203" s="22" t="n">
        <f aca="false">100*(U69-U68)</f>
        <v>-2.01635977939321</v>
      </c>
      <c r="V203" s="22" t="n">
        <f aca="false">100*(V69-V68)</f>
        <v>-2.01149904608811</v>
      </c>
      <c r="W203" s="22" t="n">
        <f aca="false">100*(W69-W68)</f>
        <v>-2.00836285212231</v>
      </c>
      <c r="X203" s="22" t="n">
        <f aca="false">100*(X69-X68)</f>
        <v>-2.006773021372</v>
      </c>
      <c r="Y203" s="22" t="n">
        <f aca="false">100*(Y69-Y68)</f>
        <v>-2.00653800900741</v>
      </c>
      <c r="Z203" s="22" t="n">
        <f aca="false">100*(Z69-Z68)</f>
        <v>-2.00747004283079</v>
      </c>
      <c r="AA203" s="22" t="n">
        <f aca="false">100*(AA69-AA68)</f>
        <v>-2.00938698083781</v>
      </c>
      <c r="AB203" s="22" t="n">
        <f aca="false">100*(AB69-AB68)</f>
        <v>-2.01211160077288</v>
      </c>
      <c r="AC203" s="22" t="n">
        <f aca="false">100*(AC69-AC68)</f>
        <v>-2.01547101450679</v>
      </c>
      <c r="AD203" s="22" t="n">
        <f aca="false">100*(AD69-AD68)</f>
        <v>-2.01929758989579</v>
      </c>
      <c r="AE203" s="22" t="n">
        <f aca="false">100*(AE69-AE68)</f>
        <v>-2.02344004916009</v>
      </c>
      <c r="AF203" s="22" t="n">
        <f aca="false">100*(AF69-AF68)</f>
        <v>-2.02776893093029</v>
      </c>
      <c r="AG203" s="22" t="n">
        <f aca="false">100*(AG69-AG68)</f>
        <v>-2.0321735605749</v>
      </c>
      <c r="AH203" s="22" t="n">
        <f aca="false">100*(AH69-AH68)</f>
        <v>-2.03655879317501</v>
      </c>
      <c r="AI203" s="22" t="n">
        <f aca="false">100*(AI69-AI68)</f>
        <v>-2.0408390797322</v>
      </c>
      <c r="AJ203" s="22" t="n">
        <f aca="false">100*(AJ69-AJ68)</f>
        <v>-2.04494340511279</v>
      </c>
      <c r="AK203" s="22" t="n">
        <f aca="false">100*(AK69-AK68)</f>
        <v>-2.0488152624911</v>
      </c>
      <c r="AL203" s="22" t="n">
        <f aca="false">100*(AL69-AL68)</f>
        <v>-2.05240955007571</v>
      </c>
      <c r="AM203" s="22" t="n">
        <f aca="false">100*(AM69-AM68)</f>
        <v>-2.055688644545</v>
      </c>
      <c r="AN203" s="22" t="n">
        <f aca="false">100*(AN69-AN68)</f>
        <v>-2.0586274549885</v>
      </c>
      <c r="AO203" s="22" t="n">
        <f aca="false">100*(AO69-AO68)</f>
        <v>-2.06121186622499</v>
      </c>
      <c r="AP203" s="22" t="n">
        <f aca="false">100*(AP69-AP68)</f>
        <v>-2.063437200384</v>
      </c>
      <c r="AQ203" s="22" t="n">
        <f aca="false">100*(AQ69-AQ68)</f>
        <v>-2.0653078615694</v>
      </c>
      <c r="AR203" s="22" t="n">
        <f aca="false">100*(AR69-AR68)</f>
        <v>-2.0668346172934</v>
      </c>
      <c r="AS203" s="22" t="n">
        <f aca="false">100*(AS69-AS68)</f>
        <v>-2.0680333223291</v>
      </c>
      <c r="AT203" s="22" t="n">
        <f aca="false">100*(AT69-AT68)</f>
        <v>-2.0689248421975</v>
      </c>
      <c r="AU203" s="22" t="n">
        <f aca="false">100*(AU69-AU68)</f>
        <v>-2.06953431665688</v>
      </c>
      <c r="AV203" s="22" t="n">
        <f aca="false">AVERAGE(C203:AU203)</f>
        <v>-2.03040226710697</v>
      </c>
    </row>
    <row r="204" customFormat="false" ht="15" hidden="false" customHeight="false" outlineLevel="0" collapsed="false">
      <c r="A204" s="20" t="n">
        <f aca="false">A70</f>
        <v>-55</v>
      </c>
      <c r="B204" s="21" t="n">
        <f aca="false">B70</f>
        <v>43096</v>
      </c>
      <c r="C204" s="22" t="n">
        <f aca="false">100*(C70-C69)</f>
        <v>-2.81916507278028</v>
      </c>
      <c r="D204" s="22" t="n">
        <f aca="false">100*(D70-D69)</f>
        <v>-3.07780714719305</v>
      </c>
      <c r="E204" s="22" t="n">
        <f aca="false">100*(E70-E69)</f>
        <v>-3.34852213631192</v>
      </c>
      <c r="F204" s="22" t="n">
        <f aca="false">100*(F70-F69)</f>
        <v>-3.6393695839509</v>
      </c>
      <c r="G204" s="22" t="n">
        <f aca="false">100*(G70-G69)</f>
        <v>-3.94804123998479</v>
      </c>
      <c r="H204" s="22" t="n">
        <f aca="false">100*(H70-H69)</f>
        <v>-4.26837499657192</v>
      </c>
      <c r="I204" s="22" t="n">
        <f aca="false">100*(I70-I69)</f>
        <v>-4.5929820750986</v>
      </c>
      <c r="J204" s="22" t="n">
        <f aca="false">100*(J70-J69)</f>
        <v>-4.91412048719054</v>
      </c>
      <c r="K204" s="22" t="n">
        <f aca="false">100*(K70-K69)</f>
        <v>-5.22405697850519</v>
      </c>
      <c r="L204" s="22" t="n">
        <f aca="false">100*(L70-L69)</f>
        <v>-5.51529082431182</v>
      </c>
      <c r="M204" s="22" t="n">
        <f aca="false">100*(M70-M69)</f>
        <v>-5.78137450629881</v>
      </c>
      <c r="N204" s="22" t="n">
        <f aca="false">100*(N70-N69)</f>
        <v>-6.01718202185594</v>
      </c>
      <c r="O204" s="22" t="n">
        <f aca="false">100*(O70-O69)</f>
        <v>-6.4496657455283</v>
      </c>
      <c r="P204" s="22" t="n">
        <f aca="false">100*(P70-P69)</f>
        <v>-6.37797461156859</v>
      </c>
      <c r="Q204" s="22" t="n">
        <f aca="false">100*(Q70-Q69)</f>
        <v>-6.30571420944981</v>
      </c>
      <c r="R204" s="22" t="n">
        <f aca="false">100*(R70-R69)</f>
        <v>-6.2344689715504</v>
      </c>
      <c r="S204" s="22" t="n">
        <f aca="false">100*(S70-S69)</f>
        <v>-6.1654791024625</v>
      </c>
      <c r="T204" s="22" t="n">
        <f aca="false">100*(T70-T69)</f>
        <v>-6.09969167776798</v>
      </c>
      <c r="U204" s="22" t="n">
        <f aca="false">100*(U70-U69)</f>
        <v>-6.03780378484309</v>
      </c>
      <c r="V204" s="22" t="n">
        <f aca="false">100*(V70-V69)</f>
        <v>-5.98029901515731</v>
      </c>
      <c r="W204" s="22" t="n">
        <f aca="false">100*(W70-W69)</f>
        <v>-5.92747808584959</v>
      </c>
      <c r="X204" s="22" t="n">
        <f aca="false">100*(X70-X69)</f>
        <v>-5.8794837480314</v>
      </c>
      <c r="Y204" s="22" t="n">
        <f aca="false">100*(Y70-Y69)</f>
        <v>-5.83632911895959</v>
      </c>
      <c r="Z204" s="22" t="n">
        <f aca="false">100*(Z70-Z69)</f>
        <v>-5.79793087019331</v>
      </c>
      <c r="AA204" s="22" t="n">
        <f aca="false">100*(AA70-AA69)</f>
        <v>-5.76412517426659</v>
      </c>
      <c r="AB204" s="22" t="n">
        <f aca="false">100*(AB70-AB69)</f>
        <v>-5.73467754061292</v>
      </c>
      <c r="AC204" s="22" t="n">
        <f aca="false">100*(AC70-AC69)</f>
        <v>-5.70929122790831</v>
      </c>
      <c r="AD204" s="22" t="n">
        <f aca="false">100*(AD70-AD69)</f>
        <v>-5.68761571018042</v>
      </c>
      <c r="AE204" s="22" t="n">
        <f aca="false">100*(AE70-AE69)</f>
        <v>-5.66926284470701</v>
      </c>
      <c r="AF204" s="22" t="n">
        <f aca="false">100*(AF70-AF69)</f>
        <v>-5.6538203731739</v>
      </c>
      <c r="AG204" s="22" t="n">
        <f aca="false">100*(AG70-AG69)</f>
        <v>-5.6408592299561</v>
      </c>
      <c r="AH204" s="22" t="n">
        <f aca="false">100*(AH70-AH69)</f>
        <v>-5.62993771128579</v>
      </c>
      <c r="AI204" s="22" t="n">
        <f aca="false">100*(AI70-AI69)</f>
        <v>-5.62061464392429</v>
      </c>
      <c r="AJ204" s="22" t="n">
        <f aca="false">100*(AJ70-AJ69)</f>
        <v>-5.612460903279</v>
      </c>
      <c r="AK204" s="22" t="n">
        <f aca="false">100*(AK70-AK69)</f>
        <v>-5.6050592021279</v>
      </c>
      <c r="AL204" s="22" t="n">
        <f aca="false">100*(AL70-AL69)</f>
        <v>-5.59800382475371</v>
      </c>
      <c r="AM204" s="22" t="n">
        <f aca="false">100*(AM70-AM69)</f>
        <v>-5.5909097626595</v>
      </c>
      <c r="AN204" s="22" t="n">
        <f aca="false">100*(AN70-AN69)</f>
        <v>-5.5834210530632</v>
      </c>
      <c r="AO204" s="22" t="n">
        <f aca="false">100*(AO70-AO69)</f>
        <v>-5.5752121521099</v>
      </c>
      <c r="AP204" s="22" t="n">
        <f aca="false">100*(AP70-AP69)</f>
        <v>-5.565990496304</v>
      </c>
      <c r="AQ204" s="22" t="n">
        <f aca="false">100*(AQ70-AQ69)</f>
        <v>-5.55550201268571</v>
      </c>
      <c r="AR204" s="22" t="n">
        <f aca="false">100*(AR70-AR69)</f>
        <v>-5.54353850241149</v>
      </c>
      <c r="AS204" s="22" t="n">
        <f aca="false">100*(AS70-AS69)</f>
        <v>-5.52993519356011</v>
      </c>
      <c r="AT204" s="22" t="n">
        <f aca="false">100*(AT70-AT69)</f>
        <v>-5.514568196167</v>
      </c>
      <c r="AU204" s="22" t="n">
        <f aca="false">100*(AU70-AU69)</f>
        <v>-5.4973602772052</v>
      </c>
      <c r="AV204" s="22" t="n">
        <f aca="false">AVERAGE(C204:AU204)</f>
        <v>-5.42490604541684</v>
      </c>
    </row>
    <row r="205" customFormat="false" ht="15" hidden="false" customHeight="false" outlineLevel="0" collapsed="false">
      <c r="A205" s="20" t="n">
        <f aca="false">A71</f>
        <v>-54</v>
      </c>
      <c r="B205" s="21" t="n">
        <f aca="false">B71</f>
        <v>43097</v>
      </c>
      <c r="C205" s="22" t="n">
        <f aca="false">100*(C71-C70)</f>
        <v>1.9288374827729</v>
      </c>
      <c r="D205" s="22" t="n">
        <f aca="false">100*(D71-D70)</f>
        <v>1.91627226958847</v>
      </c>
      <c r="E205" s="22" t="n">
        <f aca="false">100*(E71-E70)</f>
        <v>1.93590827298014</v>
      </c>
      <c r="F205" s="22" t="n">
        <f aca="false">100*(F71-F70)</f>
        <v>1.98272934985579</v>
      </c>
      <c r="G205" s="22" t="n">
        <f aca="false">100*(G71-G70)</f>
        <v>2.04890145137921</v>
      </c>
      <c r="H205" s="22" t="n">
        <f aca="false">100*(H71-H70)</f>
        <v>2.12695196753882</v>
      </c>
      <c r="I205" s="22" t="n">
        <f aca="false">100*(I71-I70)</f>
        <v>2.21035486979285</v>
      </c>
      <c r="J205" s="22" t="n">
        <f aca="false">100*(J71-J70)</f>
        <v>2.29344917997111</v>
      </c>
      <c r="K205" s="22" t="n">
        <f aca="false">100*(K71-K70)</f>
        <v>2.37139287085082</v>
      </c>
      <c r="L205" s="22" t="n">
        <f aca="false">100*(L71-L70)</f>
        <v>2.43999734370022</v>
      </c>
      <c r="M205" s="22" t="n">
        <f aca="false">100*(M71-M70)</f>
        <v>2.49601305296839</v>
      </c>
      <c r="N205" s="22" t="n">
        <f aca="false">100*(N71-N70)</f>
        <v>2.53719542508365</v>
      </c>
      <c r="O205" s="22" t="n">
        <f aca="false">100*(O71-O70)</f>
        <v>1.94708095318361</v>
      </c>
      <c r="P205" s="22" t="n">
        <f aca="false">100*(P71-P70)</f>
        <v>1.87047109430389</v>
      </c>
      <c r="Q205" s="22" t="n">
        <f aca="false">100*(Q71-Q70)</f>
        <v>1.79644342732119</v>
      </c>
      <c r="R205" s="22" t="n">
        <f aca="false">100*(R71-R70)</f>
        <v>1.72551561063181</v>
      </c>
      <c r="S205" s="22" t="n">
        <f aca="false">100*(S71-S70)</f>
        <v>1.65804357628261</v>
      </c>
      <c r="T205" s="22" t="n">
        <f aca="false">100*(T71-T70)</f>
        <v>1.59424741865148</v>
      </c>
      <c r="U205" s="22" t="n">
        <f aca="false">100*(U71-U70)</f>
        <v>1.53423171289209</v>
      </c>
      <c r="V205" s="22" t="n">
        <f aca="false">100*(V71-V70)</f>
        <v>1.4780181419388</v>
      </c>
      <c r="W205" s="22" t="n">
        <f aca="false">100*(W71-W70)</f>
        <v>1.42559590632749</v>
      </c>
      <c r="X205" s="22" t="n">
        <f aca="false">100*(X71-X70)</f>
        <v>1.37693623887609</v>
      </c>
      <c r="Y205" s="22" t="n">
        <f aca="false">100*(Y71-Y70)</f>
        <v>1.33199319924879</v>
      </c>
      <c r="Z205" s="22" t="n">
        <f aca="false">100*(Z71-Z70)</f>
        <v>1.29070359510211</v>
      </c>
      <c r="AA205" s="22" t="n">
        <f aca="false">100*(AA71-AA70)</f>
        <v>1.25298899168569</v>
      </c>
      <c r="AB205" s="22" t="n">
        <f aca="false">100*(AB71-AB70)</f>
        <v>1.21875757883521</v>
      </c>
      <c r="AC205" s="22" t="n">
        <f aca="false">100*(AC71-AC70)</f>
        <v>1.18790576316301</v>
      </c>
      <c r="AD205" s="22" t="n">
        <f aca="false">100*(AD71-AD70)</f>
        <v>1.16031795750251</v>
      </c>
      <c r="AE205" s="22" t="n">
        <f aca="false">100*(AE71-AE70)</f>
        <v>1.13585533884459</v>
      </c>
      <c r="AF205" s="22" t="n">
        <f aca="false">100*(AF71-AF70)</f>
        <v>1.1143500008133</v>
      </c>
      <c r="AG205" s="22" t="n">
        <f aca="false">100*(AG71-AG70)</f>
        <v>1.09561009144801</v>
      </c>
      <c r="AH205" s="22" t="n">
        <f aca="false">100*(AH71-AH70)</f>
        <v>1.07942333554811</v>
      </c>
      <c r="AI205" s="22" t="n">
        <f aca="false">100*(AI71-AI70)</f>
        <v>1.06556074511059</v>
      </c>
      <c r="AJ205" s="22" t="n">
        <f aca="false">100*(AJ71-AJ70)</f>
        <v>1.0537778640427</v>
      </c>
      <c r="AK205" s="22" t="n">
        <f aca="false">100*(AK71-AK70)</f>
        <v>1.04381611212621</v>
      </c>
      <c r="AL205" s="22" t="n">
        <f aca="false">100*(AL71-AL70)</f>
        <v>1.03540541850671</v>
      </c>
      <c r="AM205" s="22" t="n">
        <f aca="false">100*(AM71-AM70)</f>
        <v>1.02827366067659</v>
      </c>
      <c r="AN205" s="22" t="n">
        <f aca="false">100*(AN71-AN70)</f>
        <v>1.02215247058239</v>
      </c>
      <c r="AO205" s="22" t="n">
        <f aca="false">100*(AO71-AO70)</f>
        <v>1.01678200388589</v>
      </c>
      <c r="AP205" s="22" t="n">
        <f aca="false">100*(AP71-AP70)</f>
        <v>1.01191708019861</v>
      </c>
      <c r="AQ205" s="22" t="n">
        <f aca="false">100*(AQ71-AQ70)</f>
        <v>1.0073339206123</v>
      </c>
      <c r="AR205" s="22" t="n">
        <f aca="false">100*(AR71-AR70)</f>
        <v>1.0028391793341</v>
      </c>
      <c r="AS205" s="22" t="n">
        <f aca="false">100*(AS71-AS70)</f>
        <v>0.998269009696107</v>
      </c>
      <c r="AT205" s="22" t="n">
        <f aca="false">100*(AT71-AT70)</f>
        <v>0.993487336312415</v>
      </c>
      <c r="AU205" s="22" t="n">
        <f aca="false">100*(AU71-AU70)</f>
        <v>0.988390832762387</v>
      </c>
      <c r="AV205" s="22" t="n">
        <f aca="false">AVERAGE(C205:AU205)</f>
        <v>1.50734442450955</v>
      </c>
    </row>
    <row r="206" customFormat="false" ht="15" hidden="false" customHeight="false" outlineLevel="0" collapsed="false">
      <c r="A206" s="20" t="n">
        <f aca="false">A72</f>
        <v>-53</v>
      </c>
      <c r="B206" s="21" t="n">
        <f aca="false">B72</f>
        <v>43098</v>
      </c>
      <c r="C206" s="22" t="n">
        <f aca="false">100*(C72-C71)</f>
        <v>-0.412098375762954</v>
      </c>
      <c r="D206" s="22" t="n">
        <f aca="false">100*(D72-D71)</f>
        <v>-0.514784840428495</v>
      </c>
      <c r="E206" s="22" t="n">
        <f aca="false">100*(E72-E71)</f>
        <v>-0.564385941144763</v>
      </c>
      <c r="F206" s="22" t="n">
        <f aca="false">100*(F72-F71)</f>
        <v>-0.583242079992075</v>
      </c>
      <c r="G206" s="22" t="n">
        <f aca="false">100*(G72-G71)</f>
        <v>-0.584487502420961</v>
      </c>
      <c r="H206" s="22" t="n">
        <f aca="false">100*(H72-H71)</f>
        <v>-0.577105068106554</v>
      </c>
      <c r="I206" s="22" t="n">
        <f aca="false">100*(I72-I71)</f>
        <v>-0.567101855948082</v>
      </c>
      <c r="J206" s="22" t="n">
        <f aca="false">100*(J72-J71)</f>
        <v>-0.558510108488586</v>
      </c>
      <c r="K206" s="22" t="n">
        <f aca="false">100*(K72-K71)</f>
        <v>-0.554004691158549</v>
      </c>
      <c r="L206" s="22" t="n">
        <f aca="false">100*(L72-L71)</f>
        <v>-0.555135785256211</v>
      </c>
      <c r="M206" s="22" t="n">
        <f aca="false">100*(M72-M71)</f>
        <v>-0.562854820709857</v>
      </c>
      <c r="N206" s="22" t="n">
        <f aca="false">100*(N72-N71)</f>
        <v>-0.57772118376771</v>
      </c>
      <c r="O206" s="22" t="n">
        <f aca="false">100*(O72-O71)</f>
        <v>-1.25409904134881</v>
      </c>
      <c r="P206" s="22" t="n">
        <f aca="false">100*(P72-P71)</f>
        <v>-1.31356957863649</v>
      </c>
      <c r="Q206" s="22" t="n">
        <f aca="false">100*(Q72-Q71)</f>
        <v>-1.37038266900178</v>
      </c>
      <c r="R206" s="22" t="n">
        <f aca="false">100*(R72-R71)</f>
        <v>-1.4242685519646</v>
      </c>
      <c r="S206" s="22" t="n">
        <f aca="false">100*(S72-S71)</f>
        <v>-1.4750320032807</v>
      </c>
      <c r="T206" s="22" t="n">
        <f aca="false">100*(T72-T71)</f>
        <v>-1.5225404088675</v>
      </c>
      <c r="U206" s="22" t="n">
        <f aca="false">100*(U72-U71)</f>
        <v>-1.56671437785378</v>
      </c>
      <c r="V206" s="22" t="n">
        <f aca="false">100*(V72-V71)</f>
        <v>-1.60751146168809</v>
      </c>
      <c r="W206" s="22" t="n">
        <f aca="false">100*(W72-W71)</f>
        <v>-1.64489989893699</v>
      </c>
      <c r="X206" s="22" t="n">
        <f aca="false">100*(X72-X71)</f>
        <v>-1.6788519857819</v>
      </c>
      <c r="Y206" s="22" t="n">
        <f aca="false">100*(Y72-Y71)</f>
        <v>-1.7093539575076</v>
      </c>
      <c r="Z206" s="22" t="n">
        <f aca="false">100*(Z72-Z71)</f>
        <v>-1.736421271421</v>
      </c>
      <c r="AA206" s="22" t="n">
        <f aca="false">100*(AA72-AA71)</f>
        <v>-1.7600973577081</v>
      </c>
      <c r="AB206" s="22" t="n">
        <f aca="false">100*(AB72-AB71)</f>
        <v>-1.7804501872059</v>
      </c>
      <c r="AC206" s="22" t="n">
        <f aca="false">100*(AC72-AC71)</f>
        <v>-1.79756935052031</v>
      </c>
      <c r="AD206" s="22" t="n">
        <f aca="false">100*(AD72-AD71)</f>
        <v>-1.8115664040345</v>
      </c>
      <c r="AE206" s="22" t="n">
        <f aca="false">100*(AE72-AE71)</f>
        <v>-1.82259206766939</v>
      </c>
      <c r="AF206" s="22" t="n">
        <f aca="false">100*(AF72-AF71)</f>
        <v>-1.83083792683352</v>
      </c>
      <c r="AG206" s="22" t="n">
        <f aca="false">100*(AG72-AG71)</f>
        <v>-1.83651836845991</v>
      </c>
      <c r="AH206" s="22" t="n">
        <f aca="false">100*(AH72-AH71)</f>
        <v>-1.83986270288481</v>
      </c>
      <c r="AI206" s="22" t="n">
        <f aca="false">100*(AI72-AI71)</f>
        <v>-1.84110219353859</v>
      </c>
      <c r="AJ206" s="22" t="n">
        <f aca="false">100*(AJ72-AJ71)</f>
        <v>-1.84046787688341</v>
      </c>
      <c r="AK206" s="22" t="n">
        <f aca="false">100*(AK72-AK71)</f>
        <v>-1.8381911200344</v>
      </c>
      <c r="AL206" s="22" t="n">
        <f aca="false">100*(AL72-AL71)</f>
        <v>-1.83450082468311</v>
      </c>
      <c r="AM206" s="22" t="n">
        <f aca="false">100*(AM72-AM71)</f>
        <v>-1.8296109938402</v>
      </c>
      <c r="AN206" s="22" t="n">
        <f aca="false">100*(AN72-AN71)</f>
        <v>-1.82371821711169</v>
      </c>
      <c r="AO206" s="22" t="n">
        <f aca="false">100*(AO72-AO71)</f>
        <v>-1.8170017633429</v>
      </c>
      <c r="AP206" s="22" t="n">
        <f aca="false">100*(AP72-AP71)</f>
        <v>-1.8096242392438</v>
      </c>
      <c r="AQ206" s="22" t="n">
        <f aca="false">100*(AQ72-AQ71)</f>
        <v>-1.80173233281209</v>
      </c>
      <c r="AR206" s="22" t="n">
        <f aca="false">100*(AR72-AR71)</f>
        <v>-1.7934552557116</v>
      </c>
      <c r="AS206" s="22" t="n">
        <f aca="false">100*(AS72-AS71)</f>
        <v>-1.7849055364497</v>
      </c>
      <c r="AT206" s="22" t="n">
        <f aca="false">100*(AT72-AT71)</f>
        <v>-1.7761805099791</v>
      </c>
      <c r="AU206" s="22" t="n">
        <f aca="false">100*(AU72-AU71)</f>
        <v>-1.76736180060251</v>
      </c>
      <c r="AV206" s="22" t="n">
        <f aca="false">AVERAGE(C206:AU206)</f>
        <v>-1.39894276642275</v>
      </c>
    </row>
    <row r="207" customFormat="false" ht="15" hidden="false" customHeight="false" outlineLevel="0" collapsed="false">
      <c r="A207" s="20" t="n">
        <f aca="false">A73</f>
        <v>-52</v>
      </c>
      <c r="B207" s="21" t="n">
        <f aca="false">B73</f>
        <v>43102</v>
      </c>
      <c r="C207" s="22" t="n">
        <f aca="false">100*(C73-C72)</f>
        <v>6.56655464618817</v>
      </c>
      <c r="D207" s="22" t="n">
        <f aca="false">100*(D73-D72)</f>
        <v>6.67169413607467</v>
      </c>
      <c r="E207" s="22" t="n">
        <f aca="false">100*(E73-E72)</f>
        <v>6.83494075410813</v>
      </c>
      <c r="F207" s="22" t="n">
        <f aca="false">100*(F73-F72)</f>
        <v>7.03632378497089</v>
      </c>
      <c r="G207" s="22" t="n">
        <f aca="false">100*(G73-G72)</f>
        <v>7.26224470626645</v>
      </c>
      <c r="H207" s="22" t="n">
        <f aca="false">100*(H73-H72)</f>
        <v>7.5016731372949</v>
      </c>
      <c r="I207" s="22" t="n">
        <f aca="false">100*(I73-I72)</f>
        <v>7.745439100087</v>
      </c>
      <c r="J207" s="22" t="n">
        <f aca="false">100*(J73-J72)</f>
        <v>7.98564843474772</v>
      </c>
      <c r="K207" s="22" t="n">
        <f aca="false">100*(K73-K72)</f>
        <v>8.21522888796351</v>
      </c>
      <c r="L207" s="22" t="n">
        <f aca="false">100*(L73-L72)</f>
        <v>8.42783623798543</v>
      </c>
      <c r="M207" s="22" t="n">
        <f aca="false">100*(M73-M72)</f>
        <v>8.61823608134827</v>
      </c>
      <c r="N207" s="22" t="n">
        <f aca="false">100*(N73-N72)</f>
        <v>8.7824303662468</v>
      </c>
      <c r="O207" s="22" t="n">
        <f aca="false">100*(O73-O72)</f>
        <v>8.8489735789274</v>
      </c>
      <c r="P207" s="22" t="n">
        <f aca="false">100*(P73-P72)</f>
        <v>8.7826980721808</v>
      </c>
      <c r="Q207" s="22" t="n">
        <f aca="false">100*(Q73-Q72)</f>
        <v>8.7174606935412</v>
      </c>
      <c r="R207" s="22" t="n">
        <f aca="false">100*(R73-R72)</f>
        <v>8.6543143149028</v>
      </c>
      <c r="S207" s="22" t="n">
        <f aca="false">100*(S73-S72)</f>
        <v>8.5940368536473</v>
      </c>
      <c r="T207" s="22" t="n">
        <f aca="false">100*(T73-T72)</f>
        <v>8.53717230196631</v>
      </c>
      <c r="U207" s="22" t="n">
        <f aca="false">100*(U73-U72)</f>
        <v>8.48406522889298</v>
      </c>
      <c r="V207" s="22" t="n">
        <f aca="false">100*(V73-V72)</f>
        <v>8.4348934227036</v>
      </c>
      <c r="W207" s="22" t="n">
        <f aca="false">100*(W73-W72)</f>
        <v>8.38970042126339</v>
      </c>
      <c r="X207" s="22" t="n">
        <f aca="false">100*(X73-X72)</f>
        <v>8.34841607675512</v>
      </c>
      <c r="Y207" s="22" t="n">
        <f aca="false">100*(Y73-Y72)</f>
        <v>8.31087854193331</v>
      </c>
      <c r="Z207" s="22" t="n">
        <f aca="false">100*(Z73-Z72)</f>
        <v>8.27686331313871</v>
      </c>
      <c r="AA207" s="22" t="n">
        <f aca="false">100*(AA73-AA72)</f>
        <v>8.24609565260841</v>
      </c>
      <c r="AB207" s="22" t="n">
        <f aca="false">100*(AB73-AB72)</f>
        <v>8.2182567482709</v>
      </c>
      <c r="AC207" s="22" t="n">
        <f aca="false">100*(AC73-AC72)</f>
        <v>8.1929889607546</v>
      </c>
      <c r="AD207" s="22" t="n">
        <f aca="false">100*(AD73-AD72)</f>
        <v>8.1699019856007</v>
      </c>
      <c r="AE207" s="22" t="n">
        <f aca="false">100*(AE73-AE72)</f>
        <v>8.1485901380959</v>
      </c>
      <c r="AF207" s="22" t="n">
        <f aca="false">100*(AF73-AF72)</f>
        <v>8.12864745177362</v>
      </c>
      <c r="AG207" s="22" t="n">
        <f aca="false">100*(AG73-AG72)</f>
        <v>8.10967357653549</v>
      </c>
      <c r="AH207" s="22" t="n">
        <f aca="false">100*(AH73-AH72)</f>
        <v>8.091277115661</v>
      </c>
      <c r="AI207" s="22" t="n">
        <f aca="false">100*(AI73-AI72)</f>
        <v>8.07309468852211</v>
      </c>
      <c r="AJ207" s="22" t="n">
        <f aca="false">100*(AJ73-AJ72)</f>
        <v>8.0548015495689</v>
      </c>
      <c r="AK207" s="22" t="n">
        <f aca="false">100*(AK73-AK72)</f>
        <v>8.036108410133</v>
      </c>
      <c r="AL207" s="22" t="n">
        <f aca="false">100*(AL73-AL72)</f>
        <v>8.01676005331391</v>
      </c>
      <c r="AM207" s="22" t="n">
        <f aca="false">100*(AM73-AM72)</f>
        <v>7.9965459973119</v>
      </c>
      <c r="AN207" s="22" t="n">
        <f aca="false">100*(AN73-AN72)</f>
        <v>7.9753056655604</v>
      </c>
      <c r="AO207" s="22" t="n">
        <f aca="false">100*(AO73-AO72)</f>
        <v>7.9529277407326</v>
      </c>
      <c r="AP207" s="22" t="n">
        <f aca="false">100*(AP73-AP72)</f>
        <v>7.92934979074309</v>
      </c>
      <c r="AQ207" s="22" t="n">
        <f aca="false">100*(AQ73-AQ72)</f>
        <v>7.90455187187911</v>
      </c>
      <c r="AR207" s="22" t="n">
        <f aca="false">100*(AR73-AR72)</f>
        <v>7.8785497822957</v>
      </c>
      <c r="AS207" s="22" t="n">
        <f aca="false">100*(AS73-AS72)</f>
        <v>7.8513916413737</v>
      </c>
      <c r="AT207" s="22" t="n">
        <f aca="false">100*(AT73-AT72)</f>
        <v>7.82315452423459</v>
      </c>
      <c r="AU207" s="22" t="n">
        <f aca="false">100*(AU73-AU72)</f>
        <v>7.79393767625221</v>
      </c>
      <c r="AV207" s="22" t="n">
        <f aca="false">AVERAGE(C207:AU207)</f>
        <v>8.05821409143015</v>
      </c>
    </row>
    <row r="208" customFormat="false" ht="15" hidden="false" customHeight="false" outlineLevel="0" collapsed="false">
      <c r="A208" s="20" t="n">
        <f aca="false">A74</f>
        <v>-51</v>
      </c>
      <c r="B208" s="21" t="n">
        <f aca="false">B74</f>
        <v>43103</v>
      </c>
      <c r="C208" s="22" t="n">
        <f aca="false">100*(C74-C73)</f>
        <v>-3.07251898015016</v>
      </c>
      <c r="D208" s="22" t="n">
        <f aca="false">100*(D74-D73)</f>
        <v>-3.61361974473182</v>
      </c>
      <c r="E208" s="22" t="n">
        <f aca="false">100*(E74-E73)</f>
        <v>-4.06428308295509</v>
      </c>
      <c r="F208" s="22" t="n">
        <f aca="false">100*(F74-F73)</f>
        <v>-4.43933359571226</v>
      </c>
      <c r="G208" s="22" t="n">
        <f aca="false">100*(G74-G73)</f>
        <v>-4.75399123412906</v>
      </c>
      <c r="H208" s="22" t="n">
        <f aca="false">100*(H74-H73)</f>
        <v>-5.02106149163277</v>
      </c>
      <c r="I208" s="22" t="n">
        <f aca="false">100*(I74-I73)</f>
        <v>-5.24995736391793</v>
      </c>
      <c r="J208" s="22" t="n">
        <f aca="false">100*(J74-J73)</f>
        <v>-5.44706490187843</v>
      </c>
      <c r="K208" s="22" t="n">
        <f aca="false">100*(K74-K73)</f>
        <v>-5.61668818550324</v>
      </c>
      <c r="L208" s="22" t="n">
        <f aca="false">100*(L74-L73)</f>
        <v>-5.76174182075392</v>
      </c>
      <c r="M208" s="22" t="n">
        <f aca="false">100*(M74-M73)</f>
        <v>-5.88429199048707</v>
      </c>
      <c r="N208" s="22" t="n">
        <f aca="false">100*(N74-N73)</f>
        <v>-5.9859730647249</v>
      </c>
      <c r="O208" s="22" t="n">
        <f aca="false">100*(O74-O73)</f>
        <v>-6.1156325609844</v>
      </c>
      <c r="P208" s="22" t="n">
        <f aca="false">100*(P74-P73)</f>
        <v>-6.0909056603323</v>
      </c>
      <c r="Q208" s="22" t="n">
        <f aca="false">100*(Q74-Q73)</f>
        <v>-6.06811518905341</v>
      </c>
      <c r="R208" s="22" t="n">
        <f aca="false">100*(R74-R73)</f>
        <v>-6.0479747861105</v>
      </c>
      <c r="S208" s="22" t="n">
        <f aca="false">100*(S74-S73)</f>
        <v>-6.03101193966131</v>
      </c>
      <c r="T208" s="22" t="n">
        <f aca="false">100*(T74-T73)</f>
        <v>-6.01759521241529</v>
      </c>
      <c r="U208" s="22" t="n">
        <f aca="false">100*(U74-U73)</f>
        <v>-6.00795729896908</v>
      </c>
      <c r="V208" s="22" t="n">
        <f aca="false">100*(V74-V73)</f>
        <v>-6.0022022537747</v>
      </c>
      <c r="W208" s="22" t="n">
        <f aca="false">100*(W74-W73)</f>
        <v>-6.0002966458881</v>
      </c>
      <c r="X208" s="22" t="n">
        <f aca="false">100*(X74-X73)</f>
        <v>-6.00208241665661</v>
      </c>
      <c r="Y208" s="22" t="n">
        <f aca="false">100*(Y74-Y73)</f>
        <v>-6.0073147845443</v>
      </c>
      <c r="Z208" s="22" t="n">
        <f aca="false">100*(Z74-Z73)</f>
        <v>-6.01571873128821</v>
      </c>
      <c r="AA208" s="22" t="n">
        <f aca="false">100*(AA74-AA73)</f>
        <v>-6.0270030338643</v>
      </c>
      <c r="AB208" s="22" t="n">
        <f aca="false">100*(AB74-AB73)</f>
        <v>-6.040862286704</v>
      </c>
      <c r="AC208" s="22" t="n">
        <f aca="false">100*(AC74-AC73)</f>
        <v>-6.0569785911766</v>
      </c>
      <c r="AD208" s="22" t="n">
        <f aca="false">100*(AD74-AD73)</f>
        <v>-6.0750288799166</v>
      </c>
      <c r="AE208" s="22" t="n">
        <f aca="false">100*(AE74-AE73)</f>
        <v>-6.094728882616</v>
      </c>
      <c r="AF208" s="22" t="n">
        <f aca="false">100*(AF74-AF73)</f>
        <v>-6.1158528512776</v>
      </c>
      <c r="AG208" s="22" t="n">
        <f aca="false">100*(AG74-AG73)</f>
        <v>-6.13821243297799</v>
      </c>
      <c r="AH208" s="22" t="n">
        <f aca="false">100*(AH74-AH73)</f>
        <v>-6.1616481118538</v>
      </c>
      <c r="AI208" s="22" t="n">
        <f aca="false">100*(AI74-AI73)</f>
        <v>-6.18602288800612</v>
      </c>
      <c r="AJ208" s="22" t="n">
        <f aca="false">100*(AJ74-AJ73)</f>
        <v>-6.2112194148223</v>
      </c>
      <c r="AK208" s="22" t="n">
        <f aca="false">100*(AK74-AK73)</f>
        <v>-6.2371381734855</v>
      </c>
      <c r="AL208" s="22" t="n">
        <f aca="false">100*(AL74-AL73)</f>
        <v>-6.26369434260021</v>
      </c>
      <c r="AM208" s="22" t="n">
        <f aca="false">100*(AM74-AM73)</f>
        <v>-6.2908084182401</v>
      </c>
      <c r="AN208" s="22" t="n">
        <f aca="false">100*(AN74-AN73)</f>
        <v>-6.31840105679509</v>
      </c>
      <c r="AO208" s="22" t="n">
        <f aca="false">100*(AO74-AO73)</f>
        <v>-6.34638855194039</v>
      </c>
      <c r="AP208" s="22" t="n">
        <f aca="false">100*(AP74-AP73)</f>
        <v>-6.37467784646479</v>
      </c>
      <c r="AQ208" s="22" t="n">
        <f aca="false">100*(AQ74-AQ73)</f>
        <v>-6.40316466657032</v>
      </c>
      <c r="AR208" s="22" t="n">
        <f aca="false">100*(AR74-AR73)</f>
        <v>-6.4317312580453</v>
      </c>
      <c r="AS208" s="22" t="n">
        <f aca="false">100*(AS74-AS73)</f>
        <v>-6.4602470418587</v>
      </c>
      <c r="AT208" s="22" t="n">
        <f aca="false">100*(AT74-AT73)</f>
        <v>-6.48856922094201</v>
      </c>
      <c r="AU208" s="22" t="n">
        <f aca="false">100*(AU74-AU73)</f>
        <v>-6.51654000244299</v>
      </c>
      <c r="AV208" s="22" t="n">
        <f aca="false">AVERAGE(C208:AU208)</f>
        <v>-5.83458335308568</v>
      </c>
    </row>
    <row r="209" customFormat="false" ht="15" hidden="false" customHeight="false" outlineLevel="0" collapsed="false">
      <c r="A209" s="20" t="n">
        <f aca="false">A75</f>
        <v>-50</v>
      </c>
      <c r="B209" s="21" t="n">
        <f aca="false">B75</f>
        <v>43104</v>
      </c>
      <c r="C209" s="22" t="n">
        <f aca="false">100*(C75-C74)</f>
        <v>2.64281235745115</v>
      </c>
      <c r="D209" s="22" t="n">
        <f aca="false">100*(D75-D74)</f>
        <v>2.48769613805016</v>
      </c>
      <c r="E209" s="22" t="n">
        <f aca="false">100*(E75-E74)</f>
        <v>2.33427882611758</v>
      </c>
      <c r="F209" s="22" t="n">
        <f aca="false">100*(F75-F74)</f>
        <v>2.20864677981034</v>
      </c>
      <c r="G209" s="22" t="n">
        <f aca="false">100*(G75-G74)</f>
        <v>2.11837126214463</v>
      </c>
      <c r="H209" s="22" t="n">
        <f aca="false">100*(H75-H74)</f>
        <v>2.06121473359717</v>
      </c>
      <c r="I209" s="22" t="n">
        <f aca="false">100*(I75-I74)</f>
        <v>2.03133684740278</v>
      </c>
      <c r="J209" s="22" t="n">
        <f aca="false">100*(J75-J74)</f>
        <v>2.02222725393675</v>
      </c>
      <c r="K209" s="22" t="n">
        <f aca="false">100*(K75-K74)</f>
        <v>2.02767862840024</v>
      </c>
      <c r="L209" s="22" t="n">
        <f aca="false">100*(L75-L74)</f>
        <v>2.04208947238622</v>
      </c>
      <c r="M209" s="22" t="n">
        <f aca="false">100*(M75-M74)</f>
        <v>2.06068995383647</v>
      </c>
      <c r="N209" s="22" t="n">
        <f aca="false">100*(N75-N74)</f>
        <v>2.079463933063</v>
      </c>
      <c r="O209" s="22" t="n">
        <f aca="false">100*(O75-O74)</f>
        <v>1.808368845973</v>
      </c>
      <c r="P209" s="22" t="n">
        <f aca="false">100*(P75-P74)</f>
        <v>1.7627097913625</v>
      </c>
      <c r="Q209" s="22" t="n">
        <f aca="false">100*(Q75-Q74)</f>
        <v>1.7179643074013</v>
      </c>
      <c r="R209" s="22" t="n">
        <f aca="false">100*(R75-R74)</f>
        <v>1.6747486460537</v>
      </c>
      <c r="S209" s="22" t="n">
        <f aca="false">100*(S75-S74)</f>
        <v>1.6335284650935</v>
      </c>
      <c r="T209" s="22" t="n">
        <f aca="false">100*(T75-T74)</f>
        <v>1.59463983857469</v>
      </c>
      <c r="U209" s="22" t="n">
        <f aca="false">100*(U75-U74)</f>
        <v>1.5583081047355</v>
      </c>
      <c r="V209" s="22" t="n">
        <f aca="false">100*(V75-V74)</f>
        <v>1.5246555712606</v>
      </c>
      <c r="W209" s="22" t="n">
        <f aca="false">100*(W75-W74)</f>
        <v>1.49369800525612</v>
      </c>
      <c r="X209" s="22" t="n">
        <f aca="false">100*(X75-X74)</f>
        <v>1.46535508343819</v>
      </c>
      <c r="Y209" s="22" t="n">
        <f aca="false">100*(Y75-Y74)</f>
        <v>1.4394752396141</v>
      </c>
      <c r="Z209" s="22" t="n">
        <f aca="false">100*(Z75-Z74)</f>
        <v>1.4158732740682</v>
      </c>
      <c r="AA209" s="22" t="n">
        <f aca="false">100*(AA75-AA74)</f>
        <v>1.39434171223058</v>
      </c>
      <c r="AB209" s="22" t="n">
        <f aca="false">100*(AB75-AB74)</f>
        <v>1.37465356628099</v>
      </c>
      <c r="AC209" s="22" t="n">
        <f aca="false">100*(AC75-AC74)</f>
        <v>1.35656465843661</v>
      </c>
      <c r="AD209" s="22" t="n">
        <f aca="false">100*(AD75-AD74)</f>
        <v>1.3398187836515</v>
      </c>
      <c r="AE209" s="22" t="n">
        <f aca="false">100*(AE75-AE74)</f>
        <v>1.324173898067</v>
      </c>
      <c r="AF209" s="22" t="n">
        <f aca="false">100*(AF75-AF74)</f>
        <v>1.30941849246999</v>
      </c>
      <c r="AG209" s="22" t="n">
        <f aca="false">100*(AG75-AG74)</f>
        <v>1.29536590714758</v>
      </c>
      <c r="AH209" s="22" t="n">
        <f aca="false">100*(AH75-AH74)</f>
        <v>1.281851322507</v>
      </c>
      <c r="AI209" s="22" t="n">
        <f aca="false">100*(AI75-AI74)</f>
        <v>1.268732368951</v>
      </c>
      <c r="AJ209" s="22" t="n">
        <f aca="false">100*(AJ75-AJ74)</f>
        <v>1.25588706383479</v>
      </c>
      <c r="AK209" s="22" t="n">
        <f aca="false">100*(AK75-AK74)</f>
        <v>1.24321161342329</v>
      </c>
      <c r="AL209" s="22" t="n">
        <f aca="false">100*(AL75-AL74)</f>
        <v>1.23061926715899</v>
      </c>
      <c r="AM209" s="22" t="n">
        <f aca="false">100*(AM75-AM74)</f>
        <v>1.21804065100251</v>
      </c>
      <c r="AN209" s="22" t="n">
        <f aca="false">100*(AN75-AN74)</f>
        <v>1.20542207355558</v>
      </c>
      <c r="AO209" s="22" t="n">
        <f aca="false">100*(AO75-AO74)</f>
        <v>1.19272710717069</v>
      </c>
      <c r="AP209" s="22" t="n">
        <f aca="false">100*(AP75-AP74)</f>
        <v>1.17993848826929</v>
      </c>
      <c r="AQ209" s="22" t="n">
        <f aca="false">100*(AQ75-AQ74)</f>
        <v>1.16705455992201</v>
      </c>
      <c r="AR209" s="22" t="n">
        <f aca="false">100*(AR75-AR74)</f>
        <v>1.1540853604469</v>
      </c>
      <c r="AS209" s="22" t="n">
        <f aca="false">100*(AS75-AS74)</f>
        <v>1.14105134822839</v>
      </c>
      <c r="AT209" s="22" t="n">
        <f aca="false">100*(AT75-AT74)</f>
        <v>1.1279826777141</v>
      </c>
      <c r="AU209" s="22" t="n">
        <f aca="false">100*(AU75-AU74)</f>
        <v>1.1149197222019</v>
      </c>
      <c r="AV209" s="22" t="n">
        <f aca="false">AVERAGE(C209:AU209)</f>
        <v>1.58625982225997</v>
      </c>
    </row>
    <row r="210" customFormat="false" ht="15" hidden="false" customHeight="false" outlineLevel="0" collapsed="false">
      <c r="A210" s="20" t="n">
        <f aca="false">A76</f>
        <v>-49</v>
      </c>
      <c r="B210" s="21" t="n">
        <f aca="false">B76</f>
        <v>43105</v>
      </c>
      <c r="C210" s="22" t="n">
        <f aca="false">100*(C76-C75)</f>
        <v>0.346128177831034</v>
      </c>
      <c r="D210" s="22" t="n">
        <f aca="false">100*(D76-D75)</f>
        <v>0.299023335185578</v>
      </c>
      <c r="E210" s="22" t="n">
        <f aca="false">100*(E76-E75)</f>
        <v>0.24462130041738</v>
      </c>
      <c r="F210" s="22" t="n">
        <f aca="false">100*(F76-F75)</f>
        <v>0.193906568267288</v>
      </c>
      <c r="G210" s="22" t="n">
        <f aca="false">100*(G76-G75)</f>
        <v>0.152956755599643</v>
      </c>
      <c r="H210" s="22" t="n">
        <f aca="false">100*(H76-H75)</f>
        <v>0.123889961456736</v>
      </c>
      <c r="I210" s="22" t="n">
        <f aca="false">100*(I76-I75)</f>
        <v>0.106773119950598</v>
      </c>
      <c r="J210" s="22" t="n">
        <f aca="false">100*(J76-J75)</f>
        <v>0.1008013101372</v>
      </c>
      <c r="K210" s="22" t="n">
        <f aca="false">100*(K76-K75)</f>
        <v>0.104356723574006</v>
      </c>
      <c r="L210" s="22" t="n">
        <f aca="false">100*(L76-L75)</f>
        <v>0.11547261054623</v>
      </c>
      <c r="M210" s="22" t="n">
        <f aca="false">100*(M76-M75)</f>
        <v>0.132063697556206</v>
      </c>
      <c r="N210" s="22" t="n">
        <f aca="false">100*(N76-N75)</f>
        <v>0.152015144154105</v>
      </c>
      <c r="O210" s="22" t="n">
        <f aca="false">100*(O76-O75)</f>
        <v>0.247770037205308</v>
      </c>
      <c r="P210" s="22" t="n">
        <f aca="false">100*(P76-P75)</f>
        <v>0.229976573712198</v>
      </c>
      <c r="Q210" s="22" t="n">
        <f aca="false">100*(Q76-Q75)</f>
        <v>0.2088543818352</v>
      </c>
      <c r="R210" s="22" t="n">
        <f aca="false">100*(R76-R75)</f>
        <v>0.184765516815588</v>
      </c>
      <c r="S210" s="22" t="n">
        <f aca="false">100*(S76-S75)</f>
        <v>0.158121842367698</v>
      </c>
      <c r="T210" s="22" t="n">
        <f aca="false">100*(T76-T75)</f>
        <v>0.129377195269198</v>
      </c>
      <c r="U210" s="22" t="n">
        <f aca="false">100*(U76-U75)</f>
        <v>0.0990211275000874</v>
      </c>
      <c r="V210" s="22" t="n">
        <f aca="false">100*(V76-V75)</f>
        <v>0.0675706490884886</v>
      </c>
      <c r="W210" s="22" t="n">
        <f aca="false">100*(W76-W75)</f>
        <v>0.0355596635118971</v>
      </c>
      <c r="X210" s="22" t="n">
        <f aca="false">100*(X76-X75)</f>
        <v>0.00353426995380879</v>
      </c>
      <c r="Y210" s="22" t="n">
        <f aca="false">100*(Y76-Y75)</f>
        <v>-0.0279741417531953</v>
      </c>
      <c r="Z210" s="22" t="n">
        <f aca="false">100*(Z76-Z75)</f>
        <v>-0.0584942006929934</v>
      </c>
      <c r="AA210" s="22" t="n">
        <f aca="false">100*(AA76-AA75)</f>
        <v>-0.0876162161231875</v>
      </c>
      <c r="AB210" s="22" t="n">
        <f aca="false">100*(AB76-AB75)</f>
        <v>-0.114984672738805</v>
      </c>
      <c r="AC210" s="22" t="n">
        <f aca="false">100*(AC76-AC75)</f>
        <v>-0.140291783726809</v>
      </c>
      <c r="AD210" s="22" t="n">
        <f aca="false">100*(AD76-AD75)</f>
        <v>-0.163277895858704</v>
      </c>
      <c r="AE210" s="22" t="n">
        <f aca="false">100*(AE76-AE75)</f>
        <v>-0.183765143458814</v>
      </c>
      <c r="AF210" s="22" t="n">
        <f aca="false">100*(AF76-AF75)</f>
        <v>-0.201663465543089</v>
      </c>
      <c r="AG210" s="22" t="n">
        <f aca="false">100*(AG76-AG75)</f>
        <v>-0.216942136810494</v>
      </c>
      <c r="AH210" s="22" t="n">
        <f aca="false">100*(AH76-AH75)</f>
        <v>-0.229617562593498</v>
      </c>
      <c r="AI210" s="22" t="n">
        <f aca="false">100*(AI76-AI75)</f>
        <v>-0.239742084730099</v>
      </c>
      <c r="AJ210" s="22" t="n">
        <f aca="false">100*(AJ76-AJ75)</f>
        <v>-0.247401528410096</v>
      </c>
      <c r="AK210" s="22" t="n">
        <f aca="false">100*(AK76-AK75)</f>
        <v>-0.252712430471691</v>
      </c>
      <c r="AL210" s="22" t="n">
        <f aca="false">100*(AL76-AL75)</f>
        <v>-0.255816604901282</v>
      </c>
      <c r="AM210" s="22" t="n">
        <f aca="false">100*(AM76-AM75)</f>
        <v>-0.256869596468401</v>
      </c>
      <c r="AN210" s="22" t="n">
        <f aca="false">100*(AN76-AN75)</f>
        <v>-0.256037713837087</v>
      </c>
      <c r="AO210" s="22" t="n">
        <f aca="false">100*(AO76-AO75)</f>
        <v>-0.253494624181294</v>
      </c>
      <c r="AP210" s="22" t="n">
        <f aca="false">100*(AP76-AP75)</f>
        <v>-0.249418984981609</v>
      </c>
      <c r="AQ210" s="22" t="n">
        <f aca="false">100*(AQ76-AQ75)</f>
        <v>-0.243994537993797</v>
      </c>
      <c r="AR210" s="22" t="n">
        <f aca="false">100*(AR76-AR75)</f>
        <v>-0.23740900754039</v>
      </c>
      <c r="AS210" s="22" t="n">
        <f aca="false">100*(AS76-AS75)</f>
        <v>-0.229853465400587</v>
      </c>
      <c r="AT210" s="22" t="n">
        <f aca="false">100*(AT76-AT75)</f>
        <v>-0.22152245691498</v>
      </c>
      <c r="AU210" s="22" t="n">
        <f aca="false">100*(AU76-AU75)</f>
        <v>-0.21261464567941</v>
      </c>
      <c r="AV210" s="22" t="n">
        <f aca="false">AVERAGE(C210:AU210)</f>
        <v>-0.0254434430861075</v>
      </c>
    </row>
    <row r="211" customFormat="false" ht="15" hidden="false" customHeight="false" outlineLevel="0" collapsed="false">
      <c r="A211" s="20" t="n">
        <f aca="false">A77</f>
        <v>-48</v>
      </c>
      <c r="B211" s="21" t="n">
        <f aca="false">B77</f>
        <v>43108</v>
      </c>
      <c r="C211" s="22" t="n">
        <f aca="false">100*(C77-C76)</f>
        <v>0.378426774979168</v>
      </c>
      <c r="D211" s="22" t="n">
        <f aca="false">100*(D77-D76)</f>
        <v>0.32324707203244</v>
      </c>
      <c r="E211" s="22" t="n">
        <f aca="false">100*(E77-E76)</f>
        <v>0.243801869245586</v>
      </c>
      <c r="F211" s="22" t="n">
        <f aca="false">100*(F77-F76)</f>
        <v>0.144361705718021</v>
      </c>
      <c r="G211" s="22" t="n">
        <f aca="false">100*(G77-G76)</f>
        <v>0.0289418537954833</v>
      </c>
      <c r="H211" s="22" t="n">
        <f aca="false">100*(H77-H76)</f>
        <v>-0.0985806899045705</v>
      </c>
      <c r="I211" s="22" t="n">
        <f aca="false">100*(I77-I76)</f>
        <v>-0.234200509319049</v>
      </c>
      <c r="J211" s="22" t="n">
        <f aca="false">100*(J77-J76)</f>
        <v>-0.373993461361488</v>
      </c>
      <c r="K211" s="22" t="n">
        <f aca="false">100*(K77-K76)</f>
        <v>-0.514427436449383</v>
      </c>
      <c r="L211" s="22" t="n">
        <f aca="false">100*(L77-L76)</f>
        <v>-0.652387924788322</v>
      </c>
      <c r="M211" s="22" t="n">
        <f aca="false">100*(M77-M76)</f>
        <v>-0.785298615171004</v>
      </c>
      <c r="N211" s="22" t="n">
        <f aca="false">100*(N77-N76)</f>
        <v>-0.911126263848194</v>
      </c>
      <c r="O211" s="22" t="n">
        <f aca="false">100*(O77-O76)</f>
        <v>-1.8367136446322</v>
      </c>
      <c r="P211" s="22" t="n">
        <f aca="false">100*(P77-P76)</f>
        <v>-1.87349376490871</v>
      </c>
      <c r="Q211" s="22" t="n">
        <f aca="false">100*(Q77-Q76)</f>
        <v>-1.90799017809959</v>
      </c>
      <c r="R211" s="22" t="n">
        <f aca="false">100*(R77-R76)</f>
        <v>-1.94043126077279</v>
      </c>
      <c r="S211" s="22" t="n">
        <f aca="false">100*(S77-S76)</f>
        <v>-1.970985944194</v>
      </c>
      <c r="T211" s="22" t="n">
        <f aca="false">100*(T77-T76)</f>
        <v>-1.9997727886877</v>
      </c>
      <c r="U211" s="22" t="n">
        <f aca="false">100*(U77-U76)</f>
        <v>-2.02686748649419</v>
      </c>
      <c r="V211" s="22" t="n">
        <f aca="false">100*(V77-V76)</f>
        <v>-2.0523122428727</v>
      </c>
      <c r="W211" s="22" t="n">
        <f aca="false">100*(W77-W76)</f>
        <v>-2.07612711047471</v>
      </c>
      <c r="X211" s="22" t="n">
        <f aca="false">100*(X77-X76)</f>
        <v>-2.09831479566409</v>
      </c>
      <c r="Y211" s="22" t="n">
        <f aca="false">100*(Y77-Y76)</f>
        <v>-2.1188724771124</v>
      </c>
      <c r="Z211" s="22" t="n">
        <f aca="false">100*(Z77-Z76)</f>
        <v>-2.13780969847681</v>
      </c>
      <c r="AA211" s="22" t="n">
        <f aca="false">100*(AA77-AA76)</f>
        <v>-2.15515001864801</v>
      </c>
      <c r="AB211" s="22" t="n">
        <f aca="false">100*(AB77-AB76)</f>
        <v>-2.1709293068132</v>
      </c>
      <c r="AC211" s="22" t="n">
        <f aca="false">100*(AC77-AC76)</f>
        <v>-2.1851942779872</v>
      </c>
      <c r="AD211" s="22" t="n">
        <f aca="false">100*(AD77-AD76)</f>
        <v>-2.1980027439064</v>
      </c>
      <c r="AE211" s="22" t="n">
        <f aca="false">100*(AE77-AE76)</f>
        <v>-2.20943131248559</v>
      </c>
      <c r="AF211" s="22" t="n">
        <f aca="false">100*(AF77-AF76)</f>
        <v>-2.21957628167551</v>
      </c>
      <c r="AG211" s="22" t="n">
        <f aca="false">100*(AG77-AG76)</f>
        <v>-2.2285479503446</v>
      </c>
      <c r="AH211" s="22" t="n">
        <f aca="false">100*(AH77-AH76)</f>
        <v>-2.23646796721511</v>
      </c>
      <c r="AI211" s="22" t="n">
        <f aca="false">100*(AI77-AI76)</f>
        <v>-2.24346666201369</v>
      </c>
      <c r="AJ211" s="22" t="n">
        <f aca="false">100*(AJ77-AJ76)</f>
        <v>-2.24968301969379</v>
      </c>
      <c r="AK211" s="22" t="n">
        <f aca="false">100*(AK77-AK76)</f>
        <v>-2.2552640266791</v>
      </c>
      <c r="AL211" s="22" t="n">
        <f aca="false">100*(AL77-AL76)</f>
        <v>-2.260362633163</v>
      </c>
      <c r="AM211" s="22" t="n">
        <f aca="false">100*(AM77-AM76)</f>
        <v>-2.26513116718341</v>
      </c>
      <c r="AN211" s="22" t="n">
        <f aca="false">100*(AN77-AN76)</f>
        <v>-2.26971856215941</v>
      </c>
      <c r="AO211" s="22" t="n">
        <f aca="false">100*(AO77-AO76)</f>
        <v>-2.27426687752499</v>
      </c>
      <c r="AP211" s="22" t="n">
        <f aca="false">100*(AP77-AP76)</f>
        <v>-2.27890749077089</v>
      </c>
      <c r="AQ211" s="22" t="n">
        <f aca="false">100*(AQ77-AQ76)</f>
        <v>-2.28375607491911</v>
      </c>
      <c r="AR211" s="22" t="n">
        <f aca="false">100*(AR77-AR76)</f>
        <v>-2.28890650985432</v>
      </c>
      <c r="AS211" s="22" t="n">
        <f aca="false">100*(AS77-AS76)</f>
        <v>-2.2944317710254</v>
      </c>
      <c r="AT211" s="22" t="n">
        <f aca="false">100*(AT77-AT76)</f>
        <v>-2.30038481351642</v>
      </c>
      <c r="AU211" s="22" t="n">
        <f aca="false">100*(AU77-AU76)</f>
        <v>-2.30679352210099</v>
      </c>
      <c r="AV211" s="22" t="n">
        <f aca="false">AVERAGE(C211:AU211)</f>
        <v>-1.63700666682536</v>
      </c>
    </row>
    <row r="212" customFormat="false" ht="15" hidden="false" customHeight="false" outlineLevel="0" collapsed="false">
      <c r="A212" s="20" t="n">
        <f aca="false">A78</f>
        <v>-47</v>
      </c>
      <c r="B212" s="21" t="n">
        <f aca="false">B78</f>
        <v>43109</v>
      </c>
      <c r="C212" s="22" t="n">
        <f aca="false">100*(C78-C77)</f>
        <v>3.13631044397015</v>
      </c>
      <c r="D212" s="22" t="n">
        <f aca="false">100*(D78-D77)</f>
        <v>3.26157949824241</v>
      </c>
      <c r="E212" s="22" t="n">
        <f aca="false">100*(E78-E77)</f>
        <v>3.42671982942464</v>
      </c>
      <c r="F212" s="22" t="n">
        <f aca="false">100*(F78-F77)</f>
        <v>3.60842822456113</v>
      </c>
      <c r="G212" s="22" t="n">
        <f aca="false">100*(G78-G77)</f>
        <v>3.79402633431891</v>
      </c>
      <c r="H212" s="22" t="n">
        <f aca="false">100*(H78-H77)</f>
        <v>3.97742850877157</v>
      </c>
      <c r="I212" s="22" t="n">
        <f aca="false">100*(I78-I77)</f>
        <v>4.15534393211193</v>
      </c>
      <c r="J212" s="22" t="n">
        <f aca="false">100*(J78-J77)</f>
        <v>4.32533005033361</v>
      </c>
      <c r="K212" s="22" t="n">
        <f aca="false">100*(K78-K77)</f>
        <v>4.48503594712795</v>
      </c>
      <c r="L212" s="22" t="n">
        <f aca="false">100*(L78-L77)</f>
        <v>4.63208542582856</v>
      </c>
      <c r="M212" s="22" t="n">
        <f aca="false">100*(M78-M77)</f>
        <v>4.76445555483249</v>
      </c>
      <c r="N212" s="22" t="n">
        <f aca="false">100*(N78-N77)</f>
        <v>4.8806891443697</v>
      </c>
      <c r="O212" s="22" t="n">
        <f aca="false">100*(O78-O77)</f>
        <v>5.18025201711689</v>
      </c>
      <c r="P212" s="22" t="n">
        <f aca="false">100*(P78-P77)</f>
        <v>5.15086308089989</v>
      </c>
      <c r="Q212" s="22" t="n">
        <f aca="false">100*(Q78-Q77)</f>
        <v>5.11976795164031</v>
      </c>
      <c r="R212" s="22" t="n">
        <f aca="false">100*(R78-R77)</f>
        <v>5.08782430958619</v>
      </c>
      <c r="S212" s="22" t="n">
        <f aca="false">100*(S78-S77)</f>
        <v>5.05575066113511</v>
      </c>
      <c r="T212" s="22" t="n">
        <f aca="false">100*(T78-T77)</f>
        <v>5.02414557874502</v>
      </c>
      <c r="U212" s="22" t="n">
        <f aca="false">100*(U78-U77)</f>
        <v>4.9935049687343</v>
      </c>
      <c r="V212" s="22" t="n">
        <f aca="false">100*(V78-V77)</f>
        <v>4.9642244175967</v>
      </c>
      <c r="W212" s="22" t="n">
        <f aca="false">100*(W78-W77)</f>
        <v>4.93658816928511</v>
      </c>
      <c r="X212" s="22" t="n">
        <f aca="false">100*(X78-X77)</f>
        <v>4.91077867951779</v>
      </c>
      <c r="Y212" s="22" t="n">
        <f aca="false">100*(Y78-Y77)</f>
        <v>4.88688965690649</v>
      </c>
      <c r="Z212" s="22" t="n">
        <f aca="false">100*(Z78-Z77)</f>
        <v>4.86493933822891</v>
      </c>
      <c r="AA212" s="22" t="n">
        <f aca="false">100*(AA78-AA77)</f>
        <v>4.84488095969691</v>
      </c>
      <c r="AB212" s="22" t="n">
        <f aca="false">100*(AB78-AB77)</f>
        <v>4.82661069722161</v>
      </c>
      <c r="AC212" s="22" t="n">
        <f aca="false">100*(AC78-AC77)</f>
        <v>4.8099744588165</v>
      </c>
      <c r="AD212" s="22" t="n">
        <f aca="false">100*(AD78-AD77)</f>
        <v>4.7947742239921</v>
      </c>
      <c r="AE212" s="22" t="n">
        <f aca="false">100*(AE78-AE77)</f>
        <v>4.78077813655389</v>
      </c>
      <c r="AF212" s="22" t="n">
        <f aca="false">100*(AF78-AF77)</f>
        <v>4.767728873124</v>
      </c>
      <c r="AG212" s="22" t="n">
        <f aca="false">100*(AG78-AG77)</f>
        <v>4.7553456086364</v>
      </c>
      <c r="AH212" s="22" t="n">
        <f aca="false">100*(AH78-AH77)</f>
        <v>4.7433279156238</v>
      </c>
      <c r="AI212" s="22" t="n">
        <f aca="false">100*(AI78-AI77)</f>
        <v>4.7313686408281</v>
      </c>
      <c r="AJ212" s="22" t="n">
        <f aca="false">100*(AJ78-AJ77)</f>
        <v>4.71916028470969</v>
      </c>
      <c r="AK212" s="22" t="n">
        <f aca="false">100*(AK78-AK77)</f>
        <v>4.70639519274612</v>
      </c>
      <c r="AL212" s="22" t="n">
        <f aca="false">100*(AL78-AL77)</f>
        <v>4.6927680393289</v>
      </c>
      <c r="AM212" s="22" t="n">
        <f aca="false">100*(AM78-AM77)</f>
        <v>4.67799006986291</v>
      </c>
      <c r="AN212" s="22" t="n">
        <f aca="false">100*(AN78-AN77)</f>
        <v>4.66179641059341</v>
      </c>
      <c r="AO212" s="22" t="n">
        <f aca="false">100*(AO78-AO77)</f>
        <v>4.64394955150229</v>
      </c>
      <c r="AP212" s="22" t="n">
        <f aca="false">100*(AP78-AP77)</f>
        <v>4.62424335242959</v>
      </c>
      <c r="AQ212" s="22" t="n">
        <f aca="false">100*(AQ78-AQ77)</f>
        <v>4.60251008787691</v>
      </c>
      <c r="AR212" s="22" t="n">
        <f aca="false">100*(AR78-AR77)</f>
        <v>4.5786289504536</v>
      </c>
      <c r="AS212" s="22" t="n">
        <f aca="false">100*(AS78-AS77)</f>
        <v>4.55252350466029</v>
      </c>
      <c r="AT212" s="22" t="n">
        <f aca="false">100*(AT78-AT77)</f>
        <v>4.5241593282729</v>
      </c>
      <c r="AU212" s="22" t="n">
        <f aca="false">100*(AU78-AU77)</f>
        <v>4.4935508123255</v>
      </c>
      <c r="AV212" s="22" t="n">
        <f aca="false">AVERAGE(C212:AU212)</f>
        <v>4.6034539293898</v>
      </c>
    </row>
    <row r="213" customFormat="false" ht="15" hidden="false" customHeight="false" outlineLevel="0" collapsed="false">
      <c r="A213" s="20" t="n">
        <f aca="false">A79</f>
        <v>-46</v>
      </c>
      <c r="B213" s="21" t="n">
        <f aca="false">B79</f>
        <v>43110</v>
      </c>
      <c r="C213" s="22" t="n">
        <f aca="false">100*(C79-C78)</f>
        <v>0.828448199836163</v>
      </c>
      <c r="D213" s="22" t="n">
        <f aca="false">100*(D79-D78)</f>
        <v>0.808278486600644</v>
      </c>
      <c r="E213" s="22" t="n">
        <f aca="false">100*(E79-E78)</f>
        <v>0.806275373627075</v>
      </c>
      <c r="F213" s="22" t="n">
        <f aca="false">100*(F79-F78)</f>
        <v>0.812393046869442</v>
      </c>
      <c r="G213" s="22" t="n">
        <f aca="false">100*(G79-G78)</f>
        <v>0.822695160046583</v>
      </c>
      <c r="H213" s="22" t="n">
        <f aca="false">100*(H79-H78)</f>
        <v>0.836888859412033</v>
      </c>
      <c r="I213" s="22" t="n">
        <f aca="false">100*(I79-I78)</f>
        <v>0.856059393156206</v>
      </c>
      <c r="J213" s="22" t="n">
        <f aca="false">100*(J79-J78)</f>
        <v>0.881187452641219</v>
      </c>
      <c r="K213" s="22" t="n">
        <f aca="false">100*(K79-K78)</f>
        <v>0.91267995020976</v>
      </c>
      <c r="L213" s="22" t="n">
        <f aca="false">100*(L79-L78)</f>
        <v>0.950339074054307</v>
      </c>
      <c r="M213" s="22" t="n">
        <f aca="false">100*(M79-M78)</f>
        <v>0.993397720810507</v>
      </c>
      <c r="N213" s="22" t="n">
        <f aca="false">100*(N79-N78)</f>
        <v>1.04061696599109</v>
      </c>
      <c r="O213" s="22" t="n">
        <f aca="false">100*(O79-O78)</f>
        <v>1.42317184884642</v>
      </c>
      <c r="P213" s="22" t="n">
        <f aca="false">100*(P79-P78)</f>
        <v>1.4212824085013</v>
      </c>
      <c r="Q213" s="22" t="n">
        <f aca="false">100*(Q79-Q78)</f>
        <v>1.41640279886179</v>
      </c>
      <c r="R213" s="22" t="n">
        <f aca="false">100*(R79-R78)</f>
        <v>1.40894664031581</v>
      </c>
      <c r="S213" s="22" t="n">
        <f aca="false">100*(S79-S78)</f>
        <v>1.3992943533083</v>
      </c>
      <c r="T213" s="22" t="n">
        <f aca="false">100*(T79-T78)</f>
        <v>1.38779784129068</v>
      </c>
      <c r="U213" s="22" t="n">
        <f aca="false">100*(U79-U78)</f>
        <v>1.3747845052825</v>
      </c>
      <c r="V213" s="22" t="n">
        <f aca="false">100*(V79-V78)</f>
        <v>1.36055523114731</v>
      </c>
      <c r="W213" s="22" t="n">
        <f aca="false">100*(W79-W78)</f>
        <v>1.3453773999063</v>
      </c>
      <c r="X213" s="22" t="n">
        <f aca="false">100*(X79-X78)</f>
        <v>1.32948709853811</v>
      </c>
      <c r="Y213" s="22" t="n">
        <f aca="false">100*(Y79-Y78)</f>
        <v>1.3130916069436</v>
      </c>
      <c r="Z213" s="22" t="n">
        <f aca="false">100*(Z79-Z78)</f>
        <v>1.2963723832544</v>
      </c>
      <c r="AA213" s="22" t="n">
        <f aca="false">100*(AA79-AA78)</f>
        <v>1.27948875344359</v>
      </c>
      <c r="AB213" s="22" t="n">
        <f aca="false">100*(AB79-AB78)</f>
        <v>1.26258062091069</v>
      </c>
      <c r="AC213" s="22" t="n">
        <f aca="false">100*(AC79-AC78)</f>
        <v>1.2457707777483</v>
      </c>
      <c r="AD213" s="22" t="n">
        <f aca="false">100*(AD79-AD78)</f>
        <v>1.22916629989911</v>
      </c>
      <c r="AE213" s="22" t="n">
        <f aca="false">100*(AE79-AE78)</f>
        <v>1.2128579484205</v>
      </c>
      <c r="AF213" s="22" t="n">
        <f aca="false">100*(AF79-AF78)</f>
        <v>1.19692282358419</v>
      </c>
      <c r="AG213" s="22" t="n">
        <f aca="false">100*(AG79-AG78)</f>
        <v>1.18142777656691</v>
      </c>
      <c r="AH213" s="22" t="n">
        <f aca="false">100*(AH79-AH78)</f>
        <v>1.1664309414436</v>
      </c>
      <c r="AI213" s="22" t="n">
        <f aca="false">100*(AI79-AI78)</f>
        <v>1.15198185732339</v>
      </c>
      <c r="AJ213" s="22" t="n">
        <f aca="false">100*(AJ79-AJ78)</f>
        <v>1.1381198294252</v>
      </c>
      <c r="AK213" s="22" t="n">
        <f aca="false">100*(AK79-AK78)</f>
        <v>1.12487465137199</v>
      </c>
      <c r="AL213" s="22" t="n">
        <f aca="false">100*(AL79-AL78)</f>
        <v>1.11226770115609</v>
      </c>
      <c r="AM213" s="22" t="n">
        <f aca="false">100*(AM79-AM78)</f>
        <v>1.1003105577051</v>
      </c>
      <c r="AN213" s="22" t="n">
        <f aca="false">100*(AN79-AN78)</f>
        <v>1.08900243200349</v>
      </c>
      <c r="AO213" s="22" t="n">
        <f aca="false">100*(AO79-AO78)</f>
        <v>1.0783297365982</v>
      </c>
      <c r="AP213" s="22" t="n">
        <f aca="false">100*(AP79-AP78)</f>
        <v>1.06826507561071</v>
      </c>
      <c r="AQ213" s="22" t="n">
        <f aca="false">100*(AQ79-AQ78)</f>
        <v>1.05876833328769</v>
      </c>
      <c r="AR213" s="22" t="n">
        <f aca="false">100*(AR79-AR78)</f>
        <v>1.04978825027942</v>
      </c>
      <c r="AS213" s="22" t="n">
        <f aca="false">100*(AS79-AS78)</f>
        <v>1.0412634695852</v>
      </c>
      <c r="AT213" s="22" t="n">
        <f aca="false">100*(AT79-AT78)</f>
        <v>1.0331234362603</v>
      </c>
      <c r="AU213" s="22" t="n">
        <f aca="false">100*(AU79-AU78)</f>
        <v>1.02529001362641</v>
      </c>
      <c r="AV213" s="22" t="n">
        <f aca="false">AVERAGE(C213:AU213)</f>
        <v>1.13048566857115</v>
      </c>
    </row>
    <row r="214" customFormat="false" ht="15" hidden="false" customHeight="false" outlineLevel="0" collapsed="false">
      <c r="A214" s="20" t="n">
        <f aca="false">A80</f>
        <v>-45</v>
      </c>
      <c r="B214" s="21" t="n">
        <f aca="false">B80</f>
        <v>43111</v>
      </c>
      <c r="C214" s="22" t="n">
        <f aca="false">100*(C80-C79)</f>
        <v>2.82402826748041</v>
      </c>
      <c r="D214" s="22" t="n">
        <f aca="false">100*(D80-D79)</f>
        <v>2.92716652337157</v>
      </c>
      <c r="E214" s="22" t="n">
        <f aca="false">100*(E80-E79)</f>
        <v>2.9672136222486</v>
      </c>
      <c r="F214" s="22" t="n">
        <f aca="false">100*(F80-F79)</f>
        <v>2.97482794876151</v>
      </c>
      <c r="G214" s="22" t="n">
        <f aca="false">100*(G80-G79)</f>
        <v>2.96533790086035</v>
      </c>
      <c r="H214" s="22" t="n">
        <f aca="false">100*(H80-H79)</f>
        <v>2.94687996472756</v>
      </c>
      <c r="I214" s="22" t="n">
        <f aca="false">100*(I80-I79)</f>
        <v>2.92368769352094</v>
      </c>
      <c r="J214" s="22" t="n">
        <f aca="false">100*(J80-J79)</f>
        <v>2.89763953368685</v>
      </c>
      <c r="K214" s="22" t="n">
        <f aca="false">100*(K80-K79)</f>
        <v>2.86916099634182</v>
      </c>
      <c r="L214" s="22" t="n">
        <f aca="false">100*(L80-L79)</f>
        <v>2.83775036672052</v>
      </c>
      <c r="M214" s="22" t="n">
        <f aca="false">100*(M80-M79)</f>
        <v>2.80256525514389</v>
      </c>
      <c r="N214" s="22" t="n">
        <f aca="false">100*(N80-N79)</f>
        <v>2.7627033779672</v>
      </c>
      <c r="O214" s="22" t="n">
        <f aca="false">100*(O80-O79)</f>
        <v>1.70158160740268</v>
      </c>
      <c r="P214" s="22" t="n">
        <f aca="false">100*(P80-P79)</f>
        <v>1.60076342472422</v>
      </c>
      <c r="Q214" s="22" t="n">
        <f aca="false">100*(Q80-Q79)</f>
        <v>1.50371702818379</v>
      </c>
      <c r="R214" s="22" t="n">
        <f aca="false">100*(R80-R79)</f>
        <v>1.4116233350701</v>
      </c>
      <c r="S214" s="22" t="n">
        <f aca="false">100*(S80-S79)</f>
        <v>1.32539110759951</v>
      </c>
      <c r="T214" s="22" t="n">
        <f aca="false">100*(T80-T79)</f>
        <v>1.24569355772171</v>
      </c>
      <c r="U214" s="22" t="n">
        <f aca="false">100*(U80-U79)</f>
        <v>1.17300222155099</v>
      </c>
      <c r="V214" s="22" t="n">
        <f aca="false">100*(V80-V79)</f>
        <v>1.107591683177</v>
      </c>
      <c r="W214" s="22" t="n">
        <f aca="false">100*(W80-W79)</f>
        <v>1.04951964784601</v>
      </c>
      <c r="X214" s="22" t="n">
        <f aca="false">100*(X80-X79)</f>
        <v>0.998647099667305</v>
      </c>
      <c r="Y214" s="22" t="n">
        <f aca="false">100*(Y80-Y79)</f>
        <v>0.954690298129912</v>
      </c>
      <c r="Z214" s="22" t="n">
        <f aca="false">100*(Z80-Z79)</f>
        <v>0.917293583203893</v>
      </c>
      <c r="AA214" s="22" t="n">
        <f aca="false">100*(AA80-AA79)</f>
        <v>0.886050424218299</v>
      </c>
      <c r="AB214" s="22" t="n">
        <f aca="false">100*(AB80-AB79)</f>
        <v>0.860509674728593</v>
      </c>
      <c r="AC214" s="22" t="n">
        <f aca="false">100*(AC80-AC79)</f>
        <v>0.840180885983699</v>
      </c>
      <c r="AD214" s="22" t="n">
        <f aca="false">100*(AD80-AD79)</f>
        <v>0.824545129360987</v>
      </c>
      <c r="AE214" s="22" t="n">
        <f aca="false">100*(AE80-AE79)</f>
        <v>0.813101759047208</v>
      </c>
      <c r="AF214" s="22" t="n">
        <f aca="false">100*(AF80-AF79)</f>
        <v>0.805396523001511</v>
      </c>
      <c r="AG214" s="22" t="n">
        <f aca="false">100*(AG80-AG79)</f>
        <v>0.80101647489208</v>
      </c>
      <c r="AH214" s="22" t="n">
        <f aca="false">100*(AH80-AH79)</f>
        <v>0.799585407532621</v>
      </c>
      <c r="AI214" s="22" t="n">
        <f aca="false">100*(AI80-AI79)</f>
        <v>0.800760393439703</v>
      </c>
      <c r="AJ214" s="22" t="n">
        <f aca="false">100*(AJ80-AJ79)</f>
        <v>0.804226700328403</v>
      </c>
      <c r="AK214" s="22" t="n">
        <f aca="false">100*(AK80-AK79)</f>
        <v>0.809694721687593</v>
      </c>
      <c r="AL214" s="22" t="n">
        <f aca="false">100*(AL80-AL79)</f>
        <v>0.816896944802004</v>
      </c>
      <c r="AM214" s="22" t="n">
        <f aca="false">100*(AM80-AM79)</f>
        <v>0.825578588973008</v>
      </c>
      <c r="AN214" s="22" t="n">
        <f aca="false">100*(AN80-AN79)</f>
        <v>0.835489465416295</v>
      </c>
      <c r="AO214" s="22" t="n">
        <f aca="false">100*(AO80-AO79)</f>
        <v>0.846381754057091</v>
      </c>
      <c r="AP214" s="22" t="n">
        <f aca="false">100*(AP80-AP79)</f>
        <v>0.858007995079202</v>
      </c>
      <c r="AQ214" s="22" t="n">
        <f aca="false">100*(AQ80-AQ79)</f>
        <v>0.870126563406815</v>
      </c>
      <c r="AR214" s="22" t="n">
        <f aca="false">100*(AR80-AR79)</f>
        <v>0.882508483589906</v>
      </c>
      <c r="AS214" s="22" t="n">
        <f aca="false">100*(AS80-AS79)</f>
        <v>0.894937234245319</v>
      </c>
      <c r="AT214" s="22" t="n">
        <f aca="false">100*(AT80-AT79)</f>
        <v>0.907209050277014</v>
      </c>
      <c r="AU214" s="22" t="n">
        <f aca="false">100*(AU80-AU79)</f>
        <v>0.919141465407392</v>
      </c>
      <c r="AV214" s="22" t="n">
        <f aca="false">AVERAGE(C214:AU214)</f>
        <v>1.49755159299073</v>
      </c>
    </row>
    <row r="215" customFormat="false" ht="15" hidden="false" customHeight="false" outlineLevel="0" collapsed="false">
      <c r="A215" s="20" t="n">
        <f aca="false">A81</f>
        <v>-44</v>
      </c>
      <c r="B215" s="21" t="n">
        <f aca="false">B81</f>
        <v>43112</v>
      </c>
      <c r="C215" s="22" t="n">
        <f aca="false">100*(C81-C80)</f>
        <v>3.53926258402875</v>
      </c>
      <c r="D215" s="22" t="n">
        <f aca="false">100*(D81-D80)</f>
        <v>3.6796559163969</v>
      </c>
      <c r="E215" s="22" t="n">
        <f aca="false">100*(E81-E80)</f>
        <v>3.72286318151104</v>
      </c>
      <c r="F215" s="22" t="n">
        <f aca="false">100*(F81-F80)</f>
        <v>3.70421541463086</v>
      </c>
      <c r="G215" s="22" t="n">
        <f aca="false">100*(G81-G80)</f>
        <v>3.64208975616819</v>
      </c>
      <c r="H215" s="22" t="n">
        <f aca="false">100*(H81-H80)</f>
        <v>3.54882393391878</v>
      </c>
      <c r="I215" s="22" t="n">
        <f aca="false">100*(I81-I80)</f>
        <v>3.43403112092883</v>
      </c>
      <c r="J215" s="22" t="n">
        <f aca="false">100*(J81-J80)</f>
        <v>3.30566682424823</v>
      </c>
      <c r="K215" s="22" t="n">
        <f aca="false">100*(K81-K80)</f>
        <v>3.17042209775137</v>
      </c>
      <c r="L215" s="22" t="n">
        <f aca="false">100*(L81-L80)</f>
        <v>3.03353523800081</v>
      </c>
      <c r="M215" s="22" t="n">
        <f aca="false">100*(M81-M80)</f>
        <v>2.89865767367461</v>
      </c>
      <c r="N215" s="22" t="n">
        <f aca="false">100*(N81-N80)</f>
        <v>2.76805377435732</v>
      </c>
      <c r="O215" s="22" t="n">
        <f aca="false">100*(O81-O80)</f>
        <v>1.35097158772182</v>
      </c>
      <c r="P215" s="22" t="n">
        <f aca="false">100*(P81-P80)</f>
        <v>1.26585209691219</v>
      </c>
      <c r="Q215" s="22" t="n">
        <f aca="false">100*(Q81-Q80)</f>
        <v>1.1871295382172</v>
      </c>
      <c r="R215" s="22" t="n">
        <f aca="false">100*(R81-R80)</f>
        <v>1.11517045848459</v>
      </c>
      <c r="S215" s="22" t="n">
        <f aca="false">100*(S81-S80)</f>
        <v>1.05018023626688</v>
      </c>
      <c r="T215" s="22" t="n">
        <f aca="false">100*(T81-T80)</f>
        <v>0.992226504967597</v>
      </c>
      <c r="U215" s="22" t="n">
        <f aca="false">100*(U81-U80)</f>
        <v>0.94125877941591</v>
      </c>
      <c r="V215" s="22" t="n">
        <f aca="false">100*(V81-V80)</f>
        <v>0.897109349250003</v>
      </c>
      <c r="W215" s="22" t="n">
        <f aca="false">100*(W81-W80)</f>
        <v>0.85948224374619</v>
      </c>
      <c r="X215" s="22" t="n">
        <f aca="false">100*(X81-X80)</f>
        <v>0.827966226805588</v>
      </c>
      <c r="Y215" s="22" t="n">
        <f aca="false">100*(Y81-Y80)</f>
        <v>0.802068300320391</v>
      </c>
      <c r="Z215" s="22" t="n">
        <f aca="false">100*(Z81-Z80)</f>
        <v>0.781264758465605</v>
      </c>
      <c r="AA215" s="22" t="n">
        <f aca="false">100*(AA81-AA80)</f>
        <v>0.765014572107803</v>
      </c>
      <c r="AB215" s="22" t="n">
        <f aca="false">100*(AB81-AB80)</f>
        <v>0.752761547582304</v>
      </c>
      <c r="AC215" s="22" t="n">
        <f aca="false">100*(AC81-AC80)</f>
        <v>0.743936133698009</v>
      </c>
      <c r="AD215" s="22" t="n">
        <f aca="false">100*(AD81-AD80)</f>
        <v>0.737962387539914</v>
      </c>
      <c r="AE215" s="22" t="n">
        <f aca="false">100*(AE81-AE80)</f>
        <v>0.734296269637702</v>
      </c>
      <c r="AF215" s="22" t="n">
        <f aca="false">100*(AF81-AF80)</f>
        <v>0.732444497794704</v>
      </c>
      <c r="AG215" s="22" t="n">
        <f aca="false">100*(AG81-AG80)</f>
        <v>0.731948993420617</v>
      </c>
      <c r="AH215" s="22" t="n">
        <f aca="false">100*(AH81-AH80)</f>
        <v>0.732382898751083</v>
      </c>
      <c r="AI215" s="22" t="n">
        <f aca="false">100*(AI81-AI80)</f>
        <v>0.73335798025731</v>
      </c>
      <c r="AJ215" s="22" t="n">
        <f aca="false">100*(AJ81-AJ80)</f>
        <v>0.734522028683005</v>
      </c>
      <c r="AK215" s="22" t="n">
        <f aca="false">100*(AK81-AK80)</f>
        <v>0.735554865812405</v>
      </c>
      <c r="AL215" s="22" t="n">
        <f aca="false">100*(AL81-AL80)</f>
        <v>0.736167940562305</v>
      </c>
      <c r="AM215" s="22" t="n">
        <f aca="false">100*(AM81-AM80)</f>
        <v>0.736110024204795</v>
      </c>
      <c r="AN215" s="22" t="n">
        <f aca="false">100*(AN81-AN80)</f>
        <v>0.735164430124602</v>
      </c>
      <c r="AO215" s="22" t="n">
        <f aca="false">100*(AO81-AO80)</f>
        <v>0.733146352006098</v>
      </c>
      <c r="AP215" s="22" t="n">
        <f aca="false">100*(AP81-AP80)</f>
        <v>0.7298994509088</v>
      </c>
      <c r="AQ215" s="22" t="n">
        <f aca="false">100*(AQ81-AQ80)</f>
        <v>0.725297871131403</v>
      </c>
      <c r="AR215" s="22" t="n">
        <f aca="false">100*(AR81-AR80)</f>
        <v>0.719249673466393</v>
      </c>
      <c r="AS215" s="22" t="n">
        <f aca="false">100*(AS81-AS80)</f>
        <v>0.711694646875194</v>
      </c>
      <c r="AT215" s="22" t="n">
        <f aca="false">100*(AT81-AT80)</f>
        <v>0.702602225225801</v>
      </c>
      <c r="AU215" s="22" t="n">
        <f aca="false">100*(AU81-AU80)</f>
        <v>0.691973081854691</v>
      </c>
      <c r="AV215" s="22" t="n">
        <f aca="false">AVERAGE(C215:AU215)</f>
        <v>1.5082987881741</v>
      </c>
    </row>
    <row r="216" customFormat="false" ht="15" hidden="false" customHeight="false" outlineLevel="0" collapsed="false">
      <c r="A216" s="20" t="n">
        <f aca="false">A82</f>
        <v>-43</v>
      </c>
      <c r="B216" s="21" t="n">
        <f aca="false">B82</f>
        <v>43115</v>
      </c>
      <c r="C216" s="22" t="n">
        <f aca="false">100*(C82-C81)</f>
        <v>0.241711646266252</v>
      </c>
      <c r="D216" s="22" t="n">
        <f aca="false">100*(D82-D81)</f>
        <v>0.0996624576446004</v>
      </c>
      <c r="E216" s="22" t="n">
        <f aca="false">100*(E82-E81)</f>
        <v>-0.0555716022300534</v>
      </c>
      <c r="F216" s="22" t="n">
        <f aca="false">100*(F82-F81)</f>
        <v>-0.20824857394397</v>
      </c>
      <c r="G216" s="22" t="n">
        <f aca="false">100*(G82-G81)</f>
        <v>-0.352254033518096</v>
      </c>
      <c r="H216" s="22" t="n">
        <f aca="false">100*(H82-H81)</f>
        <v>-0.485776587664999</v>
      </c>
      <c r="I216" s="22" t="n">
        <f aca="false">100*(I82-I81)</f>
        <v>-0.609357806244826</v>
      </c>
      <c r="J216" s="22" t="n">
        <f aca="false">100*(J82-J81)</f>
        <v>-0.724798691057604</v>
      </c>
      <c r="K216" s="22" t="n">
        <f aca="false">100*(K82-K81)</f>
        <v>-0.834244560389008</v>
      </c>
      <c r="L216" s="22" t="n">
        <f aca="false">100*(L82-L81)</f>
        <v>-0.939821465157209</v>
      </c>
      <c r="M216" s="22" t="n">
        <f aca="false">100*(M82-M81)</f>
        <v>-1.0432386016815</v>
      </c>
      <c r="N216" s="22" t="n">
        <f aca="false">100*(N82-N81)</f>
        <v>-1.14568355156042</v>
      </c>
      <c r="O216" s="22" t="n">
        <f aca="false">100*(O82-O81)</f>
        <v>-2.27738432828331</v>
      </c>
      <c r="P216" s="22" t="n">
        <f aca="false">100*(P82-P81)</f>
        <v>-2.33197822545219</v>
      </c>
      <c r="Q216" s="22" t="n">
        <f aca="false">100*(Q82-Q81)</f>
        <v>-2.38100780329249</v>
      </c>
      <c r="R216" s="22" t="n">
        <f aca="false">100*(R82-R81)</f>
        <v>-2.42464723223519</v>
      </c>
      <c r="S216" s="22" t="n">
        <f aca="false">100*(S82-S81)</f>
        <v>-2.46311528455629</v>
      </c>
      <c r="T216" s="22" t="n">
        <f aca="false">100*(T82-T81)</f>
        <v>-2.49666811497489</v>
      </c>
      <c r="U216" s="22" t="n">
        <f aca="false">100*(U82-U81)</f>
        <v>-2.5255937018779</v>
      </c>
      <c r="V216" s="22" t="n">
        <f aca="false">100*(V82-V81)</f>
        <v>-2.55020416287641</v>
      </c>
      <c r="W216" s="22" t="n">
        <f aca="false">100*(W82-W81)</f>
        <v>-2.57082503632331</v>
      </c>
      <c r="X216" s="22" t="n">
        <f aca="false">100*(X82-X81)</f>
        <v>-2.5877914056778</v>
      </c>
      <c r="Y216" s="22" t="n">
        <f aca="false">100*(Y82-Y81)</f>
        <v>-2.60143792550469</v>
      </c>
      <c r="Z216" s="22" t="n">
        <f aca="false">100*(Z82-Z81)</f>
        <v>-2.612081073604</v>
      </c>
      <c r="AA216" s="22" t="n">
        <f aca="false">100*(AA82-AA81)</f>
        <v>-2.62001754516079</v>
      </c>
      <c r="AB216" s="22" t="n">
        <f aca="false">100*(AB82-AB81)</f>
        <v>-2.62552665035629</v>
      </c>
      <c r="AC216" s="22" t="n">
        <f aca="false">100*(AC82-AC81)</f>
        <v>-2.6288723827123</v>
      </c>
      <c r="AD216" s="22" t="n">
        <f aca="false">100*(AD82-AD81)</f>
        <v>-2.63030288998851</v>
      </c>
      <c r="AE216" s="22" t="n">
        <f aca="false">100*(AE82-AE81)</f>
        <v>-2.6300372566298</v>
      </c>
      <c r="AF216" s="22" t="n">
        <f aca="false">100*(AF82-AF81)</f>
        <v>-2.62826012824131</v>
      </c>
      <c r="AG216" s="22" t="n">
        <f aca="false">100*(AG82-AG81)</f>
        <v>-2.62512875619221</v>
      </c>
      <c r="AH216" s="22" t="n">
        <f aca="false">100*(AH82-AH81)</f>
        <v>-2.62077674817078</v>
      </c>
      <c r="AI216" s="22" t="n">
        <f aca="false">100*(AI82-AI81)</f>
        <v>-2.61531847842711</v>
      </c>
      <c r="AJ216" s="22" t="n">
        <f aca="false">100*(AJ82-AJ81)</f>
        <v>-2.60885425940549</v>
      </c>
      <c r="AK216" s="22" t="n">
        <f aca="false">100*(AK82-AK81)</f>
        <v>-2.60147205808219</v>
      </c>
      <c r="AL216" s="22" t="n">
        <f aca="false">100*(AL82-AL81)</f>
        <v>-2.5932486720569</v>
      </c>
      <c r="AM216" s="22" t="n">
        <f aca="false">100*(AM82-AM81)</f>
        <v>-2.584253867037</v>
      </c>
      <c r="AN216" s="22" t="n">
        <f aca="false">100*(AN82-AN81)</f>
        <v>-2.57455483948239</v>
      </c>
      <c r="AO216" s="22" t="n">
        <f aca="false">100*(AO82-AO81)</f>
        <v>-2.56421708460419</v>
      </c>
      <c r="AP216" s="22" t="n">
        <f aca="false">100*(AP82-AP81)</f>
        <v>-2.55330550688031</v>
      </c>
      <c r="AQ216" s="22" t="n">
        <f aca="false">100*(AQ82-AQ81)</f>
        <v>-2.54188438721441</v>
      </c>
      <c r="AR216" s="22" t="n">
        <f aca="false">100*(AR82-AR81)</f>
        <v>-2.53001707952309</v>
      </c>
      <c r="AS216" s="22" t="n">
        <f aca="false">100*(AS82-AS81)</f>
        <v>-2.51776604623339</v>
      </c>
      <c r="AT216" s="22" t="n">
        <f aca="false">100*(AT82-AT81)</f>
        <v>-2.50519264713571</v>
      </c>
      <c r="AU216" s="22" t="n">
        <f aca="false">100*(AU82-AU81)</f>
        <v>-2.49235540413149</v>
      </c>
      <c r="AV216" s="22" t="n">
        <f aca="false">AVERAGE(C216:AU216)</f>
        <v>-2.00381596337469</v>
      </c>
    </row>
    <row r="217" customFormat="false" ht="15" hidden="false" customHeight="false" outlineLevel="0" collapsed="false">
      <c r="A217" s="20" t="n">
        <f aca="false">A83</f>
        <v>-42</v>
      </c>
      <c r="B217" s="21" t="n">
        <f aca="false">B83</f>
        <v>43116</v>
      </c>
      <c r="C217" s="22" t="n">
        <f aca="false">100*(C83-C82)</f>
        <v>-1.02855580633081</v>
      </c>
      <c r="D217" s="22" t="n">
        <f aca="false">100*(D83-D82)</f>
        <v>-1.0637524242515</v>
      </c>
      <c r="E217" s="22" t="n">
        <f aca="false">100*(E83-E82)</f>
        <v>-1.15020873643303</v>
      </c>
      <c r="F217" s="22" t="n">
        <f aca="false">100*(F83-F82)</f>
        <v>-1.26038874664697</v>
      </c>
      <c r="G217" s="22" t="n">
        <f aca="false">100*(G83-G82)</f>
        <v>-1.37466852642485</v>
      </c>
      <c r="H217" s="22" t="n">
        <f aca="false">100*(H83-H82)</f>
        <v>-1.48096192277766</v>
      </c>
      <c r="I217" s="22" t="n">
        <f aca="false">100*(I83-I82)</f>
        <v>-1.57254369735156</v>
      </c>
      <c r="J217" s="22" t="n">
        <f aca="false">100*(J83-J82)</f>
        <v>-1.64616770853823</v>
      </c>
      <c r="K217" s="22" t="n">
        <f aca="false">100*(K83-K82)</f>
        <v>-1.70054224023863</v>
      </c>
      <c r="L217" s="22" t="n">
        <f aca="false">100*(L83-L82)</f>
        <v>-1.73556240930701</v>
      </c>
      <c r="M217" s="22" t="n">
        <f aca="false">100*(M83-M82)</f>
        <v>-1.75180469284599</v>
      </c>
      <c r="N217" s="22" t="n">
        <f aca="false">100*(N83-N82)</f>
        <v>-1.7502503525374</v>
      </c>
      <c r="O217" s="22" t="n">
        <f aca="false">100*(O83-O82)</f>
        <v>-0.833505774215304</v>
      </c>
      <c r="P217" s="22" t="n">
        <f aca="false">100*(P83-P82)</f>
        <v>-0.754238924166617</v>
      </c>
      <c r="Q217" s="22" t="n">
        <f aca="false">100*(Q83-Q82)</f>
        <v>-0.679964712849901</v>
      </c>
      <c r="R217" s="22" t="n">
        <f aca="false">100*(R83-R82)</f>
        <v>-0.611007478535997</v>
      </c>
      <c r="S217" s="22" t="n">
        <f aca="false">100*(S83-S82)</f>
        <v>-0.547528777620499</v>
      </c>
      <c r="T217" s="22" t="n">
        <f aca="false">100*(T83-T82)</f>
        <v>-0.489552664982407</v>
      </c>
      <c r="U217" s="22" t="n">
        <f aca="false">100*(U83-U82)</f>
        <v>-0.436986559843788</v>
      </c>
      <c r="V217" s="22" t="n">
        <f aca="false">100*(V83-V82)</f>
        <v>-0.389655215977092</v>
      </c>
      <c r="W217" s="22" t="n">
        <f aca="false">100*(W83-W82)</f>
        <v>-0.347343197643779</v>
      </c>
      <c r="X217" s="22" t="n">
        <f aca="false">100*(X83-X82)</f>
        <v>-0.309806041243399</v>
      </c>
      <c r="Y217" s="22" t="n">
        <f aca="false">100*(Y83-Y82)</f>
        <v>-0.276770045520203</v>
      </c>
      <c r="Z217" s="22" t="n">
        <f aca="false">100*(Z83-Z82)</f>
        <v>-0.247927315579188</v>
      </c>
      <c r="AA217" s="22" t="n">
        <f aca="false">100*(AA83-AA82)</f>
        <v>-0.222938053259503</v>
      </c>
      <c r="AB217" s="22" t="n">
        <f aca="false">100*(AB83-AB82)</f>
        <v>-0.201434439330606</v>
      </c>
      <c r="AC217" s="22" t="n">
        <f aca="false">100*(AC83-AC82)</f>
        <v>-0.183023967843909</v>
      </c>
      <c r="AD217" s="22" t="n">
        <f aca="false">100*(AD83-AD82)</f>
        <v>-0.167290149994503</v>
      </c>
      <c r="AE217" s="22" t="n">
        <f aca="false">100*(AE83-AE82)</f>
        <v>-0.153781746249093</v>
      </c>
      <c r="AF217" s="22" t="n">
        <f aca="false">100*(AF83-AF82)</f>
        <v>-0.142015137179308</v>
      </c>
      <c r="AG217" s="22" t="n">
        <f aca="false">100*(AG83-AG82)</f>
        <v>-0.131492637501007</v>
      </c>
      <c r="AH217" s="22" t="n">
        <f aca="false">100*(AH83-AH82)</f>
        <v>-0.121711135081504</v>
      </c>
      <c r="AI217" s="22" t="n">
        <f aca="false">100*(AI83-AI82)</f>
        <v>-0.112190081048702</v>
      </c>
      <c r="AJ217" s="22" t="n">
        <f aca="false">100*(AJ83-AJ82)</f>
        <v>-0.10248876260941</v>
      </c>
      <c r="AK217" s="22" t="n">
        <f aca="false">100*(AK83-AK82)</f>
        <v>-0.0922034234996039</v>
      </c>
      <c r="AL217" s="22" t="n">
        <f aca="false">100*(AL83-AL82)</f>
        <v>-0.080967000132004</v>
      </c>
      <c r="AM217" s="22" t="n">
        <f aca="false">100*(AM83-AM82)</f>
        <v>-0.0684704483191023</v>
      </c>
      <c r="AN217" s="22" t="n">
        <f aca="false">100*(AN83-AN82)</f>
        <v>-0.0544754337385989</v>
      </c>
      <c r="AO217" s="22" t="n">
        <f aca="false">100*(AO83-AO82)</f>
        <v>-0.0388116373323921</v>
      </c>
      <c r="AP217" s="22" t="n">
        <f aca="false">100*(AP83-AP82)</f>
        <v>-0.0213744827904039</v>
      </c>
      <c r="AQ217" s="22" t="n">
        <f aca="false">100*(AQ83-AQ82)</f>
        <v>-0.00212139225630459</v>
      </c>
      <c r="AR217" s="22" t="n">
        <f aca="false">100*(AR83-AR82)</f>
        <v>0.0189318018877893</v>
      </c>
      <c r="AS217" s="22" t="n">
        <f aca="false">100*(AS83-AS82)</f>
        <v>0.0417156930676788</v>
      </c>
      <c r="AT217" s="22" t="n">
        <f aca="false">100*(AT83-AT82)</f>
        <v>0.0661109540011973</v>
      </c>
      <c r="AU217" s="22" t="n">
        <f aca="false">100*(AU83-AU82)</f>
        <v>0.0919477512469014</v>
      </c>
      <c r="AV217" s="22" t="n">
        <f aca="false">AVERAGE(C217:AU217)</f>
        <v>-0.558172837773871</v>
      </c>
    </row>
    <row r="218" customFormat="false" ht="15" hidden="false" customHeight="false" outlineLevel="0" collapsed="false">
      <c r="A218" s="20" t="n">
        <f aca="false">A84</f>
        <v>-41</v>
      </c>
      <c r="B218" s="21" t="n">
        <f aca="false">B84</f>
        <v>43117</v>
      </c>
      <c r="C218" s="22" t="n">
        <f aca="false">100*(C84-C83)</f>
        <v>-1.39840397374141</v>
      </c>
      <c r="D218" s="22" t="n">
        <f aca="false">100*(D84-D83)</f>
        <v>-1.12128674487613</v>
      </c>
      <c r="E218" s="22" t="n">
        <f aca="false">100*(E84-E83)</f>
        <v>-0.910206406319558</v>
      </c>
      <c r="F218" s="22" t="n">
        <f aca="false">100*(F84-F83)</f>
        <v>-0.762712546140176</v>
      </c>
      <c r="G218" s="22" t="n">
        <f aca="false">100*(G84-G83)</f>
        <v>-0.664883259804883</v>
      </c>
      <c r="H218" s="22" t="n">
        <f aca="false">100*(H84-H83)</f>
        <v>-0.602925667146159</v>
      </c>
      <c r="I218" s="22" t="n">
        <f aca="false">100*(I84-I83)</f>
        <v>-0.56566276713913</v>
      </c>
      <c r="J218" s="22" t="n">
        <f aca="false">100*(J84-J83)</f>
        <v>-0.544869447384166</v>
      </c>
      <c r="K218" s="22" t="n">
        <f aca="false">100*(K84-K83)</f>
        <v>-0.534855697439707</v>
      </c>
      <c r="L218" s="22" t="n">
        <f aca="false">100*(L84-L83)</f>
        <v>-0.531950869999687</v>
      </c>
      <c r="M218" s="22" t="n">
        <f aca="false">100*(M84-M83)</f>
        <v>-0.533965520159607</v>
      </c>
      <c r="N218" s="22" t="n">
        <f aca="false">100*(N84-N83)</f>
        <v>-0.539667678282996</v>
      </c>
      <c r="O218" s="22" t="n">
        <f aca="false">100*(O84-O83)</f>
        <v>-0.782382075940702</v>
      </c>
      <c r="P218" s="22" t="n">
        <f aca="false">100*(P84-P83)</f>
        <v>-0.800418701113492</v>
      </c>
      <c r="Q218" s="22" t="n">
        <f aca="false">100*(Q84-Q83)</f>
        <v>-0.817028846854906</v>
      </c>
      <c r="R218" s="22" t="n">
        <f aca="false">100*(R84-R83)</f>
        <v>-0.832251890862912</v>
      </c>
      <c r="S218" s="22" t="n">
        <f aca="false">100*(S84-S83)</f>
        <v>-0.846153412067596</v>
      </c>
      <c r="T218" s="22" t="n">
        <f aca="false">100*(T84-T83)</f>
        <v>-0.858820278876094</v>
      </c>
      <c r="U218" s="22" t="n">
        <f aca="false">100*(U84-U83)</f>
        <v>-0.8703574847164</v>
      </c>
      <c r="V218" s="22" t="n">
        <f aca="false">100*(V84-V83)</f>
        <v>-0.880882998034305</v>
      </c>
      <c r="W218" s="22" t="n">
        <f aca="false">100*(W84-W83)</f>
        <v>-0.890519520307009</v>
      </c>
      <c r="X218" s="22" t="n">
        <f aca="false">100*(X84-X83)</f>
        <v>-0.899391986583198</v>
      </c>
      <c r="Y218" s="22" t="n">
        <f aca="false">100*(Y84-Y83)</f>
        <v>-0.907620210857196</v>
      </c>
      <c r="Z218" s="22" t="n">
        <f aca="false">100*(Z84-Z83)</f>
        <v>-0.915305499152308</v>
      </c>
      <c r="AA218" s="22" t="n">
        <f aca="false">100*(AA84-AA83)</f>
        <v>-0.922529991208898</v>
      </c>
      <c r="AB218" s="22" t="n">
        <f aca="false">100*(AB84-AB83)</f>
        <v>-0.929358987602491</v>
      </c>
      <c r="AC218" s="22" t="n">
        <f aca="false">100*(AC84-AC83)</f>
        <v>-0.935842952739407</v>
      </c>
      <c r="AD218" s="22" t="n">
        <f aca="false">100*(AD84-AD83)</f>
        <v>-0.942017226593506</v>
      </c>
      <c r="AE218" s="22" t="n">
        <f aca="false">100*(AE84-AE83)</f>
        <v>-0.947891430666403</v>
      </c>
      <c r="AF218" s="22" t="n">
        <f aca="false">100*(AF84-AF83)</f>
        <v>-0.953447222166393</v>
      </c>
      <c r="AG218" s="22" t="n">
        <f aca="false">100*(AG84-AG83)</f>
        <v>-0.958647082112796</v>
      </c>
      <c r="AH218" s="22" t="n">
        <f aca="false">100*(AH84-AH83)</f>
        <v>-0.963438125412797</v>
      </c>
      <c r="AI218" s="22" t="n">
        <f aca="false">100*(AI84-AI83)</f>
        <v>-0.967758709910793</v>
      </c>
      <c r="AJ218" s="22" t="n">
        <f aca="false">100*(AJ84-AJ83)</f>
        <v>-0.971544188612405</v>
      </c>
      <c r="AK218" s="22" t="n">
        <f aca="false">100*(AK84-AK83)</f>
        <v>-0.974727569393097</v>
      </c>
      <c r="AL218" s="22" t="n">
        <f aca="false">100*(AL84-AL83)</f>
        <v>-0.977240348725794</v>
      </c>
      <c r="AM218" s="22" t="n">
        <f aca="false">100*(AM84-AM83)</f>
        <v>-0.9790193555135</v>
      </c>
      <c r="AN218" s="22" t="n">
        <f aca="false">100*(AN84-AN83)</f>
        <v>-0.980012203937908</v>
      </c>
      <c r="AO218" s="22" t="n">
        <f aca="false">100*(AO84-AO83)</f>
        <v>-0.98017843700311</v>
      </c>
      <c r="AP218" s="22" t="n">
        <f aca="false">100*(AP84-AP83)</f>
        <v>-0.979491087260787</v>
      </c>
      <c r="AQ218" s="22" t="n">
        <f aca="false">100*(AQ84-AQ83)</f>
        <v>-0.977937579396992</v>
      </c>
      <c r="AR218" s="22" t="n">
        <f aca="false">100*(AR84-AR83)</f>
        <v>-0.975520419409803</v>
      </c>
      <c r="AS218" s="22" t="n">
        <f aca="false">100*(AS84-AS83)</f>
        <v>-0.972256098417179</v>
      </c>
      <c r="AT218" s="22" t="n">
        <f aca="false">100*(AT84-AT83)</f>
        <v>-0.96817431108609</v>
      </c>
      <c r="AU218" s="22" t="n">
        <f aca="false">100*(AU84-AU83)</f>
        <v>-0.96331908701941</v>
      </c>
      <c r="AV218" s="22" t="n">
        <f aca="false">AVERAGE(C218:AU218)</f>
        <v>-0.871841686621984</v>
      </c>
    </row>
    <row r="219" customFormat="false" ht="15" hidden="false" customHeight="false" outlineLevel="0" collapsed="false">
      <c r="A219" s="20" t="n">
        <f aca="false">A85</f>
        <v>-40</v>
      </c>
      <c r="B219" s="21" t="n">
        <f aca="false">B85</f>
        <v>43118</v>
      </c>
      <c r="C219" s="22" t="n">
        <f aca="false">100*(C85-C84)</f>
        <v>3.47745560685648</v>
      </c>
      <c r="D219" s="22" t="n">
        <f aca="false">100*(D85-D84)</f>
        <v>3.67240784287213</v>
      </c>
      <c r="E219" s="22" t="n">
        <f aca="false">100*(E85-E84)</f>
        <v>3.7545883706496</v>
      </c>
      <c r="F219" s="22" t="n">
        <f aca="false">100*(F85-F84)</f>
        <v>3.77752041742238</v>
      </c>
      <c r="G219" s="22" t="n">
        <f aca="false">100*(G85-G84)</f>
        <v>3.76993073300255</v>
      </c>
      <c r="H219" s="22" t="n">
        <f aca="false">100*(H85-H84)</f>
        <v>3.74828752248194</v>
      </c>
      <c r="I219" s="22" t="n">
        <f aca="false">100*(I85-I84)</f>
        <v>3.72192370130547</v>
      </c>
      <c r="J219" s="22" t="n">
        <f aca="false">100*(J85-J84)</f>
        <v>3.69563508142223</v>
      </c>
      <c r="K219" s="22" t="n">
        <f aca="false">100*(K85-K84)</f>
        <v>3.67153984745664</v>
      </c>
      <c r="L219" s="22" t="n">
        <f aca="false">100*(L85-L84)</f>
        <v>3.6501020329067</v>
      </c>
      <c r="M219" s="22" t="n">
        <f aca="false">100*(M85-M84)</f>
        <v>3.63084932391049</v>
      </c>
      <c r="N219" s="22" t="n">
        <f aca="false">100*(N85-N84)</f>
        <v>3.61281210302771</v>
      </c>
      <c r="O219" s="22" t="n">
        <f aca="false">100*(O85-O84)</f>
        <v>3.25599616719241</v>
      </c>
      <c r="P219" s="22" t="n">
        <f aca="false">100*(P85-P84)</f>
        <v>3.22855035723471</v>
      </c>
      <c r="Q219" s="22" t="n">
        <f aca="false">100*(Q85-Q84)</f>
        <v>3.2038801352771</v>
      </c>
      <c r="R219" s="22" t="n">
        <f aca="false">100*(R85-R84)</f>
        <v>3.1822733069869</v>
      </c>
      <c r="S219" s="22" t="n">
        <f aca="false">100*(S85-S84)</f>
        <v>3.16387225730479</v>
      </c>
      <c r="T219" s="22" t="n">
        <f aca="false">100*(T85-T84)</f>
        <v>3.14869476316388</v>
      </c>
      <c r="U219" s="22" t="n">
        <f aca="false">100*(U85-U84)</f>
        <v>3.13665137068249</v>
      </c>
      <c r="V219" s="22" t="n">
        <f aca="false">100*(V85-V84)</f>
        <v>3.12753612830901</v>
      </c>
      <c r="W219" s="22" t="n">
        <f aca="false">100*(W85-W84)</f>
        <v>3.12099956708869</v>
      </c>
      <c r="X219" s="22" t="n">
        <f aca="false">100*(X85-X84)</f>
        <v>3.11656153471089</v>
      </c>
      <c r="Y219" s="22" t="n">
        <f aca="false">100*(Y85-Y84)</f>
        <v>3.1136674991425</v>
      </c>
      <c r="Z219" s="22" t="n">
        <f aca="false">100*(Z85-Z84)</f>
        <v>3.1117700648992</v>
      </c>
      <c r="AA219" s="22" t="n">
        <f aca="false">100*(AA85-AA84)</f>
        <v>3.1103420839169</v>
      </c>
      <c r="AB219" s="22" t="n">
        <f aca="false">100*(AB85-AB84)</f>
        <v>3.10887422195578</v>
      </c>
      <c r="AC219" s="22" t="n">
        <f aca="false">100*(AC85-AC84)</f>
        <v>3.10687284778171</v>
      </c>
      <c r="AD219" s="22" t="n">
        <f aca="false">100*(AD85-AD84)</f>
        <v>3.10386892838161</v>
      </c>
      <c r="AE219" s="22" t="n">
        <f aca="false">100*(AE85-AE84)</f>
        <v>3.09947966159889</v>
      </c>
      <c r="AF219" s="22" t="n">
        <f aca="false">100*(AF85-AF84)</f>
        <v>3.09342952223231</v>
      </c>
      <c r="AG219" s="22" t="n">
        <f aca="false">100*(AG85-AG84)</f>
        <v>3.08552185542741</v>
      </c>
      <c r="AH219" s="22" t="n">
        <f aca="false">100*(AH85-AH84)</f>
        <v>3.07562664743128</v>
      </c>
      <c r="AI219" s="22" t="n">
        <f aca="false">100*(AI85-AI84)</f>
        <v>3.0636708063182</v>
      </c>
      <c r="AJ219" s="22" t="n">
        <f aca="false">100*(AJ85-AJ84)</f>
        <v>3.0496289979336</v>
      </c>
      <c r="AK219" s="22" t="n">
        <f aca="false">100*(AK85-AK84)</f>
        <v>3.03351859119649</v>
      </c>
      <c r="AL219" s="22" t="n">
        <f aca="false">100*(AL85-AL84)</f>
        <v>3.01539379626881</v>
      </c>
      <c r="AM219" s="22" t="n">
        <f aca="false">100*(AM85-AM84)</f>
        <v>2.99532888313461</v>
      </c>
      <c r="AN219" s="22" t="n">
        <f aca="false">100*(AN85-AN84)</f>
        <v>2.9734062565052</v>
      </c>
      <c r="AO219" s="22" t="n">
        <f aca="false">100*(AO85-AO84)</f>
        <v>2.9497131081712</v>
      </c>
      <c r="AP219" s="22" t="n">
        <f aca="false">100*(AP85-AP84)</f>
        <v>2.92433845390589</v>
      </c>
      <c r="AQ219" s="22" t="n">
        <f aca="false">100*(AQ85-AQ84)</f>
        <v>2.89737555454919</v>
      </c>
      <c r="AR219" s="22" t="n">
        <f aca="false">100*(AR85-AR84)</f>
        <v>2.8689249130283</v>
      </c>
      <c r="AS219" s="22" t="n">
        <f aca="false">100*(AS85-AS84)</f>
        <v>2.83909401791349</v>
      </c>
      <c r="AT219" s="22" t="n">
        <f aca="false">100*(AT85-AT84)</f>
        <v>2.80799720235561</v>
      </c>
      <c r="AU219" s="22" t="n">
        <f aca="false">100*(AU85-AU84)</f>
        <v>2.77575811993369</v>
      </c>
      <c r="AV219" s="22" t="n">
        <f aca="false">AVERAGE(C219:AU219)</f>
        <v>3.22381489344993</v>
      </c>
    </row>
    <row r="220" customFormat="false" ht="15" hidden="false" customHeight="false" outlineLevel="0" collapsed="false">
      <c r="A220" s="20" t="n">
        <f aca="false">A86</f>
        <v>-39</v>
      </c>
      <c r="B220" s="21" t="n">
        <f aca="false">B86</f>
        <v>43119</v>
      </c>
      <c r="C220" s="22" t="n">
        <f aca="false">100*(C86-C85)</f>
        <v>-2.08998662961373</v>
      </c>
      <c r="D220" s="22" t="n">
        <f aca="false">100*(D86-D85)</f>
        <v>-1.91640778889438</v>
      </c>
      <c r="E220" s="22" t="n">
        <f aca="false">100*(E86-E85)</f>
        <v>-1.7185861008059</v>
      </c>
      <c r="F220" s="22" t="n">
        <f aca="false">100*(F86-F85)</f>
        <v>-1.51279780228842</v>
      </c>
      <c r="G220" s="22" t="n">
        <f aca="false">100*(G86-G85)</f>
        <v>-1.30717071481565</v>
      </c>
      <c r="H220" s="22" t="n">
        <f aca="false">100*(H86-H85)</f>
        <v>-1.10713920796984</v>
      </c>
      <c r="I220" s="22" t="n">
        <f aca="false">100*(I86-I85)</f>
        <v>-0.915988583978677</v>
      </c>
      <c r="J220" s="22" t="n">
        <f aca="false">100*(J86-J85)</f>
        <v>-0.735657314670524</v>
      </c>
      <c r="K220" s="22" t="n">
        <f aca="false">100*(K86-K85)</f>
        <v>-0.567322584658192</v>
      </c>
      <c r="L220" s="22" t="n">
        <f aca="false">100*(L86-L85)</f>
        <v>-0.411700227782097</v>
      </c>
      <c r="M220" s="22" t="n">
        <f aca="false">100*(M86-M85)</f>
        <v>-0.269149931344792</v>
      </c>
      <c r="N220" s="22" t="n">
        <f aca="false">100*(N86-N85)</f>
        <v>-0.139634394806398</v>
      </c>
      <c r="O220" s="22" t="n">
        <f aca="false">100*(O86-O85)</f>
        <v>0.691530861820788</v>
      </c>
      <c r="P220" s="22" t="n">
        <f aca="false">100*(P86-P85)</f>
        <v>0.715656638133289</v>
      </c>
      <c r="Q220" s="22" t="n">
        <f aca="false">100*(Q86-Q85)</f>
        <v>0.736973499150095</v>
      </c>
      <c r="R220" s="22" t="n">
        <f aca="false">100*(R86-R85)</f>
        <v>0.755867661941889</v>
      </c>
      <c r="S220" s="22" t="n">
        <f aca="false">100*(S86-S85)</f>
        <v>0.772677549797307</v>
      </c>
      <c r="T220" s="22" t="n">
        <f aca="false">100*(T86-T85)</f>
        <v>0.787701111877914</v>
      </c>
      <c r="U220" s="22" t="n">
        <f aca="false">100*(U86-U85)</f>
        <v>0.801201118641814</v>
      </c>
      <c r="V220" s="22" t="n">
        <f aca="false">100*(V86-V85)</f>
        <v>0.813399147310512</v>
      </c>
      <c r="W220" s="22" t="n">
        <f aca="false">100*(W86-W85)</f>
        <v>0.824468262225819</v>
      </c>
      <c r="X220" s="22" t="n">
        <f aca="false">100*(X86-X85)</f>
        <v>0.834538770256699</v>
      </c>
      <c r="Y220" s="22" t="n">
        <f aca="false">100*(Y86-Y85)</f>
        <v>0.84370917514569</v>
      </c>
      <c r="Z220" s="22" t="n">
        <f aca="false">100*(Z86-Z85)</f>
        <v>0.8520596936332</v>
      </c>
      <c r="AA220" s="22" t="n">
        <f aca="false">100*(AA86-AA85)</f>
        <v>0.859656304790812</v>
      </c>
      <c r="AB220" s="22" t="n">
        <f aca="false">100*(AB86-AB85)</f>
        <v>0.866552490085604</v>
      </c>
      <c r="AC220" s="22" t="n">
        <f aca="false">100*(AC86-AC85)</f>
        <v>0.872790727610306</v>
      </c>
      <c r="AD220" s="22" t="n">
        <f aca="false">100*(AD86-AD85)</f>
        <v>0.878406461824999</v>
      </c>
      <c r="AE220" s="22" t="n">
        <f aca="false">100*(AE86-AE85)</f>
        <v>0.883441297461896</v>
      </c>
      <c r="AF220" s="22" t="n">
        <f aca="false">100*(AF86-AF85)</f>
        <v>0.887946229329195</v>
      </c>
      <c r="AG220" s="22" t="n">
        <f aca="false">100*(AG86-AG85)</f>
        <v>0.891975141923695</v>
      </c>
      <c r="AH220" s="22" t="n">
        <f aca="false">100*(AH86-AH85)</f>
        <v>0.895584316227205</v>
      </c>
      <c r="AI220" s="22" t="n">
        <f aca="false">100*(AI86-AI85)</f>
        <v>0.898831599703409</v>
      </c>
      <c r="AJ220" s="22" t="n">
        <f aca="false">100*(AJ86-AJ85)</f>
        <v>0.901771224990711</v>
      </c>
      <c r="AK220" s="22" t="n">
        <f aca="false">100*(AK86-AK85)</f>
        <v>0.904453608168598</v>
      </c>
      <c r="AL220" s="22" t="n">
        <f aca="false">100*(AL86-AL85)</f>
        <v>0.906926446033585</v>
      </c>
      <c r="AM220" s="22" t="n">
        <f aca="false">100*(AM86-AM85)</f>
        <v>0.909231733499194</v>
      </c>
      <c r="AN220" s="22" t="n">
        <f aca="false">100*(AN86-AN85)</f>
        <v>0.911400370464</v>
      </c>
      <c r="AO220" s="22" t="n">
        <f aca="false">100*(AO86-AO85)</f>
        <v>0.913451997845893</v>
      </c>
      <c r="AP220" s="22" t="n">
        <f aca="false">100*(AP86-AP85)</f>
        <v>0.915394043515794</v>
      </c>
      <c r="AQ220" s="22" t="n">
        <f aca="false">100*(AQ86-AQ85)</f>
        <v>0.917225259479904</v>
      </c>
      <c r="AR220" s="22" t="n">
        <f aca="false">100*(AR86-AR85)</f>
        <v>0.918939683077302</v>
      </c>
      <c r="AS220" s="22" t="n">
        <f aca="false">100*(AS86-AS85)</f>
        <v>0.920527380136993</v>
      </c>
      <c r="AT220" s="22" t="n">
        <f aca="false">100*(AT86-AT85)</f>
        <v>0.9219746800331</v>
      </c>
      <c r="AU220" s="22" t="n">
        <f aca="false">100*(AU86-AU85)</f>
        <v>0.92326428785261</v>
      </c>
      <c r="AV220" s="22" t="n">
        <f aca="false">AVERAGE(C220:AU220)</f>
        <v>0.347510833163583</v>
      </c>
    </row>
    <row r="221" customFormat="false" ht="15" hidden="false" customHeight="false" outlineLevel="0" collapsed="false">
      <c r="A221" s="20" t="n">
        <f aca="false">A87</f>
        <v>-38</v>
      </c>
      <c r="B221" s="21" t="n">
        <f aca="false">B87</f>
        <v>43122</v>
      </c>
      <c r="C221" s="22" t="n">
        <f aca="false">100*(C87-C86)</f>
        <v>-0.067396641695483</v>
      </c>
      <c r="D221" s="22" t="n">
        <f aca="false">100*(D87-D86)</f>
        <v>0.17225148687271</v>
      </c>
      <c r="E221" s="22" t="n">
        <f aca="false">100*(E87-E86)</f>
        <v>0.410486495363149</v>
      </c>
      <c r="F221" s="22" t="n">
        <f aca="false">100*(F87-F86)</f>
        <v>0.631316613816457</v>
      </c>
      <c r="G221" s="22" t="n">
        <f aca="false">100*(G87-G86)</f>
        <v>0.826965018444614</v>
      </c>
      <c r="H221" s="22" t="n">
        <f aca="false">100*(H87-H86)</f>
        <v>0.994701987293412</v>
      </c>
      <c r="I221" s="22" t="n">
        <f aca="false">100*(I87-I86)</f>
        <v>1.13451705403785</v>
      </c>
      <c r="J221" s="22" t="n">
        <f aca="false">100*(J87-J86)</f>
        <v>1.24807887594764</v>
      </c>
      <c r="K221" s="22" t="n">
        <f aca="false">100*(K87-K86)</f>
        <v>1.33808302030149</v>
      </c>
      <c r="L221" s="22" t="n">
        <f aca="false">100*(L87-L86)</f>
        <v>1.40785816731819</v>
      </c>
      <c r="M221" s="22" t="n">
        <f aca="false">100*(M87-M86)</f>
        <v>1.46077489891969</v>
      </c>
      <c r="N221" s="22" t="n">
        <f aca="false">100*(N87-N86)</f>
        <v>1.49997559647439</v>
      </c>
      <c r="O221" s="22" t="n">
        <f aca="false">100*(O87-O86)</f>
        <v>1.5006149806831</v>
      </c>
      <c r="P221" s="22" t="n">
        <f aca="false">100*(P87-P86)</f>
        <v>1.48750883501472</v>
      </c>
      <c r="Q221" s="22" t="n">
        <f aca="false">100*(Q87-Q86)</f>
        <v>1.4744015259236</v>
      </c>
      <c r="R221" s="22" t="n">
        <f aca="false">100*(R87-R86)</f>
        <v>1.46148702184632</v>
      </c>
      <c r="S221" s="22" t="n">
        <f aca="false">100*(S87-S86)</f>
        <v>1.4489202573426</v>
      </c>
      <c r="T221" s="22" t="n">
        <f aca="false">100*(T87-T86)</f>
        <v>1.43682292712819</v>
      </c>
      <c r="U221" s="22" t="n">
        <f aca="false">100*(U87-U86)</f>
        <v>1.42528817444159</v>
      </c>
      <c r="V221" s="22" t="n">
        <f aca="false">100*(V87-V86)</f>
        <v>1.4143818251843</v>
      </c>
      <c r="W221" s="22" t="n">
        <f aca="false">100*(W87-W86)</f>
        <v>1.4041435434083</v>
      </c>
      <c r="X221" s="22" t="n">
        <f aca="false">100*(X87-X86)</f>
        <v>1.3945907027531</v>
      </c>
      <c r="Y221" s="22" t="n">
        <f aca="false">100*(Y87-Y86)</f>
        <v>1.3857294364986</v>
      </c>
      <c r="Z221" s="22" t="n">
        <f aca="false">100*(Z87-Z86)</f>
        <v>1.3775700504693</v>
      </c>
      <c r="AA221" s="22" t="n">
        <f aca="false">100*(AA87-AA86)</f>
        <v>1.370129020332</v>
      </c>
      <c r="AB221" s="22" t="n">
        <f aca="false">100*(AB87-AB86)</f>
        <v>1.36342824370561</v>
      </c>
      <c r="AC221" s="22" t="n">
        <f aca="false">100*(AC87-AC86)</f>
        <v>1.35749439937389</v>
      </c>
      <c r="AD221" s="22" t="n">
        <f aca="false">100*(AD87-AD86)</f>
        <v>1.3523609366527</v>
      </c>
      <c r="AE221" s="22" t="n">
        <f aca="false">100*(AE87-AE86)</f>
        <v>1.34808051302291</v>
      </c>
      <c r="AF221" s="22" t="n">
        <f aca="false">100*(AF87-AF86)</f>
        <v>1.3447271168012</v>
      </c>
      <c r="AG221" s="22" t="n">
        <f aca="false">100*(AG87-AG86)</f>
        <v>1.3423880278397</v>
      </c>
      <c r="AH221" s="22" t="n">
        <f aca="false">100*(AH87-AH86)</f>
        <v>1.34116070777519</v>
      </c>
      <c r="AI221" s="22" t="n">
        <f aca="false">100*(AI87-AI86)</f>
        <v>1.3411463027474</v>
      </c>
      <c r="AJ221" s="22" t="n">
        <f aca="false">100*(AJ87-AJ86)</f>
        <v>1.3424444904655</v>
      </c>
      <c r="AK221" s="22" t="n">
        <f aca="false">100*(AK87-AK86)</f>
        <v>1.3451533116682</v>
      </c>
      <c r="AL221" s="22" t="n">
        <f aca="false">100*(AL87-AL86)</f>
        <v>1.34936825773311</v>
      </c>
      <c r="AM221" s="22" t="n">
        <f aca="false">100*(AM87-AM86)</f>
        <v>1.35517368033999</v>
      </c>
      <c r="AN221" s="22" t="n">
        <f aca="false">100*(AN87-AN86)</f>
        <v>1.3626369610565</v>
      </c>
      <c r="AO221" s="22" t="n">
        <f aca="false">100*(AO87-AO86)</f>
        <v>1.37180653369871</v>
      </c>
      <c r="AP221" s="22" t="n">
        <f aca="false">100*(AP87-AP86)</f>
        <v>1.3827094167651</v>
      </c>
      <c r="AQ221" s="22" t="n">
        <f aca="false">100*(AQ87-AQ86)</f>
        <v>1.39534785749331</v>
      </c>
      <c r="AR221" s="22" t="n">
        <f aca="false">100*(AR87-AR86)</f>
        <v>1.40969633193</v>
      </c>
      <c r="AS221" s="22" t="n">
        <f aca="false">100*(AS87-AS86)</f>
        <v>1.42570342120321</v>
      </c>
      <c r="AT221" s="22" t="n">
        <f aca="false">100*(AT87-AT86)</f>
        <v>1.44329333054039</v>
      </c>
      <c r="AU221" s="22" t="n">
        <f aca="false">100*(AU87-AU86)</f>
        <v>1.4623641396218</v>
      </c>
      <c r="AV221" s="22" t="n">
        <f aca="false">AVERAGE(C221:AU221)</f>
        <v>1.26834855232343</v>
      </c>
    </row>
    <row r="222" customFormat="false" ht="15" hidden="false" customHeight="false" outlineLevel="0" collapsed="false">
      <c r="A222" s="20" t="n">
        <f aca="false">A88</f>
        <v>-37</v>
      </c>
      <c r="B222" s="21" t="n">
        <f aca="false">B88</f>
        <v>43123</v>
      </c>
      <c r="C222" s="22" t="n">
        <f aca="false">100*(C88-C87)</f>
        <v>0.760885841890358</v>
      </c>
      <c r="D222" s="22" t="n">
        <f aca="false">100*(D88-D87)</f>
        <v>0.723329164235487</v>
      </c>
      <c r="E222" s="22" t="n">
        <f aca="false">100*(E88-E87)</f>
        <v>0.665408537220691</v>
      </c>
      <c r="F222" s="22" t="n">
        <f aca="false">100*(F88-F87)</f>
        <v>0.600757958412823</v>
      </c>
      <c r="G222" s="22" t="n">
        <f aca="false">100*(G88-G87)</f>
        <v>0.536715577871405</v>
      </c>
      <c r="H222" s="22" t="n">
        <f aca="false">100*(H88-H87)</f>
        <v>0.477667993873565</v>
      </c>
      <c r="I222" s="22" t="n">
        <f aca="false">100*(I88-I87)</f>
        <v>0.425660544107243</v>
      </c>
      <c r="J222" s="22" t="n">
        <f aca="false">100*(J88-J87)</f>
        <v>0.380966925828241</v>
      </c>
      <c r="K222" s="22" t="n">
        <f aca="false">100*(K88-K87)</f>
        <v>0.342496549949312</v>
      </c>
      <c r="L222" s="22" t="n">
        <f aca="false">100*(L88-L87)</f>
        <v>0.30840375470631</v>
      </c>
      <c r="M222" s="22" t="n">
        <f aca="false">100*(M88-M87)</f>
        <v>0.276751880426196</v>
      </c>
      <c r="N222" s="22" t="n">
        <f aca="false">100*(N88-N87)</f>
        <v>0.245858960244894</v>
      </c>
      <c r="O222" s="22" t="n">
        <f aca="false">100*(O88-O87)</f>
        <v>-0.202148679882486</v>
      </c>
      <c r="P222" s="22" t="n">
        <f aca="false">100*(P88-P87)</f>
        <v>-0.234999244598599</v>
      </c>
      <c r="Q222" s="22" t="n">
        <f aca="false">100*(Q88-Q87)</f>
        <v>-0.266990150584201</v>
      </c>
      <c r="R222" s="22" t="n">
        <f aca="false">100*(R88-R87)</f>
        <v>-0.29810289940071</v>
      </c>
      <c r="S222" s="22" t="n">
        <f aca="false">100*(S88-S87)</f>
        <v>-0.328323757589688</v>
      </c>
      <c r="T222" s="22" t="n">
        <f aca="false">100*(T88-T87)</f>
        <v>-0.357642620354492</v>
      </c>
      <c r="U222" s="22" t="n">
        <f aca="false">100*(U88-U87)</f>
        <v>-0.386052285990801</v>
      </c>
      <c r="V222" s="22" t="n">
        <f aca="false">100*(V88-V87)</f>
        <v>-0.41354100081441</v>
      </c>
      <c r="W222" s="22" t="n">
        <f aca="false">100*(W88-W87)</f>
        <v>-0.440078669735411</v>
      </c>
      <c r="X222" s="22" t="n">
        <f aca="false">100*(X88-X87)</f>
        <v>-0.46561643839198</v>
      </c>
      <c r="Y222" s="22" t="n">
        <f aca="false">100*(Y88-Y87)</f>
        <v>-0.490094035130495</v>
      </c>
      <c r="Z222" s="22" t="n">
        <f aca="false">100*(Z88-Z87)</f>
        <v>-0.513449825165302</v>
      </c>
      <c r="AA222" s="22" t="n">
        <f aca="false">100*(AA88-AA87)</f>
        <v>-0.535622567440908</v>
      </c>
      <c r="AB222" s="22" t="n">
        <f aca="false">100*(AB88-AB87)</f>
        <v>-0.556551369798508</v>
      </c>
      <c r="AC222" s="22" t="n">
        <f aca="false">100*(AC88-AC87)</f>
        <v>-0.576175648653687</v>
      </c>
      <c r="AD222" s="22" t="n">
        <f aca="false">100*(AD88-AD87)</f>
        <v>-0.594437307843498</v>
      </c>
      <c r="AE222" s="22" t="n">
        <f aca="false">100*(AE88-AE87)</f>
        <v>-0.611294128155704</v>
      </c>
      <c r="AF222" s="22" t="n">
        <f aca="false">100*(AF88-AF87)</f>
        <v>-0.626721012914211</v>
      </c>
      <c r="AG222" s="22" t="n">
        <f aca="false">100*(AG88-AG87)</f>
        <v>-0.640698966393694</v>
      </c>
      <c r="AH222" s="22" t="n">
        <f aca="false">100*(AH88-AH87)</f>
        <v>-0.653212604720488</v>
      </c>
      <c r="AI222" s="22" t="n">
        <f aca="false">100*(AI88-AI87)</f>
        <v>-0.664251369406199</v>
      </c>
      <c r="AJ222" s="22" t="n">
        <f aca="false">100*(AJ88-AJ87)</f>
        <v>-0.673811440164096</v>
      </c>
      <c r="AK222" s="22" t="n">
        <f aca="false">100*(AK88-AK87)</f>
        <v>-0.681895265274091</v>
      </c>
      <c r="AL222" s="22" t="n">
        <f aca="false">100*(AL88-AL87)</f>
        <v>-0.688511624974897</v>
      </c>
      <c r="AM222" s="22" t="n">
        <f aca="false">100*(AM88-AM87)</f>
        <v>-0.69368133835479</v>
      </c>
      <c r="AN222" s="22" t="n">
        <f aca="false">100*(AN88-AN87)</f>
        <v>-0.697441272267496</v>
      </c>
      <c r="AO222" s="22" t="n">
        <f aca="false">100*(AO88-AO87)</f>
        <v>-0.699845308446201</v>
      </c>
      <c r="AP222" s="22" t="n">
        <f aca="false">100*(AP88-AP87)</f>
        <v>-0.700965292552191</v>
      </c>
      <c r="AQ222" s="22" t="n">
        <f aca="false">100*(AQ88-AQ87)</f>
        <v>-0.700887653712701</v>
      </c>
      <c r="AR222" s="22" t="n">
        <f aca="false">100*(AR88-AR87)</f>
        <v>-0.699709865531095</v>
      </c>
      <c r="AS222" s="22" t="n">
        <f aca="false">100*(AS88-AS87)</f>
        <v>-0.6975392650034</v>
      </c>
      <c r="AT222" s="22" t="n">
        <f aca="false">100*(AT88-AT87)</f>
        <v>-0.694492153617499</v>
      </c>
      <c r="AU222" s="22" t="n">
        <f aca="false">100*(AU88-AU87)</f>
        <v>-0.690692086702494</v>
      </c>
      <c r="AV222" s="22" t="n">
        <f aca="false">AVERAGE(C222:AU222)</f>
        <v>-0.276234965795553</v>
      </c>
    </row>
    <row r="223" customFormat="false" ht="15" hidden="false" customHeight="false" outlineLevel="0" collapsed="false">
      <c r="A223" s="20" t="n">
        <f aca="false">A89</f>
        <v>-36</v>
      </c>
      <c r="B223" s="21" t="n">
        <f aca="false">B89</f>
        <v>43124</v>
      </c>
      <c r="C223" s="22" t="n">
        <f aca="false">100*(C89-C88)</f>
        <v>3.04909148501122</v>
      </c>
      <c r="D223" s="22" t="n">
        <f aca="false">100*(D89-D88)</f>
        <v>3.6454852108417</v>
      </c>
      <c r="E223" s="22" t="n">
        <f aca="false">100*(E89-E88)</f>
        <v>4.08899516143875</v>
      </c>
      <c r="F223" s="22" t="n">
        <f aca="false">100*(F89-F88)</f>
        <v>4.41798593616336</v>
      </c>
      <c r="G223" s="22" t="n">
        <f aca="false">100*(G89-G88)</f>
        <v>4.66436164379425</v>
      </c>
      <c r="H223" s="22" t="n">
        <f aca="false">100*(H89-H88)</f>
        <v>4.85208143646765</v>
      </c>
      <c r="I223" s="22" t="n">
        <f aca="false">100*(I89-I88)</f>
        <v>4.99802397223013</v>
      </c>
      <c r="J223" s="22" t="n">
        <f aca="false">100*(J89-J88)</f>
        <v>5.11357003418784</v>
      </c>
      <c r="K223" s="22" t="n">
        <f aca="false">100*(K89-K88)</f>
        <v>5.2058996929363</v>
      </c>
      <c r="L223" s="22" t="n">
        <f aca="false">100*(L89-L88)</f>
        <v>5.27929993679459</v>
      </c>
      <c r="M223" s="22" t="n">
        <f aca="false">100*(M89-M88)</f>
        <v>5.33614730999732</v>
      </c>
      <c r="N223" s="22" t="n">
        <f aca="false">100*(N89-N88)</f>
        <v>5.37765664421581</v>
      </c>
      <c r="O223" s="22" t="n">
        <f aca="false">100*(O89-O88)</f>
        <v>4.82399127293209</v>
      </c>
      <c r="P223" s="22" t="n">
        <f aca="false">100*(P89-P88)</f>
        <v>4.735702865201</v>
      </c>
      <c r="Q223" s="22" t="n">
        <f aca="false">100*(Q89-Q88)</f>
        <v>4.64748827872981</v>
      </c>
      <c r="R223" s="22" t="n">
        <f aca="false">100*(R89-R88)</f>
        <v>4.56036031893841</v>
      </c>
      <c r="S223" s="22" t="n">
        <f aca="false">100*(S89-S88)</f>
        <v>4.47517122597838</v>
      </c>
      <c r="T223" s="22" t="n">
        <f aca="false">100*(T89-T88)</f>
        <v>4.39263593472701</v>
      </c>
      <c r="U223" s="22" t="n">
        <f aca="false">100*(U89-U88)</f>
        <v>4.3133510199626</v>
      </c>
      <c r="V223" s="22" t="n">
        <f aca="false">100*(V89-V88)</f>
        <v>4.2377833393572</v>
      </c>
      <c r="W223" s="22" t="n">
        <f aca="false">100*(W89-W88)</f>
        <v>4.1662422641491</v>
      </c>
      <c r="X223" s="22" t="n">
        <f aca="false">100*(X89-X88)</f>
        <v>4.09889368583569</v>
      </c>
      <c r="Y223" s="22" t="n">
        <f aca="false">100*(Y89-Y88)</f>
        <v>4.03578812226759</v>
      </c>
      <c r="Z223" s="22" t="n">
        <f aca="false">100*(Z89-Z88)</f>
        <v>3.97689098106611</v>
      </c>
      <c r="AA223" s="22" t="n">
        <f aca="false">100*(AA89-AA88)</f>
        <v>3.9220958986786</v>
      </c>
      <c r="AB223" s="22" t="n">
        <f aca="false">100*(AB89-AB88)</f>
        <v>3.8712334970886</v>
      </c>
      <c r="AC223" s="22" t="n">
        <f aca="false">100*(AC89-AC88)</f>
        <v>3.8240788938694</v>
      </c>
      <c r="AD223" s="22" t="n">
        <f aca="false">100*(AD89-AD88)</f>
        <v>3.78036269872031</v>
      </c>
      <c r="AE223" s="22" t="n">
        <f aca="false">100*(AE89-AE88)</f>
        <v>3.73980009976191</v>
      </c>
      <c r="AF223" s="22" t="n">
        <f aca="false">100*(AF89-AF88)</f>
        <v>3.70210571793441</v>
      </c>
      <c r="AG223" s="22" t="n">
        <f aca="false">100*(AG89-AG88)</f>
        <v>3.6669932253351</v>
      </c>
      <c r="AH223" s="22" t="n">
        <f aca="false">100*(AH89-AH88)</f>
        <v>3.634177367417</v>
      </c>
      <c r="AI223" s="22" t="n">
        <f aca="false">100*(AI89-AI88)</f>
        <v>3.6033837441922</v>
      </c>
      <c r="AJ223" s="22" t="n">
        <f aca="false">100*(AJ89-AJ88)</f>
        <v>3.57435206334111</v>
      </c>
      <c r="AK223" s="22" t="n">
        <f aca="false">100*(AK89-AK88)</f>
        <v>3.54683481631939</v>
      </c>
      <c r="AL223" s="22" t="n">
        <f aca="false">100*(AL89-AL88)</f>
        <v>3.5205971121419</v>
      </c>
      <c r="AM223" s="22" t="n">
        <f aca="false">100*(AM89-AM88)</f>
        <v>3.495419427</v>
      </c>
      <c r="AN223" s="22" t="n">
        <f aca="false">100*(AN89-AN88)</f>
        <v>3.471097616881</v>
      </c>
      <c r="AO223" s="22" t="n">
        <f aca="false">100*(AO89-AO88)</f>
        <v>3.44744391868559</v>
      </c>
      <c r="AP223" s="22" t="n">
        <f aca="false">100*(AP89-AP88)</f>
        <v>3.4242880942928</v>
      </c>
      <c r="AQ223" s="22" t="n">
        <f aca="false">100*(AQ89-AQ88)</f>
        <v>3.4014825573502</v>
      </c>
      <c r="AR223" s="22" t="n">
        <f aca="false">100*(AR89-AR88)</f>
        <v>3.3789072469999</v>
      </c>
      <c r="AS223" s="22" t="n">
        <f aca="false">100*(AS89-AS88)</f>
        <v>3.3564679236253</v>
      </c>
      <c r="AT223" s="22" t="n">
        <f aca="false">100*(AT89-AT88)</f>
        <v>3.33409546482011</v>
      </c>
      <c r="AU223" s="22" t="n">
        <f aca="false">100*(AU89-AU88)</f>
        <v>3.31175189159119</v>
      </c>
      <c r="AV223" s="22" t="n">
        <f aca="false">AVERAGE(C223:AU223)</f>
        <v>4.07777482331711</v>
      </c>
    </row>
    <row r="224" customFormat="false" ht="15" hidden="false" customHeight="false" outlineLevel="0" collapsed="false">
      <c r="A224" s="20" t="n">
        <f aca="false">A90</f>
        <v>-35</v>
      </c>
      <c r="B224" s="21" t="n">
        <f aca="false">B90</f>
        <v>43125</v>
      </c>
      <c r="C224" s="22" t="n">
        <f aca="false">100*(C90-C89)</f>
        <v>0.825785551651004</v>
      </c>
      <c r="D224" s="22" t="n">
        <f aca="false">100*(D90-D89)</f>
        <v>0.842236858528822</v>
      </c>
      <c r="E224" s="22" t="n">
        <f aca="false">100*(E90-E89)</f>
        <v>0.809828820187875</v>
      </c>
      <c r="F224" s="22" t="n">
        <f aca="false">100*(F90-F89)</f>
        <v>0.755498844385139</v>
      </c>
      <c r="G224" s="22" t="n">
        <f aca="false">100*(G90-G89)</f>
        <v>0.692347234259294</v>
      </c>
      <c r="H224" s="22" t="n">
        <f aca="false">100*(H90-H89)</f>
        <v>0.626171636292205</v>
      </c>
      <c r="I224" s="22" t="n">
        <f aca="false">100*(I90-I89)</f>
        <v>0.559616192195478</v>
      </c>
      <c r="J224" s="22" t="n">
        <f aca="false">100*(J90-J89)</f>
        <v>0.494172148271188</v>
      </c>
      <c r="K224" s="22" t="n">
        <f aca="false">100*(K90-K89)</f>
        <v>0.430735808104599</v>
      </c>
      <c r="L224" s="22" t="n">
        <f aca="false">100*(L90-L89)</f>
        <v>0.369879810115803</v>
      </c>
      <c r="M224" s="22" t="n">
        <f aca="false">100*(M90-M89)</f>
        <v>0.311673812242996</v>
      </c>
      <c r="N224" s="22" t="n">
        <f aca="false">100*(N90-N89)</f>
        <v>0.255637756081195</v>
      </c>
      <c r="O224" s="22" t="n">
        <f aca="false">100*(O90-O89)</f>
        <v>-0.631001470430403</v>
      </c>
      <c r="P224" s="22" t="n">
        <f aca="false">100*(P90-P89)</f>
        <v>-0.707465919183004</v>
      </c>
      <c r="Q224" s="22" t="n">
        <f aca="false">100*(Q90-Q89)</f>
        <v>-0.780789944938598</v>
      </c>
      <c r="R224" s="22" t="n">
        <f aca="false">100*(R90-R89)</f>
        <v>-0.850009675425412</v>
      </c>
      <c r="S224" s="22" t="n">
        <f aca="false">100*(S90-S89)</f>
        <v>-0.914308155856802</v>
      </c>
      <c r="T224" s="22" t="n">
        <f aca="false">100*(T90-T89)</f>
        <v>-0.972994929760906</v>
      </c>
      <c r="U224" s="22" t="n">
        <f aca="false">100*(U90-U89)</f>
        <v>-1.0254889053176</v>
      </c>
      <c r="V224" s="22" t="n">
        <f aca="false">100*(V90-V89)</f>
        <v>-1.07133514993021</v>
      </c>
      <c r="W224" s="22" t="n">
        <f aca="false">100*(W90-W89)</f>
        <v>-1.11023899274469</v>
      </c>
      <c r="X224" s="22" t="n">
        <f aca="false">100*(X90-X89)</f>
        <v>-1.14205286166471</v>
      </c>
      <c r="Y224" s="22" t="n">
        <f aca="false">100*(Y90-Y89)</f>
        <v>-1.16675801516639</v>
      </c>
      <c r="Z224" s="22" t="n">
        <f aca="false">100*(Z90-Z89)</f>
        <v>-1.18445014611601</v>
      </c>
      <c r="AA224" s="22" t="n">
        <f aca="false">100*(AA90-AA89)</f>
        <v>-1.19532551218011</v>
      </c>
      <c r="AB224" s="22" t="n">
        <f aca="false">100*(AB90-AB89)</f>
        <v>-1.1996686730023</v>
      </c>
      <c r="AC224" s="22" t="n">
        <f aca="false">100*(AC90-AC89)</f>
        <v>-1.1978419751419</v>
      </c>
      <c r="AD224" s="22" t="n">
        <f aca="false">100*(AD90-AD89)</f>
        <v>-1.19027607874451</v>
      </c>
      <c r="AE224" s="22" t="n">
        <f aca="false">100*(AE90-AE89)</f>
        <v>-1.1774611913379</v>
      </c>
      <c r="AF224" s="22" t="n">
        <f aca="false">100*(AF90-AF89)</f>
        <v>-1.15993583860721</v>
      </c>
      <c r="AG224" s="22" t="n">
        <f aca="false">100*(AG90-AG89)</f>
        <v>-1.13827397817912</v>
      </c>
      <c r="AH224" s="22" t="n">
        <f aca="false">100*(AH90-AH89)</f>
        <v>-1.1130741019141</v>
      </c>
      <c r="AI224" s="22" t="n">
        <f aca="false">100*(AI90-AI89)</f>
        <v>-1.08492671208471</v>
      </c>
      <c r="AJ224" s="22" t="n">
        <f aca="false">100*(AJ90-AJ89)</f>
        <v>-1.05439928400521</v>
      </c>
      <c r="AK224" s="22" t="n">
        <f aca="false">100*(AK90-AK89)</f>
        <v>-1.0220380098185</v>
      </c>
      <c r="AL224" s="22" t="n">
        <f aca="false">100*(AL90-AL89)</f>
        <v>-0.988364779417705</v>
      </c>
      <c r="AM224" s="22" t="n">
        <f aca="false">100*(AM90-AM89)</f>
        <v>-0.953852959171608</v>
      </c>
      <c r="AN224" s="22" t="n">
        <f aca="false">100*(AN90-AN89)</f>
        <v>-0.918917066507397</v>
      </c>
      <c r="AO224" s="22" t="n">
        <f aca="false">100*(AO90-AO89)</f>
        <v>-0.883912749542293</v>
      </c>
      <c r="AP224" s="22" t="n">
        <f aca="false">100*(AP90-AP89)</f>
        <v>-0.849137700942504</v>
      </c>
      <c r="AQ224" s="22" t="n">
        <f aca="false">100*(AQ90-AQ89)</f>
        <v>-0.814837567662496</v>
      </c>
      <c r="AR224" s="22" t="n">
        <f aca="false">100*(AR90-AR89)</f>
        <v>-0.781211699247608</v>
      </c>
      <c r="AS224" s="22" t="n">
        <f aca="false">100*(AS90-AS89)</f>
        <v>-0.748417258785294</v>
      </c>
      <c r="AT224" s="22" t="n">
        <f aca="false">100*(AT90-AT89)</f>
        <v>-0.716573039606705</v>
      </c>
      <c r="AU224" s="22" t="n">
        <f aca="false">100*(AU90-AU89)</f>
        <v>-0.685764642487996</v>
      </c>
      <c r="AV224" s="22" t="n">
        <f aca="false">AVERAGE(C224:AU224)</f>
        <v>-0.565722678057918</v>
      </c>
    </row>
    <row r="225" customFormat="false" ht="15" hidden="false" customHeight="false" outlineLevel="0" collapsed="false">
      <c r="A225" s="20" t="n">
        <f aca="false">A91</f>
        <v>-34</v>
      </c>
      <c r="B225" s="21" t="n">
        <f aca="false">B91</f>
        <v>43126</v>
      </c>
      <c r="C225" s="22" t="n">
        <f aca="false">100*(C91-C90)</f>
        <v>2.66704982942729</v>
      </c>
      <c r="D225" s="22" t="n">
        <f aca="false">100*(D91-D90)</f>
        <v>2.98875258298938</v>
      </c>
      <c r="E225" s="22" t="n">
        <f aca="false">100*(E91-E90)</f>
        <v>3.20847251734924</v>
      </c>
      <c r="F225" s="22" t="n">
        <f aca="false">100*(F91-F90)</f>
        <v>3.35189900610454</v>
      </c>
      <c r="G225" s="22" t="n">
        <f aca="false">100*(G91-G90)</f>
        <v>3.43405893741019</v>
      </c>
      <c r="H225" s="22" t="n">
        <f aca="false">100*(H91-H90)</f>
        <v>3.46556645304095</v>
      </c>
      <c r="I225" s="22" t="n">
        <f aca="false">100*(I91-I90)</f>
        <v>3.45509134419966</v>
      </c>
      <c r="J225" s="22" t="n">
        <f aca="false">100*(J91-J90)</f>
        <v>3.41052339924071</v>
      </c>
      <c r="K225" s="22" t="n">
        <f aca="false">100*(K91-K90)</f>
        <v>3.33896382277048</v>
      </c>
      <c r="L225" s="22" t="n">
        <f aca="false">100*(L91-L90)</f>
        <v>3.247177431749</v>
      </c>
      <c r="M225" s="22" t="n">
        <f aca="false">100*(M91-M90)</f>
        <v>3.1411844601549</v>
      </c>
      <c r="N225" s="22" t="n">
        <f aca="false">100*(N91-N90)</f>
        <v>3.0260895770422</v>
      </c>
      <c r="O225" s="22" t="n">
        <f aca="false">100*(O91-O90)</f>
        <v>1.6216342986056</v>
      </c>
      <c r="P225" s="22" t="n">
        <f aca="false">100*(P91-P90)</f>
        <v>1.538138800999</v>
      </c>
      <c r="Q225" s="22" t="n">
        <f aca="false">100*(Q91-Q90)</f>
        <v>1.4585369238824</v>
      </c>
      <c r="R225" s="22" t="n">
        <f aca="false">100*(R91-R90)</f>
        <v>1.3829419662857</v>
      </c>
      <c r="S225" s="22" t="n">
        <f aca="false">100*(S91-S90)</f>
        <v>1.31144956194802</v>
      </c>
      <c r="T225" s="22" t="n">
        <f aca="false">100*(T91-T90)</f>
        <v>1.244140227265</v>
      </c>
      <c r="U225" s="22" t="n">
        <f aca="false">100*(U91-U90)</f>
        <v>1.1810806800947</v>
      </c>
      <c r="V225" s="22" t="n">
        <f aca="false">100*(V91-V90)</f>
        <v>1.12231505665041</v>
      </c>
      <c r="W225" s="22" t="n">
        <f aca="false">100*(W91-W90)</f>
        <v>1.0678605083291</v>
      </c>
      <c r="X225" s="22" t="n">
        <f aca="false">100*(X91-X90)</f>
        <v>1.01771158005721</v>
      </c>
      <c r="Y225" s="22" t="n">
        <f aca="false">100*(Y91-Y90)</f>
        <v>0.971841894861192</v>
      </c>
      <c r="Z225" s="22" t="n">
        <f aca="false">100*(Z91-Z90)</f>
        <v>0.930203859718004</v>
      </c>
      <c r="AA225" s="22" t="n">
        <f aca="false">100*(AA91-AA90)</f>
        <v>0.892730643389417</v>
      </c>
      <c r="AB225" s="22" t="n">
        <f aca="false">100*(AB91-AB90)</f>
        <v>0.859338520438291</v>
      </c>
      <c r="AC225" s="22" t="n">
        <f aca="false">100*(AC91-AC90)</f>
        <v>0.829928890151588</v>
      </c>
      <c r="AD225" s="22" t="n">
        <f aca="false">100*(AD91-AD90)</f>
        <v>0.804390099767205</v>
      </c>
      <c r="AE225" s="22" t="n">
        <f aca="false">100*(AE91-AE90)</f>
        <v>0.782595046501</v>
      </c>
      <c r="AF225" s="22" t="n">
        <f aca="false">100*(AF91-AF90)</f>
        <v>0.764402732302405</v>
      </c>
      <c r="AG225" s="22" t="n">
        <f aca="false">100*(AG91-AG90)</f>
        <v>0.74966423942</v>
      </c>
      <c r="AH225" s="22" t="n">
        <f aca="false">100*(AH91-AH90)</f>
        <v>0.738226847955104</v>
      </c>
      <c r="AI225" s="22" t="n">
        <f aca="false">100*(AI91-AI90)</f>
        <v>0.729940340663005</v>
      </c>
      <c r="AJ225" s="22" t="n">
        <f aca="false">100*(AJ91-AJ90)</f>
        <v>0.724655073575486</v>
      </c>
      <c r="AK225" s="22" t="n">
        <f aca="false">100*(AK91-AK90)</f>
        <v>0.722221532067713</v>
      </c>
      <c r="AL225" s="22" t="n">
        <f aca="false">100*(AL91-AL90)</f>
        <v>0.722492453921708</v>
      </c>
      <c r="AM225" s="22" t="n">
        <f aca="false">100*(AM91-AM90)</f>
        <v>0.725326252412306</v>
      </c>
      <c r="AN225" s="22" t="n">
        <f aca="false">100*(AN91-AN90)</f>
        <v>0.730585024531405</v>
      </c>
      <c r="AO225" s="22" t="n">
        <f aca="false">100*(AO91-AO90)</f>
        <v>0.738136873169792</v>
      </c>
      <c r="AP225" s="22" t="n">
        <f aca="false">100*(AP91-AP90)</f>
        <v>0.74785623344249</v>
      </c>
      <c r="AQ225" s="22" t="n">
        <f aca="false">100*(AQ91-AQ90)</f>
        <v>0.759616881534897</v>
      </c>
      <c r="AR225" s="22" t="n">
        <f aca="false">100*(AR91-AR90)</f>
        <v>0.773285544810709</v>
      </c>
      <c r="AS225" s="22" t="n">
        <f aca="false">100*(AS91-AS90)</f>
        <v>0.788721907314005</v>
      </c>
      <c r="AT225" s="22" t="n">
        <f aca="false">100*(AT91-AT90)</f>
        <v>0.805778147680303</v>
      </c>
      <c r="AU225" s="22" t="n">
        <f aca="false">100*(AU91-AU90)</f>
        <v>0.824293641340201</v>
      </c>
      <c r="AV225" s="22" t="n">
        <f aca="false">AVERAGE(C225:AU225)</f>
        <v>1.55104159214586</v>
      </c>
    </row>
    <row r="226" customFormat="false" ht="15" hidden="false" customHeight="false" outlineLevel="0" collapsed="false">
      <c r="A226" s="20" t="n">
        <f aca="false">A92</f>
        <v>-33</v>
      </c>
      <c r="B226" s="21" t="n">
        <f aca="false">B92</f>
        <v>43129</v>
      </c>
      <c r="C226" s="22" t="n">
        <f aca="false">100*(C92-C91)</f>
        <v>0.945341348324458</v>
      </c>
      <c r="D226" s="22" t="n">
        <f aca="false">100*(D92-D91)</f>
        <v>1.28246561845664</v>
      </c>
      <c r="E226" s="22" t="n">
        <f aca="false">100*(E92-E91)</f>
        <v>1.52379382129383</v>
      </c>
      <c r="F226" s="22" t="n">
        <f aca="false">100*(F92-F91)</f>
        <v>1.69997130252202</v>
      </c>
      <c r="G226" s="22" t="n">
        <f aca="false">100*(G92-G91)</f>
        <v>1.83150250564786</v>
      </c>
      <c r="H226" s="22" t="n">
        <f aca="false">100*(H92-H91)</f>
        <v>1.93097113302858</v>
      </c>
      <c r="I226" s="22" t="n">
        <f aca="false">100*(I92-I91)</f>
        <v>2.0059407213407</v>
      </c>
      <c r="J226" s="22" t="n">
        <f aca="false">100*(J92-J91)</f>
        <v>2.06102524699481</v>
      </c>
      <c r="K226" s="22" t="n">
        <f aca="false">100*(K92-K91)</f>
        <v>2.099026304618</v>
      </c>
      <c r="L226" s="22" t="n">
        <f aca="false">100*(L92-L91)</f>
        <v>2.1216814786472</v>
      </c>
      <c r="M226" s="22" t="n">
        <f aca="false">100*(M92-M91)</f>
        <v>2.13008396519909</v>
      </c>
      <c r="N226" s="22" t="n">
        <f aca="false">100*(N92-N91)</f>
        <v>2.12493921785961</v>
      </c>
      <c r="O226" s="22" t="n">
        <f aca="false">100*(O92-O91)</f>
        <v>1.08148272752511</v>
      </c>
      <c r="P226" s="22" t="n">
        <f aca="false">100*(P92-P91)</f>
        <v>0.957437876438494</v>
      </c>
      <c r="Q226" s="22" t="n">
        <f aca="false">100*(Q92-Q91)</f>
        <v>0.832635516981384</v>
      </c>
      <c r="R226" s="22" t="n">
        <f aca="false">100*(R92-R91)</f>
        <v>0.708019428742102</v>
      </c>
      <c r="S226" s="22" t="n">
        <f aca="false">100*(S92-S91)</f>
        <v>0.5844790955571</v>
      </c>
      <c r="T226" s="22" t="n">
        <f aca="false">100*(T92-T91)</f>
        <v>0.462858181763703</v>
      </c>
      <c r="U226" s="22" t="n">
        <f aca="false">100*(U92-U91)</f>
        <v>0.343960870744597</v>
      </c>
      <c r="V226" s="22" t="n">
        <f aca="false">100*(V92-V91)</f>
        <v>0.228552114755587</v>
      </c>
      <c r="W226" s="22" t="n">
        <f aca="false">100*(W92-W91)</f>
        <v>0.117357882139801</v>
      </c>
      <c r="X226" s="22" t="n">
        <f aca="false">100*(X92-X91)</f>
        <v>0.0110685731677052</v>
      </c>
      <c r="Y226" s="22" t="n">
        <f aca="false">100*(Y92-Y91)</f>
        <v>-0.0896930671409946</v>
      </c>
      <c r="Z226" s="22" t="n">
        <f aca="false">100*(Z92-Z91)</f>
        <v>-0.184422044951904</v>
      </c>
      <c r="AA226" s="22" t="n">
        <f aca="false">100*(AA92-AA91)</f>
        <v>-0.272726105898102</v>
      </c>
      <c r="AB226" s="22" t="n">
        <f aca="false">100*(AB92-AB91)</f>
        <v>-0.354311997479884</v>
      </c>
      <c r="AC226" s="22" t="n">
        <f aca="false">100*(AC92-AC91)</f>
        <v>-0.428973700984603</v>
      </c>
      <c r="AD226" s="22" t="n">
        <f aca="false">100*(AD92-AD91)</f>
        <v>-0.496592212278912</v>
      </c>
      <c r="AE226" s="22" t="n">
        <f aca="false">100*(AE92-AE91)</f>
        <v>-0.557177962605104</v>
      </c>
      <c r="AF226" s="22" t="n">
        <f aca="false">100*(AF92-AF91)</f>
        <v>-0.61087278689409</v>
      </c>
      <c r="AG226" s="22" t="n">
        <f aca="false">100*(AG92-AG91)</f>
        <v>-0.657916281755799</v>
      </c>
      <c r="AH226" s="22" t="n">
        <f aca="false">100*(AH92-AH91)</f>
        <v>-0.698628350907304</v>
      </c>
      <c r="AI226" s="22" t="n">
        <f aca="false">100*(AI92-AI91)</f>
        <v>-0.7333843628897</v>
      </c>
      <c r="AJ226" s="22" t="n">
        <f aca="false">100*(AJ92-AJ91)</f>
        <v>-0.762602067275786</v>
      </c>
      <c r="AK226" s="22" t="n">
        <f aca="false">100*(AK92-AK91)</f>
        <v>-0.786737170838303</v>
      </c>
      <c r="AL226" s="22" t="n">
        <f aca="false">100*(AL92-AL91)</f>
        <v>-0.806275190264194</v>
      </c>
      <c r="AM226" s="22" t="n">
        <f aca="false">100*(AM92-AM91)</f>
        <v>-0.821707641764102</v>
      </c>
      <c r="AN226" s="22" t="n">
        <f aca="false">100*(AN92-AN91)</f>
        <v>-0.833520383743114</v>
      </c>
      <c r="AO226" s="22" t="n">
        <f aca="false">100*(AO92-AO91)</f>
        <v>-0.842187142190287</v>
      </c>
      <c r="AP226" s="22" t="n">
        <f aca="false">100*(AP92-AP91)</f>
        <v>-0.848163674852898</v>
      </c>
      <c r="AQ226" s="22" t="n">
        <f aca="false">100*(AQ92-AQ91)</f>
        <v>-0.851877538263901</v>
      </c>
      <c r="AR226" s="22" t="n">
        <f aca="false">100*(AR92-AR91)</f>
        <v>-0.8537193339893</v>
      </c>
      <c r="AS226" s="22" t="n">
        <f aca="false">100*(AS92-AS91)</f>
        <v>-0.854044883279315</v>
      </c>
      <c r="AT226" s="22" t="n">
        <f aca="false">100*(AT92-AT91)</f>
        <v>-0.853176039234804</v>
      </c>
      <c r="AU226" s="22" t="n">
        <f aca="false">100*(AU92-AU91)</f>
        <v>-0.851392288005504</v>
      </c>
      <c r="AV226" s="22" t="n">
        <f aca="false">AVERAGE(C226:AU226)</f>
        <v>0.267433171205788</v>
      </c>
    </row>
    <row r="227" customFormat="false" ht="15" hidden="false" customHeight="false" outlineLevel="0" collapsed="false">
      <c r="A227" s="20" t="n">
        <f aca="false">A93</f>
        <v>-32</v>
      </c>
      <c r="B227" s="21" t="n">
        <f aca="false">B93</f>
        <v>43130</v>
      </c>
      <c r="C227" s="22" t="n">
        <f aca="false">100*(C93-C92)</f>
        <v>-1.28097417258537</v>
      </c>
      <c r="D227" s="22" t="n">
        <f aca="false">100*(D93-D92)</f>
        <v>-1.17734899547032</v>
      </c>
      <c r="E227" s="22" t="n">
        <f aca="false">100*(E93-E92)</f>
        <v>-1.12489044853994</v>
      </c>
      <c r="F227" s="22" t="n">
        <f aca="false">100*(F93-F92)</f>
        <v>-1.09634133642454</v>
      </c>
      <c r="G227" s="22" t="n">
        <f aca="false">100*(G93-G92)</f>
        <v>-1.06983826294685</v>
      </c>
      <c r="H227" s="22" t="n">
        <f aca="false">100*(H93-H92)</f>
        <v>-1.03112079573542</v>
      </c>
      <c r="I227" s="22" t="n">
        <f aca="false">100*(I93-I92)</f>
        <v>-0.972983509489489</v>
      </c>
      <c r="J227" s="22" t="n">
        <f aca="false">100*(J93-J92)</f>
        <v>-0.893580004499706</v>
      </c>
      <c r="K227" s="22" t="n">
        <f aca="false">100*(K93-K92)</f>
        <v>-0.794543189871888</v>
      </c>
      <c r="L227" s="22" t="n">
        <f aca="false">100*(L93-L92)</f>
        <v>-0.679680239734504</v>
      </c>
      <c r="M227" s="22" t="n">
        <f aca="false">100*(M93-M92)</f>
        <v>-0.553675550333699</v>
      </c>
      <c r="N227" s="22" t="n">
        <f aca="false">100*(N93-N92)</f>
        <v>-0.42137389183261</v>
      </c>
      <c r="O227" s="22" t="n">
        <f aca="false">100*(O93-O92)</f>
        <v>0.741002823975889</v>
      </c>
      <c r="P227" s="22" t="n">
        <f aca="false">100*(P93-P92)</f>
        <v>0.771573114383095</v>
      </c>
      <c r="Q227" s="22" t="n">
        <f aca="false">100*(Q93-Q92)</f>
        <v>0.79732498131162</v>
      </c>
      <c r="R227" s="22" t="n">
        <f aca="false">100*(R93-R92)</f>
        <v>0.819344622917906</v>
      </c>
      <c r="S227" s="22" t="n">
        <f aca="false">100*(S93-S92)</f>
        <v>0.838605917544699</v>
      </c>
      <c r="T227" s="22" t="n">
        <f aca="false">100*(T93-T92)</f>
        <v>0.855985692382588</v>
      </c>
      <c r="U227" s="22" t="n">
        <f aca="false">100*(U93-U92)</f>
        <v>0.872275281287105</v>
      </c>
      <c r="V227" s="22" t="n">
        <f aca="false">100*(V93-V92)</f>
        <v>0.888137518659105</v>
      </c>
      <c r="W227" s="22" t="n">
        <f aca="false">100*(W93-W92)</f>
        <v>0.904040907471893</v>
      </c>
      <c r="X227" s="22" t="n">
        <f aca="false">100*(X93-X92)</f>
        <v>0.920273984195497</v>
      </c>
      <c r="Y227" s="22" t="n">
        <f aca="false">100*(Y93-Y92)</f>
        <v>0.936991951689503</v>
      </c>
      <c r="Z227" s="22" t="n">
        <f aca="false">100*(Z93-Z92)</f>
        <v>0.954270318092698</v>
      </c>
      <c r="AA227" s="22" t="n">
        <f aca="false">100*(AA93-AA92)</f>
        <v>0.972120864448689</v>
      </c>
      <c r="AB227" s="22" t="n">
        <f aca="false">100*(AB93-AB92)</f>
        <v>0.990499422983993</v>
      </c>
      <c r="AC227" s="22" t="n">
        <f aca="false">100*(AC93-AC92)</f>
        <v>1.0093125599008</v>
      </c>
      <c r="AD227" s="22" t="n">
        <f aca="false">100*(AD93-AD92)</f>
        <v>1.02843266850081</v>
      </c>
      <c r="AE227" s="22" t="n">
        <f aca="false">100*(AE93-AE92)</f>
        <v>1.04774869656439</v>
      </c>
      <c r="AF227" s="22" t="n">
        <f aca="false">100*(AF93-AF92)</f>
        <v>1.06718307339908</v>
      </c>
      <c r="AG227" s="22" t="n">
        <f aca="false">100*(AG93-AG92)</f>
        <v>1.08667791629451</v>
      </c>
      <c r="AH227" s="22" t="n">
        <f aca="false">100*(AH93-AH92)</f>
        <v>1.10619231184139</v>
      </c>
      <c r="AI227" s="22" t="n">
        <f aca="false">100*(AI93-AI92)</f>
        <v>1.12570434598989</v>
      </c>
      <c r="AJ227" s="22" t="n">
        <f aca="false">100*(AJ93-AJ92)</f>
        <v>1.1452094867215</v>
      </c>
      <c r="AK227" s="22" t="n">
        <f aca="false">100*(AK93-AK92)</f>
        <v>1.1647187495579</v>
      </c>
      <c r="AL227" s="22" t="n">
        <f aca="false">100*(AL93-AL92)</f>
        <v>1.18425665421329</v>
      </c>
      <c r="AM227" s="22" t="n">
        <f aca="false">100*(AM93-AM92)</f>
        <v>1.2038541836406</v>
      </c>
      <c r="AN227" s="22" t="n">
        <f aca="false">100*(AN93-AN92)</f>
        <v>1.22354328829641</v>
      </c>
      <c r="AO227" s="22" t="n">
        <f aca="false">100*(AO93-AO92)</f>
        <v>1.2433529662357</v>
      </c>
      <c r="AP227" s="22" t="n">
        <f aca="false">100*(AP93-AP92)</f>
        <v>1.2633052009231</v>
      </c>
      <c r="AQ227" s="22" t="n">
        <f aca="false">100*(AQ93-AQ92)</f>
        <v>1.28341111722439</v>
      </c>
      <c r="AR227" s="22" t="n">
        <f aca="false">100*(AR93-AR92)</f>
        <v>1.3036678926845</v>
      </c>
      <c r="AS227" s="22" t="n">
        <f aca="false">100*(AS93-AS92)</f>
        <v>1.32405959108082</v>
      </c>
      <c r="AT227" s="22" t="n">
        <f aca="false">100*(AT93-AT92)</f>
        <v>1.34455726663041</v>
      </c>
      <c r="AU227" s="22" t="n">
        <f aca="false">100*(AU93-AU92)</f>
        <v>1.36511500934591</v>
      </c>
      <c r="AV227" s="22" t="n">
        <f aca="false">AVERAGE(C227:AU227)</f>
        <v>0.526364444065007</v>
      </c>
    </row>
    <row r="228" customFormat="false" ht="15" hidden="false" customHeight="false" outlineLevel="0" collapsed="false">
      <c r="A228" s="20" t="n">
        <f aca="false">A94</f>
        <v>-31</v>
      </c>
      <c r="B228" s="21" t="n">
        <f aca="false">B94</f>
        <v>43131</v>
      </c>
      <c r="C228" s="22" t="n">
        <f aca="false">100*(C94-C93)</f>
        <v>3.04128153782249</v>
      </c>
      <c r="D228" s="22" t="n">
        <f aca="false">100*(D94-D93)</f>
        <v>2.89930135381888</v>
      </c>
      <c r="E228" s="22" t="n">
        <f aca="false">100*(E94-E93)</f>
        <v>2.75521815639536</v>
      </c>
      <c r="F228" s="22" t="n">
        <f aca="false">100*(F94-F93)</f>
        <v>2.63126067966929</v>
      </c>
      <c r="G228" s="22" t="n">
        <f aca="false">100*(G94-G93)</f>
        <v>2.53161286304917</v>
      </c>
      <c r="H228" s="22" t="n">
        <f aca="false">100*(H94-H93)</f>
        <v>2.45524368427663</v>
      </c>
      <c r="I228" s="22" t="n">
        <f aca="false">100*(I94-I93)</f>
        <v>2.39947806615739</v>
      </c>
      <c r="J228" s="22" t="n">
        <f aca="false">100*(J94-J93)</f>
        <v>2.361248762269</v>
      </c>
      <c r="K228" s="22" t="n">
        <f aca="false">100*(K94-K93)</f>
        <v>2.33746222305469</v>
      </c>
      <c r="L228" s="22" t="n">
        <f aca="false">100*(L94-L93)</f>
        <v>2.3250371554649</v>
      </c>
      <c r="M228" s="22" t="n">
        <f aca="false">100*(M94-M93)</f>
        <v>2.32107817605951</v>
      </c>
      <c r="N228" s="22" t="n">
        <f aca="false">100*(N94-N93)</f>
        <v>2.3229069246216</v>
      </c>
      <c r="O228" s="22" t="n">
        <f aca="false">100*(O94-O93)</f>
        <v>2.25816656875981</v>
      </c>
      <c r="P228" s="22" t="n">
        <f aca="false">100*(P94-P93)</f>
        <v>2.24111455344171</v>
      </c>
      <c r="Q228" s="22" t="n">
        <f aca="false">100*(Q94-Q93)</f>
        <v>2.22470296384238</v>
      </c>
      <c r="R228" s="22" t="n">
        <f aca="false">100*(R94-R93)</f>
        <v>2.20938777669439</v>
      </c>
      <c r="S228" s="22" t="n">
        <f aca="false">100*(S94-S93)</f>
        <v>2.19551851205539</v>
      </c>
      <c r="T228" s="22" t="n">
        <f aca="false">100*(T94-T93)</f>
        <v>2.18335375272249</v>
      </c>
      <c r="U228" s="22" t="n">
        <f aca="false">100*(U94-U93)</f>
        <v>2.17307352720419</v>
      </c>
      <c r="V228" s="22" t="n">
        <f aca="false">100*(V94-V93)</f>
        <v>2.1647740614503</v>
      </c>
      <c r="W228" s="22" t="n">
        <f aca="false">100*(W94-W93)</f>
        <v>2.15845820043861</v>
      </c>
      <c r="X228" s="22" t="n">
        <f aca="false">100*(X94-X93)</f>
        <v>2.15404577072029</v>
      </c>
      <c r="Y228" s="22" t="n">
        <f aca="false">100*(Y94-Y93)</f>
        <v>2.1513905166292</v>
      </c>
      <c r="Z228" s="22" t="n">
        <f aca="false">100*(Z94-Z93)</f>
        <v>2.15029791532801</v>
      </c>
      <c r="AA228" s="22" t="n">
        <f aca="false">100*(AA94-AA93)</f>
        <v>2.15053270334931</v>
      </c>
      <c r="AB228" s="22" t="n">
        <f aca="false">100*(AB94-AB93)</f>
        <v>2.15182384637962</v>
      </c>
      <c r="AC228" s="22" t="n">
        <f aca="false">100*(AC94-AC93)</f>
        <v>2.15386881064181</v>
      </c>
      <c r="AD228" s="22" t="n">
        <f aca="false">100*(AD94-AD93)</f>
        <v>2.1563414913486</v>
      </c>
      <c r="AE228" s="22" t="n">
        <f aca="false">100*(AE94-AE93)</f>
        <v>2.15891531616432</v>
      </c>
      <c r="AF228" s="22" t="n">
        <f aca="false">100*(AF94-AF93)</f>
        <v>2.161279983964</v>
      </c>
      <c r="AG228" s="22" t="n">
        <f aca="false">100*(AG94-AG93)</f>
        <v>2.16314964483968</v>
      </c>
      <c r="AH228" s="22" t="n">
        <f aca="false">100*(AH94-AH93)</f>
        <v>2.16426593692591</v>
      </c>
      <c r="AI228" s="22" t="n">
        <f aca="false">100*(AI94-AI93)</f>
        <v>2.16441323356951</v>
      </c>
      <c r="AJ228" s="22" t="n">
        <f aca="false">100*(AJ94-AJ93)</f>
        <v>2.16342227596189</v>
      </c>
      <c r="AK228" s="22" t="n">
        <f aca="false">100*(AK94-AK93)</f>
        <v>2.1611657253936</v>
      </c>
      <c r="AL228" s="22" t="n">
        <f aca="false">100*(AL94-AL93)</f>
        <v>2.15755605283241</v>
      </c>
      <c r="AM228" s="22" t="n">
        <f aca="false">100*(AM94-AM93)</f>
        <v>2.15254918862922</v>
      </c>
      <c r="AN228" s="22" t="n">
        <f aca="false">100*(AN94-AN93)</f>
        <v>2.14614316846029</v>
      </c>
      <c r="AO228" s="22" t="n">
        <f aca="false">100*(AO94-AO93)</f>
        <v>2.138374088129</v>
      </c>
      <c r="AP228" s="22" t="n">
        <f aca="false">100*(AP94-AP93)</f>
        <v>2.12931146078079</v>
      </c>
      <c r="AQ228" s="22" t="n">
        <f aca="false">100*(AQ94-AQ93)</f>
        <v>2.11904986544011</v>
      </c>
      <c r="AR228" s="22" t="n">
        <f aca="false">100*(AR94-AR93)</f>
        <v>2.10770166699941</v>
      </c>
      <c r="AS228" s="22" t="n">
        <f aca="false">100*(AS94-AS93)</f>
        <v>2.0953950362107</v>
      </c>
      <c r="AT228" s="22" t="n">
        <f aca="false">100*(AT94-AT93)</f>
        <v>2.0822720320173</v>
      </c>
      <c r="AU228" s="22" t="n">
        <f aca="false">100*(AU94-AU93)</f>
        <v>2.06848356770299</v>
      </c>
      <c r="AV228" s="22" t="n">
        <f aca="false">AVERAGE(C228:AU228)</f>
        <v>2.25758730661525</v>
      </c>
    </row>
    <row r="229" customFormat="false" ht="15" hidden="false" customHeight="false" outlineLevel="0" collapsed="false">
      <c r="A229" s="20" t="n">
        <f aca="false">A95</f>
        <v>-30</v>
      </c>
      <c r="B229" s="21" t="n">
        <f aca="false">B95</f>
        <v>43132</v>
      </c>
      <c r="C229" s="22" t="n">
        <f aca="false">100*(C95-C94)</f>
        <v>1.6995237339983</v>
      </c>
      <c r="D229" s="22" t="n">
        <f aca="false">100*(D95-D94)</f>
        <v>2.05027179066278</v>
      </c>
      <c r="E229" s="22" t="n">
        <f aca="false">100*(E95-E94)</f>
        <v>2.30735805379546</v>
      </c>
      <c r="F229" s="22" t="n">
        <f aca="false">100*(F95-F94)</f>
        <v>2.49929810013513</v>
      </c>
      <c r="G229" s="22" t="n">
        <f aca="false">100*(G95-G94)</f>
        <v>2.64569153800445</v>
      </c>
      <c r="H229" s="22" t="n">
        <f aca="false">100*(H95-H94)</f>
        <v>2.7607607529803</v>
      </c>
      <c r="I229" s="22" t="n">
        <f aca="false">100*(I95-I94)</f>
        <v>2.85444154048959</v>
      </c>
      <c r="J229" s="22" t="n">
        <f aca="false">100*(J95-J94)</f>
        <v>2.9332460295826</v>
      </c>
      <c r="K229" s="22" t="n">
        <f aca="false">100*(K95-K94)</f>
        <v>3.00105934747141</v>
      </c>
      <c r="L229" s="22" t="n">
        <f aca="false">100*(L95-L94)</f>
        <v>3.0597700874706</v>
      </c>
      <c r="M229" s="22" t="n">
        <f aca="false">100*(M95-M94)</f>
        <v>3.10987887718959</v>
      </c>
      <c r="N229" s="22" t="n">
        <f aca="false">100*(N95-N94)</f>
        <v>3.15094516300309</v>
      </c>
      <c r="O229" s="22" t="n">
        <f aca="false">100*(O95-O94)</f>
        <v>2.57071449903279</v>
      </c>
      <c r="P229" s="22" t="n">
        <f aca="false">100*(P95-P94)</f>
        <v>2.46213071281161</v>
      </c>
      <c r="Q229" s="22" t="n">
        <f aca="false">100*(Q95-Q94)</f>
        <v>2.35161393556411</v>
      </c>
      <c r="R229" s="22" t="n">
        <f aca="false">100*(R95-R94)</f>
        <v>2.24053962725039</v>
      </c>
      <c r="S229" s="22" t="n">
        <f aca="false">100*(S95-S94)</f>
        <v>2.1301327146749</v>
      </c>
      <c r="T229" s="22" t="n">
        <f aca="false">100*(T95-T94)</f>
        <v>2.0214895831681</v>
      </c>
      <c r="U229" s="22" t="n">
        <f aca="false">100*(U95-U94)</f>
        <v>1.91559565556469</v>
      </c>
      <c r="V229" s="22" t="n">
        <f aca="false">100*(V95-V94)</f>
        <v>1.8133185044845</v>
      </c>
      <c r="W229" s="22" t="n">
        <f aca="false">100*(W95-W94)</f>
        <v>1.71539390091</v>
      </c>
      <c r="X229" s="22" t="n">
        <f aca="false">100*(X95-X94)</f>
        <v>1.62243864477549</v>
      </c>
      <c r="Y229" s="22" t="n">
        <f aca="false">100*(Y95-Y94)</f>
        <v>1.53494367449809</v>
      </c>
      <c r="Z229" s="22" t="n">
        <f aca="false">100*(Z95-Z94)</f>
        <v>1.45325549142061</v>
      </c>
      <c r="AA229" s="22" t="n">
        <f aca="false">100*(AA95-AA94)</f>
        <v>1.3775887305951</v>
      </c>
      <c r="AB229" s="22" t="n">
        <f aca="false">100*(AB95-AB94)</f>
        <v>1.30804223718819</v>
      </c>
      <c r="AC229" s="22" t="n">
        <f aca="false">100*(AC95-AC94)</f>
        <v>1.24461283748269</v>
      </c>
      <c r="AD229" s="22" t="n">
        <f aca="false">100*(AD95-AD94)</f>
        <v>1.18720035578379</v>
      </c>
      <c r="AE229" s="22" t="n">
        <f aca="false">100*(AE95-AE94)</f>
        <v>1.13558335059949</v>
      </c>
      <c r="AF229" s="22" t="n">
        <f aca="false">100*(AF95-AF94)</f>
        <v>1.08942109662222</v>
      </c>
      <c r="AG229" s="22" t="n">
        <f aca="false">100*(AG95-AG94)</f>
        <v>1.0482773048925</v>
      </c>
      <c r="AH229" s="22" t="n">
        <f aca="false">100*(AH95-AH94)</f>
        <v>1.0116388898199</v>
      </c>
      <c r="AI229" s="22" t="n">
        <f aca="false">100*(AI95-AI94)</f>
        <v>0.978955209470511</v>
      </c>
      <c r="AJ229" s="22" t="n">
        <f aca="false">100*(AJ95-AJ94)</f>
        <v>0.949656659730502</v>
      </c>
      <c r="AK229" s="22" t="n">
        <f aca="false">100*(AK95-AK94)</f>
        <v>0.923157002421693</v>
      </c>
      <c r="AL229" s="22" t="n">
        <f aca="false">100*(AL95-AL94)</f>
        <v>0.898862203558393</v>
      </c>
      <c r="AM229" s="22" t="n">
        <f aca="false">100*(AM95-AM94)</f>
        <v>0.876205125509699</v>
      </c>
      <c r="AN229" s="22" t="n">
        <f aca="false">100*(AN95-AN94)</f>
        <v>0.854660901815318</v>
      </c>
      <c r="AO229" s="22" t="n">
        <f aca="false">100*(AO95-AO94)</f>
        <v>0.833753170984508</v>
      </c>
      <c r="AP229" s="22" t="n">
        <f aca="false">100*(AP95-AP94)</f>
        <v>0.813059337610422</v>
      </c>
      <c r="AQ229" s="22" t="n">
        <f aca="false">100*(AQ95-AQ94)</f>
        <v>0.792219838393504</v>
      </c>
      <c r="AR229" s="22" t="n">
        <f aca="false">100*(AR95-AR94)</f>
        <v>0.770945363041786</v>
      </c>
      <c r="AS229" s="22" t="n">
        <f aca="false">100*(AS95-AS94)</f>
        <v>0.74901189022778</v>
      </c>
      <c r="AT229" s="22" t="n">
        <f aca="false">100*(AT95-AT94)</f>
        <v>0.726257645074102</v>
      </c>
      <c r="AU229" s="22" t="n">
        <f aca="false">100*(AU95-AU94)</f>
        <v>0.702590040566697</v>
      </c>
      <c r="AV229" s="22" t="n">
        <f aca="false">AVERAGE(C229:AU229)</f>
        <v>1.69278913667394</v>
      </c>
    </row>
    <row r="230" customFormat="false" ht="15" hidden="false" customHeight="false" outlineLevel="0" collapsed="false">
      <c r="A230" s="20" t="n">
        <f aca="false">A96</f>
        <v>-29</v>
      </c>
      <c r="B230" s="21" t="n">
        <f aca="false">B96</f>
        <v>43133</v>
      </c>
      <c r="C230" s="22" t="n">
        <f aca="false">100*(C96-C95)</f>
        <v>0.799654639174863</v>
      </c>
      <c r="D230" s="22" t="n">
        <f aca="false">100*(D96-D95)</f>
        <v>1.41012956474077</v>
      </c>
      <c r="E230" s="22" t="n">
        <f aca="false">100*(E96-E95)</f>
        <v>1.90711776404248</v>
      </c>
      <c r="F230" s="22" t="n">
        <f aca="false">100*(F96-F95)</f>
        <v>2.31577117843876</v>
      </c>
      <c r="G230" s="22" t="n">
        <f aca="false">100*(G96-G95)</f>
        <v>2.66031777978535</v>
      </c>
      <c r="H230" s="22" t="n">
        <f aca="false">100*(H96-H95)</f>
        <v>2.95777678268299</v>
      </c>
      <c r="I230" s="22" t="n">
        <f aca="false">100*(I96-I95)</f>
        <v>3.21948947713742</v>
      </c>
      <c r="J230" s="22" t="n">
        <f aca="false">100*(J96-J95)</f>
        <v>3.4525903499375</v>
      </c>
      <c r="K230" s="22" t="n">
        <f aca="false">100*(K96-K95)</f>
        <v>3.6613007517396</v>
      </c>
      <c r="L230" s="22" t="n">
        <f aca="false">100*(L96-L95)</f>
        <v>3.84749474329951</v>
      </c>
      <c r="M230" s="22" t="n">
        <f aca="false">100*(M96-M95)</f>
        <v>4.0116201757755</v>
      </c>
      <c r="N230" s="22" t="n">
        <f aca="false">100*(N96-N95)</f>
        <v>4.1533603611287</v>
      </c>
      <c r="O230" s="22" t="n">
        <f aca="false">100*(O96-O95)</f>
        <v>3.9895373663102</v>
      </c>
      <c r="P230" s="22" t="n">
        <f aca="false">100*(P96-P95)</f>
        <v>3.86555867827798</v>
      </c>
      <c r="Q230" s="22" t="n">
        <f aca="false">100*(Q96-Q95)</f>
        <v>3.73530916201599</v>
      </c>
      <c r="R230" s="22" t="n">
        <f aca="false">100*(R96-R95)</f>
        <v>3.6006868188118</v>
      </c>
      <c r="S230" s="22" t="n">
        <f aca="false">100*(S96-S95)</f>
        <v>3.4634430849424</v>
      </c>
      <c r="T230" s="22" t="n">
        <f aca="false">100*(T96-T95)</f>
        <v>3.32520468959581</v>
      </c>
      <c r="U230" s="22" t="n">
        <f aca="false">100*(U96-U95)</f>
        <v>3.1874893211558</v>
      </c>
      <c r="V230" s="22" t="n">
        <f aca="false">100*(V96-V95)</f>
        <v>3.0516839275792</v>
      </c>
      <c r="W230" s="22" t="n">
        <f aca="false">100*(W96-W95)</f>
        <v>2.91902251277949</v>
      </c>
      <c r="X230" s="22" t="n">
        <f aca="false">100*(X96-X95)</f>
        <v>2.7906018940973</v>
      </c>
      <c r="Y230" s="22" t="n">
        <f aca="false">100*(Y96-Y95)</f>
        <v>2.66736864411983</v>
      </c>
      <c r="Z230" s="22" t="n">
        <f aca="false">100*(Z96-Z95)</f>
        <v>2.55009318682529</v>
      </c>
      <c r="AA230" s="22" t="n">
        <f aca="false">100*(AA96-AA95)</f>
        <v>2.43938518012228</v>
      </c>
      <c r="AB230" s="22" t="n">
        <f aca="false">100*(AB96-AB95)</f>
        <v>2.33571311796048</v>
      </c>
      <c r="AC230" s="22" t="n">
        <f aca="false">100*(AC96-AC95)</f>
        <v>2.2394211202204</v>
      </c>
      <c r="AD230" s="22" t="n">
        <f aca="false">100*(AD96-AD95)</f>
        <v>2.15073541794752</v>
      </c>
      <c r="AE230" s="22" t="n">
        <f aca="false">100*(AE96-AE95)</f>
        <v>2.06973676940478</v>
      </c>
      <c r="AF230" s="22" t="n">
        <f aca="false">100*(AF96-AF95)</f>
        <v>1.99636231923588</v>
      </c>
      <c r="AG230" s="22" t="n">
        <f aca="false">100*(AG96-AG95)</f>
        <v>1.93042931078273</v>
      </c>
      <c r="AH230" s="22" t="n">
        <f aca="false">100*(AH96-AH95)</f>
        <v>1.87165453227509</v>
      </c>
      <c r="AI230" s="22" t="n">
        <f aca="false">100*(AI96-AI95)</f>
        <v>1.8196811163786</v>
      </c>
      <c r="AJ230" s="22" t="n">
        <f aca="false">100*(AJ96-AJ95)</f>
        <v>1.77408841341169</v>
      </c>
      <c r="AK230" s="22" t="n">
        <f aca="false">100*(AK96-AK95)</f>
        <v>1.73439811892631</v>
      </c>
      <c r="AL230" s="22" t="n">
        <f aca="false">100*(AL96-AL95)</f>
        <v>1.70008697908211</v>
      </c>
      <c r="AM230" s="22" t="n">
        <f aca="false">100*(AM96-AM95)</f>
        <v>1.67061554910148</v>
      </c>
      <c r="AN230" s="22" t="n">
        <f aca="false">100*(AN96-AN95)</f>
        <v>1.6454388940021</v>
      </c>
      <c r="AO230" s="22" t="n">
        <f aca="false">100*(AO96-AO95)</f>
        <v>1.62401681914628</v>
      </c>
      <c r="AP230" s="22" t="n">
        <f aca="false">100*(AP96-AP95)</f>
        <v>1.60582204256658</v>
      </c>
      <c r="AQ230" s="22" t="n">
        <f aca="false">100*(AQ96-AQ95)</f>
        <v>1.59035622036028</v>
      </c>
      <c r="AR230" s="22" t="n">
        <f aca="false">100*(AR96-AR95)</f>
        <v>1.57716240911943</v>
      </c>
      <c r="AS230" s="22" t="n">
        <f aca="false">100*(AS96-AS95)</f>
        <v>1.56582267630141</v>
      </c>
      <c r="AT230" s="22" t="n">
        <f aca="false">100*(AT96-AT95)</f>
        <v>1.5559585273738</v>
      </c>
      <c r="AU230" s="22" t="n">
        <f aca="false">100*(AU96-AU95)</f>
        <v>1.54724467912821</v>
      </c>
      <c r="AV230" s="22" t="n">
        <f aca="false">AVERAGE(C230:AU230)</f>
        <v>2.48859451260538</v>
      </c>
    </row>
    <row r="231" customFormat="false" ht="15" hidden="false" customHeight="false" outlineLevel="0" collapsed="false">
      <c r="A231" s="20" t="n">
        <f aca="false">A97</f>
        <v>-28</v>
      </c>
      <c r="B231" s="21" t="n">
        <f aca="false">B97</f>
        <v>43136</v>
      </c>
      <c r="C231" s="22" t="n">
        <f aca="false">100*(C97-C96)</f>
        <v>-1.58523330227618</v>
      </c>
      <c r="D231" s="22" t="n">
        <f aca="false">100*(D97-D96)</f>
        <v>-1.52448910888632</v>
      </c>
      <c r="E231" s="22" t="n">
        <f aca="false">100*(E97-E96)</f>
        <v>-1.47041921701101</v>
      </c>
      <c r="F231" s="22" t="n">
        <f aca="false">100*(F97-F96)</f>
        <v>-1.41184159394266</v>
      </c>
      <c r="G231" s="22" t="n">
        <f aca="false">100*(G97-G96)</f>
        <v>-1.345597715194</v>
      </c>
      <c r="H231" s="22" t="n">
        <f aca="false">100*(H97-H96)</f>
        <v>-1.2727692334227</v>
      </c>
      <c r="I231" s="22" t="n">
        <f aca="false">100*(I97-I96)</f>
        <v>-1.19588511372282</v>
      </c>
      <c r="J231" s="22" t="n">
        <f aca="false">100*(J97-J96)</f>
        <v>-1.11764896050321</v>
      </c>
      <c r="K231" s="22" t="n">
        <f aca="false">100*(K97-K96)</f>
        <v>-1.0403135246452</v>
      </c>
      <c r="L231" s="22" t="n">
        <f aca="false">100*(L97-L96)</f>
        <v>-0.965623377114011</v>
      </c>
      <c r="M231" s="22" t="n">
        <f aca="false">100*(M97-M96)</f>
        <v>-0.894628974332989</v>
      </c>
      <c r="N231" s="22" t="n">
        <f aca="false">100*(N97-N96)</f>
        <v>-0.827719597113896</v>
      </c>
      <c r="O231" s="22" t="n">
        <f aca="false">100*(O97-O96)</f>
        <v>-0.0900525914016015</v>
      </c>
      <c r="P231" s="22" t="n">
        <f aca="false">100*(P97-P96)</f>
        <v>-0.0377834465165927</v>
      </c>
      <c r="Q231" s="22" t="n">
        <f aca="false">100*(Q97-Q96)</f>
        <v>0.0122213647641978</v>
      </c>
      <c r="R231" s="22" t="n">
        <f aca="false">100*(R97-R96)</f>
        <v>0.0596122735982085</v>
      </c>
      <c r="S231" s="22" t="n">
        <f aca="false">100*(S97-S96)</f>
        <v>0.104127326347991</v>
      </c>
      <c r="T231" s="22" t="n">
        <f aca="false">100*(T97-T96)</f>
        <v>0.145579820336095</v>
      </c>
      <c r="U231" s="22" t="n">
        <f aca="false">100*(U97-U96)</f>
        <v>0.183846677791411</v>
      </c>
      <c r="V231" s="22" t="n">
        <f aca="false">100*(V97-V96)</f>
        <v>0.218854375335309</v>
      </c>
      <c r="W231" s="22" t="n">
        <f aca="false">100*(W97-W96)</f>
        <v>0.250570298156716</v>
      </c>
      <c r="X231" s="22" t="n">
        <f aca="false">100*(X97-X96)</f>
        <v>0.278997985023022</v>
      </c>
      <c r="Y231" s="22" t="n">
        <f aca="false">100*(Y97-Y96)</f>
        <v>0.304173684546782</v>
      </c>
      <c r="Z231" s="22" t="n">
        <f aca="false">100*(Z97-Z96)</f>
        <v>0.326164922419991</v>
      </c>
      <c r="AA231" s="22" t="n">
        <f aca="false">100*(AA97-AA96)</f>
        <v>0.34506715610001</v>
      </c>
      <c r="AB231" s="22" t="n">
        <f aca="false">100*(AB97-AB96)</f>
        <v>0.36100036948743</v>
      </c>
      <c r="AC231" s="22" t="n">
        <f aca="false">100*(AC97-AC96)</f>
        <v>0.374106156526199</v>
      </c>
      <c r="AD231" s="22" t="n">
        <f aca="false">100*(AD97-AD96)</f>
        <v>0.384545763026001</v>
      </c>
      <c r="AE231" s="22" t="n">
        <f aca="false">100*(AE97-AE96)</f>
        <v>0.392499764139531</v>
      </c>
      <c r="AF231" s="22" t="n">
        <f aca="false">100*(AF97-AF96)</f>
        <v>0.398163789823025</v>
      </c>
      <c r="AG231" s="22" t="n">
        <f aca="false">100*(AG97-AG96)</f>
        <v>0.401741288315982</v>
      </c>
      <c r="AH231" s="22" t="n">
        <f aca="false">100*(AH97-AH96)</f>
        <v>0.403441344812716</v>
      </c>
      <c r="AI231" s="22" t="n">
        <f aca="false">100*(AI97-AI96)</f>
        <v>0.403472390595994</v>
      </c>
      <c r="AJ231" s="22" t="n">
        <f aca="false">100*(AJ97-AJ96)</f>
        <v>0.402037317679627</v>
      </c>
      <c r="AK231" s="22" t="n">
        <f aca="false">100*(AK97-AK96)</f>
        <v>0.399333756713993</v>
      </c>
      <c r="AL231" s="22" t="n">
        <f aca="false">100*(AL97-AL96)</f>
        <v>0.395554161663592</v>
      </c>
      <c r="AM231" s="22" t="n">
        <f aca="false">100*(AM97-AM96)</f>
        <v>0.390880432835505</v>
      </c>
      <c r="AN231" s="22" t="n">
        <f aca="false">100*(AN97-AN96)</f>
        <v>0.385480022900175</v>
      </c>
      <c r="AO231" s="22" t="n">
        <f aca="false">100*(AO97-AO96)</f>
        <v>0.379504621713922</v>
      </c>
      <c r="AP231" s="22" t="n">
        <f aca="false">100*(AP97-AP96)</f>
        <v>0.373088552533218</v>
      </c>
      <c r="AQ231" s="22" t="n">
        <f aca="false">100*(AQ97-AQ96)</f>
        <v>0.366347484283613</v>
      </c>
      <c r="AR231" s="22" t="n">
        <f aca="false">100*(AR97-AR96)</f>
        <v>0.359377453002274</v>
      </c>
      <c r="AS231" s="22" t="n">
        <f aca="false">100*(AS97-AS96)</f>
        <v>0.352256309687893</v>
      </c>
      <c r="AT231" s="22" t="n">
        <f aca="false">100*(AT97-AT96)</f>
        <v>0.345044722097598</v>
      </c>
      <c r="AU231" s="22" t="n">
        <f aca="false">100*(AU97-AU96)</f>
        <v>0.337784986358902</v>
      </c>
      <c r="AV231" s="22" t="n">
        <f aca="false">AVERAGE(C231:AU231)</f>
        <v>-0.109891759632584</v>
      </c>
    </row>
    <row r="232" customFormat="false" ht="15" hidden="false" customHeight="false" outlineLevel="0" collapsed="false">
      <c r="A232" s="20" t="n">
        <f aca="false">A98</f>
        <v>-27</v>
      </c>
      <c r="B232" s="21" t="n">
        <f aca="false">B98</f>
        <v>43137</v>
      </c>
      <c r="C232" s="22" t="n">
        <f aca="false">100*(C98-C97)</f>
        <v>-4.88862603382144</v>
      </c>
      <c r="D232" s="22" t="n">
        <f aca="false">100*(D98-D97)</f>
        <v>-5.31055243089974</v>
      </c>
      <c r="E232" s="22" t="n">
        <f aca="false">100*(E98-E97)</f>
        <v>-5.6118579338321</v>
      </c>
      <c r="F232" s="22" t="n">
        <f aca="false">100*(F98-F97)</f>
        <v>-5.81868771558228</v>
      </c>
      <c r="G232" s="22" t="n">
        <f aca="false">100*(G98-G97)</f>
        <v>-5.94851389347498</v>
      </c>
      <c r="H232" s="22" t="n">
        <f aca="false">100*(H98-H97)</f>
        <v>-6.01515564381254</v>
      </c>
      <c r="I232" s="22" t="n">
        <f aca="false">100*(I98-I97)</f>
        <v>-6.0299023740152</v>
      </c>
      <c r="J232" s="22" t="n">
        <f aca="false">100*(J98-J97)</f>
        <v>-6.0020660338354</v>
      </c>
      <c r="K232" s="22" t="n">
        <f aca="false">100*(K98-K97)</f>
        <v>-5.93913858234401</v>
      </c>
      <c r="L232" s="22" t="n">
        <f aca="false">100*(L98-L97)</f>
        <v>-5.84720442483651</v>
      </c>
      <c r="M232" s="22" t="n">
        <f aca="false">100*(M98-M97)</f>
        <v>-5.7310839377914</v>
      </c>
      <c r="N232" s="22" t="n">
        <f aca="false">100*(N98-N97)</f>
        <v>-5.5945621851186</v>
      </c>
      <c r="O232" s="22" t="n">
        <f aca="false">100*(O98-O97)</f>
        <v>-3.09588183653271</v>
      </c>
      <c r="P232" s="22" t="n">
        <f aca="false">100*(P98-P97)</f>
        <v>-2.93398895204959</v>
      </c>
      <c r="Q232" s="22" t="n">
        <f aca="false">100*(Q98-Q97)</f>
        <v>-2.78522423037859</v>
      </c>
      <c r="R232" s="22" t="n">
        <f aca="false">100*(R98-R97)</f>
        <v>-2.64977401917901</v>
      </c>
      <c r="S232" s="22" t="n">
        <f aca="false">100*(S98-S97)</f>
        <v>-2.52751180519959</v>
      </c>
      <c r="T232" s="22" t="n">
        <f aca="false">100*(T98-T97)</f>
        <v>-2.4180456840184</v>
      </c>
      <c r="U232" s="22" t="n">
        <f aca="false">100*(U98-U97)</f>
        <v>-2.32076008385811</v>
      </c>
      <c r="V232" s="22" t="n">
        <f aca="false">100*(V98-V97)</f>
        <v>-2.2348929067352</v>
      </c>
      <c r="W232" s="22" t="n">
        <f aca="false">100*(W98-W97)</f>
        <v>-2.1596158832454</v>
      </c>
      <c r="X232" s="22" t="n">
        <f aca="false">100*(X98-X97)</f>
        <v>-2.09405351005281</v>
      </c>
      <c r="Y232" s="22" t="n">
        <f aca="false">100*(Y98-Y97)</f>
        <v>-2.03732921955768</v>
      </c>
      <c r="Z232" s="22" t="n">
        <f aca="false">100*(Z98-Z97)</f>
        <v>-1.98862246337059</v>
      </c>
      <c r="AA232" s="22" t="n">
        <f aca="false">100*(AA98-AA97)</f>
        <v>-1.94716990263468</v>
      </c>
      <c r="AB232" s="22" t="n">
        <f aca="false">100*(AB98-AB97)</f>
        <v>-1.91225843507854</v>
      </c>
      <c r="AC232" s="22" t="n">
        <f aca="false">100*(AC98-AC97)</f>
        <v>-1.88321924001711</v>
      </c>
      <c r="AD232" s="22" t="n">
        <f aca="false">100*(AD98-AD97)</f>
        <v>-1.8594308270973</v>
      </c>
      <c r="AE232" s="22" t="n">
        <f aca="false">100*(AE98-AE97)</f>
        <v>-1.84035185482774</v>
      </c>
      <c r="AF232" s="22" t="n">
        <f aca="false">100*(AF98-AF97)</f>
        <v>-1.82552352473833</v>
      </c>
      <c r="AG232" s="22" t="n">
        <f aca="false">100*(AG98-AG97)</f>
        <v>-1.8145505711173</v>
      </c>
      <c r="AH232" s="22" t="n">
        <f aca="false">100*(AH98-AH97)</f>
        <v>-1.80709033684563</v>
      </c>
      <c r="AI232" s="22" t="n">
        <f aca="false">100*(AI98-AI97)</f>
        <v>-1.80283854205419</v>
      </c>
      <c r="AJ232" s="22" t="n">
        <f aca="false">100*(AJ98-AJ97)</f>
        <v>-1.8015229923062</v>
      </c>
      <c r="AK232" s="22" t="n">
        <f aca="false">100*(AK98-AK97)</f>
        <v>-1.80290039361148</v>
      </c>
      <c r="AL232" s="22" t="n">
        <f aca="false">100*(AL98-AL97)</f>
        <v>-1.80675091699798</v>
      </c>
      <c r="AM232" s="22" t="n">
        <f aca="false">100*(AM98-AM97)</f>
        <v>-1.81286718432481</v>
      </c>
      <c r="AN232" s="22" t="n">
        <f aca="false">100*(AN98-AN97)</f>
        <v>-1.82105046627421</v>
      </c>
      <c r="AO232" s="22" t="n">
        <f aca="false">100*(AO98-AO97)</f>
        <v>-1.8311122280755</v>
      </c>
      <c r="AP232" s="22" t="n">
        <f aca="false">100*(AP98-AP97)</f>
        <v>-1.84287555660201</v>
      </c>
      <c r="AQ232" s="22" t="n">
        <f aca="false">100*(AQ98-AQ97)</f>
        <v>-1.85617135583931</v>
      </c>
      <c r="AR232" s="22" t="n">
        <f aca="false">100*(AR98-AR97)</f>
        <v>-1.87083522730029</v>
      </c>
      <c r="AS232" s="22" t="n">
        <f aca="false">100*(AS98-AS97)</f>
        <v>-1.88670690404429</v>
      </c>
      <c r="AT232" s="22" t="n">
        <f aca="false">100*(AT98-AT97)</f>
        <v>-1.90362968072071</v>
      </c>
      <c r="AU232" s="22" t="n">
        <f aca="false">100*(AU98-AU97)</f>
        <v>-1.921449555637</v>
      </c>
      <c r="AV232" s="22" t="n">
        <f aca="false">AVERAGE(C232:AU232)</f>
        <v>-3.04074127732637</v>
      </c>
    </row>
    <row r="233" customFormat="false" ht="15" hidden="false" customHeight="false" outlineLevel="0" collapsed="false">
      <c r="A233" s="20" t="n">
        <f aca="false">A99</f>
        <v>-26</v>
      </c>
      <c r="B233" s="21" t="n">
        <f aca="false">B99</f>
        <v>43138</v>
      </c>
      <c r="C233" s="22" t="n">
        <f aca="false">100*(C99-C98)</f>
        <v>2.06156501929081</v>
      </c>
      <c r="D233" s="22" t="n">
        <f aca="false">100*(D99-D98)</f>
        <v>2.06212924597252</v>
      </c>
      <c r="E233" s="22" t="n">
        <f aca="false">100*(E99-E98)</f>
        <v>2.09957666193598</v>
      </c>
      <c r="F233" s="22" t="n">
        <f aca="false">100*(F99-F98)</f>
        <v>2.16231170286271</v>
      </c>
      <c r="G233" s="22" t="n">
        <f aca="false">100*(G99-G98)</f>
        <v>2.23823514405976</v>
      </c>
      <c r="H233" s="22" t="n">
        <f aca="false">100*(H99-H98)</f>
        <v>2.31756792990044</v>
      </c>
      <c r="I233" s="22" t="n">
        <f aca="false">100*(I99-I98)</f>
        <v>2.3932883052848</v>
      </c>
      <c r="J233" s="22" t="n">
        <f aca="false">100*(J99-J98)</f>
        <v>2.4605909006741</v>
      </c>
      <c r="K233" s="22" t="n">
        <f aca="false">100*(K99-K98)</f>
        <v>2.51642257438109</v>
      </c>
      <c r="L233" s="22" t="n">
        <f aca="false">100*(L99-L98)</f>
        <v>2.55890795100542</v>
      </c>
      <c r="M233" s="22" t="n">
        <f aca="false">100*(M99-M98)</f>
        <v>2.5872046841984</v>
      </c>
      <c r="N233" s="22" t="n">
        <f aca="false">100*(N99-N98)</f>
        <v>2.60128294529469</v>
      </c>
      <c r="O233" s="22" t="n">
        <f aca="false">100*(O99-O98)</f>
        <v>2.10355472895292</v>
      </c>
      <c r="P233" s="22" t="n">
        <f aca="false">100*(P99-P98)</f>
        <v>2.0632379453879</v>
      </c>
      <c r="Q233" s="22" t="n">
        <f aca="false">100*(Q99-Q98)</f>
        <v>2.0267750137497</v>
      </c>
      <c r="R233" s="22" t="n">
        <f aca="false">100*(R99-R98)</f>
        <v>1.99430085524921</v>
      </c>
      <c r="S233" s="22" t="n">
        <f aca="false">100*(S99-S98)</f>
        <v>1.96584761707859</v>
      </c>
      <c r="T233" s="22" t="n">
        <f aca="false">100*(T99-T98)</f>
        <v>1.94136068583111</v>
      </c>
      <c r="U233" s="22" t="n">
        <f aca="false">100*(U99-U98)</f>
        <v>1.92071227119961</v>
      </c>
      <c r="V233" s="22" t="n">
        <f aca="false">100*(V99-V98)</f>
        <v>1.90373387153431</v>
      </c>
      <c r="W233" s="22" t="n">
        <f aca="false">100*(W99-W98)</f>
        <v>1.8902597748143</v>
      </c>
      <c r="X233" s="22" t="n">
        <f aca="false">100*(X99-X98)</f>
        <v>1.88013277013039</v>
      </c>
      <c r="Y233" s="22" t="n">
        <f aca="false">100*(Y99-Y98)</f>
        <v>1.87319494041467</v>
      </c>
      <c r="Z233" s="22" t="n">
        <f aca="false">100*(Z99-Z98)</f>
        <v>1.86927767869332</v>
      </c>
      <c r="AA233" s="22" t="n">
        <f aca="false">100*(AA99-AA98)</f>
        <v>1.86820183565337</v>
      </c>
      <c r="AB233" s="22" t="n">
        <f aca="false">100*(AB99-AB98)</f>
        <v>1.8697790057002</v>
      </c>
      <c r="AC233" s="22" t="n">
        <f aca="false">100*(AC99-AC98)</f>
        <v>1.87381260863071</v>
      </c>
      <c r="AD233" s="22" t="n">
        <f aca="false">100*(AD99-AD98)</f>
        <v>1.88009298308138</v>
      </c>
      <c r="AE233" s="22" t="n">
        <f aca="false">100*(AE99-AE98)</f>
        <v>1.88837248479881</v>
      </c>
      <c r="AF233" s="22" t="n">
        <f aca="false">100*(AF99-AF98)</f>
        <v>1.89836534454639</v>
      </c>
      <c r="AG233" s="22" t="n">
        <f aca="false">100*(AG99-AG98)</f>
        <v>1.90976288583</v>
      </c>
      <c r="AH233" s="22" t="n">
        <f aca="false">100*(AH99-AH98)</f>
        <v>1.92224140195814</v>
      </c>
      <c r="AI233" s="22" t="n">
        <f aca="false">100*(AI99-AI98)</f>
        <v>1.93547775141569</v>
      </c>
      <c r="AJ233" s="22" t="n">
        <f aca="false">100*(AJ99-AJ98)</f>
        <v>1.94915420337671</v>
      </c>
      <c r="AK233" s="22" t="n">
        <f aca="false">100*(AK99-AK98)</f>
        <v>1.96295795601138</v>
      </c>
      <c r="AL233" s="22" t="n">
        <f aca="false">100*(AL99-AL98)</f>
        <v>1.97658459655856</v>
      </c>
      <c r="AM233" s="22" t="n">
        <f aca="false">100*(AM99-AM98)</f>
        <v>1.9897521036178</v>
      </c>
      <c r="AN233" s="22" t="n">
        <f aca="false">100*(AN99-AN98)</f>
        <v>2.00220523974322</v>
      </c>
      <c r="AO233" s="22" t="n">
        <f aca="false">100*(AO99-AO98)</f>
        <v>2.01371934461969</v>
      </c>
      <c r="AP233" s="22" t="n">
        <f aca="false">100*(AP99-AP98)</f>
        <v>2.02410256843057</v>
      </c>
      <c r="AQ233" s="22" t="n">
        <f aca="false">100*(AQ99-AQ98)</f>
        <v>2.03319588284863</v>
      </c>
      <c r="AR233" s="22" t="n">
        <f aca="false">100*(AR99-AR98)</f>
        <v>2.04087223369331</v>
      </c>
      <c r="AS233" s="22" t="n">
        <f aca="false">100*(AS99-AS98)</f>
        <v>2.0470339077421</v>
      </c>
      <c r="AT233" s="22" t="n">
        <f aca="false">100*(AT99-AT98)</f>
        <v>2.05160994399272</v>
      </c>
      <c r="AU233" s="22" t="n">
        <f aca="false">100*(AU99-AU98)</f>
        <v>2.0545530589809</v>
      </c>
      <c r="AV233" s="22" t="n">
        <f aca="false">AVERAGE(C233:AU233)</f>
        <v>2.05962930131393</v>
      </c>
    </row>
    <row r="234" customFormat="false" ht="15" hidden="false" customHeight="false" outlineLevel="0" collapsed="false">
      <c r="A234" s="20" t="n">
        <f aca="false">A100</f>
        <v>-25</v>
      </c>
      <c r="B234" s="21" t="n">
        <f aca="false">B100</f>
        <v>43139</v>
      </c>
      <c r="C234" s="22" t="n">
        <f aca="false">100*(C100-C99)</f>
        <v>7.90093358317628</v>
      </c>
      <c r="D234" s="22" t="n">
        <f aca="false">100*(D100-D99)</f>
        <v>8.72341446787178</v>
      </c>
      <c r="E234" s="22" t="n">
        <f aca="false">100*(E100-E99)</f>
        <v>9.34404564923972</v>
      </c>
      <c r="F234" s="22" t="n">
        <f aca="false">100*(F100-F99)</f>
        <v>9.78822384940802</v>
      </c>
      <c r="G234" s="22" t="n">
        <f aca="false">100*(G100-G99)</f>
        <v>10.0836583970786</v>
      </c>
      <c r="H234" s="22" t="n">
        <f aca="false">100*(H100-H99)</f>
        <v>10.2549698129928</v>
      </c>
      <c r="I234" s="22" t="n">
        <f aca="false">100*(I100-I99)</f>
        <v>10.3232794823856</v>
      </c>
      <c r="J234" s="22" t="n">
        <f aca="false">100*(J100-J99)</f>
        <v>10.3063962023405</v>
      </c>
      <c r="K234" s="22" t="n">
        <f aca="false">100*(K100-K99)</f>
        <v>10.2192695145321</v>
      </c>
      <c r="L234" s="22" t="n">
        <f aca="false">100*(L100-L99)</f>
        <v>10.0742047142194</v>
      </c>
      <c r="M234" s="22" t="n">
        <f aca="false">100*(M100-M99)</f>
        <v>9.88128016837919</v>
      </c>
      <c r="N234" s="22" t="n">
        <f aca="false">100*(N100-N99)</f>
        <v>9.6488220623957</v>
      </c>
      <c r="O234" s="22" t="n">
        <f aca="false">100*(O100-O99)</f>
        <v>5.42072001548819</v>
      </c>
      <c r="P234" s="22" t="n">
        <f aca="false">100*(P100-P99)</f>
        <v>5.1530648125208</v>
      </c>
      <c r="Q234" s="22" t="n">
        <f aca="false">100*(Q100-Q99)</f>
        <v>4.90787540329181</v>
      </c>
      <c r="R234" s="22" t="n">
        <f aca="false">100*(R100-R99)</f>
        <v>4.6855685136165</v>
      </c>
      <c r="S234" s="22" t="n">
        <f aca="false">100*(S100-S99)</f>
        <v>4.4860501899475</v>
      </c>
      <c r="T234" s="22" t="n">
        <f aca="false">100*(T100-T99)</f>
        <v>4.30879336914638</v>
      </c>
      <c r="U234" s="22" t="n">
        <f aca="false">100*(U100-U99)</f>
        <v>4.15290236719761</v>
      </c>
      <c r="V234" s="22" t="n">
        <f aca="false">100*(V100-V99)</f>
        <v>4.01718630804069</v>
      </c>
      <c r="W234" s="22" t="n">
        <f aca="false">100*(W100-W99)</f>
        <v>3.90023538035618</v>
      </c>
      <c r="X234" s="22" t="n">
        <f aca="false">100*(X100-X99)</f>
        <v>3.80046064420179</v>
      </c>
      <c r="Y234" s="22" t="n">
        <f aca="false">100*(Y100-Y99)</f>
        <v>3.71619459107961</v>
      </c>
      <c r="Z234" s="22" t="n">
        <f aca="false">100*(Z100-Z99)</f>
        <v>3.64581148689438</v>
      </c>
      <c r="AA234" s="22" t="n">
        <f aca="false">100*(AA100-AA99)</f>
        <v>3.58773811667992</v>
      </c>
      <c r="AB234" s="22" t="n">
        <f aca="false">100*(AB100-AB99)</f>
        <v>3.54044738774002</v>
      </c>
      <c r="AC234" s="22" t="n">
        <f aca="false">100*(AC100-AC99)</f>
        <v>3.50245292497489</v>
      </c>
      <c r="AD234" s="22" t="n">
        <f aca="false">100*(AD100-AD99)</f>
        <v>3.47232771380188</v>
      </c>
      <c r="AE234" s="22" t="n">
        <f aca="false">100*(AE100-AE99)</f>
        <v>3.44880230825742</v>
      </c>
      <c r="AF234" s="22" t="n">
        <f aca="false">100*(AF100-AF99)</f>
        <v>3.4307813396802</v>
      </c>
      <c r="AG234" s="22" t="n">
        <f aca="false">100*(AG100-AG99)</f>
        <v>3.41729998331681</v>
      </c>
      <c r="AH234" s="22" t="n">
        <f aca="false">100*(AH100-AH99)</f>
        <v>3.40750827130378</v>
      </c>
      <c r="AI234" s="22" t="n">
        <f aca="false">100*(AI100-AI99)</f>
        <v>3.40066491359829</v>
      </c>
      <c r="AJ234" s="22" t="n">
        <f aca="false">100*(AJ100-AJ99)</f>
        <v>3.396126940304</v>
      </c>
      <c r="AK234" s="22" t="n">
        <f aca="false">100*(AK100-AK99)</f>
        <v>3.39333978621381</v>
      </c>
      <c r="AL234" s="22" t="n">
        <f aca="false">100*(AL100-AL99)</f>
        <v>3.39182907342952</v>
      </c>
      <c r="AM234" s="22" t="n">
        <f aca="false">100*(AM100-AM99)</f>
        <v>3.39119099973231</v>
      </c>
      <c r="AN234" s="22" t="n">
        <f aca="false">100*(AN100-AN99)</f>
        <v>3.39108324170381</v>
      </c>
      <c r="AO234" s="22" t="n">
        <f aca="false">100*(AO100-AO99)</f>
        <v>3.39122052719278</v>
      </c>
      <c r="AP234" s="22" t="n">
        <f aca="false">100*(AP100-AP99)</f>
        <v>3.3913698655498</v>
      </c>
      <c r="AQ234" s="22" t="n">
        <f aca="false">100*(AQ100-AQ99)</f>
        <v>3.39134427860119</v>
      </c>
      <c r="AR234" s="22" t="n">
        <f aca="false">100*(AR100-AR99)</f>
        <v>3.39099705995198</v>
      </c>
      <c r="AS234" s="22" t="n">
        <f aca="false">100*(AS100-AS99)</f>
        <v>3.3902181416416</v>
      </c>
      <c r="AT234" s="22" t="n">
        <f aca="false">100*(AT100-AT99)</f>
        <v>3.38893200620369</v>
      </c>
      <c r="AU234" s="22" t="n">
        <f aca="false">100*(AU100-AU99)</f>
        <v>3.38709832827089</v>
      </c>
      <c r="AV234" s="22" t="n">
        <f aca="false">AVERAGE(C234:AU234)</f>
        <v>5.34769187097666</v>
      </c>
    </row>
    <row r="235" customFormat="false" ht="15" hidden="false" customHeight="false" outlineLevel="0" collapsed="false">
      <c r="A235" s="20" t="n">
        <f aca="false">A101</f>
        <v>-24</v>
      </c>
      <c r="B235" s="21" t="n">
        <f aca="false">B101</f>
        <v>43140</v>
      </c>
      <c r="C235" s="22" t="n">
        <f aca="false">100*(C101-C100)</f>
        <v>-1.49404463124079</v>
      </c>
      <c r="D235" s="22" t="n">
        <f aca="false">100*(D101-D100)</f>
        <v>-1.71404494923969</v>
      </c>
      <c r="E235" s="22" t="n">
        <f aca="false">100*(E101-E100)</f>
        <v>-1.91131010672876</v>
      </c>
      <c r="F235" s="22" t="n">
        <f aca="false">100*(F101-F100)</f>
        <v>-2.09093437792223</v>
      </c>
      <c r="G235" s="22" t="n">
        <f aca="false">100*(G101-G100)</f>
        <v>-2.25215705952879</v>
      </c>
      <c r="H235" s="22" t="n">
        <f aca="false">100*(H101-H100)</f>
        <v>-2.39464907480829</v>
      </c>
      <c r="I235" s="22" t="n">
        <f aca="false">100*(I101-I100)</f>
        <v>-2.51908454690339</v>
      </c>
      <c r="J235" s="22" t="n">
        <f aca="false">100*(J101-J100)</f>
        <v>-2.6267186262958</v>
      </c>
      <c r="K235" s="22" t="n">
        <f aca="false">100*(K101-K100)</f>
        <v>-2.71854324330529</v>
      </c>
      <c r="L235" s="22" t="n">
        <f aca="false">100*(L101-L100)</f>
        <v>-2.79501103421329</v>
      </c>
      <c r="M235" s="22" t="n">
        <f aca="false">100*(M101-M100)</f>
        <v>-2.8564528827044</v>
      </c>
      <c r="N235" s="22" t="n">
        <f aca="false">100*(N101-N100)</f>
        <v>-2.90326235043938</v>
      </c>
      <c r="O235" s="22" t="n">
        <f aca="false">100*(O101-O100)</f>
        <v>-2.8776217161498</v>
      </c>
      <c r="P235" s="22" t="n">
        <f aca="false">100*(P101-P100)</f>
        <v>-2.8939607266401</v>
      </c>
      <c r="Q235" s="22" t="n">
        <f aca="false">100*(Q101-Q100)</f>
        <v>-2.91733952178672</v>
      </c>
      <c r="R235" s="22" t="n">
        <f aca="false">100*(R101-R100)</f>
        <v>-2.9469928016628</v>
      </c>
      <c r="S235" s="22" t="n">
        <f aca="false">100*(S101-S100)</f>
        <v>-2.9820055440472</v>
      </c>
      <c r="T235" s="22" t="n">
        <f aca="false">100*(T101-T100)</f>
        <v>-3.02133667073248</v>
      </c>
      <c r="U235" s="22" t="n">
        <f aca="false">100*(U101-U100)</f>
        <v>-3.06384299685951</v>
      </c>
      <c r="V235" s="22" t="n">
        <f aca="false">100*(V101-V100)</f>
        <v>-3.10837031662421</v>
      </c>
      <c r="W235" s="22" t="n">
        <f aca="false">100*(W101-W100)</f>
        <v>-3.15384345767309</v>
      </c>
      <c r="X235" s="22" t="n">
        <f aca="false">100*(X101-X100)</f>
        <v>-3.19926648611788</v>
      </c>
      <c r="Y235" s="22" t="n">
        <f aca="false">100*(Y101-Y100)</f>
        <v>-3.2437383250834</v>
      </c>
      <c r="Z235" s="22" t="n">
        <f aca="false">100*(Z101-Z100)</f>
        <v>-3.28647518182059</v>
      </c>
      <c r="AA235" s="22" t="n">
        <f aca="false">100*(AA101-AA100)</f>
        <v>-3.32680044093321</v>
      </c>
      <c r="AB235" s="22" t="n">
        <f aca="false">100*(AB101-AB100)</f>
        <v>-3.3641315949037</v>
      </c>
      <c r="AC235" s="22" t="n">
        <f aca="false">100*(AC101-AC100)</f>
        <v>-3.39796905504968</v>
      </c>
      <c r="AD235" s="22" t="n">
        <f aca="false">100*(AD101-AD100)</f>
        <v>-3.42789256383749</v>
      </c>
      <c r="AE235" s="22" t="n">
        <f aca="false">100*(AE101-AE100)</f>
        <v>-3.45358111190661</v>
      </c>
      <c r="AF235" s="22" t="n">
        <f aca="false">100*(AF101-AF100)</f>
        <v>-3.47480663118027</v>
      </c>
      <c r="AG235" s="22" t="n">
        <f aca="false">100*(AG101-AG100)</f>
        <v>-3.4914132855751</v>
      </c>
      <c r="AH235" s="22" t="n">
        <f aca="false">100*(AH101-AH100)</f>
        <v>-3.50330523560309</v>
      </c>
      <c r="AI235" s="22" t="n">
        <f aca="false">100*(AI101-AI100)</f>
        <v>-3.51043850096899</v>
      </c>
      <c r="AJ235" s="22" t="n">
        <f aca="false">100*(AJ101-AJ100)</f>
        <v>-3.51282102875423</v>
      </c>
      <c r="AK235" s="22" t="n">
        <f aca="false">100*(AK101-AK100)</f>
        <v>-3.51050795395609</v>
      </c>
      <c r="AL235" s="22" t="n">
        <f aca="false">100*(AL101-AL100)</f>
        <v>-3.5035939647063</v>
      </c>
      <c r="AM235" s="22" t="n">
        <f aca="false">100*(AM101-AM100)</f>
        <v>-3.49220774276651</v>
      </c>
      <c r="AN235" s="22" t="n">
        <f aca="false">100*(AN101-AN100)</f>
        <v>-3.47651268241052</v>
      </c>
      <c r="AO235" s="22" t="n">
        <f aca="false">100*(AO101-AO100)</f>
        <v>-3.45670371668967</v>
      </c>
      <c r="AP235" s="22" t="n">
        <f aca="false">100*(AP101-AP100)</f>
        <v>-3.43300585480648</v>
      </c>
      <c r="AQ235" s="22" t="n">
        <f aca="false">100*(AQ101-AQ100)</f>
        <v>-3.4056698221578</v>
      </c>
      <c r="AR235" s="22" t="n">
        <f aca="false">100*(AR101-AR100)</f>
        <v>-3.3749690525597</v>
      </c>
      <c r="AS235" s="22" t="n">
        <f aca="false">100*(AS101-AS100)</f>
        <v>-3.34119777215249</v>
      </c>
      <c r="AT235" s="22" t="n">
        <f aca="false">100*(AT101-AT100)</f>
        <v>-3.30466895851</v>
      </c>
      <c r="AU235" s="22" t="n">
        <f aca="false">100*(AU101-AU100)</f>
        <v>-3.26571246112271</v>
      </c>
      <c r="AV235" s="22" t="n">
        <f aca="false">AVERAGE(C235:AU235)</f>
        <v>-3.04442035686841</v>
      </c>
    </row>
    <row r="236" customFormat="false" ht="15" hidden="false" customHeight="false" outlineLevel="0" collapsed="false">
      <c r="A236" s="20" t="n">
        <f aca="false">A102</f>
        <v>-23</v>
      </c>
      <c r="B236" s="21" t="n">
        <f aca="false">B102</f>
        <v>43143</v>
      </c>
      <c r="C236" s="22" t="n">
        <f aca="false">100*(C102-C101)</f>
        <v>0.235295182272233</v>
      </c>
      <c r="D236" s="22" t="n">
        <f aca="false">100*(D102-D101)</f>
        <v>0.312307387756217</v>
      </c>
      <c r="E236" s="22" t="n">
        <f aca="false">100*(E102-E101)</f>
        <v>0.383277596930298</v>
      </c>
      <c r="F236" s="22" t="n">
        <f aca="false">100*(F102-F101)</f>
        <v>0.440323223778383</v>
      </c>
      <c r="G236" s="22" t="n">
        <f aca="false">100*(G102-G101)</f>
        <v>0.481705407599509</v>
      </c>
      <c r="H236" s="22" t="n">
        <f aca="false">100*(H102-H101)</f>
        <v>0.507657760289582</v>
      </c>
      <c r="I236" s="22" t="n">
        <f aca="false">100*(I102-I101)</f>
        <v>0.518745885767591</v>
      </c>
      <c r="J236" s="22" t="n">
        <f aca="false">100*(J102-J101)</f>
        <v>0.515971084670608</v>
      </c>
      <c r="K236" s="22" t="n">
        <f aca="false">100*(K102-K101)</f>
        <v>0.500981127145295</v>
      </c>
      <c r="L236" s="22" t="n">
        <f aca="false">100*(L102-L101)</f>
        <v>0.476211408424798</v>
      </c>
      <c r="M236" s="22" t="n">
        <f aca="false">100*(M102-M101)</f>
        <v>0.444552849262303</v>
      </c>
      <c r="N236" s="22" t="n">
        <f aca="false">100*(N102-N101)</f>
        <v>0.409105268524601</v>
      </c>
      <c r="O236" s="22" t="n">
        <f aca="false">100*(O102-O101)</f>
        <v>0.292778129687599</v>
      </c>
      <c r="P236" s="22" t="n">
        <f aca="false">100*(P102-P101)</f>
        <v>0.301361354962904</v>
      </c>
      <c r="Q236" s="22" t="n">
        <f aca="false">100*(Q102-Q101)</f>
        <v>0.308682611404509</v>
      </c>
      <c r="R236" s="22" t="n">
        <f aca="false">100*(R102-R101)</f>
        <v>0.314480185972399</v>
      </c>
      <c r="S236" s="22" t="n">
        <f aca="false">100*(S102-S101)</f>
        <v>0.318628290733303</v>
      </c>
      <c r="T236" s="22" t="n">
        <f aca="false">100*(T102-T101)</f>
        <v>0.321116712720992</v>
      </c>
      <c r="U236" s="22" t="n">
        <f aca="false">100*(U102-U101)</f>
        <v>0.322032282549412</v>
      </c>
      <c r="V236" s="22" t="n">
        <f aca="false">100*(V102-V101)</f>
        <v>0.321526036549114</v>
      </c>
      <c r="W236" s="22" t="n">
        <f aca="false">100*(W102-W101)</f>
        <v>0.319785133438621</v>
      </c>
      <c r="X236" s="22" t="n">
        <f aca="false">100*(X102-X101)</f>
        <v>0.3170255143639</v>
      </c>
      <c r="Y236" s="22" t="n">
        <f aca="false">100*(Y102-Y101)</f>
        <v>0.313472663830794</v>
      </c>
      <c r="Z236" s="22" t="n">
        <f aca="false">100*(Z102-Z101)</f>
        <v>0.30934030188301</v>
      </c>
      <c r="AA236" s="22" t="n">
        <f aca="false">100*(AA102-AA101)</f>
        <v>0.304829280240426</v>
      </c>
      <c r="AB236" s="22" t="n">
        <f aca="false">100*(AB102-AB101)</f>
        <v>0.300129151208495</v>
      </c>
      <c r="AC236" s="22" t="n">
        <f aca="false">100*(AC102-AC101)</f>
        <v>0.295419505432681</v>
      </c>
      <c r="AD236" s="22" t="n">
        <f aca="false">100*(AD102-AD101)</f>
        <v>0.290868856486703</v>
      </c>
      <c r="AE236" s="22" t="n">
        <f aca="false">100*(AE102-AE101)</f>
        <v>0.286625842809007</v>
      </c>
      <c r="AF236" s="22" t="n">
        <f aca="false">100*(AF102-AF101)</f>
        <v>0.282822592790888</v>
      </c>
      <c r="AG236" s="22" t="n">
        <f aca="false">100*(AG102-AG101)</f>
        <v>0.27958366417038</v>
      </c>
      <c r="AH236" s="22" t="n">
        <f aca="false">100*(AH102-AH101)</f>
        <v>0.277027721029599</v>
      </c>
      <c r="AI236" s="22" t="n">
        <f aca="false">100*(AI102-AI101)</f>
        <v>0.275263791373881</v>
      </c>
      <c r="AJ236" s="22" t="n">
        <f aca="false">100*(AJ102-AJ101)</f>
        <v>0.274388175472806</v>
      </c>
      <c r="AK236" s="22" t="n">
        <f aca="false">100*(AK102-AK101)</f>
        <v>0.274485509044986</v>
      </c>
      <c r="AL236" s="22" t="n">
        <f aca="false">100*(AL102-AL101)</f>
        <v>0.275629988404313</v>
      </c>
      <c r="AM236" s="22" t="n">
        <f aca="false">100*(AM102-AM101)</f>
        <v>0.277882779553718</v>
      </c>
      <c r="AN236" s="22" t="n">
        <f aca="false">100*(AN102-AN101)</f>
        <v>0.281289950002694</v>
      </c>
      <c r="AO236" s="22" t="n">
        <f aca="false">100*(AO102-AO101)</f>
        <v>0.28588342076068</v>
      </c>
      <c r="AP236" s="22" t="n">
        <f aca="false">100*(AP102-AP101)</f>
        <v>0.291681068412419</v>
      </c>
      <c r="AQ236" s="22" t="n">
        <f aca="false">100*(AQ102-AQ101)</f>
        <v>0.298684850130471</v>
      </c>
      <c r="AR236" s="22" t="n">
        <f aca="false">100*(AR102-AR101)</f>
        <v>0.306879380378211</v>
      </c>
      <c r="AS236" s="22" t="n">
        <f aca="false">100*(AS102-AS101)</f>
        <v>0.316233191199689</v>
      </c>
      <c r="AT236" s="22" t="n">
        <f aca="false">100*(AT102-AT101)</f>
        <v>0.326699586395707</v>
      </c>
      <c r="AU236" s="22" t="n">
        <f aca="false">100*(AU102-AU101)</f>
        <v>0.33821541233241</v>
      </c>
      <c r="AV236" s="22" t="n">
        <f aca="false">AVERAGE(C236:AU236)</f>
        <v>0.336153047069959</v>
      </c>
    </row>
    <row r="237" customFormat="false" ht="15" hidden="false" customHeight="false" outlineLevel="0" collapsed="false">
      <c r="A237" s="20" t="n">
        <f aca="false">A103</f>
        <v>-22</v>
      </c>
      <c r="B237" s="21" t="n">
        <f aca="false">B103</f>
        <v>43144</v>
      </c>
      <c r="C237" s="22" t="n">
        <f aca="false">100*(C103-C102)</f>
        <v>1.91503349775261</v>
      </c>
      <c r="D237" s="22" t="n">
        <f aca="false">100*(D103-D102)</f>
        <v>2.01726510694669</v>
      </c>
      <c r="E237" s="22" t="n">
        <f aca="false">100*(E103-E102)</f>
        <v>2.09512598916025</v>
      </c>
      <c r="F237" s="22" t="n">
        <f aca="false">100*(F103-F102)</f>
        <v>2.15118555870353</v>
      </c>
      <c r="G237" s="22" t="n">
        <f aca="false">100*(G103-G102)</f>
        <v>2.1892368623847</v>
      </c>
      <c r="H237" s="22" t="n">
        <f aca="false">100*(H103-H102)</f>
        <v>2.21315721888251</v>
      </c>
      <c r="I237" s="22" t="n">
        <f aca="false">100*(I103-I102)</f>
        <v>2.22604348697579</v>
      </c>
      <c r="J237" s="22" t="n">
        <f aca="false">100*(J103-J102)</f>
        <v>2.23022019822039</v>
      </c>
      <c r="K237" s="22" t="n">
        <f aca="false">100*(K103-K102)</f>
        <v>2.22740930527812</v>
      </c>
      <c r="L237" s="22" t="n">
        <f aca="false">100*(L103-L102)</f>
        <v>2.21915537587289</v>
      </c>
      <c r="M237" s="22" t="n">
        <f aca="false">100*(M103-M102)</f>
        <v>2.20692902903521</v>
      </c>
      <c r="N237" s="22" t="n">
        <f aca="false">100*(N103-N102)</f>
        <v>2.192158963308</v>
      </c>
      <c r="O237" s="22" t="n">
        <f aca="false">100*(O103-O102)</f>
        <v>2.08811210885611</v>
      </c>
      <c r="P237" s="22" t="n">
        <f aca="false">100*(P103-P102)</f>
        <v>2.0819623506811</v>
      </c>
      <c r="Q237" s="22" t="n">
        <f aca="false">100*(Q103-Q102)</f>
        <v>2.0740895337906</v>
      </c>
      <c r="R237" s="22" t="n">
        <f aca="false">100*(R103-R102)</f>
        <v>2.06434944402909</v>
      </c>
      <c r="S237" s="22" t="n">
        <f aca="false">100*(S103-S102)</f>
        <v>2.05266877698209</v>
      </c>
      <c r="T237" s="22" t="n">
        <f aca="false">100*(T103-T102)</f>
        <v>2.03903464909201</v>
      </c>
      <c r="U237" s="22" t="n">
        <f aca="false">100*(U103-U102)</f>
        <v>2.02348539685109</v>
      </c>
      <c r="V237" s="22" t="n">
        <f aca="false">100*(V103-V102)</f>
        <v>2.00610538791448</v>
      </c>
      <c r="W237" s="22" t="n">
        <f aca="false">100*(W103-W102)</f>
        <v>1.98702815602267</v>
      </c>
      <c r="X237" s="22" t="n">
        <f aca="false">100*(X103-X102)</f>
        <v>1.96643212985199</v>
      </c>
      <c r="Y237" s="22" t="n">
        <f aca="false">100*(Y103-Y102)</f>
        <v>1.94453568767421</v>
      </c>
      <c r="Z237" s="22" t="n">
        <f aca="false">100*(Z103-Z102)</f>
        <v>1.92159425818517</v>
      </c>
      <c r="AA237" s="22" t="n">
        <f aca="false">100*(AA103-AA102)</f>
        <v>1.89789613998617</v>
      </c>
      <c r="AB237" s="22" t="n">
        <f aca="false">100*(AB103-AB102)</f>
        <v>1.87375849352129</v>
      </c>
      <c r="AC237" s="22" t="n">
        <f aca="false">100*(AC103-AC102)</f>
        <v>1.84952391284421</v>
      </c>
      <c r="AD237" s="22" t="n">
        <f aca="false">100*(AD103-AD102)</f>
        <v>1.82555856339151</v>
      </c>
      <c r="AE237" s="22" t="n">
        <f aca="false">100*(AE103-AE102)</f>
        <v>1.8022532697894</v>
      </c>
      <c r="AF237" s="22" t="n">
        <f aca="false">100*(AF103-AF102)</f>
        <v>1.78001702953901</v>
      </c>
      <c r="AG237" s="22" t="n">
        <f aca="false">100*(AG103-AG102)</f>
        <v>1.75926640398201</v>
      </c>
      <c r="AH237" s="22" t="n">
        <f aca="false">100*(AH103-AH102)</f>
        <v>1.74041838070229</v>
      </c>
      <c r="AI237" s="22" t="n">
        <f aca="false">100*(AI103-AI102)</f>
        <v>1.72386454220712</v>
      </c>
      <c r="AJ237" s="22" t="n">
        <f aca="false">100*(AJ103-AJ102)</f>
        <v>1.70995980311091</v>
      </c>
      <c r="AK237" s="22" t="n">
        <f aca="false">100*(AK103-AK102)</f>
        <v>1.6990255867674</v>
      </c>
      <c r="AL237" s="22" t="n">
        <f aca="false">100*(AL103-AL102)</f>
        <v>1.691348562797</v>
      </c>
      <c r="AM237" s="22" t="n">
        <f aca="false">100*(AM103-AM102)</f>
        <v>1.68716031663627</v>
      </c>
      <c r="AN237" s="22" t="n">
        <f aca="false">100*(AN103-AN102)</f>
        <v>1.68662891053453</v>
      </c>
      <c r="AO237" s="22" t="n">
        <f aca="false">100*(AO103-AO102)</f>
        <v>1.6898554391477</v>
      </c>
      <c r="AP237" s="22" t="n">
        <f aca="false">100*(AP103-AP102)</f>
        <v>1.69687203176179</v>
      </c>
      <c r="AQ237" s="22" t="n">
        <f aca="false">100*(AQ103-AQ102)</f>
        <v>1.70764446961083</v>
      </c>
      <c r="AR237" s="22" t="n">
        <f aca="false">100*(AR103-AR102)</f>
        <v>1.7220752914489</v>
      </c>
      <c r="AS237" s="22" t="n">
        <f aca="false">100*(AS103-AS102)</f>
        <v>1.74000902597702</v>
      </c>
      <c r="AT237" s="22" t="n">
        <f aca="false">100*(AT103-AT102)</f>
        <v>1.7612368276102</v>
      </c>
      <c r="AU237" s="22" t="n">
        <f aca="false">100*(AU103-AU102)</f>
        <v>1.78550011506191</v>
      </c>
      <c r="AV237" s="22" t="n">
        <f aca="false">AVERAGE(C237:AU237)</f>
        <v>1.93249314641953</v>
      </c>
    </row>
    <row r="238" customFormat="false" ht="15" hidden="false" customHeight="false" outlineLevel="0" collapsed="false">
      <c r="A238" s="20" t="n">
        <f aca="false">A104</f>
        <v>-21</v>
      </c>
      <c r="B238" s="21" t="n">
        <f aca="false">B104</f>
        <v>43145</v>
      </c>
      <c r="C238" s="22" t="n">
        <f aca="false">100*(C104-C103)</f>
        <v>0.128986526671693</v>
      </c>
      <c r="D238" s="22" t="n">
        <f aca="false">100*(D104-D103)</f>
        <v>0.0908081661108451</v>
      </c>
      <c r="E238" s="22" t="n">
        <f aca="false">100*(E104-E103)</f>
        <v>0.150936759414333</v>
      </c>
      <c r="F238" s="22" t="n">
        <f aca="false">100*(F104-F103)</f>
        <v>0.257037710721664</v>
      </c>
      <c r="G238" s="22" t="n">
        <f aca="false">100*(G104-G103)</f>
        <v>0.377495078664381</v>
      </c>
      <c r="H238" s="22" t="n">
        <f aca="false">100*(H104-H103)</f>
        <v>0.495248291868089</v>
      </c>
      <c r="I238" s="22" t="n">
        <f aca="false">100*(I104-I103)</f>
        <v>0.602329701163518</v>
      </c>
      <c r="J238" s="22" t="n">
        <f aca="false">100*(J104-J103)</f>
        <v>0.696249722839992</v>
      </c>
      <c r="K238" s="22" t="n">
        <f aca="false">100*(K104-K103)</f>
        <v>0.777509131944698</v>
      </c>
      <c r="L238" s="22" t="n">
        <f aca="false">100*(L104-L103)</f>
        <v>0.848346428006108</v>
      </c>
      <c r="M238" s="22" t="n">
        <f aca="false">100*(M104-M103)</f>
        <v>0.911603819720597</v>
      </c>
      <c r="N238" s="22" t="n">
        <f aca="false">100*(N104-N103)</f>
        <v>0.970170981655683</v>
      </c>
      <c r="O238" s="22" t="n">
        <f aca="false">100*(O104-O103)</f>
        <v>1.84355052953671</v>
      </c>
      <c r="P238" s="22" t="n">
        <f aca="false">100*(P104-P103)</f>
        <v>1.90635177608189</v>
      </c>
      <c r="Q238" s="22" t="n">
        <f aca="false">100*(Q104-Q103)</f>
        <v>1.9637345323259</v>
      </c>
      <c r="R238" s="22" t="n">
        <f aca="false">100*(R104-R103)</f>
        <v>2.0152680754957</v>
      </c>
      <c r="S238" s="22" t="n">
        <f aca="false">100*(S104-S103)</f>
        <v>2.06073241931732</v>
      </c>
      <c r="T238" s="22" t="n">
        <f aca="false">100*(T104-T103)</f>
        <v>2.1000870407287</v>
      </c>
      <c r="U238" s="22" t="n">
        <f aca="false">100*(U104-U103)</f>
        <v>2.1334437773795</v>
      </c>
      <c r="V238" s="22" t="n">
        <f aca="false">100*(V104-V103)</f>
        <v>2.16104072716994</v>
      </c>
      <c r="W238" s="22" t="n">
        <f aca="false">100*(W104-W103)</f>
        <v>2.1832255697638</v>
      </c>
      <c r="X238" s="22" t="n">
        <f aca="false">100*(X104-X103)</f>
        <v>2.20044033853251</v>
      </c>
      <c r="Y238" s="22" t="n">
        <f aca="false">100*(Y104-Y103)</f>
        <v>2.21318378713349</v>
      </c>
      <c r="Z238" s="22" t="n">
        <f aca="false">100*(Z104-Z103)</f>
        <v>2.22197190633353</v>
      </c>
      <c r="AA238" s="22" t="n">
        <f aca="false">100*(AA104-AA103)</f>
        <v>2.22733172672474</v>
      </c>
      <c r="AB238" s="22" t="n">
        <f aca="false">100*(AB104-AB103)</f>
        <v>2.22979997188433</v>
      </c>
      <c r="AC238" s="22" t="n">
        <f aca="false">100*(AC104-AC103)</f>
        <v>2.22992186590849</v>
      </c>
      <c r="AD238" s="22" t="n">
        <f aca="false">100*(AD104-AD103)</f>
        <v>2.22824185719031</v>
      </c>
      <c r="AE238" s="22" t="n">
        <f aca="false">100*(AE104-AE103)</f>
        <v>2.22526885495351</v>
      </c>
      <c r="AF238" s="22" t="n">
        <f aca="false">100*(AF104-AF103)</f>
        <v>2.22146839136008</v>
      </c>
      <c r="AG238" s="22" t="n">
        <f aca="false">100*(AG104-AG103)</f>
        <v>2.21727125738869</v>
      </c>
      <c r="AH238" s="22" t="n">
        <f aca="false">100*(AH104-AH103)</f>
        <v>2.21307509919262</v>
      </c>
      <c r="AI238" s="22" t="n">
        <f aca="false">100*(AI104-AI103)</f>
        <v>2.20923311348029</v>
      </c>
      <c r="AJ238" s="22" t="n">
        <f aca="false">100*(AJ104-AJ103)</f>
        <v>2.20605004690868</v>
      </c>
      <c r="AK238" s="22" t="n">
        <f aca="false">100*(AK104-AK103)</f>
        <v>2.2037867254356</v>
      </c>
      <c r="AL238" s="22" t="n">
        <f aca="false">100*(AL104-AL103)</f>
        <v>2.20266310709008</v>
      </c>
      <c r="AM238" s="22" t="n">
        <f aca="false">100*(AM104-AM103)</f>
        <v>2.2028532628481</v>
      </c>
      <c r="AN238" s="22" t="n">
        <f aca="false">100*(AN104-AN103)</f>
        <v>2.20448404654818</v>
      </c>
      <c r="AO238" s="22" t="n">
        <f aca="false">100*(AO104-AO103)</f>
        <v>2.20763804427961</v>
      </c>
      <c r="AP238" s="22" t="n">
        <f aca="false">100*(AP104-AP103)</f>
        <v>2.21235632315651</v>
      </c>
      <c r="AQ238" s="22" t="n">
        <f aca="false">100*(AQ104-AQ103)</f>
        <v>2.218643684893</v>
      </c>
      <c r="AR238" s="22" t="n">
        <f aca="false">100*(AR104-AR103)</f>
        <v>2.22647296858018</v>
      </c>
      <c r="AS238" s="22" t="n">
        <f aca="false">100*(AS104-AS103)</f>
        <v>2.23578785775649</v>
      </c>
      <c r="AT238" s="22" t="n">
        <f aca="false">100*(AT104-AT103)</f>
        <v>2.2465052932588</v>
      </c>
      <c r="AU238" s="22" t="n">
        <f aca="false">100*(AU104-AU103)</f>
        <v>2.2585175657782</v>
      </c>
      <c r="AV238" s="22" t="n">
        <f aca="false">AVERAGE(C238:AU238)</f>
        <v>1.73193608584882</v>
      </c>
    </row>
    <row r="239" customFormat="false" ht="15" hidden="false" customHeight="false" outlineLevel="0" collapsed="false">
      <c r="A239" s="20" t="n">
        <f aca="false">A105</f>
        <v>-20</v>
      </c>
      <c r="B239" s="21" t="n">
        <f aca="false">B105</f>
        <v>43146</v>
      </c>
      <c r="C239" s="22" t="n">
        <f aca="false">100*(C105-C104)</f>
        <v>0.093677134254555</v>
      </c>
      <c r="D239" s="22" t="n">
        <f aca="false">100*(D105-D104)</f>
        <v>0.209935357847235</v>
      </c>
      <c r="E239" s="22" t="n">
        <f aca="false">100*(E105-E104)</f>
        <v>0.363963974534243</v>
      </c>
      <c r="F239" s="22" t="n">
        <f aca="false">100*(F105-F104)</f>
        <v>0.540883479806731</v>
      </c>
      <c r="G239" s="22" t="n">
        <f aca="false">100*(G105-G104)</f>
        <v>0.729581199272511</v>
      </c>
      <c r="H239" s="22" t="n">
        <f aca="false">100*(H105-H104)</f>
        <v>0.921280526974311</v>
      </c>
      <c r="I239" s="22" t="n">
        <f aca="false">100*(I105-I104)</f>
        <v>1.10989436544229</v>
      </c>
      <c r="J239" s="22" t="n">
        <f aca="false">100*(J105-J104)</f>
        <v>1.29173919615702</v>
      </c>
      <c r="K239" s="22" t="n">
        <f aca="false">100*(K105-K104)</f>
        <v>1.4647330985621</v>
      </c>
      <c r="L239" s="22" t="n">
        <f aca="false">100*(L105-L104)</f>
        <v>1.628094943369</v>
      </c>
      <c r="M239" s="22" t="n">
        <f aca="false">100*(M105-M104)</f>
        <v>1.78181954728849</v>
      </c>
      <c r="N239" s="22" t="n">
        <f aca="false">100*(N105-N104)</f>
        <v>1.92630485831351</v>
      </c>
      <c r="O239" s="22" t="n">
        <f aca="false">100*(O105-O104)</f>
        <v>3.12708582722299</v>
      </c>
      <c r="P239" s="22" t="n">
        <f aca="false">100*(P105-P104)</f>
        <v>3.17504356371601</v>
      </c>
      <c r="Q239" s="22" t="n">
        <f aca="false">100*(Q105-Q104)</f>
        <v>3.21799436666659</v>
      </c>
      <c r="R239" s="22" t="n">
        <f aca="false">100*(R105-R104)</f>
        <v>3.2563170521674</v>
      </c>
      <c r="S239" s="22" t="n">
        <f aca="false">100*(S105-S104)</f>
        <v>3.29038592797168</v>
      </c>
      <c r="T239" s="22" t="n">
        <f aca="false">100*(T105-T104)</f>
        <v>3.32057151790037</v>
      </c>
      <c r="U239" s="22" t="n">
        <f aca="false">100*(U105-U104)</f>
        <v>3.34723945726041</v>
      </c>
      <c r="V239" s="22" t="n">
        <f aca="false">100*(V105-V104)</f>
        <v>3.370731804756</v>
      </c>
      <c r="W239" s="22" t="n">
        <f aca="false">100*(W105-W104)</f>
        <v>3.3913516190315</v>
      </c>
      <c r="X239" s="22" t="n">
        <f aca="false">100*(X105-X104)</f>
        <v>3.4093668535526</v>
      </c>
      <c r="Y239" s="22" t="n">
        <f aca="false">100*(Y105-Y104)</f>
        <v>3.42501595923292</v>
      </c>
      <c r="Z239" s="22" t="n">
        <f aca="false">100*(Z105-Z104)</f>
        <v>3.43851424534987</v>
      </c>
      <c r="AA239" s="22" t="n">
        <f aca="false">100*(AA105-AA104)</f>
        <v>3.45005731397356</v>
      </c>
      <c r="AB239" s="22" t="n">
        <f aca="false">100*(AB105-AB104)</f>
        <v>3.45982346377638</v>
      </c>
      <c r="AC239" s="22" t="n">
        <f aca="false">100*(AC105-AC104)</f>
        <v>3.46797575632571</v>
      </c>
      <c r="AD239" s="22" t="n">
        <f aca="false">100*(AD105-AD104)</f>
        <v>3.47466482622387</v>
      </c>
      <c r="AE239" s="22" t="n">
        <f aca="false">100*(AE105-AE104)</f>
        <v>3.4800343739366</v>
      </c>
      <c r="AF239" s="22" t="n">
        <f aca="false">100*(AF105-AF104)</f>
        <v>3.48422266495212</v>
      </c>
      <c r="AG239" s="22" t="n">
        <f aca="false">100*(AG105-AG104)</f>
        <v>3.4873604689424</v>
      </c>
      <c r="AH239" s="22" t="n">
        <f aca="false">100*(AH105-AH104)</f>
        <v>3.48957166893138</v>
      </c>
      <c r="AI239" s="22" t="n">
        <f aca="false">100*(AI105-AI104)</f>
        <v>3.49097147482937</v>
      </c>
      <c r="AJ239" s="22" t="n">
        <f aca="false">100*(AJ105-AJ104)</f>
        <v>3.49166445287312</v>
      </c>
      <c r="AK239" s="22" t="n">
        <f aca="false">100*(AK105-AK104)</f>
        <v>3.49174543869801</v>
      </c>
      <c r="AL239" s="22" t="n">
        <f aca="false">100*(AL105-AL104)</f>
        <v>3.49130011298349</v>
      </c>
      <c r="AM239" s="22" t="n">
        <f aca="false">100*(AM105-AM104)</f>
        <v>3.49040083748591</v>
      </c>
      <c r="AN239" s="22" t="n">
        <f aca="false">100*(AN105-AN104)</f>
        <v>3.48910382338898</v>
      </c>
      <c r="AO239" s="22" t="n">
        <f aca="false">100*(AO105-AO104)</f>
        <v>3.48744669869427</v>
      </c>
      <c r="AP239" s="22" t="n">
        <f aca="false">100*(AP105-AP104)</f>
        <v>3.48544684503538</v>
      </c>
      <c r="AQ239" s="22" t="n">
        <f aca="false">100*(AQ105-AQ104)</f>
        <v>3.4831037406597</v>
      </c>
      <c r="AR239" s="22" t="n">
        <f aca="false">100*(AR105-AR104)</f>
        <v>3.48040091201991</v>
      </c>
      <c r="AS239" s="22" t="n">
        <f aca="false">100*(AS105-AS104)</f>
        <v>3.47730730850868</v>
      </c>
      <c r="AT239" s="22" t="n">
        <f aca="false">100*(AT105-AT104)</f>
        <v>3.4737785241469</v>
      </c>
      <c r="AU239" s="22" t="n">
        <f aca="false">100*(AU105-AU104)</f>
        <v>3.4697581347773</v>
      </c>
      <c r="AV239" s="22" t="n">
        <f aca="false">AVERAGE(C239:AU239)</f>
        <v>2.77617032706252</v>
      </c>
    </row>
    <row r="240" customFormat="false" ht="15" hidden="false" customHeight="false" outlineLevel="0" collapsed="false">
      <c r="A240" s="20" t="n">
        <f aca="false">A106</f>
        <v>-19</v>
      </c>
      <c r="B240" s="21" t="n">
        <f aca="false">B106</f>
        <v>43147</v>
      </c>
      <c r="C240" s="22" t="n">
        <f aca="false">100*(C106-C105)</f>
        <v>-4.46240962601508</v>
      </c>
      <c r="D240" s="22" t="n">
        <f aca="false">100*(D106-D105)</f>
        <v>-4.86587438766993</v>
      </c>
      <c r="E240" s="22" t="n">
        <f aca="false">100*(E106-E105)</f>
        <v>-5.22533353011119</v>
      </c>
      <c r="F240" s="22" t="n">
        <f aca="false">100*(F106-F105)</f>
        <v>-5.52829750128122</v>
      </c>
      <c r="G240" s="22" t="n">
        <f aca="false">100*(G106-G105)</f>
        <v>-5.77381850927622</v>
      </c>
      <c r="H240" s="22" t="n">
        <f aca="false">100*(H106-H105)</f>
        <v>-5.96725618558389</v>
      </c>
      <c r="I240" s="22" t="n">
        <f aca="false">100*(I106-I105)</f>
        <v>-6.11652254113111</v>
      </c>
      <c r="J240" s="22" t="n">
        <f aca="false">100*(J106-J105)</f>
        <v>-6.22976286048491</v>
      </c>
      <c r="K240" s="22" t="n">
        <f aca="false">100*(K106-K105)</f>
        <v>-6.31499038025591</v>
      </c>
      <c r="L240" s="22" t="n">
        <f aca="false">100*(L106-L105)</f>
        <v>-6.3791689014024</v>
      </c>
      <c r="M240" s="22" t="n">
        <f aca="false">100*(M106-M105)</f>
        <v>-6.428312560007</v>
      </c>
      <c r="N240" s="22" t="n">
        <f aca="false">100*(N106-N105)</f>
        <v>-6.46757207294699</v>
      </c>
      <c r="O240" s="22" t="n">
        <f aca="false">100*(O106-O105)</f>
        <v>-6.95125870899069</v>
      </c>
      <c r="P240" s="22" t="n">
        <f aca="false">100*(P106-P105)</f>
        <v>-6.9886909224107</v>
      </c>
      <c r="Q240" s="22" t="n">
        <f aca="false">100*(Q106-Q105)</f>
        <v>-7.02386850305519</v>
      </c>
      <c r="R240" s="22" t="n">
        <f aca="false">100*(R106-R105)</f>
        <v>-7.05656551092739</v>
      </c>
      <c r="S240" s="22" t="n">
        <f aca="false">100*(S106-S105)</f>
        <v>-7.08660913127079</v>
      </c>
      <c r="T240" s="22" t="n">
        <f aca="false">100*(T106-T105)</f>
        <v>-7.11387055971577</v>
      </c>
      <c r="U240" s="22" t="n">
        <f aca="false">100*(U106-U105)</f>
        <v>-7.13826052881901</v>
      </c>
      <c r="V240" s="22" t="n">
        <f aca="false">100*(V106-V105)</f>
        <v>-7.1597317391467</v>
      </c>
      <c r="W240" s="22" t="n">
        <f aca="false">100*(W106-W105)</f>
        <v>-7.17826307720779</v>
      </c>
      <c r="X240" s="22" t="n">
        <f aca="false">100*(X106-X105)</f>
        <v>-7.1938524444584</v>
      </c>
      <c r="Y240" s="22" t="n">
        <f aca="false">100*(Y106-Y105)</f>
        <v>-7.20652248997551</v>
      </c>
      <c r="Z240" s="22" t="n">
        <f aca="false">100*(Z106-Z105)</f>
        <v>-7.21632398282779</v>
      </c>
      <c r="AA240" s="22" t="n">
        <f aca="false">100*(AA106-AA105)</f>
        <v>-7.22333249659148</v>
      </c>
      <c r="AB240" s="22" t="n">
        <f aca="false">100*(AB106-AB105)</f>
        <v>-7.227645383505</v>
      </c>
      <c r="AC240" s="22" t="n">
        <f aca="false">100*(AC106-AC105)</f>
        <v>-7.2293791910734</v>
      </c>
      <c r="AD240" s="22" t="n">
        <f aca="false">100*(AD106-AD105)</f>
        <v>-7.22866961731787</v>
      </c>
      <c r="AE240" s="22" t="n">
        <f aca="false">100*(AE106-AE105)</f>
        <v>-7.22567821883322</v>
      </c>
      <c r="AF240" s="22" t="n">
        <f aca="false">100*(AF106-AF105)</f>
        <v>-7.22058968053401</v>
      </c>
      <c r="AG240" s="22" t="n">
        <f aca="false">100*(AG106-AG105)</f>
        <v>-7.21360807017941</v>
      </c>
      <c r="AH240" s="22" t="n">
        <f aca="false">100*(AH106-AH105)</f>
        <v>-7.20495124113239</v>
      </c>
      <c r="AI240" s="22" t="n">
        <f aca="false">100*(AI106-AI105)</f>
        <v>-7.19484541474209</v>
      </c>
      <c r="AJ240" s="22" t="n">
        <f aca="false">100*(AJ106-AJ105)</f>
        <v>-7.18352764661421</v>
      </c>
      <c r="AK240" s="22" t="n">
        <f aca="false">100*(AK106-AK105)</f>
        <v>-7.17124500989499</v>
      </c>
      <c r="AL240" s="22" t="n">
        <f aca="false">100*(AL106-AL105)</f>
        <v>-7.15824921518289</v>
      </c>
      <c r="AM240" s="22" t="n">
        <f aca="false">100*(AM106-AM105)</f>
        <v>-7.1447882173687</v>
      </c>
      <c r="AN240" s="22" t="n">
        <f aca="false">100*(AN106-AN105)</f>
        <v>-7.13110634578289</v>
      </c>
      <c r="AO240" s="22" t="n">
        <f aca="false">100*(AO106-AO105)</f>
        <v>-7.11744059723629</v>
      </c>
      <c r="AP240" s="22" t="n">
        <f aca="false">100*(AP106-AP105)</f>
        <v>-7.10401759697339</v>
      </c>
      <c r="AQ240" s="22" t="n">
        <f aca="false">100*(AQ106-AQ105)</f>
        <v>-7.0910397033503</v>
      </c>
      <c r="AR240" s="22" t="n">
        <f aca="false">100*(AR106-AR105)</f>
        <v>-7.07867646525981</v>
      </c>
      <c r="AS240" s="22" t="n">
        <f aca="false">100*(AS106-AS105)</f>
        <v>-7.0670668256513</v>
      </c>
      <c r="AT240" s="22" t="n">
        <f aca="false">100*(AT106-AT105)</f>
        <v>-7.05631845303292</v>
      </c>
      <c r="AU240" s="22" t="n">
        <f aca="false">100*(AU106-AU105)</f>
        <v>-7.04649896894252</v>
      </c>
      <c r="AV240" s="22" t="n">
        <f aca="false">AVERAGE(C240:AU240)</f>
        <v>-6.78648468920379</v>
      </c>
    </row>
    <row r="241" customFormat="false" ht="15" hidden="false" customHeight="false" outlineLevel="0" collapsed="false">
      <c r="A241" s="20" t="n">
        <f aca="false">A107</f>
        <v>-18</v>
      </c>
      <c r="B241" s="21" t="n">
        <f aca="false">B107</f>
        <v>43150</v>
      </c>
      <c r="C241" s="22" t="n">
        <f aca="false">100*(C107-C106)</f>
        <v>1.00087166771242</v>
      </c>
      <c r="D241" s="22" t="n">
        <f aca="false">100*(D107-D106)</f>
        <v>1.0129128141933</v>
      </c>
      <c r="E241" s="22" t="n">
        <f aca="false">100*(E107-E106)</f>
        <v>1.03330618522656</v>
      </c>
      <c r="F241" s="22" t="n">
        <f aca="false">100*(F107-F106)</f>
        <v>1.06621510376516</v>
      </c>
      <c r="G241" s="22" t="n">
        <f aca="false">100*(G107-G106)</f>
        <v>1.11077639879946</v>
      </c>
      <c r="H241" s="22" t="n">
        <f aca="false">100*(H107-H106)</f>
        <v>1.16459077823978</v>
      </c>
      <c r="I241" s="22" t="n">
        <f aca="false">100*(I107-I106)</f>
        <v>1.22495829697051</v>
      </c>
      <c r="J241" s="22" t="n">
        <f aca="false">100*(J107-J106)</f>
        <v>1.28917386947891</v>
      </c>
      <c r="K241" s="22" t="n">
        <f aca="false">100*(K107-K106)</f>
        <v>1.3544368205066</v>
      </c>
      <c r="L241" s="22" t="n">
        <f aca="false">100*(L107-L106)</f>
        <v>1.41795249088721</v>
      </c>
      <c r="M241" s="22" t="n">
        <f aca="false">100*(M107-M106)</f>
        <v>1.47714060945792</v>
      </c>
      <c r="N241" s="22" t="n">
        <f aca="false">100*(N107-N106)</f>
        <v>1.52973946847248</v>
      </c>
      <c r="O241" s="22" t="n">
        <f aca="false">100*(O107-O106)</f>
        <v>1.41306143520099</v>
      </c>
      <c r="P241" s="22" t="n">
        <f aca="false">100*(P107-P106)</f>
        <v>1.3704741915946</v>
      </c>
      <c r="Q241" s="22" t="n">
        <f aca="false">100*(Q107-Q106)</f>
        <v>1.32850963280831</v>
      </c>
      <c r="R241" s="22" t="n">
        <f aca="false">100*(R107-R106)</f>
        <v>1.28781751989699</v>
      </c>
      <c r="S241" s="22" t="n">
        <f aca="false">100*(S107-S106)</f>
        <v>1.24890758537539</v>
      </c>
      <c r="T241" s="22" t="n">
        <f aca="false">100*(T107-T106)</f>
        <v>1.2121708433019</v>
      </c>
      <c r="U241" s="22" t="n">
        <f aca="false">100*(U107-U106)</f>
        <v>1.17789635205252</v>
      </c>
      <c r="V241" s="22" t="n">
        <f aca="false">100*(V107-V106)</f>
        <v>1.14628301277127</v>
      </c>
      <c r="W241" s="22" t="n">
        <f aca="false">100*(W107-W106)</f>
        <v>1.11745531874079</v>
      </c>
      <c r="X241" s="22" t="n">
        <f aca="false">100*(X107-X106)</f>
        <v>1.09147514298291</v>
      </c>
      <c r="Y241" s="22" t="n">
        <f aca="false">100*(Y107-Y106)</f>
        <v>1.06835615412737</v>
      </c>
      <c r="Z241" s="22" t="n">
        <f aca="false">100*(Z107-Z106)</f>
        <v>1.04807898869073</v>
      </c>
      <c r="AA241" s="22" t="n">
        <f aca="false">100*(AA107-AA106)</f>
        <v>1.03059667453609</v>
      </c>
      <c r="AB241" s="22" t="n">
        <f aca="false">100*(AB107-AB106)</f>
        <v>1.0158379981509</v>
      </c>
      <c r="AC241" s="22" t="n">
        <f aca="false">100*(AC107-AC106)</f>
        <v>1.0037103952536</v>
      </c>
      <c r="AD241" s="22" t="n">
        <f aca="false">100*(AD107-AD106)</f>
        <v>0.994103072472585</v>
      </c>
      <c r="AE241" s="22" t="n">
        <f aca="false">100*(AE107-AE106)</f>
        <v>0.986891546986302</v>
      </c>
      <c r="AF241" s="22" t="n">
        <f aca="false">100*(AF107-AF106)</f>
        <v>0.981940456793584</v>
      </c>
      <c r="AG241" s="22" t="n">
        <f aca="false">100*(AG107-AG106)</f>
        <v>0.979103841990003</v>
      </c>
      <c r="AH241" s="22" t="n">
        <f aca="false">100*(AH107-AH106)</f>
        <v>0.978227152018674</v>
      </c>
      <c r="AI241" s="22" t="n">
        <f aca="false">100*(AI107-AI106)</f>
        <v>0.979148791305695</v>
      </c>
      <c r="AJ241" s="22" t="n">
        <f aca="false">100*(AJ107-AJ106)</f>
        <v>0.981699451489115</v>
      </c>
      <c r="AK241" s="22" t="n">
        <f aca="false">100*(AK107-AK106)</f>
        <v>0.98570279470076</v>
      </c>
      <c r="AL241" s="22" t="n">
        <f aca="false">100*(AL107-AL106)</f>
        <v>0.990977663742809</v>
      </c>
      <c r="AM241" s="22" t="n">
        <f aca="false">100*(AM107-AM106)</f>
        <v>0.997341202429913</v>
      </c>
      <c r="AN241" s="22" t="n">
        <f aca="false">100*(AN107-AN106)</f>
        <v>1.004609037328</v>
      </c>
      <c r="AO241" s="22" t="n">
        <f aca="false">100*(AO107-AO106)</f>
        <v>1.01259643190779</v>
      </c>
      <c r="AP241" s="22" t="n">
        <f aca="false">100*(AP107-AP106)</f>
        <v>1.02111942128351</v>
      </c>
      <c r="AQ241" s="22" t="n">
        <f aca="false">100*(AQ107-AQ106)</f>
        <v>1.0300005760012</v>
      </c>
      <c r="AR241" s="22" t="n">
        <f aca="false">100*(AR107-AR106)</f>
        <v>1.03907250655029</v>
      </c>
      <c r="AS241" s="22" t="n">
        <f aca="false">100*(AS107-AS106)</f>
        <v>1.0481772265531</v>
      </c>
      <c r="AT241" s="22" t="n">
        <f aca="false">100*(AT107-AT106)</f>
        <v>1.05716670335121</v>
      </c>
      <c r="AU241" s="22" t="n">
        <f aca="false">100*(AU107-AU106)</f>
        <v>1.065907164789</v>
      </c>
      <c r="AV241" s="22" t="n">
        <f aca="false">AVERAGE(C241:AU241)</f>
        <v>1.11947757313085</v>
      </c>
    </row>
    <row r="242" customFormat="false" ht="15" hidden="false" customHeight="false" outlineLevel="0" collapsed="false">
      <c r="A242" s="20" t="n">
        <f aca="false">A108</f>
        <v>-17</v>
      </c>
      <c r="B242" s="21" t="n">
        <f aca="false">B108</f>
        <v>43151</v>
      </c>
      <c r="C242" s="22" t="n">
        <f aca="false">100*(C108-C107)</f>
        <v>-0.844617384817192</v>
      </c>
      <c r="D242" s="22" t="n">
        <f aca="false">100*(D108-D107)</f>
        <v>-1.08338482157997</v>
      </c>
      <c r="E242" s="22" t="n">
        <f aca="false">100*(E108-E107)</f>
        <v>-1.30989267916573</v>
      </c>
      <c r="F242" s="22" t="n">
        <f aca="false">100*(F108-F107)</f>
        <v>-1.51579464062601</v>
      </c>
      <c r="G242" s="22" t="n">
        <f aca="false">100*(G108-G107)</f>
        <v>-1.70203105410026</v>
      </c>
      <c r="H242" s="22" t="n">
        <f aca="false">100*(H108-H107)</f>
        <v>-1.87173433218588</v>
      </c>
      <c r="I242" s="22" t="n">
        <f aca="false">100*(I108-I107)</f>
        <v>-2.0273599988877</v>
      </c>
      <c r="J242" s="22" t="n">
        <f aca="false">100*(J108-J107)</f>
        <v>-2.1703483236424</v>
      </c>
      <c r="K242" s="22" t="n">
        <f aca="false">100*(K108-K107)</f>
        <v>-2.30149225454839</v>
      </c>
      <c r="L242" s="22" t="n">
        <f aca="false">100*(L108-L107)</f>
        <v>-2.4213161384345</v>
      </c>
      <c r="M242" s="22" t="n">
        <f aca="false">100*(M108-M107)</f>
        <v>-2.53029360945301</v>
      </c>
      <c r="N242" s="22" t="n">
        <f aca="false">100*(N108-N107)</f>
        <v>-2.62904672892208</v>
      </c>
      <c r="O242" s="22" t="n">
        <f aca="false">100*(O108-O107)</f>
        <v>-3.39476940047059</v>
      </c>
      <c r="P242" s="22" t="n">
        <f aca="false">100*(P108-P107)</f>
        <v>-3.4284008414738</v>
      </c>
      <c r="Q242" s="22" t="n">
        <f aca="false">100*(Q108-Q107)</f>
        <v>-3.45831802590051</v>
      </c>
      <c r="R242" s="22" t="n">
        <f aca="false">100*(R108-R107)</f>
        <v>-3.48448734362201</v>
      </c>
      <c r="S242" s="22" t="n">
        <f aca="false">100*(S108-S107)</f>
        <v>-3.5069218465315</v>
      </c>
      <c r="T242" s="22" t="n">
        <f aca="false">100*(T108-T107)</f>
        <v>-3.52567401983199</v>
      </c>
      <c r="U242" s="22" t="n">
        <f aca="false">100*(U108-U107)</f>
        <v>-3.54083092306952</v>
      </c>
      <c r="V242" s="22" t="n">
        <f aca="false">100*(V108-V107)</f>
        <v>-3.55251543092279</v>
      </c>
      <c r="W242" s="22" t="n">
        <f aca="false">100*(W108-W107)</f>
        <v>-3.56088221878048</v>
      </c>
      <c r="X242" s="22" t="n">
        <f aca="false">100*(X108-X107)</f>
        <v>-3.5661125700124</v>
      </c>
      <c r="Y242" s="22" t="n">
        <f aca="false">100*(Y108-Y107)</f>
        <v>-3.56840946044548</v>
      </c>
      <c r="Z242" s="22" t="n">
        <f aca="false">100*(Z108-Z107)</f>
        <v>-3.56799180515361</v>
      </c>
      <c r="AA242" s="22" t="n">
        <f aca="false">100*(AA108-AA107)</f>
        <v>-3.56509192306289</v>
      </c>
      <c r="AB242" s="22" t="n">
        <f aca="false">100*(AB108-AB107)</f>
        <v>-3.55995390209452</v>
      </c>
      <c r="AC242" s="22" t="n">
        <f aca="false">100*(AC108-AC107)</f>
        <v>-3.55283218560172</v>
      </c>
      <c r="AD242" s="22" t="n">
        <f aca="false">100*(AD108-AD107)</f>
        <v>-3.54398859060439</v>
      </c>
      <c r="AE242" s="22" t="n">
        <f aca="false">100*(AE108-AE107)</f>
        <v>-3.5336845301793</v>
      </c>
      <c r="AF242" s="22" t="n">
        <f aca="false">100*(AF108-AF107)</f>
        <v>-3.52217563977928</v>
      </c>
      <c r="AG242" s="22" t="n">
        <f aca="false">100*(AG108-AG107)</f>
        <v>-3.50971029631086</v>
      </c>
      <c r="AH242" s="22" t="n">
        <f aca="false">100*(AH108-AH107)</f>
        <v>-3.49652648060208</v>
      </c>
      <c r="AI242" s="22" t="n">
        <f aca="false">100*(AI108-AI107)</f>
        <v>-3.48284188060197</v>
      </c>
      <c r="AJ242" s="22" t="n">
        <f aca="false">100*(AJ108-AJ107)</f>
        <v>-3.46885297862203</v>
      </c>
      <c r="AK242" s="22" t="n">
        <f aca="false">100*(AK108-AK107)</f>
        <v>-3.45473714367337</v>
      </c>
      <c r="AL242" s="22" t="n">
        <f aca="false">100*(AL108-AL107)</f>
        <v>-3.44065114005332</v>
      </c>
      <c r="AM242" s="22" t="n">
        <f aca="false">100*(AM108-AM107)</f>
        <v>-3.42672325431672</v>
      </c>
      <c r="AN242" s="22" t="n">
        <f aca="false">100*(AN108-AN107)</f>
        <v>-3.41305303902337</v>
      </c>
      <c r="AO242" s="22" t="n">
        <f aca="false">100*(AO108-AO107)</f>
        <v>-3.39971401351038</v>
      </c>
      <c r="AP242" s="22" t="n">
        <f aca="false">100*(AP108-AP107)</f>
        <v>-3.38675724818622</v>
      </c>
      <c r="AQ242" s="22" t="n">
        <f aca="false">100*(AQ108-AQ107)</f>
        <v>-3.3742191172536</v>
      </c>
      <c r="AR242" s="22" t="n">
        <f aca="false">100*(AR108-AR107)</f>
        <v>-3.36212732073928</v>
      </c>
      <c r="AS242" s="22" t="n">
        <f aca="false">100*(AS108-AS107)</f>
        <v>-3.35050197357738</v>
      </c>
      <c r="AT242" s="22" t="n">
        <f aca="false">100*(AT108-AT107)</f>
        <v>-3.3393576524233</v>
      </c>
      <c r="AU242" s="22" t="n">
        <f aca="false">100*(AU108-AU107)</f>
        <v>-3.32870977095539</v>
      </c>
      <c r="AV242" s="22" t="n">
        <f aca="false">AVERAGE(C242:AU242)</f>
        <v>-3.04610746519443</v>
      </c>
    </row>
    <row r="243" customFormat="false" ht="15" hidden="false" customHeight="false" outlineLevel="0" collapsed="false">
      <c r="A243" s="20" t="n">
        <f aca="false">A109</f>
        <v>-16</v>
      </c>
      <c r="B243" s="21" t="n">
        <f aca="false">B109</f>
        <v>43152</v>
      </c>
      <c r="C243" s="22" t="n">
        <f aca="false">100*(C109-C108)</f>
        <v>0.52203404500577</v>
      </c>
      <c r="D243" s="22" t="n">
        <f aca="false">100*(D109-D108)</f>
        <v>0.241394362901293</v>
      </c>
      <c r="E243" s="22" t="n">
        <f aca="false">100*(E109-E108)</f>
        <v>-0.00433287778123237</v>
      </c>
      <c r="F243" s="22" t="n">
        <f aca="false">100*(F109-F108)</f>
        <v>-0.223273882820818</v>
      </c>
      <c r="G243" s="22" t="n">
        <f aca="false">100*(G109-G108)</f>
        <v>-0.42441363942517</v>
      </c>
      <c r="H243" s="22" t="n">
        <f aca="false">100*(H109-H108)</f>
        <v>-0.612922761335111</v>
      </c>
      <c r="I243" s="22" t="n">
        <f aca="false">100*(I109-I108)</f>
        <v>-0.790502635979595</v>
      </c>
      <c r="J243" s="22" t="n">
        <f aca="false">100*(J109-J108)</f>
        <v>-0.956721047864106</v>
      </c>
      <c r="K243" s="22" t="n">
        <f aca="false">100*(K109-K108)</f>
        <v>-1.1101736018801</v>
      </c>
      <c r="L243" s="22" t="n">
        <f aca="false">100*(L109-L108)</f>
        <v>-1.2492403193167</v>
      </c>
      <c r="M243" s="22" t="n">
        <f aca="false">100*(M109-M108)</f>
        <v>-1.3724112583841</v>
      </c>
      <c r="N243" s="22" t="n">
        <f aca="false">100*(N109-N108)</f>
        <v>-1.47851256532352</v>
      </c>
      <c r="O243" s="22" t="n">
        <f aca="false">100*(O109-O108)</f>
        <v>-1.63429532353541</v>
      </c>
      <c r="P243" s="22" t="n">
        <f aca="false">100*(P109-P108)</f>
        <v>-1.6091610103075</v>
      </c>
      <c r="Q243" s="22" t="n">
        <f aca="false">100*(Q109-Q108)</f>
        <v>-1.5857445522915</v>
      </c>
      <c r="R243" s="22" t="n">
        <f aca="false">100*(R109-R108)</f>
        <v>-1.56457310330349</v>
      </c>
      <c r="S243" s="22" t="n">
        <f aca="false">100*(S109-S108)</f>
        <v>-1.54598487362041</v>
      </c>
      <c r="T243" s="22" t="n">
        <f aca="false">100*(T109-T108)</f>
        <v>-1.53015749153451</v>
      </c>
      <c r="U243" s="22" t="n">
        <f aca="false">100*(U109-U108)</f>
        <v>-1.51713306314489</v>
      </c>
      <c r="V243" s="22" t="n">
        <f aca="false">100*(V109-V108)</f>
        <v>-1.50685072614329</v>
      </c>
      <c r="W243" s="22" t="n">
        <f aca="false">100*(W109-W108)</f>
        <v>-1.49917031577791</v>
      </c>
      <c r="X243" s="22" t="n">
        <f aca="false">100*(X109-X108)</f>
        <v>-1.4938850592725</v>
      </c>
      <c r="Y243" s="22" t="n">
        <f aca="false">100*(Y109-Y108)</f>
        <v>-1.490755954686</v>
      </c>
      <c r="Z243" s="22" t="n">
        <f aca="false">100*(Z109-Z108)</f>
        <v>-1.48954564422941</v>
      </c>
      <c r="AA243" s="22" t="n">
        <f aca="false">100*(AA109-AA108)</f>
        <v>-1.49002151312971</v>
      </c>
      <c r="AB243" s="22" t="n">
        <f aca="false">100*(AB109-AB108)</f>
        <v>-1.49195511125657</v>
      </c>
      <c r="AC243" s="22" t="n">
        <f aca="false">100*(AC109-AC108)</f>
        <v>-1.49512170490067</v>
      </c>
      <c r="AD243" s="22" t="n">
        <f aca="false">100*(AD109-AD108)</f>
        <v>-1.49930707952661</v>
      </c>
      <c r="AE243" s="22" t="n">
        <f aca="false">100*(AE109-AE108)</f>
        <v>-1.50433350225301</v>
      </c>
      <c r="AF243" s="22" t="n">
        <f aca="false">100*(AF109-AF108)</f>
        <v>-1.51006060284833</v>
      </c>
      <c r="AG243" s="22" t="n">
        <f aca="false">100*(AG109-AG108)</f>
        <v>-1.5163748488864</v>
      </c>
      <c r="AH243" s="22" t="n">
        <f aca="false">100*(AH109-AH108)</f>
        <v>-1.52318306436872</v>
      </c>
      <c r="AI243" s="22" t="n">
        <f aca="false">100*(AI109-AI108)</f>
        <v>-1.5304029030573</v>
      </c>
      <c r="AJ243" s="22" t="n">
        <f aca="false">100*(AJ109-AJ108)</f>
        <v>-1.53796034455689</v>
      </c>
      <c r="AK243" s="22" t="n">
        <f aca="false">100*(AK109-AK108)</f>
        <v>-1.54578886955039</v>
      </c>
      <c r="AL243" s="22" t="n">
        <f aca="false">100*(AL109-AL108)</f>
        <v>-1.55382538843107</v>
      </c>
      <c r="AM243" s="22" t="n">
        <f aca="false">100*(AM109-AM108)</f>
        <v>-1.56200046937589</v>
      </c>
      <c r="AN243" s="22" t="n">
        <f aca="false">100*(AN109-AN108)</f>
        <v>-1.57023636004894</v>
      </c>
      <c r="AO243" s="22" t="n">
        <f aca="false">100*(AO109-AO108)</f>
        <v>-1.57844858399641</v>
      </c>
      <c r="AP243" s="22" t="n">
        <f aca="false">100*(AP109-AP108)</f>
        <v>-1.5865478783498</v>
      </c>
      <c r="AQ243" s="22" t="n">
        <f aca="false">100*(AQ109-AQ108)</f>
        <v>-1.5944428298132</v>
      </c>
      <c r="AR243" s="22" t="n">
        <f aca="false">100*(AR109-AR108)</f>
        <v>-1.60204202423819</v>
      </c>
      <c r="AS243" s="22" t="n">
        <f aca="false">100*(AS109-AS108)</f>
        <v>-1.60925420048541</v>
      </c>
      <c r="AT243" s="22" t="n">
        <f aca="false">100*(AT109-AT108)</f>
        <v>-1.61598823439579</v>
      </c>
      <c r="AU243" s="22" t="n">
        <f aca="false">100*(AU109-AU108)</f>
        <v>-1.62215459095381</v>
      </c>
      <c r="AV243" s="22" t="n">
        <f aca="false">AVERAGE(C243:AU243)</f>
        <v>-1.29923963121052</v>
      </c>
    </row>
    <row r="244" customFormat="false" ht="15" hidden="false" customHeight="false" outlineLevel="0" collapsed="false">
      <c r="A244" s="20" t="n">
        <f aca="false">A110</f>
        <v>-15</v>
      </c>
      <c r="B244" s="21" t="n">
        <f aca="false">B110</f>
        <v>43153</v>
      </c>
      <c r="C244" s="22" t="n">
        <f aca="false">100*(C110-C109)</f>
        <v>0.690377306253565</v>
      </c>
      <c r="D244" s="22" t="n">
        <f aca="false">100*(D110-D109)</f>
        <v>0.432861540528084</v>
      </c>
      <c r="E244" s="22" t="n">
        <f aca="false">100*(E110-E109)</f>
        <v>0.2054541930542</v>
      </c>
      <c r="F244" s="22" t="n">
        <f aca="false">100*(F110-F109)</f>
        <v>0.0176496223324052</v>
      </c>
      <c r="G244" s="22" t="n">
        <f aca="false">100*(G110-G109)</f>
        <v>-0.134567800683427</v>
      </c>
      <c r="H244" s="22" t="n">
        <f aca="false">100*(H110-H109)</f>
        <v>-0.257191940752199</v>
      </c>
      <c r="I244" s="22" t="n">
        <f aca="false">100*(I110-I109)</f>
        <v>-0.355749119154014</v>
      </c>
      <c r="J244" s="22" t="n">
        <f aca="false">100*(J110-J109)</f>
        <v>-0.4346037958324</v>
      </c>
      <c r="K244" s="22" t="n">
        <f aca="false">100*(K110-K109)</f>
        <v>-0.496952768646808</v>
      </c>
      <c r="L244" s="22" t="n">
        <f aca="false">100*(L110-L109)</f>
        <v>-0.5450961602528</v>
      </c>
      <c r="M244" s="22" t="n">
        <f aca="false">100*(M110-M109)</f>
        <v>-0.580565639081909</v>
      </c>
      <c r="N244" s="22" t="n">
        <f aca="false">100*(N110-N109)</f>
        <v>-0.604327916973979</v>
      </c>
      <c r="O244" s="22" t="n">
        <f aca="false">100*(O110-O109)</f>
        <v>-0.155643528800997</v>
      </c>
      <c r="P244" s="22" t="n">
        <f aca="false">100*(P110-P109)</f>
        <v>-0.104669937824009</v>
      </c>
      <c r="Q244" s="22" t="n">
        <f aca="false">100*(Q110-Q109)</f>
        <v>-0.0578728197542899</v>
      </c>
      <c r="R244" s="22" t="n">
        <f aca="false">100*(R110-R109)</f>
        <v>-0.0159768283092943</v>
      </c>
      <c r="S244" s="22" t="n">
        <f aca="false">100*(S110-S109)</f>
        <v>0.0205173077165055</v>
      </c>
      <c r="T244" s="22" t="n">
        <f aca="false">100*(T110-T109)</f>
        <v>0.0512996486631057</v>
      </c>
      <c r="U244" s="22" t="n">
        <f aca="false">100*(U110-U109)</f>
        <v>0.0762235106384956</v>
      </c>
      <c r="V244" s="22" t="n">
        <f aca="false">100*(V110-V109)</f>
        <v>0.0952975549243895</v>
      </c>
      <c r="W244" s="22" t="n">
        <f aca="false">100*(W110-W109)</f>
        <v>0.108689429447395</v>
      </c>
      <c r="X244" s="22" t="n">
        <f aca="false">100*(X110-X109)</f>
        <v>0.116706293661895</v>
      </c>
      <c r="Y244" s="22" t="n">
        <f aca="false">100*(Y110-Y109)</f>
        <v>0.11975105408919</v>
      </c>
      <c r="Z244" s="22" t="n">
        <f aca="false">100*(Z110-Z109)</f>
        <v>0.11828131562861</v>
      </c>
      <c r="AA244" s="22" t="n">
        <f aca="false">100*(AA110-AA109)</f>
        <v>0.112799454278312</v>
      </c>
      <c r="AB244" s="22" t="n">
        <f aca="false">100*(AB110-AB109)</f>
        <v>0.103847157269987</v>
      </c>
      <c r="AC244" s="22" t="n">
        <f aca="false">100*(AC110-AC109)</f>
        <v>0.0920006606270896</v>
      </c>
      <c r="AD244" s="22" t="n">
        <f aca="false">100*(AD110-AD109)</f>
        <v>0.0778551164196006</v>
      </c>
      <c r="AE244" s="22" t="n">
        <f aca="false">100*(AE110-AE109)</f>
        <v>0.061979256518141</v>
      </c>
      <c r="AF244" s="22" t="n">
        <f aca="false">100*(AF110-AF109)</f>
        <v>0.044901926178742</v>
      </c>
      <c r="AG244" s="22" t="n">
        <f aca="false">100*(AG110-AG109)</f>
        <v>0.027115966437874</v>
      </c>
      <c r="AH244" s="22" t="n">
        <f aca="false">100*(AH110-AH109)</f>
        <v>0.00907675205112923</v>
      </c>
      <c r="AI244" s="22" t="n">
        <f aca="false">100*(AI110-AI109)</f>
        <v>-0.00881751577779255</v>
      </c>
      <c r="AJ244" s="22" t="n">
        <f aca="false">100*(AJ110-AJ109)</f>
        <v>-0.0262314032405175</v>
      </c>
      <c r="AK244" s="22" t="n">
        <f aca="false">100*(AK110-AK109)</f>
        <v>-0.0428862928734119</v>
      </c>
      <c r="AL244" s="22" t="n">
        <f aca="false">100*(AL110-AL109)</f>
        <v>-0.0585571642586213</v>
      </c>
      <c r="AM244" s="22" t="n">
        <f aca="false">100*(AM110-AM109)</f>
        <v>-0.0730802226064142</v>
      </c>
      <c r="AN244" s="22" t="n">
        <f aca="false">100*(AN110-AN109)</f>
        <v>-0.0863539082180953</v>
      </c>
      <c r="AO244" s="22" t="n">
        <f aca="false">100*(AO110-AO109)</f>
        <v>-0.0983341768618029</v>
      </c>
      <c r="AP244" s="22" t="n">
        <f aca="false">100*(AP110-AP109)</f>
        <v>-0.10902912176729</v>
      </c>
      <c r="AQ244" s="22" t="n">
        <f aca="false">100*(AQ110-AQ109)</f>
        <v>-0.118485587191297</v>
      </c>
      <c r="AR244" s="22" t="n">
        <f aca="false">100*(AR110-AR109)</f>
        <v>-0.126779623653195</v>
      </c>
      <c r="AS244" s="22" t="n">
        <f aca="false">100*(AS110-AS109)</f>
        <v>-0.134013618113404</v>
      </c>
      <c r="AT244" s="22" t="n">
        <f aca="false">100*(AT110-AT109)</f>
        <v>-0.140311563667694</v>
      </c>
      <c r="AU244" s="22" t="n">
        <f aca="false">100*(AU110-AU109)</f>
        <v>-0.145807542919996</v>
      </c>
      <c r="AV244" s="22" t="n">
        <f aca="false">AVERAGE(C244:AU244)</f>
        <v>-0.0517604651221543</v>
      </c>
    </row>
    <row r="245" customFormat="false" ht="15" hidden="false" customHeight="false" outlineLevel="0" collapsed="false">
      <c r="A245" s="20" t="n">
        <f aca="false">A111</f>
        <v>-14</v>
      </c>
      <c r="B245" s="21" t="n">
        <f aca="false">B111</f>
        <v>43154</v>
      </c>
      <c r="C245" s="22" t="n">
        <f aca="false">100*(C111-C110)</f>
        <v>0.843162372239892</v>
      </c>
      <c r="D245" s="22" t="n">
        <f aca="false">100*(D111-D110)</f>
        <v>0.356793975350167</v>
      </c>
      <c r="E245" s="22" t="n">
        <f aca="false">100*(E111-E110)</f>
        <v>-0.0545999754365645</v>
      </c>
      <c r="F245" s="22" t="n">
        <f aca="false">100*(F111-F110)</f>
        <v>-0.387873476277378</v>
      </c>
      <c r="G245" s="22" t="n">
        <f aca="false">100*(G111-G110)</f>
        <v>-0.657069483394068</v>
      </c>
      <c r="H245" s="22" t="n">
        <f aca="false">100*(H111-H110)</f>
        <v>-0.877194584521202</v>
      </c>
      <c r="I245" s="22" t="n">
        <f aca="false">100*(I111-I110)</f>
        <v>-1.06038080854649</v>
      </c>
      <c r="J245" s="22" t="n">
        <f aca="false">100*(J111-J110)</f>
        <v>-1.2157473868162</v>
      </c>
      <c r="K245" s="22" t="n">
        <f aca="false">100*(K111-K110)</f>
        <v>-1.34937449750838</v>
      </c>
      <c r="L245" s="22" t="n">
        <f aca="false">100*(L111-L110)</f>
        <v>-1.4652792303893</v>
      </c>
      <c r="M245" s="22" t="n">
        <f aca="false">100*(M111-M110)</f>
        <v>-1.5656606760778</v>
      </c>
      <c r="N245" s="22" t="n">
        <f aca="false">100*(N111-N110)</f>
        <v>-1.65135127774951</v>
      </c>
      <c r="O245" s="22" t="n">
        <f aca="false">100*(O111-O110)</f>
        <v>-1.4871438659539</v>
      </c>
      <c r="P245" s="22" t="n">
        <f aca="false">100*(P111-P110)</f>
        <v>-1.424996092135</v>
      </c>
      <c r="Q245" s="22" t="n">
        <f aca="false">100*(Q111-Q110)</f>
        <v>-1.36591576334162</v>
      </c>
      <c r="R245" s="22" t="n">
        <f aca="false">100*(R111-R110)</f>
        <v>-1.3112436534535</v>
      </c>
      <c r="S245" s="22" t="n">
        <f aca="false">100*(S111-S110)</f>
        <v>-1.26196935261849</v>
      </c>
      <c r="T245" s="22" t="n">
        <f aca="false">100*(T111-T110)</f>
        <v>-1.21878290542969</v>
      </c>
      <c r="U245" s="22" t="n">
        <f aca="false">100*(U111-U110)</f>
        <v>-1.18211844515841</v>
      </c>
      <c r="V245" s="22" t="n">
        <f aca="false">100*(V111-V110)</f>
        <v>-1.1521626485999</v>
      </c>
      <c r="W245" s="22" t="n">
        <f aca="false">100*(W111-W110)</f>
        <v>-1.1288374963172</v>
      </c>
      <c r="X245" s="22" t="n">
        <f aca="false">100*(X111-X110)</f>
        <v>-1.11183291404369</v>
      </c>
      <c r="Y245" s="22" t="n">
        <f aca="false">100*(Y111-Y110)</f>
        <v>-1.1007034788644</v>
      </c>
      <c r="Z245" s="22" t="n">
        <f aca="false">100*(Z111-Z110)</f>
        <v>-1.09495635118511</v>
      </c>
      <c r="AA245" s="22" t="n">
        <f aca="false">100*(AA111-AA110)</f>
        <v>-1.0940641589781</v>
      </c>
      <c r="AB245" s="22" t="n">
        <f aca="false">100*(AB111-AB110)</f>
        <v>-1.09746920874321</v>
      </c>
      <c r="AC245" s="22" t="n">
        <f aca="false">100*(AC111-AC110)</f>
        <v>-1.10458730215788</v>
      </c>
      <c r="AD245" s="22" t="n">
        <f aca="false">100*(AD111-AD110)</f>
        <v>-1.11483534274459</v>
      </c>
      <c r="AE245" s="22" t="n">
        <f aca="false">100*(AE111-AE110)</f>
        <v>-1.12771597120842</v>
      </c>
      <c r="AF245" s="22" t="n">
        <f aca="false">100*(AF111-AF110)</f>
        <v>-1.14282474905552</v>
      </c>
      <c r="AG245" s="22" t="n">
        <f aca="false">100*(AG111-AG110)</f>
        <v>-1.15982582202121</v>
      </c>
      <c r="AH245" s="22" t="n">
        <f aca="false">100*(AH111-AH110)</f>
        <v>-1.17843876745734</v>
      </c>
      <c r="AI245" s="22" t="n">
        <f aca="false">100*(AI111-AI110)</f>
        <v>-1.1984271282528</v>
      </c>
      <c r="AJ245" s="22" t="n">
        <f aca="false">100*(AJ111-AJ110)</f>
        <v>-1.21959632508988</v>
      </c>
      <c r="AK245" s="22" t="n">
        <f aca="false">100*(AK111-AK110)</f>
        <v>-1.24178961861912</v>
      </c>
      <c r="AL245" s="22" t="n">
        <f aca="false">100*(AL111-AL110)</f>
        <v>-1.26487786905507</v>
      </c>
      <c r="AM245" s="22" t="n">
        <f aca="false">100*(AM111-AM110)</f>
        <v>-1.28874311819949</v>
      </c>
      <c r="AN245" s="22" t="n">
        <f aca="false">100*(AN111-AN110)</f>
        <v>-1.31327486304869</v>
      </c>
      <c r="AO245" s="22" t="n">
        <f aca="false">100*(AO111-AO110)</f>
        <v>-1.3383636426618</v>
      </c>
      <c r="AP245" s="22" t="n">
        <f aca="false">100*(AP111-AP110)</f>
        <v>-1.3638974777747</v>
      </c>
      <c r="AQ245" s="22" t="n">
        <f aca="false">100*(AQ111-AQ110)</f>
        <v>-1.38975780899742</v>
      </c>
      <c r="AR245" s="22" t="n">
        <f aca="false">100*(AR111-AR110)</f>
        <v>-1.41581835832911</v>
      </c>
      <c r="AS245" s="22" t="n">
        <f aca="false">100*(AS111-AS110)</f>
        <v>-1.4419458029699</v>
      </c>
      <c r="AT245" s="22" t="n">
        <f aca="false">100*(AT111-AT110)</f>
        <v>-1.46799983015171</v>
      </c>
      <c r="AU245" s="22" t="n">
        <f aca="false">100*(AU111-AU110)</f>
        <v>-1.49383509208412</v>
      </c>
      <c r="AV245" s="22" t="n">
        <f aca="false">AVERAGE(C245:AU245)</f>
        <v>-1.11962947275173</v>
      </c>
    </row>
    <row r="246" customFormat="false" ht="15" hidden="false" customHeight="false" outlineLevel="0" collapsed="false">
      <c r="A246" s="20" t="n">
        <f aca="false">A112</f>
        <v>-13</v>
      </c>
      <c r="B246" s="21" t="n">
        <f aca="false">B112</f>
        <v>43157</v>
      </c>
      <c r="C246" s="22" t="n">
        <f aca="false">100*(C112-C111)</f>
        <v>0.384783598663396</v>
      </c>
      <c r="D246" s="22" t="n">
        <f aca="false">100*(D112-D111)</f>
        <v>0.182243922742675</v>
      </c>
      <c r="E246" s="22" t="n">
        <f aca="false">100*(E112-E111)</f>
        <v>-0.0192816607792023</v>
      </c>
      <c r="F246" s="22" t="n">
        <f aca="false">100*(F112-F111)</f>
        <v>-0.207804596410388</v>
      </c>
      <c r="G246" s="22" t="n">
        <f aca="false">100*(G112-G111)</f>
        <v>-0.382072639825615</v>
      </c>
      <c r="H246" s="22" t="n">
        <f aca="false">100*(H112-H111)</f>
        <v>-0.542810924140991</v>
      </c>
      <c r="I246" s="22" t="n">
        <f aca="false">100*(I112-I111)</f>
        <v>-0.690558247042494</v>
      </c>
      <c r="J246" s="22" t="n">
        <f aca="false">100*(J112-J111)</f>
        <v>-0.825482318071202</v>
      </c>
      <c r="K246" s="22" t="n">
        <f aca="false">100*(K112-K111)</f>
        <v>-0.947299383794298</v>
      </c>
      <c r="L246" s="22" t="n">
        <f aca="false">100*(L112-L111)</f>
        <v>-1.0556245502398</v>
      </c>
      <c r="M246" s="22" t="n">
        <f aca="false">100*(M112-M111)</f>
        <v>-1.1501373812121</v>
      </c>
      <c r="N246" s="22" t="n">
        <f aca="false">100*(N112-N111)</f>
        <v>-1.2307141794879</v>
      </c>
      <c r="O246" s="22" t="n">
        <f aca="false">100*(O112-O111)</f>
        <v>-1.3576356657077</v>
      </c>
      <c r="P246" s="22" t="n">
        <f aca="false">100*(P112-P111)</f>
        <v>-1.33903867451</v>
      </c>
      <c r="Q246" s="22" t="n">
        <f aca="false">100*(Q112-Q111)</f>
        <v>-1.3220325301045</v>
      </c>
      <c r="R246" s="22" t="n">
        <f aca="false">100*(R112-R111)</f>
        <v>-1.30719562470611</v>
      </c>
      <c r="S246" s="22" t="n">
        <f aca="false">100*(S112-S111)</f>
        <v>-1.29493233178151</v>
      </c>
      <c r="T246" s="22" t="n">
        <f aca="false">100*(T112-T111)</f>
        <v>-1.28549888742351</v>
      </c>
      <c r="U246" s="22" t="n">
        <f aca="false">100*(U112-U111)</f>
        <v>-1.2790254244728</v>
      </c>
      <c r="V246" s="22" t="n">
        <f aca="false">100*(V112-V111)</f>
        <v>-1.2755302279216</v>
      </c>
      <c r="W246" s="22" t="n">
        <f aca="false">100*(W112-W111)</f>
        <v>-1.27492513961218</v>
      </c>
      <c r="X246" s="22" t="n">
        <f aca="false">100*(X112-X111)</f>
        <v>-1.27703008779172</v>
      </c>
      <c r="Y246" s="22" t="n">
        <f aca="false">100*(Y112-Y111)</f>
        <v>-1.2816093767015</v>
      </c>
      <c r="Z246" s="22" t="n">
        <f aca="false">100*(Z112-Z111)</f>
        <v>-1.2884036147806</v>
      </c>
      <c r="AA246" s="22" t="n">
        <f aca="false">100*(AA112-AA111)</f>
        <v>-1.29713498268049</v>
      </c>
      <c r="AB246" s="22" t="n">
        <f aca="false">100*(AB112-AB111)</f>
        <v>-1.3075094804446</v>
      </c>
      <c r="AC246" s="22" t="n">
        <f aca="false">100*(AC112-AC111)</f>
        <v>-1.31921894474092</v>
      </c>
      <c r="AD246" s="22" t="n">
        <f aca="false">100*(AD112-AD111)</f>
        <v>-1.33195228150012</v>
      </c>
      <c r="AE246" s="22" t="n">
        <f aca="false">100*(AE112-AE111)</f>
        <v>-1.3454276760215</v>
      </c>
      <c r="AF246" s="22" t="n">
        <f aca="false">100*(AF112-AF111)</f>
        <v>-1.3593977443914</v>
      </c>
      <c r="AG246" s="22" t="n">
        <f aca="false">100*(AG112-AG111)</f>
        <v>-1.37364368305397</v>
      </c>
      <c r="AH246" s="22" t="n">
        <f aca="false">100*(AH112-AH111)</f>
        <v>-1.38797272617359</v>
      </c>
      <c r="AI246" s="22" t="n">
        <f aca="false">100*(AI112-AI111)</f>
        <v>-1.40222139687802</v>
      </c>
      <c r="AJ246" s="22" t="n">
        <f aca="false">100*(AJ112-AJ111)</f>
        <v>-1.4162564015241</v>
      </c>
      <c r="AK246" s="22" t="n">
        <f aca="false">100*(AK112-AK111)</f>
        <v>-1.4299717247287</v>
      </c>
      <c r="AL246" s="22" t="n">
        <f aca="false">100*(AL112-AL111)</f>
        <v>-1.44328500056412</v>
      </c>
      <c r="AM246" s="22" t="n">
        <f aca="false">100*(AM112-AM111)</f>
        <v>-1.45613543905041</v>
      </c>
      <c r="AN246" s="22" t="n">
        <f aca="false">100*(AN112-AN111)</f>
        <v>-1.4684828485841</v>
      </c>
      <c r="AO246" s="22" t="n">
        <f aca="false">100*(AO112-AO111)</f>
        <v>-1.48030389083049</v>
      </c>
      <c r="AP246" s="22" t="n">
        <f aca="false">100*(AP112-AP111)</f>
        <v>-1.49158916646019</v>
      </c>
      <c r="AQ246" s="22" t="n">
        <f aca="false">100*(AQ112-AQ111)</f>
        <v>-1.5023385332777</v>
      </c>
      <c r="AR246" s="22" t="n">
        <f aca="false">100*(AR112-AR111)</f>
        <v>-1.51255834387949</v>
      </c>
      <c r="AS246" s="22" t="n">
        <f aca="false">100*(AS112-AS111)</f>
        <v>-1.5222608091938</v>
      </c>
      <c r="AT246" s="22" t="n">
        <f aca="false">100*(AT112-AT111)</f>
        <v>-1.5314628509534</v>
      </c>
      <c r="AU246" s="22" t="n">
        <f aca="false">100*(AU112-AU111)</f>
        <v>-1.5401838502642</v>
      </c>
      <c r="AV246" s="22" t="n">
        <f aca="false">AVERAGE(C246:AU246)</f>
        <v>-1.15526497156238</v>
      </c>
    </row>
    <row r="247" customFormat="false" ht="15" hidden="false" customHeight="false" outlineLevel="0" collapsed="false">
      <c r="A247" s="20" t="n">
        <f aca="false">A113</f>
        <v>-12</v>
      </c>
      <c r="B247" s="21" t="n">
        <f aca="false">B113</f>
        <v>43158</v>
      </c>
      <c r="C247" s="22" t="n">
        <f aca="false">100*(C113-C112)</f>
        <v>2.49510500180361</v>
      </c>
      <c r="D247" s="22" t="n">
        <f aca="false">100*(D113-D112)</f>
        <v>2.78803762256042</v>
      </c>
      <c r="E247" s="22" t="n">
        <f aca="false">100*(E113-E112)</f>
        <v>3.0539574162665</v>
      </c>
      <c r="F247" s="22" t="n">
        <f aca="false">100*(F113-F112)</f>
        <v>3.29241322944591</v>
      </c>
      <c r="G247" s="22" t="n">
        <f aca="false">100*(G113-G112)</f>
        <v>3.50358658061731</v>
      </c>
      <c r="H247" s="22" t="n">
        <f aca="false">100*(H113-H112)</f>
        <v>3.68930559337468</v>
      </c>
      <c r="I247" s="22" t="n">
        <f aca="false">100*(I113-I112)</f>
        <v>3.85219433880248</v>
      </c>
      <c r="J247" s="22" t="n">
        <f aca="false">100*(J113-J112)</f>
        <v>3.99466930339412</v>
      </c>
      <c r="K247" s="22" t="n">
        <f aca="false">100*(K113-K112)</f>
        <v>4.11857349075868</v>
      </c>
      <c r="L247" s="22" t="n">
        <f aca="false">100*(L113-L112)</f>
        <v>4.22491339821309</v>
      </c>
      <c r="M247" s="22" t="n">
        <f aca="false">100*(M113-M112)</f>
        <v>4.31417149254851</v>
      </c>
      <c r="N247" s="22" t="n">
        <f aca="false">100*(N113-N112)</f>
        <v>4.38649539819891</v>
      </c>
      <c r="O247" s="22" t="n">
        <f aca="false">100*(O113-O112)</f>
        <v>4.15891220750231</v>
      </c>
      <c r="P247" s="22" t="n">
        <f aca="false">100*(P113-P112)</f>
        <v>4.1175649163528</v>
      </c>
      <c r="Q247" s="22" t="n">
        <f aca="false">100*(Q113-Q112)</f>
        <v>4.08094553238092</v>
      </c>
      <c r="R247" s="22" t="n">
        <f aca="false">100*(R113-R112)</f>
        <v>4.04933246259851</v>
      </c>
      <c r="S247" s="22" t="n">
        <f aca="false">100*(S113-S112)</f>
        <v>4.02274537311</v>
      </c>
      <c r="T247" s="22" t="n">
        <f aca="false">100*(T113-T112)</f>
        <v>4.00098481412801</v>
      </c>
      <c r="U247" s="22" t="n">
        <f aca="false">100*(U113-U112)</f>
        <v>3.98366677526771</v>
      </c>
      <c r="V247" s="22" t="n">
        <f aca="false">100*(V113-V112)</f>
        <v>3.9702865936694</v>
      </c>
      <c r="W247" s="22" t="n">
        <f aca="false">100*(W113-W112)</f>
        <v>3.9602838074319</v>
      </c>
      <c r="X247" s="22" t="n">
        <f aca="false">100*(X113-X112)</f>
        <v>3.95305784262181</v>
      </c>
      <c r="Y247" s="22" t="n">
        <f aca="false">100*(Y113-Y112)</f>
        <v>3.94800531349908</v>
      </c>
      <c r="Z247" s="22" t="n">
        <f aca="false">100*(Z113-Z112)</f>
        <v>3.9445594331448</v>
      </c>
      <c r="AA247" s="22" t="n">
        <f aca="false">100*(AA113-AA112)</f>
        <v>3.94219003860841</v>
      </c>
      <c r="AB247" s="22" t="n">
        <f aca="false">100*(AB113-AB112)</f>
        <v>3.94039912477169</v>
      </c>
      <c r="AC247" s="22" t="n">
        <f aca="false">100*(AC113-AC112)</f>
        <v>3.93871706830919</v>
      </c>
      <c r="AD247" s="22" t="n">
        <f aca="false">100*(AD113-AD112)</f>
        <v>3.93670718965429</v>
      </c>
      <c r="AE247" s="22" t="n">
        <f aca="false">100*(AE113-AE112)</f>
        <v>3.93399131560699</v>
      </c>
      <c r="AF247" s="22" t="n">
        <f aca="false">100*(AF113-AF112)</f>
        <v>3.9302472794589</v>
      </c>
      <c r="AG247" s="22" t="n">
        <f aca="false">100*(AG113-AG112)</f>
        <v>3.92519206859709</v>
      </c>
      <c r="AH247" s="22" t="n">
        <f aca="false">100*(AH113-AH112)</f>
        <v>3.91857955870369</v>
      </c>
      <c r="AI247" s="22" t="n">
        <f aca="false">100*(AI113-AI112)</f>
        <v>3.91020459526392</v>
      </c>
      <c r="AJ247" s="22" t="n">
        <f aca="false">100*(AJ113-AJ112)</f>
        <v>3.89990037948498</v>
      </c>
      <c r="AK247" s="22" t="n">
        <f aca="false">100*(AK113-AK112)</f>
        <v>3.8875346469198</v>
      </c>
      <c r="AL247" s="22" t="n">
        <f aca="false">100*(AL113-AL112)</f>
        <v>3.87300922254998</v>
      </c>
      <c r="AM247" s="22" t="n">
        <f aca="false">100*(AM113-AM112)</f>
        <v>3.8562636824899</v>
      </c>
      <c r="AN247" s="22" t="n">
        <f aca="false">100*(AN113-AN112)</f>
        <v>3.83727376327538</v>
      </c>
      <c r="AO247" s="22" t="n">
        <f aca="false">100*(AO113-AO112)</f>
        <v>3.81605124949218</v>
      </c>
      <c r="AP247" s="22" t="n">
        <f aca="false">100*(AP113-AP112)</f>
        <v>3.7926432126336</v>
      </c>
      <c r="AQ247" s="22" t="n">
        <f aca="false">100*(AQ113-AQ112)</f>
        <v>3.76713397556201</v>
      </c>
      <c r="AR247" s="22" t="n">
        <f aca="false">100*(AR113-AR112)</f>
        <v>3.73964487689149</v>
      </c>
      <c r="AS247" s="22" t="n">
        <f aca="false">100*(AS113-AS112)</f>
        <v>3.71033122844531</v>
      </c>
      <c r="AT247" s="22" t="n">
        <f aca="false">100*(AT113-AT112)</f>
        <v>3.67938206630341</v>
      </c>
      <c r="AU247" s="22" t="n">
        <f aca="false">100*(AU113-AU112)</f>
        <v>3.64702300442081</v>
      </c>
      <c r="AV247" s="22" t="n">
        <f aca="false">AVERAGE(C247:AU247)</f>
        <v>3.83969305522521</v>
      </c>
    </row>
    <row r="248" customFormat="false" ht="15" hidden="false" customHeight="false" outlineLevel="0" collapsed="false">
      <c r="A248" s="20" t="n">
        <f aca="false">A114</f>
        <v>-11</v>
      </c>
      <c r="B248" s="21" t="n">
        <f aca="false">B114</f>
        <v>43159</v>
      </c>
      <c r="C248" s="22" t="n">
        <f aca="false">100*(C114-C113)</f>
        <v>-3.27756796081112</v>
      </c>
      <c r="D248" s="22" t="n">
        <f aca="false">100*(D114-D113)</f>
        <v>-3.51059905147094</v>
      </c>
      <c r="E248" s="22" t="n">
        <f aca="false">100*(E114-E113)</f>
        <v>-3.71136872586985</v>
      </c>
      <c r="F248" s="22" t="n">
        <f aca="false">100*(F114-F113)</f>
        <v>-3.88279796066762</v>
      </c>
      <c r="G248" s="22" t="n">
        <f aca="false">100*(G114-G113)</f>
        <v>-4.02897286658277</v>
      </c>
      <c r="H248" s="22" t="n">
        <f aca="false">100*(H114-H113)</f>
        <v>-4.15318675686129</v>
      </c>
      <c r="I248" s="22" t="n">
        <f aca="false">100*(I114-I113)</f>
        <v>-4.25802348424109</v>
      </c>
      <c r="J248" s="22" t="n">
        <f aca="false">100*(J114-J113)</f>
        <v>-4.34559323201542</v>
      </c>
      <c r="K248" s="22" t="n">
        <f aca="false">100*(K114-K113)</f>
        <v>-4.41745874198389</v>
      </c>
      <c r="L248" s="22" t="n">
        <f aca="false">100*(L114-L113)</f>
        <v>-4.47494065308109</v>
      </c>
      <c r="M248" s="22" t="n">
        <f aca="false">100*(M114-M113)</f>
        <v>-4.5192556131322</v>
      </c>
      <c r="N248" s="22" t="n">
        <f aca="false">100*(N114-N113)</f>
        <v>-4.55166852050331</v>
      </c>
      <c r="O248" s="22" t="n">
        <f aca="false">100*(O114-O113)</f>
        <v>-4.44390086085951</v>
      </c>
      <c r="P248" s="22" t="n">
        <f aca="false">100*(P114-P113)</f>
        <v>-4.4214990364968</v>
      </c>
      <c r="Q248" s="22" t="n">
        <f aca="false">100*(Q114-Q113)</f>
        <v>-4.3991473893483</v>
      </c>
      <c r="R248" s="22" t="n">
        <f aca="false">100*(R114-R113)</f>
        <v>-4.37710484714671</v>
      </c>
      <c r="S248" s="22" t="n">
        <f aca="false">100*(S114-S113)</f>
        <v>-4.35560391484311</v>
      </c>
      <c r="T248" s="22" t="n">
        <f aca="false">100*(T114-T113)</f>
        <v>-4.33485445283621</v>
      </c>
      <c r="U248" s="22" t="n">
        <f aca="false">100*(U114-U113)</f>
        <v>-4.31504692821891</v>
      </c>
      <c r="V248" s="22" t="n">
        <f aca="false">100*(V114-V113)</f>
        <v>-4.296347832078</v>
      </c>
      <c r="W248" s="22" t="n">
        <f aca="false">100*(W114-W113)</f>
        <v>-4.27888966386449</v>
      </c>
      <c r="X248" s="22" t="n">
        <f aca="false">100*(X114-X113)</f>
        <v>-4.2627743048915</v>
      </c>
      <c r="Y248" s="22" t="n">
        <f aca="false">100*(Y114-Y113)</f>
        <v>-4.24808545614388</v>
      </c>
      <c r="Z248" s="22" t="n">
        <f aca="false">100*(Z114-Z113)</f>
        <v>-4.2348977412308</v>
      </c>
      <c r="AA248" s="22" t="n">
        <f aca="false">100*(AA114-AA113)</f>
        <v>-4.22327820007671</v>
      </c>
      <c r="AB248" s="22" t="n">
        <f aca="false">100*(AB114-AB113)</f>
        <v>-4.21328721367418</v>
      </c>
      <c r="AC248" s="22" t="n">
        <f aca="false">100*(AC114-AC113)</f>
        <v>-4.20497933871939</v>
      </c>
      <c r="AD248" s="22" t="n">
        <f aca="false">100*(AD114-AD113)</f>
        <v>-4.19840724164549</v>
      </c>
      <c r="AE248" s="22" t="n">
        <f aca="false">100*(AE114-AE113)</f>
        <v>-4.19363093610008</v>
      </c>
      <c r="AF248" s="22" t="n">
        <f aca="false">100*(AF114-AF113)</f>
        <v>-4.1907159137728</v>
      </c>
      <c r="AG248" s="22" t="n">
        <f aca="false">100*(AG114-AG113)</f>
        <v>-4.18972957906589</v>
      </c>
      <c r="AH248" s="22" t="n">
        <f aca="false">100*(AH114-AH113)</f>
        <v>-4.19073692988889</v>
      </c>
      <c r="AI248" s="22" t="n">
        <f aca="false">100*(AI114-AI113)</f>
        <v>-4.19379081543951</v>
      </c>
      <c r="AJ248" s="22" t="n">
        <f aca="false">100*(AJ114-AJ113)</f>
        <v>-4.19893087778798</v>
      </c>
      <c r="AK248" s="22" t="n">
        <f aca="false">100*(AK114-AK113)</f>
        <v>-4.2061848391914</v>
      </c>
      <c r="AL248" s="22" t="n">
        <f aca="false">100*(AL114-AL113)</f>
        <v>-4.21556628839297</v>
      </c>
      <c r="AM248" s="22" t="n">
        <f aca="false">100*(AM114-AM113)</f>
        <v>-4.22706774605399</v>
      </c>
      <c r="AN248" s="22" t="n">
        <f aca="false">100*(AN114-AN113)</f>
        <v>-4.24066034376018</v>
      </c>
      <c r="AO248" s="22" t="n">
        <f aca="false">100*(AO114-AO113)</f>
        <v>-4.25629356218009</v>
      </c>
      <c r="AP248" s="22" t="n">
        <f aca="false">100*(AP114-AP113)</f>
        <v>-4.2738954105201</v>
      </c>
      <c r="AQ248" s="22" t="n">
        <f aca="false">100*(AQ114-AQ113)</f>
        <v>-4.29336949229631</v>
      </c>
      <c r="AR248" s="22" t="n">
        <f aca="false">100*(AR114-AR113)</f>
        <v>-4.31459434594781</v>
      </c>
      <c r="AS248" s="22" t="n">
        <f aca="false">100*(AS114-AS113)</f>
        <v>-4.33742547935729</v>
      </c>
      <c r="AT248" s="22" t="n">
        <f aca="false">100*(AT114-AT113)</f>
        <v>-4.3616954208205</v>
      </c>
      <c r="AU248" s="22" t="n">
        <f aca="false">100*(AU114-AU113)</f>
        <v>-4.3872114401287</v>
      </c>
      <c r="AV248" s="22" t="n">
        <f aca="false">AVERAGE(C248:AU248)</f>
        <v>-4.22691194244442</v>
      </c>
    </row>
    <row r="249" customFormat="false" ht="15" hidden="false" customHeight="false" outlineLevel="0" collapsed="false">
      <c r="A249" s="20" t="n">
        <f aca="false">A115</f>
        <v>-10</v>
      </c>
      <c r="B249" s="21" t="n">
        <f aca="false">B115</f>
        <v>43160</v>
      </c>
      <c r="C249" s="22" t="n">
        <f aca="false">100*(C115-C114)</f>
        <v>-1.73387826101817</v>
      </c>
      <c r="D249" s="22" t="n">
        <f aca="false">100*(D115-D114)</f>
        <v>-2.04950127879484</v>
      </c>
      <c r="E249" s="22" t="n">
        <f aca="false">100*(E115-E114)</f>
        <v>-2.36690085276265</v>
      </c>
      <c r="F249" s="22" t="n">
        <f aca="false">100*(F115-F114)</f>
        <v>-2.66975838300543</v>
      </c>
      <c r="G249" s="22" t="n">
        <f aca="false">100*(G115-G114)</f>
        <v>-2.9473333984351</v>
      </c>
      <c r="H249" s="22" t="n">
        <f aca="false">100*(H115-H114)</f>
        <v>-3.19357601601812</v>
      </c>
      <c r="I249" s="22" t="n">
        <f aca="false">100*(I115-I114)</f>
        <v>-3.40560311643829</v>
      </c>
      <c r="J249" s="22" t="n">
        <f aca="false">100*(J115-J114)</f>
        <v>-3.58252919403719</v>
      </c>
      <c r="K249" s="22" t="n">
        <f aca="false">100*(K115-K114)</f>
        <v>-3.7245891570346</v>
      </c>
      <c r="L249" s="22" t="n">
        <f aca="false">100*(L115-L114)</f>
        <v>-3.83287228879949</v>
      </c>
      <c r="M249" s="22" t="n">
        <f aca="false">100*(M115-M114)</f>
        <v>-3.90921098580661</v>
      </c>
      <c r="N249" s="22" t="n">
        <f aca="false">100*(N115-N114)</f>
        <v>-3.95613920063189</v>
      </c>
      <c r="O249" s="22" t="n">
        <f aca="false">100*(O115-O114)</f>
        <v>-3.40815421048071</v>
      </c>
      <c r="P249" s="22" t="n">
        <f aca="false">100*(P115-P114)</f>
        <v>-3.35737086132228</v>
      </c>
      <c r="Q249" s="22" t="n">
        <f aca="false">100*(Q115-Q114)</f>
        <v>-3.3097289131655</v>
      </c>
      <c r="R249" s="22" t="n">
        <f aca="false">100*(R115-R114)</f>
        <v>-3.2652822619422</v>
      </c>
      <c r="S249" s="22" t="n">
        <f aca="false">100*(S115-S114)</f>
        <v>-3.22401068585469</v>
      </c>
      <c r="T249" s="22" t="n">
        <f aca="false">100*(T115-T114)</f>
        <v>-3.1858309781263</v>
      </c>
      <c r="U249" s="22" t="n">
        <f aca="false">100*(U115-U114)</f>
        <v>-3.15060789817849</v>
      </c>
      <c r="V249" s="22" t="n">
        <f aca="false">100*(V115-V114)</f>
        <v>-3.11817681354101</v>
      </c>
      <c r="W249" s="22" t="n">
        <f aca="false">100*(W115-W114)</f>
        <v>-3.08835956065721</v>
      </c>
      <c r="X249" s="22" t="n">
        <f aca="false">100*(X115-X114)</f>
        <v>-3.06096722891929</v>
      </c>
      <c r="Y249" s="22" t="n">
        <f aca="false">100*(Y115-Y114)</f>
        <v>-3.0358034076583</v>
      </c>
      <c r="Z249" s="22" t="n">
        <f aca="false">100*(Z115-Z114)</f>
        <v>-3.0126645069918</v>
      </c>
      <c r="AA249" s="22" t="n">
        <f aca="false">100*(AA115-AA114)</f>
        <v>-2.99134022808649</v>
      </c>
      <c r="AB249" s="22" t="n">
        <f aca="false">100*(AB115-AB114)</f>
        <v>-2.9716143812464</v>
      </c>
      <c r="AC249" s="22" t="n">
        <f aca="false">100*(AC115-AC114)</f>
        <v>-2.9532656146291</v>
      </c>
      <c r="AD249" s="22" t="n">
        <f aca="false">100*(AD115-AD114)</f>
        <v>-2.93606943696159</v>
      </c>
      <c r="AE249" s="22" t="n">
        <f aca="false">100*(AE115-AE114)</f>
        <v>-2.9198011289657</v>
      </c>
      <c r="AF249" s="22" t="n">
        <f aca="false">100*(AF115-AF114)</f>
        <v>-2.9042331720379</v>
      </c>
      <c r="AG249" s="22" t="n">
        <f aca="false">100*(AG115-AG114)</f>
        <v>-2.8891337611421</v>
      </c>
      <c r="AH249" s="22" t="n">
        <f aca="false">100*(AH115-AH114)</f>
        <v>-2.87426940450659</v>
      </c>
      <c r="AI249" s="22" t="n">
        <f aca="false">100*(AI115-AI114)</f>
        <v>-2.85941665816429</v>
      </c>
      <c r="AJ249" s="22" t="n">
        <f aca="false">100*(AJ115-AJ114)</f>
        <v>-2.84436701681861</v>
      </c>
      <c r="AK249" s="22" t="n">
        <f aca="false">100*(AK115-AK114)</f>
        <v>-2.8289255861361</v>
      </c>
      <c r="AL249" s="22" t="n">
        <f aca="false">100*(AL115-AL114)</f>
        <v>-2.81291221304512</v>
      </c>
      <c r="AM249" s="22" t="n">
        <f aca="false">100*(AM115-AM114)</f>
        <v>-2.79617260622491</v>
      </c>
      <c r="AN249" s="22" t="n">
        <f aca="false">100*(AN115-AN114)</f>
        <v>-2.77858217917821</v>
      </c>
      <c r="AO249" s="22" t="n">
        <f aca="false">100*(AO115-AO114)</f>
        <v>-2.76004489617918</v>
      </c>
      <c r="AP249" s="22" t="n">
        <f aca="false">100*(AP115-AP114)</f>
        <v>-2.74049235470251</v>
      </c>
      <c r="AQ249" s="22" t="n">
        <f aca="false">100*(AQ115-AQ114)</f>
        <v>-2.7198834689435</v>
      </c>
      <c r="AR249" s="22" t="n">
        <f aca="false">100*(AR115-AR114)</f>
        <v>-2.69820400937919</v>
      </c>
      <c r="AS249" s="22" t="n">
        <f aca="false">100*(AS115-AS114)</f>
        <v>-2.67546443959401</v>
      </c>
      <c r="AT249" s="22" t="n">
        <f aca="false">100*(AT115-AT114)</f>
        <v>-2.65169882697931</v>
      </c>
      <c r="AU249" s="22" t="n">
        <f aca="false">100*(AU115-AU114)</f>
        <v>-2.6269665329367</v>
      </c>
      <c r="AV249" s="22" t="n">
        <f aca="false">AVERAGE(C249:AU249)</f>
        <v>-2.99603794167728</v>
      </c>
    </row>
    <row r="250" customFormat="false" ht="15" hidden="false" customHeight="false" outlineLevel="0" collapsed="false">
      <c r="A250" s="20" t="n">
        <f aca="false">A116</f>
        <v>-9</v>
      </c>
      <c r="B250" s="21" t="n">
        <f aca="false">B116</f>
        <v>43161</v>
      </c>
      <c r="C250" s="22" t="n">
        <f aca="false">100*(C116-C115)</f>
        <v>0.623379651383293</v>
      </c>
      <c r="D250" s="22" t="n">
        <f aca="false">100*(D116-D115)</f>
        <v>0.256259702514861</v>
      </c>
      <c r="E250" s="22" t="n">
        <f aca="false">100*(E116-E115)</f>
        <v>-0.025150092795756</v>
      </c>
      <c r="F250" s="22" t="n">
        <f aca="false">100*(F116-F115)</f>
        <v>-0.238787164008458</v>
      </c>
      <c r="G250" s="22" t="n">
        <f aca="false">100*(G116-G115)</f>
        <v>-0.397594405737889</v>
      </c>
      <c r="H250" s="22" t="n">
        <f aca="false">100*(H116-H115)</f>
        <v>-0.512269853720748</v>
      </c>
      <c r="I250" s="22" t="n">
        <f aca="false">100*(I116-I115)</f>
        <v>-0.592218884157214</v>
      </c>
      <c r="J250" s="22" t="n">
        <f aca="false">100*(J116-J115)</f>
        <v>-0.645746067537001</v>
      </c>
      <c r="K250" s="22" t="n">
        <f aca="false">100*(K116-K115)</f>
        <v>-0.680024648671296</v>
      </c>
      <c r="L250" s="22" t="n">
        <f aca="false">100*(L116-L115)</f>
        <v>-0.700936245260508</v>
      </c>
      <c r="M250" s="22" t="n">
        <f aca="false">100*(M116-M115)</f>
        <v>-0.713292132076204</v>
      </c>
      <c r="N250" s="22" t="n">
        <f aca="false">100*(N116-N115)</f>
        <v>-0.720884699910118</v>
      </c>
      <c r="O250" s="22" t="n">
        <f aca="false">100*(O116-O115)</f>
        <v>-0.846566030997398</v>
      </c>
      <c r="P250" s="22" t="n">
        <f aca="false">100*(P116-P115)</f>
        <v>-0.847219345615802</v>
      </c>
      <c r="Q250" s="22" t="n">
        <f aca="false">100*(Q116-Q115)</f>
        <v>-0.843995446438206</v>
      </c>
      <c r="R250" s="22" t="n">
        <f aca="false">100*(R116-R115)</f>
        <v>-0.836875463452302</v>
      </c>
      <c r="S250" s="22" t="n">
        <f aca="false">100*(S116-S115)</f>
        <v>-0.825963978405908</v>
      </c>
      <c r="T250" s="22" t="n">
        <f aca="false">100*(T116-T115)</f>
        <v>-0.8114698912012</v>
      </c>
      <c r="U250" s="22" t="n">
        <f aca="false">100*(U116-U115)</f>
        <v>-0.793692374665511</v>
      </c>
      <c r="V250" s="22" t="n">
        <f aca="false">100*(V116-V115)</f>
        <v>-0.773004747209094</v>
      </c>
      <c r="W250" s="22" t="n">
        <f aca="false">100*(W116-W115)</f>
        <v>-0.749825545450511</v>
      </c>
      <c r="X250" s="22" t="n">
        <f aca="false">100*(X116-X115)</f>
        <v>-0.724607275698608</v>
      </c>
      <c r="Y250" s="22" t="n">
        <f aca="false">100*(Y116-Y115)</f>
        <v>-0.697807354366709</v>
      </c>
      <c r="Z250" s="22" t="n">
        <f aca="false">100*(Z116-Z115)</f>
        <v>-0.669853583807001</v>
      </c>
      <c r="AA250" s="22" t="n">
        <f aca="false">100*(AA116-AA115)</f>
        <v>-0.641143447164394</v>
      </c>
      <c r="AB250" s="22" t="n">
        <f aca="false">100*(AB116-AB115)</f>
        <v>-0.612047805711602</v>
      </c>
      <c r="AC250" s="22" t="n">
        <f aca="false">100*(AC116-AC115)</f>
        <v>-0.582914046935601</v>
      </c>
      <c r="AD250" s="22" t="n">
        <f aca="false">100*(AD116-AD115)</f>
        <v>-0.554062248866005</v>
      </c>
      <c r="AE250" s="22" t="n">
        <f aca="false">100*(AE116-AE115)</f>
        <v>-0.5257606238114</v>
      </c>
      <c r="AF250" s="22" t="n">
        <f aca="false">100*(AF116-AF115)</f>
        <v>-0.498221593889903</v>
      </c>
      <c r="AG250" s="22" t="n">
        <f aca="false">100*(AG116-AG115)</f>
        <v>-0.471614642969209</v>
      </c>
      <c r="AH250" s="22" t="n">
        <f aca="false">100*(AH116-AH115)</f>
        <v>-0.446068424175805</v>
      </c>
      <c r="AI250" s="22" t="n">
        <f aca="false">100*(AI116-AI115)</f>
        <v>-0.421674249903115</v>
      </c>
      <c r="AJ250" s="22" t="n">
        <f aca="false">100*(AJ116-AJ115)</f>
        <v>-0.3984940202306</v>
      </c>
      <c r="AK250" s="22" t="n">
        <f aca="false">100*(AK116-AK115)</f>
        <v>-0.376563296154298</v>
      </c>
      <c r="AL250" s="22" t="n">
        <f aca="false">100*(AL116-AL115)</f>
        <v>-0.355890629603795</v>
      </c>
      <c r="AM250" s="22" t="n">
        <f aca="false">100*(AM116-AM115)</f>
        <v>-0.336460070892697</v>
      </c>
      <c r="AN250" s="22" t="n">
        <f aca="false">100*(AN116-AN115)</f>
        <v>-0.318236793758997</v>
      </c>
      <c r="AO250" s="22" t="n">
        <f aca="false">100*(AO116-AO115)</f>
        <v>-0.301167955820714</v>
      </c>
      <c r="AP250" s="22" t="n">
        <f aca="false">100*(AP116-AP115)</f>
        <v>-0.285185722509196</v>
      </c>
      <c r="AQ250" s="22" t="n">
        <f aca="false">100*(AQ116-AQ115)</f>
        <v>-0.270214319307893</v>
      </c>
      <c r="AR250" s="22" t="n">
        <f aca="false">100*(AR116-AR115)</f>
        <v>-0.256175946026005</v>
      </c>
      <c r="AS250" s="22" t="n">
        <f aca="false">100*(AS116-AS115)</f>
        <v>-0.242991349068999</v>
      </c>
      <c r="AT250" s="22" t="n">
        <f aca="false">100*(AT116-AT115)</f>
        <v>-0.230582230687793</v>
      </c>
      <c r="AU250" s="22" t="n">
        <f aca="false">100*(AU116-AU115)</f>
        <v>-0.218881616062605</v>
      </c>
      <c r="AV250" s="22" t="n">
        <f aca="false">AVERAGE(C250:AU250)</f>
        <v>-0.491388820240798</v>
      </c>
    </row>
    <row r="251" customFormat="false" ht="15" hidden="false" customHeight="false" outlineLevel="0" collapsed="false">
      <c r="A251" s="20" t="n">
        <f aca="false">A117</f>
        <v>-8</v>
      </c>
      <c r="B251" s="21" t="n">
        <f aca="false">B117</f>
        <v>43164</v>
      </c>
      <c r="C251" s="22" t="n">
        <f aca="false">100*(C117-C116)</f>
        <v>2.26041712119408</v>
      </c>
      <c r="D251" s="22" t="n">
        <f aca="false">100*(D117-D116)</f>
        <v>2.42416476272653</v>
      </c>
      <c r="E251" s="22" t="n">
        <f aca="false">100*(E117-E116)</f>
        <v>2.51714261448551</v>
      </c>
      <c r="F251" s="22" t="n">
        <f aca="false">100*(F117-F116)</f>
        <v>2.57931893986251</v>
      </c>
      <c r="G251" s="22" t="n">
        <f aca="false">100*(G117-G116)</f>
        <v>2.63128318406373</v>
      </c>
      <c r="H251" s="22" t="n">
        <f aca="false">100*(H117-H116)</f>
        <v>2.68257802113886</v>
      </c>
      <c r="I251" s="22" t="n">
        <f aca="false">100*(I117-I116)</f>
        <v>2.73709139301011</v>
      </c>
      <c r="J251" s="22" t="n">
        <f aca="false">100*(J117-J116)</f>
        <v>2.79581839480481</v>
      </c>
      <c r="K251" s="22" t="n">
        <f aca="false">100*(K117-K116)</f>
        <v>2.85800407883079</v>
      </c>
      <c r="L251" s="22" t="n">
        <f aca="false">100*(L117-L116)</f>
        <v>2.92199789127701</v>
      </c>
      <c r="M251" s="22" t="n">
        <f aca="false">100*(M117-M116)</f>
        <v>2.98565256761081</v>
      </c>
      <c r="N251" s="22" t="n">
        <f aca="false">100*(N117-N116)</f>
        <v>3.04668371234251</v>
      </c>
      <c r="O251" s="22" t="n">
        <f aca="false">100*(O117-O116)</f>
        <v>3.16015984776781</v>
      </c>
      <c r="P251" s="22" t="n">
        <f aca="false">100*(P117-P116)</f>
        <v>3.13767505538769</v>
      </c>
      <c r="Q251" s="22" t="n">
        <f aca="false">100*(Q117-Q116)</f>
        <v>3.1172825045368</v>
      </c>
      <c r="R251" s="22" t="n">
        <f aca="false">100*(R117-R116)</f>
        <v>3.09971828534792</v>
      </c>
      <c r="S251" s="22" t="n">
        <f aca="false">100*(S117-S116)</f>
        <v>3.08547623438</v>
      </c>
      <c r="T251" s="22" t="n">
        <f aca="false">100*(T117-T116)</f>
        <v>3.07484454713511</v>
      </c>
      <c r="U251" s="22" t="n">
        <f aca="false">100*(U117-U116)</f>
        <v>3.0679345220691</v>
      </c>
      <c r="V251" s="22" t="n">
        <f aca="false">100*(V117-V116)</f>
        <v>3.06469435334888</v>
      </c>
      <c r="W251" s="22" t="n">
        <f aca="false">100*(W117-W116)</f>
        <v>3.0649246271744</v>
      </c>
      <c r="X251" s="22" t="n">
        <f aca="false">100*(X117-X116)</f>
        <v>3.0683009812394</v>
      </c>
      <c r="Y251" s="22" t="n">
        <f aca="false">100*(Y117-Y116)</f>
        <v>3.07442619612079</v>
      </c>
      <c r="Z251" s="22" t="n">
        <f aca="false">100*(Z117-Z116)</f>
        <v>3.08287909922049</v>
      </c>
      <c r="AA251" s="22" t="n">
        <f aca="false">100*(AA117-AA116)</f>
        <v>3.09322170399939</v>
      </c>
      <c r="AB251" s="22" t="n">
        <f aca="false">100*(AB117-AB116)</f>
        <v>3.10500126047779</v>
      </c>
      <c r="AC251" s="22" t="n">
        <f aca="false">100*(AC117-AC116)</f>
        <v>3.11775215447669</v>
      </c>
      <c r="AD251" s="22" t="n">
        <f aca="false">100*(AD117-AD116)</f>
        <v>3.131012021299</v>
      </c>
      <c r="AE251" s="22" t="n">
        <f aca="false">100*(AE117-AE116)</f>
        <v>3.14437002136221</v>
      </c>
      <c r="AF251" s="22" t="n">
        <f aca="false">100*(AF117-AF116)</f>
        <v>3.1574724908215</v>
      </c>
      <c r="AG251" s="22" t="n">
        <f aca="false">100*(AG117-AG116)</f>
        <v>3.1700085713587</v>
      </c>
      <c r="AH251" s="22" t="n">
        <f aca="false">100*(AH117-AH116)</f>
        <v>3.1817080462281</v>
      </c>
      <c r="AI251" s="22" t="n">
        <f aca="false">100*(AI117-AI116)</f>
        <v>3.19234438389151</v>
      </c>
      <c r="AJ251" s="22" t="n">
        <f aca="false">100*(AJ117-AJ116)</f>
        <v>3.2017314571172</v>
      </c>
      <c r="AK251" s="22" t="n">
        <f aca="false">100*(AK117-AK116)</f>
        <v>3.2097195111604</v>
      </c>
      <c r="AL251" s="22" t="n">
        <f aca="false">100*(AL117-AL116)</f>
        <v>3.21619303687</v>
      </c>
      <c r="AM251" s="22" t="n">
        <f aca="false">100*(AM117-AM116)</f>
        <v>3.22106861338281</v>
      </c>
      <c r="AN251" s="22" t="n">
        <f aca="false">100*(AN117-AN116)</f>
        <v>3.22429146712981</v>
      </c>
      <c r="AO251" s="22" t="n">
        <f aca="false">100*(AO117-AO116)</f>
        <v>3.22583468220541</v>
      </c>
      <c r="AP251" s="22" t="n">
        <f aca="false">100*(AP117-AP116)</f>
        <v>3.22569740499981</v>
      </c>
      <c r="AQ251" s="22" t="n">
        <f aca="false">100*(AQ117-AQ116)</f>
        <v>3.223902120184</v>
      </c>
      <c r="AR251" s="22" t="n">
        <f aca="false">100*(AR117-AR116)</f>
        <v>3.22049187723841</v>
      </c>
      <c r="AS251" s="22" t="n">
        <f aca="false">100*(AS117-AS116)</f>
        <v>3.215528450134</v>
      </c>
      <c r="AT251" s="22" t="n">
        <f aca="false">100*(AT117-AT116)</f>
        <v>3.2090908778293</v>
      </c>
      <c r="AU251" s="22" t="n">
        <f aca="false">100*(AU117-AU116)</f>
        <v>3.2012728578906</v>
      </c>
      <c r="AV251" s="22" t="n">
        <f aca="false">AVERAGE(C251:AU251)</f>
        <v>3.03169293211405</v>
      </c>
    </row>
    <row r="252" customFormat="false" ht="15" hidden="false" customHeight="false" outlineLevel="0" collapsed="false">
      <c r="A252" s="20" t="n">
        <f aca="false">A118</f>
        <v>-7</v>
      </c>
      <c r="B252" s="21" t="n">
        <f aca="false">B118</f>
        <v>43165</v>
      </c>
      <c r="C252" s="22" t="n">
        <f aca="false">100*(C118-C117)</f>
        <v>0.499788385147892</v>
      </c>
      <c r="D252" s="22" t="n">
        <f aca="false">100*(D118-D117)</f>
        <v>1.24013675238903</v>
      </c>
      <c r="E252" s="22" t="n">
        <f aca="false">100*(E118-E117)</f>
        <v>1.74682380537872</v>
      </c>
      <c r="F252" s="22" t="n">
        <f aca="false">100*(F118-F117)</f>
        <v>2.09364771498197</v>
      </c>
      <c r="G252" s="22" t="n">
        <f aca="false">100*(G118-G117)</f>
        <v>2.33190557993349</v>
      </c>
      <c r="H252" s="22" t="n">
        <f aca="false">100*(H118-H117)</f>
        <v>2.49555768024812</v>
      </c>
      <c r="I252" s="22" t="n">
        <f aca="false">100*(I118-I117)</f>
        <v>2.607856053749</v>
      </c>
      <c r="J252" s="22" t="n">
        <f aca="false">100*(J118-J117)</f>
        <v>2.6852876791829</v>
      </c>
      <c r="K252" s="22" t="n">
        <f aca="false">100*(K118-K117)</f>
        <v>2.7396770475594</v>
      </c>
      <c r="L252" s="22" t="n">
        <f aca="false">100*(L118-L117)</f>
        <v>2.779593583663</v>
      </c>
      <c r="M252" s="22" t="n">
        <f aca="false">100*(M118-M117)</f>
        <v>2.8110693147974</v>
      </c>
      <c r="N252" s="22" t="n">
        <f aca="false">100*(N118-N117)</f>
        <v>2.83815670836001</v>
      </c>
      <c r="O252" s="22" t="n">
        <f aca="false">100*(O118-O117)</f>
        <v>2.9687557812877</v>
      </c>
      <c r="P252" s="22" t="n">
        <f aca="false">100*(P118-P117)</f>
        <v>2.9398900791046</v>
      </c>
      <c r="Q252" s="22" t="n">
        <f aca="false">100*(Q118-Q117)</f>
        <v>2.9051294109667</v>
      </c>
      <c r="R252" s="22" t="n">
        <f aca="false">100*(R118-R117)</f>
        <v>2.86534426950429</v>
      </c>
      <c r="S252" s="22" t="n">
        <f aca="false">100*(S118-S117)</f>
        <v>2.8214596043201</v>
      </c>
      <c r="T252" s="22" t="n">
        <f aca="false">100*(T118-T117)</f>
        <v>2.7744461637643</v>
      </c>
      <c r="U252" s="22" t="n">
        <f aca="false">100*(U118-U117)</f>
        <v>2.7253098477199</v>
      </c>
      <c r="V252" s="22" t="n">
        <f aca="false">100*(V118-V117)</f>
        <v>2.67504746539491</v>
      </c>
      <c r="W252" s="22" t="n">
        <f aca="false">100*(W118-W117)</f>
        <v>2.6246122647017</v>
      </c>
      <c r="X252" s="22" t="n">
        <f aca="false">100*(X118-X117)</f>
        <v>2.5749125908858</v>
      </c>
      <c r="Y252" s="22" t="n">
        <f aca="false">100*(Y118-Y117)</f>
        <v>2.52676879696701</v>
      </c>
      <c r="Z252" s="22" t="n">
        <f aca="false">100*(Z118-Z117)</f>
        <v>2.48087561612891</v>
      </c>
      <c r="AA252" s="22" t="n">
        <f aca="false">100*(AA118-AA117)</f>
        <v>2.43781339854889</v>
      </c>
      <c r="AB252" s="22" t="n">
        <f aca="false">100*(AB118-AB117)</f>
        <v>2.39806206055091</v>
      </c>
      <c r="AC252" s="22" t="n">
        <f aca="false">100*(AC118-AC117)</f>
        <v>2.36201285336222</v>
      </c>
      <c r="AD252" s="22" t="n">
        <f aca="false">100*(AD118-AD117)</f>
        <v>2.32996239198551</v>
      </c>
      <c r="AE252" s="22" t="n">
        <f aca="false">100*(AE118-AE117)</f>
        <v>2.30207361647981</v>
      </c>
      <c r="AF252" s="22" t="n">
        <f aca="false">100*(AF118-AF117)</f>
        <v>2.27838786302328</v>
      </c>
      <c r="AG252" s="22" t="n">
        <f aca="false">100*(AG118-AG117)</f>
        <v>2.258852094311</v>
      </c>
      <c r="AH252" s="22" t="n">
        <f aca="false">100*(AH118-AH117)</f>
        <v>2.2433346706654</v>
      </c>
      <c r="AI252" s="22" t="n">
        <f aca="false">100*(AI118-AI117)</f>
        <v>2.23164407141852</v>
      </c>
      <c r="AJ252" s="22" t="n">
        <f aca="false">100*(AJ118-AJ117)</f>
        <v>2.22353728760181</v>
      </c>
      <c r="AK252" s="22" t="n">
        <f aca="false">100*(AK118-AK117)</f>
        <v>2.21872504611198</v>
      </c>
      <c r="AL252" s="22" t="n">
        <f aca="false">100*(AL118-AL117)</f>
        <v>2.21688243530329</v>
      </c>
      <c r="AM252" s="22" t="n">
        <f aca="false">100*(AM118-AM117)</f>
        <v>2.2176687393044</v>
      </c>
      <c r="AN252" s="22" t="n">
        <f aca="false">100*(AN118-AN117)</f>
        <v>2.2207347841277</v>
      </c>
      <c r="AO252" s="22" t="n">
        <f aca="false">100*(AO118-AO117)</f>
        <v>2.22573030147399</v>
      </c>
      <c r="AP252" s="22" t="n">
        <f aca="false">100*(AP118-AP117)</f>
        <v>2.23230955166629</v>
      </c>
      <c r="AQ252" s="22" t="n">
        <f aca="false">100*(AQ118-AQ117)</f>
        <v>2.240142719993</v>
      </c>
      <c r="AR252" s="22" t="n">
        <f aca="false">100*(AR118-AR117)</f>
        <v>2.2489215126573</v>
      </c>
      <c r="AS252" s="22" t="n">
        <f aca="false">100*(AS118-AS117)</f>
        <v>2.25835762878521</v>
      </c>
      <c r="AT252" s="22" t="n">
        <f aca="false">100*(AT118-AT117)</f>
        <v>2.2681833072191</v>
      </c>
      <c r="AU252" s="22" t="n">
        <f aca="false">100*(AU118-AU117)</f>
        <v>2.2781565973</v>
      </c>
      <c r="AV252" s="22" t="n">
        <f aca="false">AVERAGE(C252:AU252)</f>
        <v>2.38763433617837</v>
      </c>
    </row>
    <row r="253" customFormat="false" ht="15" hidden="false" customHeight="false" outlineLevel="0" collapsed="false">
      <c r="A253" s="20" t="n">
        <f aca="false">A119</f>
        <v>-6</v>
      </c>
      <c r="B253" s="21" t="n">
        <f aca="false">B119</f>
        <v>43166</v>
      </c>
      <c r="C253" s="22" t="n">
        <f aca="false">100*(C119-C118)</f>
        <v>-0.376093767068841</v>
      </c>
      <c r="D253" s="22" t="n">
        <f aca="false">100*(D119-D118)</f>
        <v>-0.492478730685031</v>
      </c>
      <c r="E253" s="22" t="n">
        <f aca="false">100*(E119-E118)</f>
        <v>-0.644106453145099</v>
      </c>
      <c r="F253" s="22" t="n">
        <f aca="false">100*(F119-F118)</f>
        <v>-0.81165938859763</v>
      </c>
      <c r="G253" s="22" t="n">
        <f aca="false">100*(G119-G118)</f>
        <v>-0.983203231627117</v>
      </c>
      <c r="H253" s="22" t="n">
        <f aca="false">100*(H119-H118)</f>
        <v>-1.15177036555991</v>
      </c>
      <c r="I253" s="22" t="n">
        <f aca="false">100*(I119-I118)</f>
        <v>-1.31346874522249</v>
      </c>
      <c r="J253" s="22" t="n">
        <f aca="false">100*(J119-J118)</f>
        <v>-1.46594924906631</v>
      </c>
      <c r="K253" s="22" t="n">
        <f aca="false">100*(K119-K118)</f>
        <v>-1.60759306331899</v>
      </c>
      <c r="L253" s="22" t="n">
        <f aca="false">100*(L119-L118)</f>
        <v>-1.7369996917338</v>
      </c>
      <c r="M253" s="22" t="n">
        <f aca="false">100*(M119-M118)</f>
        <v>-1.85300027121991</v>
      </c>
      <c r="N253" s="22" t="n">
        <f aca="false">100*(N119-N118)</f>
        <v>-1.95468837604171</v>
      </c>
      <c r="O253" s="22" t="n">
        <f aca="false">100*(O119-O118)</f>
        <v>-2.1446029517612</v>
      </c>
      <c r="P253" s="22" t="n">
        <f aca="false">100*(P119-P118)</f>
        <v>-2.12611253097059</v>
      </c>
      <c r="Q253" s="22" t="n">
        <f aca="false">100*(Q119-Q118)</f>
        <v>-2.1120728196369</v>
      </c>
      <c r="R253" s="22" t="n">
        <f aca="false">100*(R119-R118)</f>
        <v>-2.10343651244649</v>
      </c>
      <c r="S253" s="22" t="n">
        <f aca="false">100*(S119-S118)</f>
        <v>-2.10078124009829</v>
      </c>
      <c r="T253" s="22" t="n">
        <f aca="false">100*(T119-T118)</f>
        <v>-2.1043656300902</v>
      </c>
      <c r="U253" s="22" t="n">
        <f aca="false">100*(U119-U118)</f>
        <v>-2.11417469658939</v>
      </c>
      <c r="V253" s="22" t="n">
        <f aca="false">100*(V119-V118)</f>
        <v>-2.1299343828028</v>
      </c>
      <c r="W253" s="22" t="n">
        <f aca="false">100*(W119-W118)</f>
        <v>-2.15111694661359</v>
      </c>
      <c r="X253" s="22" t="n">
        <f aca="false">100*(X119-X118)</f>
        <v>-2.1769792772296</v>
      </c>
      <c r="Y253" s="22" t="n">
        <f aca="false">100*(Y119-Y118)</f>
        <v>-2.2066752459192</v>
      </c>
      <c r="Z253" s="22" t="n">
        <f aca="false">100*(Z119-Z118)</f>
        <v>-2.23935242683391</v>
      </c>
      <c r="AA253" s="22" t="n">
        <f aca="false">100*(AA119-AA118)</f>
        <v>-2.27416047417359</v>
      </c>
      <c r="AB253" s="22" t="n">
        <f aca="false">100*(AB119-AB118)</f>
        <v>-2.31025086851819</v>
      </c>
      <c r="AC253" s="22" t="n">
        <f aca="false">100*(AC119-AC118)</f>
        <v>-2.34677710237652</v>
      </c>
      <c r="AD253" s="22" t="n">
        <f aca="false">100*(AD119-AD118)</f>
        <v>-2.3829285668945</v>
      </c>
      <c r="AE253" s="22" t="n">
        <f aca="false">100*(AE119-AE118)</f>
        <v>-2.4180310174271</v>
      </c>
      <c r="AF253" s="22" t="n">
        <f aca="false">100*(AF119-AF118)</f>
        <v>-2.45154920639199</v>
      </c>
      <c r="AG253" s="22" t="n">
        <f aca="false">100*(AG119-AG118)</f>
        <v>-2.4830546913799</v>
      </c>
      <c r="AH253" s="22" t="n">
        <f aca="false">100*(AH119-AH118)</f>
        <v>-2.5122130760296</v>
      </c>
      <c r="AI253" s="22" t="n">
        <f aca="false">100*(AI119-AI118)</f>
        <v>-2.53877882640712</v>
      </c>
      <c r="AJ253" s="22" t="n">
        <f aca="false">100*(AJ119-AJ118)</f>
        <v>-2.5625893035429</v>
      </c>
      <c r="AK253" s="22" t="n">
        <f aca="false">100*(AK119-AK118)</f>
        <v>-2.58355650237379</v>
      </c>
      <c r="AL253" s="22" t="n">
        <f aca="false">100*(AL119-AL118)</f>
        <v>-2.60165590332848</v>
      </c>
      <c r="AM253" s="22" t="n">
        <f aca="false">100*(AM119-AM118)</f>
        <v>-2.6169117743376</v>
      </c>
      <c r="AN253" s="22" t="n">
        <f aca="false">100*(AN119-AN118)</f>
        <v>-2.62939017274191</v>
      </c>
      <c r="AO253" s="22" t="n">
        <f aca="false">100*(AO119-AO118)</f>
        <v>-2.6391920479192</v>
      </c>
      <c r="AP253" s="22" t="n">
        <f aca="false">100*(AP119-AP118)</f>
        <v>-2.6464477083546</v>
      </c>
      <c r="AQ253" s="22" t="n">
        <f aca="false">100*(AQ119-AQ118)</f>
        <v>-2.6513084983959</v>
      </c>
      <c r="AR253" s="22" t="n">
        <f aca="false">100*(AR119-AR118)</f>
        <v>-2.65394191397019</v>
      </c>
      <c r="AS253" s="22" t="n">
        <f aca="false">100*(AS119-AS118)</f>
        <v>-2.6545300939085</v>
      </c>
      <c r="AT253" s="22" t="n">
        <f aca="false">100*(AT119-AT118)</f>
        <v>-2.65326765496841</v>
      </c>
      <c r="AU253" s="22" t="n">
        <f aca="false">100*(AU119-AU118)</f>
        <v>-2.65035732789218</v>
      </c>
      <c r="AV253" s="22" t="n">
        <f aca="false">AVERAGE(C253:AU253)</f>
        <v>-2.07470019390247</v>
      </c>
    </row>
    <row r="254" customFormat="false" ht="15" hidden="false" customHeight="false" outlineLevel="0" collapsed="false">
      <c r="A254" s="20" t="n">
        <f aca="false">A120</f>
        <v>-5</v>
      </c>
      <c r="B254" s="21" t="n">
        <f aca="false">B120</f>
        <v>43167</v>
      </c>
      <c r="C254" s="22" t="n">
        <f aca="false">100*(C120-C119)</f>
        <v>0.0673894937593622</v>
      </c>
      <c r="D254" s="22" t="n">
        <f aca="false">100*(D120-D119)</f>
        <v>0.00673953837340147</v>
      </c>
      <c r="E254" s="22" t="n">
        <f aca="false">100*(E120-E119)</f>
        <v>-0.0994392507270958</v>
      </c>
      <c r="F254" s="22" t="n">
        <f aca="false">100*(F120-F119)</f>
        <v>-0.236095346512055</v>
      </c>
      <c r="G254" s="22" t="n">
        <f aca="false">100*(G120-G119)</f>
        <v>-0.392810158741419</v>
      </c>
      <c r="H254" s="22" t="n">
        <f aca="false">100*(H120-H119)</f>
        <v>-0.562318717805788</v>
      </c>
      <c r="I254" s="22" t="n">
        <f aca="false">100*(I120-I119)</f>
        <v>-0.739082320745399</v>
      </c>
      <c r="J254" s="22" t="n">
        <f aca="false">100*(J120-J119)</f>
        <v>-0.918145190809994</v>
      </c>
      <c r="K254" s="22" t="n">
        <f aca="false">100*(K120-K119)</f>
        <v>-1.09471902014591</v>
      </c>
      <c r="L254" s="22" t="n">
        <f aca="false">100*(L120-L119)</f>
        <v>-1.2641624667125</v>
      </c>
      <c r="M254" s="22" t="n">
        <f aca="false">100*(M120-M119)</f>
        <v>-1.4224060950625</v>
      </c>
      <c r="N254" s="22" t="n">
        <f aca="false">100*(N120-N119)</f>
        <v>-1.56624548017219</v>
      </c>
      <c r="O254" s="22" t="n">
        <f aca="false">100*(O120-O119)</f>
        <v>-1.9723801123938</v>
      </c>
      <c r="P254" s="22" t="n">
        <f aca="false">100*(P120-P119)</f>
        <v>-1.927252144642</v>
      </c>
      <c r="Q254" s="22" t="n">
        <f aca="false">100*(Q120-Q119)</f>
        <v>-1.87881918796311</v>
      </c>
      <c r="R254" s="22" t="n">
        <f aca="false">100*(R120-R119)</f>
        <v>-1.8284241154239</v>
      </c>
      <c r="S254" s="22" t="n">
        <f aca="false">100*(S120-S119)</f>
        <v>-1.77721460792091</v>
      </c>
      <c r="T254" s="22" t="n">
        <f aca="false">100*(T120-T119)</f>
        <v>-1.72617206350911</v>
      </c>
      <c r="U254" s="22" t="n">
        <f aca="false">100*(U120-U119)</f>
        <v>-1.67613286191501</v>
      </c>
      <c r="V254" s="22" t="n">
        <f aca="false">100*(V120-V119)</f>
        <v>-1.62776639950619</v>
      </c>
      <c r="W254" s="22" t="n">
        <f aca="false">100*(W120-W119)</f>
        <v>-1.58154996130371</v>
      </c>
      <c r="X254" s="22" t="n">
        <f aca="false">100*(X120-X119)</f>
        <v>-1.53779174250661</v>
      </c>
      <c r="Y254" s="22" t="n">
        <f aca="false">100*(Y120-Y119)</f>
        <v>-1.4966735117423</v>
      </c>
      <c r="Z254" s="22" t="n">
        <f aca="false">100*(Z120-Z119)</f>
        <v>-1.4582840898558</v>
      </c>
      <c r="AA254" s="22" t="n">
        <f aca="false">100*(AA120-AA119)</f>
        <v>-1.4226321576605</v>
      </c>
      <c r="AB254" s="22" t="n">
        <f aca="false">100*(AB120-AB119)</f>
        <v>-1.38965602911021</v>
      </c>
      <c r="AC254" s="22" t="n">
        <f aca="false">100*(AC120-AC119)</f>
        <v>-1.3592321635761</v>
      </c>
      <c r="AD254" s="22" t="n">
        <f aca="false">100*(AD120-AD119)</f>
        <v>-1.3311914598219</v>
      </c>
      <c r="AE254" s="22" t="n">
        <f aca="false">100*(AE120-AE119)</f>
        <v>-1.3053493264902</v>
      </c>
      <c r="AF254" s="22" t="n">
        <f aca="false">100*(AF120-AF119)</f>
        <v>-1.28151098099789</v>
      </c>
      <c r="AG254" s="22" t="n">
        <f aca="false">100*(AG120-AG119)</f>
        <v>-1.25947021501389</v>
      </c>
      <c r="AH254" s="22" t="n">
        <f aca="false">100*(AH120-AH119)</f>
        <v>-1.2390132802919</v>
      </c>
      <c r="AI254" s="22" t="n">
        <f aca="false">100*(AI120-AI119)</f>
        <v>-1.2199323527899</v>
      </c>
      <c r="AJ254" s="22" t="n">
        <f aca="false">100*(AJ120-AJ119)</f>
        <v>-1.2020307616442</v>
      </c>
      <c r="AK254" s="22" t="n">
        <f aca="false">100*(AK120-AK119)</f>
        <v>-1.1851219996774</v>
      </c>
      <c r="AL254" s="22" t="n">
        <f aca="false">100*(AL120-AL119)</f>
        <v>-1.1690306691627</v>
      </c>
      <c r="AM254" s="22" t="n">
        <f aca="false">100*(AM120-AM119)</f>
        <v>-1.1536016412478</v>
      </c>
      <c r="AN254" s="22" t="n">
        <f aca="false">100*(AN120-AN119)</f>
        <v>-1.13870289757869</v>
      </c>
      <c r="AO254" s="22" t="n">
        <f aca="false">100*(AO120-AO119)</f>
        <v>-1.1242234351901</v>
      </c>
      <c r="AP254" s="22" t="n">
        <f aca="false">100*(AP120-AP119)</f>
        <v>-1.11007158951759</v>
      </c>
      <c r="AQ254" s="22" t="n">
        <f aca="false">100*(AQ120-AQ119)</f>
        <v>-1.09617243161459</v>
      </c>
      <c r="AR254" s="22" t="n">
        <f aca="false">100*(AR120-AR119)</f>
        <v>-1.08246629768101</v>
      </c>
      <c r="AS254" s="22" t="n">
        <f aca="false">100*(AS120-AS119)</f>
        <v>-1.06890751117781</v>
      </c>
      <c r="AT254" s="22" t="n">
        <f aca="false">100*(AT120-AT119)</f>
        <v>-1.05546316017668</v>
      </c>
      <c r="AU254" s="22" t="n">
        <f aca="false">100*(AU120-AU119)</f>
        <v>-1.0421129505789</v>
      </c>
      <c r="AV254" s="22" t="n">
        <f aca="false">AVERAGE(C254:AU254)</f>
        <v>-1.19879220277743</v>
      </c>
    </row>
    <row r="255" customFormat="false" ht="15" hidden="false" customHeight="false" outlineLevel="0" collapsed="false">
      <c r="A255" s="20" t="n">
        <f aca="false">A121</f>
        <v>-4</v>
      </c>
      <c r="B255" s="21" t="n">
        <f aca="false">B121</f>
        <v>43168</v>
      </c>
      <c r="C255" s="22" t="n">
        <f aca="false">100*(C121-C120)</f>
        <v>3.01708204380659</v>
      </c>
      <c r="D255" s="22" t="n">
        <f aca="false">100*(D121-D120)</f>
        <v>2.62731874662417</v>
      </c>
      <c r="E255" s="22" t="n">
        <f aca="false">100*(E121-E120)</f>
        <v>2.33639380276421</v>
      </c>
      <c r="F255" s="22" t="n">
        <f aca="false">100*(F121-F120)</f>
        <v>2.13524803787712</v>
      </c>
      <c r="G255" s="22" t="n">
        <f aca="false">100*(G121-G120)</f>
        <v>2.00623621132836</v>
      </c>
      <c r="H255" s="22" t="n">
        <f aca="false">100*(H121-H120)</f>
        <v>1.93242803676599</v>
      </c>
      <c r="I255" s="22" t="n">
        <f aca="false">100*(I121-I120)</f>
        <v>1.9000306578415</v>
      </c>
      <c r="J255" s="22" t="n">
        <f aca="false">100*(J121-J120)</f>
        <v>1.89866016364619</v>
      </c>
      <c r="K255" s="22" t="n">
        <f aca="false">100*(K121-K120)</f>
        <v>1.92037446301081</v>
      </c>
      <c r="L255" s="22" t="n">
        <f aca="false">100*(L121-L120)</f>
        <v>1.9593171199894</v>
      </c>
      <c r="M255" s="22" t="n">
        <f aca="false">100*(M121-M120)</f>
        <v>2.01105338049721</v>
      </c>
      <c r="N255" s="22" t="n">
        <f aca="false">100*(N121-N120)</f>
        <v>2.0721550647933</v>
      </c>
      <c r="O255" s="22" t="n">
        <f aca="false">100*(O121-O120)</f>
        <v>3.003904083585</v>
      </c>
      <c r="P255" s="22" t="n">
        <f aca="false">100*(P121-P120)</f>
        <v>3.0596199541852</v>
      </c>
      <c r="Q255" s="22" t="n">
        <f aca="false">100*(Q121-Q120)</f>
        <v>3.1113849102272</v>
      </c>
      <c r="R255" s="22" t="n">
        <f aca="false">100*(R121-R120)</f>
        <v>3.15915786863019</v>
      </c>
      <c r="S255" s="22" t="n">
        <f aca="false">100*(S121-S120)</f>
        <v>3.2029561946745</v>
      </c>
      <c r="T255" s="22" t="n">
        <f aca="false">100*(T121-T120)</f>
        <v>3.2428471758853</v>
      </c>
      <c r="U255" s="22" t="n">
        <f aca="false">100*(U121-U120)</f>
        <v>3.27893812016231</v>
      </c>
      <c r="V255" s="22" t="n">
        <f aca="false">100*(V121-V120)</f>
        <v>3.3113605248331</v>
      </c>
      <c r="W255" s="22" t="n">
        <f aca="false">100*(W121-W120)</f>
        <v>3.34027009625499</v>
      </c>
      <c r="X255" s="22" t="n">
        <f aca="false">100*(X121-X120)</f>
        <v>3.3658436102332</v>
      </c>
      <c r="Y255" s="22" t="n">
        <f aca="false">100*(Y121-Y120)</f>
        <v>3.388270707647</v>
      </c>
      <c r="Z255" s="22" t="n">
        <f aca="false">100*(Z121-Z120)</f>
        <v>3.4077574839416</v>
      </c>
      <c r="AA255" s="22" t="n">
        <f aca="false">100*(AA121-AA120)</f>
        <v>3.42452618827089</v>
      </c>
      <c r="AB255" s="22" t="n">
        <f aca="false">100*(AB121-AB120)</f>
        <v>3.4388132535363</v>
      </c>
      <c r="AC255" s="22" t="n">
        <f aca="false">100*(AC121-AC120)</f>
        <v>3.45086746264989</v>
      </c>
      <c r="AD255" s="22" t="n">
        <f aca="false">100*(AD121-AD120)</f>
        <v>3.4609449474645</v>
      </c>
      <c r="AE255" s="22" t="n">
        <f aca="false">100*(AE121-AE120)</f>
        <v>3.46930827859331</v>
      </c>
      <c r="AF255" s="22" t="n">
        <f aca="false">100*(AF121-AF120)</f>
        <v>3.47623186863359</v>
      </c>
      <c r="AG255" s="22" t="n">
        <f aca="false">100*(AG121-AG120)</f>
        <v>3.48199864469898</v>
      </c>
      <c r="AH255" s="22" t="n">
        <f aca="false">100*(AH121-AH120)</f>
        <v>3.4868977636245</v>
      </c>
      <c r="AI255" s="22" t="n">
        <f aca="false">100*(AI121-AI120)</f>
        <v>3.49121051418408</v>
      </c>
      <c r="AJ255" s="22" t="n">
        <f aca="false">100*(AJ121-AJ120)</f>
        <v>3.49520255312619</v>
      </c>
      <c r="AK255" s="22" t="n">
        <f aca="false">100*(AK121-AK120)</f>
        <v>3.49912530422147</v>
      </c>
      <c r="AL255" s="22" t="n">
        <f aca="false">100*(AL121-AL120)</f>
        <v>3.50321641060649</v>
      </c>
      <c r="AM255" s="22" t="n">
        <f aca="false">100*(AM121-AM120)</f>
        <v>3.5076867716189</v>
      </c>
      <c r="AN255" s="22" t="n">
        <f aca="false">100*(AN121-AN120)</f>
        <v>3.5127147395098</v>
      </c>
      <c r="AO255" s="22" t="n">
        <f aca="false">100*(AO121-AO120)</f>
        <v>3.5184477504616</v>
      </c>
      <c r="AP255" s="22" t="n">
        <f aca="false">100*(AP121-AP120)</f>
        <v>3.52500246340171</v>
      </c>
      <c r="AQ255" s="22" t="n">
        <f aca="false">100*(AQ121-AQ120)</f>
        <v>3.5324628577635</v>
      </c>
      <c r="AR255" s="22" t="n">
        <f aca="false">100*(AR121-AR120)</f>
        <v>3.54087869930579</v>
      </c>
      <c r="AS255" s="22" t="n">
        <f aca="false">100*(AS121-AS120)</f>
        <v>3.5502681594096</v>
      </c>
      <c r="AT255" s="22" t="n">
        <f aca="false">100*(AT121-AT120)</f>
        <v>3.56061833609749</v>
      </c>
      <c r="AU255" s="22" t="n">
        <f aca="false">100*(AU121-AU120)</f>
        <v>3.57188054521429</v>
      </c>
      <c r="AV255" s="22" t="n">
        <f aca="false">AVERAGE(C255:AU255)</f>
        <v>3.0708202660355</v>
      </c>
    </row>
    <row r="256" customFormat="false" ht="15" hidden="false" customHeight="false" outlineLevel="0" collapsed="false">
      <c r="A256" s="20" t="n">
        <f aca="false">A122</f>
        <v>-3</v>
      </c>
      <c r="B256" s="21" t="n">
        <f aca="false">B122</f>
        <v>43171</v>
      </c>
      <c r="C256" s="22" t="n">
        <f aca="false">100*(C122-C121)</f>
        <v>0.338053289042783</v>
      </c>
      <c r="D256" s="22" t="n">
        <f aca="false">100*(D122-D121)</f>
        <v>0.257093927505869</v>
      </c>
      <c r="E256" s="22" t="n">
        <f aca="false">100*(E122-E121)</f>
        <v>0.211306608461637</v>
      </c>
      <c r="F256" s="22" t="n">
        <f aca="false">100*(F122-F121)</f>
        <v>0.185771990548578</v>
      </c>
      <c r="G256" s="22" t="n">
        <f aca="false">100*(G122-G121)</f>
        <v>0.171351683880427</v>
      </c>
      <c r="H256" s="22" t="n">
        <f aca="false">100*(H122-H121)</f>
        <v>0.162589516824108</v>
      </c>
      <c r="I256" s="22" t="n">
        <f aca="false">100*(I122-I121)</f>
        <v>0.156186227402788</v>
      </c>
      <c r="J256" s="22" t="n">
        <f aca="false">100*(J122-J121)</f>
        <v>0.150281690422505</v>
      </c>
      <c r="K256" s="22" t="n">
        <f aca="false">100*(K122-K121)</f>
        <v>0.143863230600005</v>
      </c>
      <c r="L256" s="22" t="n">
        <f aca="false">100*(L122-L121)</f>
        <v>0.136467115173011</v>
      </c>
      <c r="M256" s="22" t="n">
        <f aca="false">100*(M122-M121)</f>
        <v>0.12805919128529</v>
      </c>
      <c r="N256" s="22" t="n">
        <f aca="false">100*(N122-N121)</f>
        <v>0.118893756903482</v>
      </c>
      <c r="O256" s="22" t="n">
        <f aca="false">100*(O122-O121)</f>
        <v>0.0953550831311878</v>
      </c>
      <c r="P256" s="22" t="n">
        <f aca="false">100*(P122-P121)</f>
        <v>0.107164232431889</v>
      </c>
      <c r="Q256" s="22" t="n">
        <f aca="false">100*(Q122-Q121)</f>
        <v>0.120649431513109</v>
      </c>
      <c r="R256" s="22" t="n">
        <f aca="false">100*(R122-R121)</f>
        <v>0.135537109100592</v>
      </c>
      <c r="S256" s="22" t="n">
        <f aca="false">100*(S122-S121)</f>
        <v>0.151525133086605</v>
      </c>
      <c r="T256" s="22" t="n">
        <f aca="false">100*(T122-T121)</f>
        <v>0.168287262350897</v>
      </c>
      <c r="U256" s="22" t="n">
        <f aca="false">100*(U122-U121)</f>
        <v>0.185478074010192</v>
      </c>
      <c r="V256" s="22" t="n">
        <f aca="false">100*(V122-V121)</f>
        <v>0.202756388357006</v>
      </c>
      <c r="W256" s="22" t="n">
        <f aca="false">100*(W122-W121)</f>
        <v>0.219809106383995</v>
      </c>
      <c r="X256" s="22" t="n">
        <f aca="false">100*(X122-X121)</f>
        <v>0.2363515143466</v>
      </c>
      <c r="Y256" s="22" t="n">
        <f aca="false">100*(Y122-Y121)</f>
        <v>0.252143376423608</v>
      </c>
      <c r="Z256" s="22" t="n">
        <f aca="false">100*(Z122-Z121)</f>
        <v>0.267005812382704</v>
      </c>
      <c r="AA256" s="22" t="n">
        <f aca="false">100*(AA122-AA121)</f>
        <v>0.280816010185503</v>
      </c>
      <c r="AB256" s="22" t="n">
        <f aca="false">100*(AB122-AB121)</f>
        <v>0.293500388403078</v>
      </c>
      <c r="AC256" s="22" t="n">
        <f aca="false">100*(AC122-AC121)</f>
        <v>0.305028763553006</v>
      </c>
      <c r="AD256" s="22" t="n">
        <f aca="false">100*(AD122-AD121)</f>
        <v>0.315414082374099</v>
      </c>
      <c r="AE256" s="22" t="n">
        <f aca="false">100*(AE122-AE121)</f>
        <v>0.324724803041399</v>
      </c>
      <c r="AF256" s="22" t="n">
        <f aca="false">100*(AF122-AF121)</f>
        <v>0.333081149162506</v>
      </c>
      <c r="AG256" s="22" t="n">
        <f aca="false">100*(AG122-AG121)</f>
        <v>0.34064356262804</v>
      </c>
      <c r="AH256" s="22" t="n">
        <f aca="false">100*(AH122-AH121)</f>
        <v>0.347605515617788</v>
      </c>
      <c r="AI256" s="22" t="n">
        <f aca="false">100*(AI122-AI121)</f>
        <v>0.354179748616712</v>
      </c>
      <c r="AJ256" s="22" t="n">
        <f aca="false">100*(AJ122-AJ121)</f>
        <v>0.360591633221707</v>
      </c>
      <c r="AK256" s="22" t="n">
        <f aca="false">100*(AK122-AK121)</f>
        <v>0.367077795997206</v>
      </c>
      <c r="AL256" s="22" t="n">
        <f aca="false">100*(AL122-AL121)</f>
        <v>0.373881396794484</v>
      </c>
      <c r="AM256" s="22" t="n">
        <f aca="false">100*(AM122-AM121)</f>
        <v>0.381236804609619</v>
      </c>
      <c r="AN256" s="22" t="n">
        <f aca="false">100*(AN122-AN121)</f>
        <v>0.389363425396283</v>
      </c>
      <c r="AO256" s="22" t="n">
        <f aca="false">100*(AO122-AO121)</f>
        <v>0.398460874900208</v>
      </c>
      <c r="AP256" s="22" t="n">
        <f aca="false">100*(AP122-AP121)</f>
        <v>0.408704777468394</v>
      </c>
      <c r="AQ256" s="22" t="n">
        <f aca="false">100*(AQ122-AQ121)</f>
        <v>0.420236816552388</v>
      </c>
      <c r="AR256" s="22" t="n">
        <f aca="false">100*(AR122-AR121)</f>
        <v>0.433160112826614</v>
      </c>
      <c r="AS256" s="22" t="n">
        <f aca="false">100*(AS122-AS121)</f>
        <v>0.447542146724111</v>
      </c>
      <c r="AT256" s="22" t="n">
        <f aca="false">100*(AT122-AT121)</f>
        <v>0.463414324066402</v>
      </c>
      <c r="AU256" s="22" t="n">
        <f aca="false">100*(AU122-AU121)</f>
        <v>0.480764976424108</v>
      </c>
      <c r="AV256" s="22" t="n">
        <f aca="false">AVERAGE(C256:AU256)</f>
        <v>0.269364663558501</v>
      </c>
    </row>
    <row r="257" customFormat="false" ht="15" hidden="false" customHeight="false" outlineLevel="0" collapsed="false">
      <c r="A257" s="20" t="n">
        <f aca="false">A123</f>
        <v>-2</v>
      </c>
      <c r="B257" s="21" t="n">
        <f aca="false">B123</f>
        <v>43172</v>
      </c>
      <c r="C257" s="22" t="n">
        <f aca="false">100*(C123-C122)</f>
        <v>-0.0145166514583517</v>
      </c>
      <c r="D257" s="22" t="n">
        <f aca="false">100*(D123-D122)</f>
        <v>-0.194808631579668</v>
      </c>
      <c r="E257" s="22" t="n">
        <f aca="false">100*(E123-E122)</f>
        <v>-0.346604063942602</v>
      </c>
      <c r="F257" s="22" t="n">
        <f aca="false">100*(F123-F122)</f>
        <v>-0.475483895684881</v>
      </c>
      <c r="G257" s="22" t="n">
        <f aca="false">100*(G123-G122)</f>
        <v>-0.586252930190279</v>
      </c>
      <c r="H257" s="22" t="n">
        <f aca="false">100*(H123-H122)</f>
        <v>-0.683854990895005</v>
      </c>
      <c r="I257" s="22" t="n">
        <f aca="false">100*(I123-I122)</f>
        <v>-0.773152369804198</v>
      </c>
      <c r="J257" s="22" t="n">
        <f aca="false">100*(J123-J122)</f>
        <v>-0.858403342950709</v>
      </c>
      <c r="K257" s="22" t="n">
        <f aca="false">100*(K123-K122)</f>
        <v>-0.943140081627014</v>
      </c>
      <c r="L257" s="22" t="n">
        <f aca="false">100*(L123-L122)</f>
        <v>-1.03014616454031</v>
      </c>
      <c r="M257" s="22" t="n">
        <f aca="false">100*(M123-M122)</f>
        <v>-1.12157662807939</v>
      </c>
      <c r="N257" s="22" t="n">
        <f aca="false">100*(N123-N122)</f>
        <v>-1.21914728040449</v>
      </c>
      <c r="O257" s="22" t="n">
        <f aca="false">100*(O123-O122)</f>
        <v>-3.13900291146549</v>
      </c>
      <c r="P257" s="22" t="n">
        <f aca="false">100*(P123-P122)</f>
        <v>-3.29683571146329</v>
      </c>
      <c r="Q257" s="22" t="n">
        <f aca="false">100*(Q123-Q122)</f>
        <v>-3.44796616752741</v>
      </c>
      <c r="R257" s="22" t="n">
        <f aca="false">100*(R123-R122)</f>
        <v>-3.5912813188036</v>
      </c>
      <c r="S257" s="22" t="n">
        <f aca="false">100*(S123-S122)</f>
        <v>-3.72592426444891</v>
      </c>
      <c r="T257" s="22" t="n">
        <f aca="false">100*(T123-T122)</f>
        <v>-3.85125563190669</v>
      </c>
      <c r="U257" s="22" t="n">
        <f aca="false">100*(U123-U122)</f>
        <v>-3.9668236725694</v>
      </c>
      <c r="V257" s="22" t="n">
        <f aca="false">100*(V123-V122)</f>
        <v>-4.07235352311921</v>
      </c>
      <c r="W257" s="22" t="n">
        <f aca="false">100*(W123-W122)</f>
        <v>-4.16773383277669</v>
      </c>
      <c r="X257" s="22" t="n">
        <f aca="false">100*(X123-X122)</f>
        <v>-4.2529962998004</v>
      </c>
      <c r="Y257" s="22" t="n">
        <f aca="false">100*(Y123-Y122)</f>
        <v>-4.32830436728211</v>
      </c>
      <c r="Z257" s="22" t="n">
        <f aca="false">100*(Z123-Z122)</f>
        <v>-4.3939402629614</v>
      </c>
      <c r="AA257" s="22" t="n">
        <f aca="false">100*(AA123-AA122)</f>
        <v>-4.4502901126829</v>
      </c>
      <c r="AB257" s="22" t="n">
        <f aca="false">100*(AB123-AB122)</f>
        <v>-4.49783126989678</v>
      </c>
      <c r="AC257" s="22" t="n">
        <f aca="false">100*(AC123-AC122)</f>
        <v>-4.5371215277042</v>
      </c>
      <c r="AD257" s="22" t="n">
        <f aca="false">100*(AD123-AD122)</f>
        <v>-4.56879252668549</v>
      </c>
      <c r="AE257" s="22" t="n">
        <f aca="false">100*(AE123-AE122)</f>
        <v>-4.59354442496671</v>
      </c>
      <c r="AF257" s="22" t="n">
        <f aca="false">100*(AF123-AF122)</f>
        <v>-4.61212018513511</v>
      </c>
      <c r="AG257" s="22" t="n">
        <f aca="false">100*(AG123-AG122)</f>
        <v>-4.62528420072201</v>
      </c>
      <c r="AH257" s="22" t="n">
        <f aca="false">100*(AH123-AH122)</f>
        <v>-4.63380423251427</v>
      </c>
      <c r="AI257" s="22" t="n">
        <f aca="false">100*(AI123-AI122)</f>
        <v>-4.63841155904501</v>
      </c>
      <c r="AJ257" s="22" t="n">
        <f aca="false">100*(AJ123-AJ122)</f>
        <v>-4.63979309340741</v>
      </c>
      <c r="AK257" s="22" t="n">
        <f aca="false">100*(AK123-AK122)</f>
        <v>-4.63859551864119</v>
      </c>
      <c r="AL257" s="22" t="n">
        <f aca="false">100*(AL123-AL122)</f>
        <v>-4.63541732657677</v>
      </c>
      <c r="AM257" s="22" t="n">
        <f aca="false">100*(AM123-AM122)</f>
        <v>-4.63078099854111</v>
      </c>
      <c r="AN257" s="22" t="n">
        <f aca="false">100*(AN123-AN122)</f>
        <v>-4.62512917572449</v>
      </c>
      <c r="AO257" s="22" t="n">
        <f aca="false">100*(AO123-AO122)</f>
        <v>-4.6188250289668</v>
      </c>
      <c r="AP257" s="22" t="n">
        <f aca="false">100*(AP123-AP122)</f>
        <v>-4.6121561771828</v>
      </c>
      <c r="AQ257" s="22" t="n">
        <f aca="false">100*(AQ123-AQ122)</f>
        <v>-4.6053429390424</v>
      </c>
      <c r="AR257" s="22" t="n">
        <f aca="false">100*(AR123-AR122)</f>
        <v>-4.5985456268798</v>
      </c>
      <c r="AS257" s="22" t="n">
        <f aca="false">100*(AS123-AS122)</f>
        <v>-4.5918698078254</v>
      </c>
      <c r="AT257" s="22" t="n">
        <f aca="false">100*(AT123-AT122)</f>
        <v>-4.58537111640189</v>
      </c>
      <c r="AU257" s="22" t="n">
        <f aca="false">100*(AU123-AU122)</f>
        <v>-4.57906230918381</v>
      </c>
      <c r="AV257" s="22" t="n">
        <f aca="false">AVERAGE(C257:AU257)</f>
        <v>-3.35554653673351</v>
      </c>
    </row>
    <row r="258" customFormat="false" ht="15" hidden="false" customHeight="false" outlineLevel="0" collapsed="false">
      <c r="A258" s="20" t="n">
        <f aca="false">A124</f>
        <v>-1</v>
      </c>
      <c r="B258" s="21" t="n">
        <f aca="false">B124</f>
        <v>43173</v>
      </c>
      <c r="C258" s="22" t="n">
        <f aca="false">100*(C124-C123)</f>
        <v>-3.61598625119541</v>
      </c>
      <c r="D258" s="22" t="n">
        <f aca="false">100*(D124-D123)</f>
        <v>-3.7749049864453</v>
      </c>
      <c r="E258" s="22" t="n">
        <f aca="false">100*(E124-E123)</f>
        <v>-3.93020900992593</v>
      </c>
      <c r="F258" s="22" t="n">
        <f aca="false">100*(F124-F123)</f>
        <v>-4.08963571313991</v>
      </c>
      <c r="G258" s="22" t="n">
        <f aca="false">100*(G124-G123)</f>
        <v>-4.25201752229653</v>
      </c>
      <c r="H258" s="22" t="n">
        <f aca="false">100*(H124-H123)</f>
        <v>-4.41469225553429</v>
      </c>
      <c r="I258" s="22" t="n">
        <f aca="false">100*(I124-I123)</f>
        <v>-4.5756082767807</v>
      </c>
      <c r="J258" s="22" t="n">
        <f aca="false">100*(J124-J123)</f>
        <v>-4.73320803823989</v>
      </c>
      <c r="K258" s="22" t="n">
        <f aca="false">100*(K124-K123)</f>
        <v>-4.8860135190407</v>
      </c>
      <c r="L258" s="22" t="n">
        <f aca="false">100*(L124-L123)</f>
        <v>-5.03256996635979</v>
      </c>
      <c r="M258" s="22" t="n">
        <f aca="false">100*(M124-M123)</f>
        <v>-5.17157048271941</v>
      </c>
      <c r="N258" s="22" t="n">
        <f aca="false">100*(N124-N123)</f>
        <v>-5.30204708249351</v>
      </c>
      <c r="O258" s="22" t="n">
        <f aca="false">100*(O124-O123)</f>
        <v>-6.31601191885469</v>
      </c>
      <c r="P258" s="22" t="n">
        <f aca="false">100*(P124-P123)</f>
        <v>-6.36067018681472</v>
      </c>
      <c r="Q258" s="22" t="n">
        <f aca="false">100*(Q124-Q123)</f>
        <v>-6.40254122792099</v>
      </c>
      <c r="R258" s="22" t="n">
        <f aca="false">100*(R124-R123)</f>
        <v>-6.44177030705291</v>
      </c>
      <c r="S258" s="22" t="n">
        <f aca="false">100*(S124-S123)</f>
        <v>-6.47848998294929</v>
      </c>
      <c r="T258" s="22" t="n">
        <f aca="false">100*(T124-T123)</f>
        <v>-6.5128220387833</v>
      </c>
      <c r="U258" s="22" t="n">
        <f aca="false">100*(U124-U123)</f>
        <v>-6.544879770582</v>
      </c>
      <c r="V258" s="22" t="n">
        <f aca="false">100*(V124-V123)</f>
        <v>-6.5747705015867</v>
      </c>
      <c r="W258" s="22" t="n">
        <f aca="false">100*(W124-W123)</f>
        <v>-6.60259336102</v>
      </c>
      <c r="X258" s="22" t="n">
        <f aca="false">100*(X124-X123)</f>
        <v>-6.6284413141751</v>
      </c>
      <c r="Y258" s="22" t="n">
        <f aca="false">100*(Y124-Y123)</f>
        <v>-6.65241456412991</v>
      </c>
      <c r="Z258" s="22" t="n">
        <f aca="false">100*(Z124-Z123)</f>
        <v>-6.6746281908056</v>
      </c>
      <c r="AA258" s="22" t="n">
        <f aca="false">100*(AA124-AA123)</f>
        <v>-6.6952106385717</v>
      </c>
      <c r="AB258" s="22" t="n">
        <f aca="false">100*(AB124-AB123)</f>
        <v>-6.71430208643411</v>
      </c>
      <c r="AC258" s="22" t="n">
        <f aca="false">100*(AC124-AC123)</f>
        <v>-6.7320531574576</v>
      </c>
      <c r="AD258" s="22" t="n">
        <f aca="false">100*(AD124-AD123)</f>
        <v>-6.74862864044059</v>
      </c>
      <c r="AE258" s="22" t="n">
        <f aca="false">100*(AE124-AE123)</f>
        <v>-6.7642156780432</v>
      </c>
      <c r="AF258" s="22" t="n">
        <f aca="false">100*(AF124-AF123)</f>
        <v>-6.77901206202141</v>
      </c>
      <c r="AG258" s="22" t="n">
        <f aca="false">100*(AG124-AG123)</f>
        <v>-6.79321561816051</v>
      </c>
      <c r="AH258" s="22" t="n">
        <f aca="false">100*(AH124-AH123)</f>
        <v>-6.80701940739581</v>
      </c>
      <c r="AI258" s="22" t="n">
        <f aca="false">100*(AI124-AI123)</f>
        <v>-6.82060407238638</v>
      </c>
      <c r="AJ258" s="22" t="n">
        <f aca="false">100*(AJ124-AJ123)</f>
        <v>-6.83413786038289</v>
      </c>
      <c r="AK258" s="22" t="n">
        <f aca="false">100*(AK124-AK123)</f>
        <v>-6.84777778830621</v>
      </c>
      <c r="AL258" s="22" t="n">
        <f aca="false">100*(AL124-AL123)</f>
        <v>-6.86166620717512</v>
      </c>
      <c r="AM258" s="22" t="n">
        <f aca="false">100*(AM124-AM123)</f>
        <v>-6.87592255607901</v>
      </c>
      <c r="AN258" s="22" t="n">
        <f aca="false">100*(AN124-AN123)</f>
        <v>-6.89064207840271</v>
      </c>
      <c r="AO258" s="22" t="n">
        <f aca="false">100*(AO124-AO123)</f>
        <v>-6.9058907213938</v>
      </c>
      <c r="AP258" s="22" t="n">
        <f aca="false">100*(AP124-AP123)</f>
        <v>-6.921703344275</v>
      </c>
      <c r="AQ258" s="22" t="n">
        <f aca="false">100*(AQ124-AQ123)</f>
        <v>-6.93808238871299</v>
      </c>
      <c r="AR258" s="22" t="n">
        <f aca="false">100*(AR124-AR123)</f>
        <v>-6.95499882952</v>
      </c>
      <c r="AS258" s="22" t="n">
        <f aca="false">100*(AS124-AS123)</f>
        <v>-6.972394800614</v>
      </c>
      <c r="AT258" s="22" t="n">
        <f aca="false">100*(AT124-AT123)</f>
        <v>-6.99018342956601</v>
      </c>
      <c r="AU258" s="22" t="n">
        <f aca="false">100*(AU124-AU123)</f>
        <v>-7.00824703010741</v>
      </c>
      <c r="AV258" s="22" t="n">
        <f aca="false">AVERAGE(C258:AU258)</f>
        <v>-6.12943121920651</v>
      </c>
    </row>
    <row r="259" customFormat="false" ht="15" hidden="false" customHeight="false" outlineLevel="0" collapsed="false">
      <c r="A259" s="20" t="n">
        <f aca="false">A125</f>
        <v>0</v>
      </c>
      <c r="B259" s="21" t="n">
        <f aca="false">B125</f>
        <v>43174</v>
      </c>
      <c r="C259" s="22" t="n">
        <f aca="false">100*(C125-C124)</f>
        <v>0.809910575539474</v>
      </c>
      <c r="D259" s="22" t="n">
        <f aca="false">100*(D125-D124)</f>
        <v>0.933236607180166</v>
      </c>
      <c r="E259" s="22" t="n">
        <f aca="false">100*(E125-E124)</f>
        <v>1.0394562843219</v>
      </c>
      <c r="F259" s="22" t="n">
        <f aca="false">100*(F125-F124)</f>
        <v>1.11485712034975</v>
      </c>
      <c r="G259" s="22" t="n">
        <f aca="false">100*(G125-G124)</f>
        <v>1.15907129560885</v>
      </c>
      <c r="H259" s="22" t="n">
        <f aca="false">100*(H125-H124)</f>
        <v>1.17701031186432</v>
      </c>
      <c r="I259" s="22" t="n">
        <f aca="false">100*(I125-I124)</f>
        <v>1.17460225136599</v>
      </c>
      <c r="J259" s="22" t="n">
        <f aca="false">100*(J125-J124)</f>
        <v>1.15697143733449</v>
      </c>
      <c r="K259" s="22" t="n">
        <f aca="false">100*(K125-K124)</f>
        <v>1.1279839440659</v>
      </c>
      <c r="L259" s="22" t="n">
        <f aca="false">100*(L125-L124)</f>
        <v>1.0901354712495</v>
      </c>
      <c r="M259" s="22" t="n">
        <f aca="false">100*(M125-M124)</f>
        <v>1.04495730889662</v>
      </c>
      <c r="N259" s="22" t="n">
        <f aca="false">100*(N125-N124)</f>
        <v>0.993333867976509</v>
      </c>
      <c r="O259" s="22" t="n">
        <f aca="false">100*(O125-O124)</f>
        <v>-0.086002351122616</v>
      </c>
      <c r="P259" s="22" t="n">
        <f aca="false">100*(P125-P124)</f>
        <v>-0.18038374323408</v>
      </c>
      <c r="Q259" s="22" t="n">
        <f aca="false">100*(Q125-Q124)</f>
        <v>-0.272591247924714</v>
      </c>
      <c r="R259" s="22" t="n">
        <f aca="false">100*(R125-R124)</f>
        <v>-0.361913499611188</v>
      </c>
      <c r="S259" s="22" t="n">
        <f aca="false">100*(S125-S124)</f>
        <v>-0.447738557425104</v>
      </c>
      <c r="T259" s="22" t="n">
        <f aca="false">100*(T125-T124)</f>
        <v>-0.529538984783895</v>
      </c>
      <c r="U259" s="22" t="n">
        <f aca="false">100*(U125-U124)</f>
        <v>-0.606863587168194</v>
      </c>
      <c r="V259" s="22" t="n">
        <f aca="false">100*(V125-V124)</f>
        <v>-0.679362694895502</v>
      </c>
      <c r="W259" s="22" t="n">
        <f aca="false">100*(W125-W124)</f>
        <v>-0.746803547965391</v>
      </c>
      <c r="X259" s="22" t="n">
        <f aca="false">100*(X125-X124)</f>
        <v>-0.809057845168892</v>
      </c>
      <c r="Y259" s="22" t="n">
        <f aca="false">100*(Y125-Y124)</f>
        <v>-0.86609701826299</v>
      </c>
      <c r="Z259" s="22" t="n">
        <f aca="false">100*(Z125-Z124)</f>
        <v>-0.917984452474796</v>
      </c>
      <c r="AA259" s="22" t="n">
        <f aca="false">100*(AA125-AA124)</f>
        <v>-0.9648640251533</v>
      </c>
      <c r="AB259" s="22" t="n">
        <f aca="false">100*(AB125-AB124)</f>
        <v>-1.00695028965689</v>
      </c>
      <c r="AC259" s="22" t="n">
        <f aca="false">100*(AC125-AC124)</f>
        <v>-1.0445201356895</v>
      </c>
      <c r="AD259" s="22" t="n">
        <f aca="false">100*(AD125-AD124)</f>
        <v>-1.07790793645182</v>
      </c>
      <c r="AE259" s="22" t="n">
        <f aca="false">100*(AE125-AE124)</f>
        <v>-1.1075016693683</v>
      </c>
      <c r="AF259" s="22" t="n">
        <f aca="false">100*(AF125-AF124)</f>
        <v>-1.13373010491089</v>
      </c>
      <c r="AG259" s="22" t="n">
        <f aca="false">100*(AG125-AG124)</f>
        <v>-1.1570536152081</v>
      </c>
      <c r="AH259" s="22" t="n">
        <f aca="false">100*(AH125-AH124)</f>
        <v>-1.17795124229241</v>
      </c>
      <c r="AI259" s="22" t="n">
        <f aca="false">100*(AI125-AI124)</f>
        <v>-1.19689575803081</v>
      </c>
      <c r="AJ259" s="22" t="n">
        <f aca="false">100*(AJ125-AJ124)</f>
        <v>-1.2143484111494</v>
      </c>
      <c r="AK259" s="22" t="n">
        <f aca="false">100*(AK125-AK124)</f>
        <v>-1.2307598794856</v>
      </c>
      <c r="AL259" s="22" t="n">
        <f aca="false">100*(AL125-AL124)</f>
        <v>-1.2465620772399</v>
      </c>
      <c r="AM259" s="22" t="n">
        <f aca="false">100*(AM125-AM124)</f>
        <v>-1.26214679120109</v>
      </c>
      <c r="AN259" s="22" t="n">
        <f aca="false">100*(AN125-AN124)</f>
        <v>-1.2778616119568</v>
      </c>
      <c r="AO259" s="22" t="n">
        <f aca="false">100*(AO125-AO124)</f>
        <v>-1.29400612278239</v>
      </c>
      <c r="AP259" s="22" t="n">
        <f aca="false">100*(AP125-AP124)</f>
        <v>-1.3108309724271</v>
      </c>
      <c r="AQ259" s="22" t="n">
        <f aca="false">100*(AQ125-AQ124)</f>
        <v>-1.3285347057544</v>
      </c>
      <c r="AR259" s="22" t="n">
        <f aca="false">100*(AR125-AR124)</f>
        <v>-1.34726452474001</v>
      </c>
      <c r="AS259" s="22" t="n">
        <f aca="false">100*(AS125-AS124)</f>
        <v>-1.36712055035251</v>
      </c>
      <c r="AT259" s="22" t="n">
        <f aca="false">100*(AT125-AT124)</f>
        <v>-1.38815715956719</v>
      </c>
      <c r="AU259" s="22" t="n">
        <f aca="false">100*(AU125-AU124)</f>
        <v>-1.41038091434069</v>
      </c>
      <c r="AV259" s="22" t="n">
        <f aca="false">AVERAGE(C259:AU259)</f>
        <v>-0.427292434489844</v>
      </c>
    </row>
    <row r="260" customFormat="false" ht="15" hidden="false" customHeight="false" outlineLevel="0" collapsed="false">
      <c r="A260" s="20" t="n">
        <f aca="false">A126</f>
        <v>1</v>
      </c>
      <c r="B260" s="21" t="n">
        <f aca="false">B126</f>
        <v>43175</v>
      </c>
      <c r="C260" s="22" t="n">
        <f aca="false">100*(C126-C125)</f>
        <v>0.87613972300622</v>
      </c>
      <c r="D260" s="22" t="n">
        <f aca="false">100*(D126-D125)</f>
        <v>0.932279674140957</v>
      </c>
      <c r="E260" s="22" t="n">
        <f aca="false">100*(E126-E125)</f>
        <v>0.971816751693533</v>
      </c>
      <c r="F260" s="22" t="n">
        <f aca="false">100*(F126-F125)</f>
        <v>0.984157337453195</v>
      </c>
      <c r="G260" s="22" t="n">
        <f aca="false">100*(G126-G125)</f>
        <v>0.968900834602759</v>
      </c>
      <c r="H260" s="22" t="n">
        <f aca="false">100*(H126-H125)</f>
        <v>0.929884682601168</v>
      </c>
      <c r="I260" s="22" t="n">
        <f aca="false">100*(I126-I125)</f>
        <v>0.872486863600308</v>
      </c>
      <c r="J260" s="22" t="n">
        <f aca="false">100*(J126-J125)</f>
        <v>0.801997267704802</v>
      </c>
      <c r="K260" s="22" t="n">
        <f aca="false">100*(K126-K125)</f>
        <v>0.723193802542599</v>
      </c>
      <c r="L260" s="22" t="n">
        <f aca="false">100*(L126-L125)</f>
        <v>0.639764736493187</v>
      </c>
      <c r="M260" s="22" t="n">
        <f aca="false">100*(M126-M125)</f>
        <v>0.554553095371579</v>
      </c>
      <c r="N260" s="22" t="n">
        <f aca="false">100*(N126-N125)</f>
        <v>0.469641542280197</v>
      </c>
      <c r="O260" s="22" t="n">
        <f aca="false">100*(O126-O125)</f>
        <v>-0.385543363565688</v>
      </c>
      <c r="P260" s="22" t="n">
        <f aca="false">100*(P126-P125)</f>
        <v>-0.435318408955609</v>
      </c>
      <c r="Q260" s="22" t="n">
        <f aca="false">100*(Q126-Q125)</f>
        <v>-0.483381802189697</v>
      </c>
      <c r="R260" s="22" t="n">
        <f aca="false">100*(R126-R125)</f>
        <v>-0.529631773684991</v>
      </c>
      <c r="S260" s="22" t="n">
        <f aca="false">100*(S126-S125)</f>
        <v>-0.573940888402702</v>
      </c>
      <c r="T260" s="22" t="n">
        <f aca="false">100*(T126-T125)</f>
        <v>-0.616159700432117</v>
      </c>
      <c r="U260" s="22" t="n">
        <f aca="false">100*(U126-U125)</f>
        <v>-0.656125300829613</v>
      </c>
      <c r="V260" s="22" t="n">
        <f aca="false">100*(V126-V125)</f>
        <v>-0.693695389959093</v>
      </c>
      <c r="W260" s="22" t="n">
        <f aca="false">100*(W126-W125)</f>
        <v>-0.7287607183595</v>
      </c>
      <c r="X260" s="22" t="n">
        <f aca="false">100*(X126-X125)</f>
        <v>-0.761243216370588</v>
      </c>
      <c r="Y260" s="22" t="n">
        <f aca="false">100*(Y126-Y125)</f>
        <v>-0.791105545680004</v>
      </c>
      <c r="Z260" s="22" t="n">
        <f aca="false">100*(Z126-Z125)</f>
        <v>-0.818347946160491</v>
      </c>
      <c r="AA260" s="22" t="n">
        <f aca="false">100*(AA126-AA125)</f>
        <v>-0.843002561083095</v>
      </c>
      <c r="AB260" s="22" t="n">
        <f aca="false">100*(AB126-AB125)</f>
        <v>-0.865129546458898</v>
      </c>
      <c r="AC260" s="22" t="n">
        <f aca="false">100*(AC126-AC125)</f>
        <v>-0.884813931846096</v>
      </c>
      <c r="AD260" s="22" t="n">
        <f aca="false">100*(AD126-AD125)</f>
        <v>-0.902167164406698</v>
      </c>
      <c r="AE260" s="22" t="n">
        <f aca="false">100*(AE126-AE125)</f>
        <v>-0.917325265339808</v>
      </c>
      <c r="AF260" s="22" t="n">
        <f aca="false">100*(AF126-AF125)</f>
        <v>-0.930439272220807</v>
      </c>
      <c r="AG260" s="22" t="n">
        <f aca="false">100*(AG126-AG125)</f>
        <v>-0.941675333811487</v>
      </c>
      <c r="AH260" s="22" t="n">
        <f aca="false">100*(AH126-AH125)</f>
        <v>-0.951207210060301</v>
      </c>
      <c r="AI260" s="22" t="n">
        <f aca="false">100*(AI126-AI125)</f>
        <v>-0.959210125801091</v>
      </c>
      <c r="AJ260" s="22" t="n">
        <f aca="false">100*(AJ126-AJ125)</f>
        <v>-0.965863334642703</v>
      </c>
      <c r="AK260" s="22" t="n">
        <f aca="false">100*(AK126-AK125)</f>
        <v>-0.971349619266793</v>
      </c>
      <c r="AL260" s="22" t="n">
        <f aca="false">100*(AL126-AL125)</f>
        <v>-0.975847792069984</v>
      </c>
      <c r="AM260" s="22" t="n">
        <f aca="false">100*(AM126-AM125)</f>
        <v>-0.979525401824311</v>
      </c>
      <c r="AN260" s="22" t="n">
        <f aca="false">100*(AN126-AN125)</f>
        <v>-0.982539481270095</v>
      </c>
      <c r="AO260" s="22" t="n">
        <f aca="false">100*(AO126-AO125)</f>
        <v>-0.985031385672008</v>
      </c>
      <c r="AP260" s="22" t="n">
        <f aca="false">100*(AP126-AP125)</f>
        <v>-0.987125201527794</v>
      </c>
      <c r="AQ260" s="22" t="n">
        <f aca="false">100*(AQ126-AQ125)</f>
        <v>-0.988923839461209</v>
      </c>
      <c r="AR260" s="22" t="n">
        <f aca="false">100*(AR126-AR125)</f>
        <v>-0.990509313029997</v>
      </c>
      <c r="AS260" s="22" t="n">
        <f aca="false">100*(AS126-AS125)</f>
        <v>-0.991944512956988</v>
      </c>
      <c r="AT260" s="22" t="n">
        <f aca="false">100*(AT126-AT125)</f>
        <v>-0.993271643192406</v>
      </c>
      <c r="AU260" s="22" t="n">
        <f aca="false">100*(AU126-AU125)</f>
        <v>-0.994509748433492</v>
      </c>
      <c r="AV260" s="22" t="n">
        <f aca="false">AVERAGE(C260:AU260)</f>
        <v>-0.394441098388348</v>
      </c>
    </row>
    <row r="261" customFormat="false" ht="15" hidden="false" customHeight="false" outlineLevel="0" collapsed="false">
      <c r="A261" s="20" t="n">
        <f aca="false">A127</f>
        <v>2</v>
      </c>
      <c r="B261" s="21" t="n">
        <f aca="false">B127</f>
        <v>43178</v>
      </c>
      <c r="C261" s="22" t="n">
        <f aca="false">100*(C127-C126)</f>
        <v>1.60988406320801</v>
      </c>
      <c r="D261" s="22" t="n">
        <f aca="false">100*(D127-D126)</f>
        <v>1.60850784182075</v>
      </c>
      <c r="E261" s="22" t="n">
        <f aca="false">100*(E127-E126)</f>
        <v>1.59211958532592</v>
      </c>
      <c r="F261" s="22" t="n">
        <f aca="false">100*(F127-F126)</f>
        <v>1.56670775876453</v>
      </c>
      <c r="G261" s="22" t="n">
        <f aca="false">100*(G127-G126)</f>
        <v>1.5349641713852</v>
      </c>
      <c r="H261" s="22" t="n">
        <f aca="false">100*(H127-H126)</f>
        <v>1.49800252372831</v>
      </c>
      <c r="I261" s="22" t="n">
        <f aca="false">100*(I127-I126)</f>
        <v>1.45587570240011</v>
      </c>
      <c r="J261" s="22" t="n">
        <f aca="false">100*(J127-J126)</f>
        <v>1.4079488228474</v>
      </c>
      <c r="K261" s="22" t="n">
        <f aca="false">100*(K127-K126)</f>
        <v>1.35328940893291</v>
      </c>
      <c r="L261" s="22" t="n">
        <f aca="false">100*(L127-L126)</f>
        <v>1.29069205819832</v>
      </c>
      <c r="M261" s="22" t="n">
        <f aca="false">100*(M127-M126)</f>
        <v>1.21881088080031</v>
      </c>
      <c r="N261" s="22" t="n">
        <f aca="false">100*(N127-N126)</f>
        <v>1.13619446575961</v>
      </c>
      <c r="O261" s="22" t="n">
        <f aca="false">100*(O127-O126)</f>
        <v>-0.962631278758797</v>
      </c>
      <c r="P261" s="22" t="n">
        <f aca="false">100*(P127-P126)</f>
        <v>-1.1454596807966</v>
      </c>
      <c r="Q261" s="22" t="n">
        <f aca="false">100*(Q127-Q126)</f>
        <v>-1.3200757908602</v>
      </c>
      <c r="R261" s="22" t="n">
        <f aca="false">100*(R127-R126)</f>
        <v>-1.48504891608492</v>
      </c>
      <c r="S261" s="22" t="n">
        <f aca="false">100*(S127-S126)</f>
        <v>-1.63931937445039</v>
      </c>
      <c r="T261" s="22" t="n">
        <f aca="false">100*(T127-T126)</f>
        <v>-1.78214254057989</v>
      </c>
      <c r="U261" s="22" t="n">
        <f aca="false">100*(U127-U126)</f>
        <v>-1.91304417544629</v>
      </c>
      <c r="V261" s="22" t="n">
        <f aca="false">100*(V127-V126)</f>
        <v>-2.03179065859331</v>
      </c>
      <c r="W261" s="22" t="n">
        <f aca="false">100*(W127-W126)</f>
        <v>-2.1383586685382</v>
      </c>
      <c r="X261" s="22" t="n">
        <f aca="false">100*(X127-X126)</f>
        <v>-2.23290576422881</v>
      </c>
      <c r="Y261" s="22" t="n">
        <f aca="false">100*(Y127-Y126)</f>
        <v>-2.3157347322152</v>
      </c>
      <c r="Z261" s="22" t="n">
        <f aca="false">100*(Z127-Z126)</f>
        <v>-2.38726101814661</v>
      </c>
      <c r="AA261" s="22" t="n">
        <f aca="false">100*(AA127-AA126)</f>
        <v>-2.44799718427742</v>
      </c>
      <c r="AB261" s="22" t="n">
        <f aca="false">100*(AB127-AB126)</f>
        <v>-2.4985410659796</v>
      </c>
      <c r="AC261" s="22" t="n">
        <f aca="false">100*(AC127-AC126)</f>
        <v>-2.53956562074229</v>
      </c>
      <c r="AD261" s="22" t="n">
        <f aca="false">100*(AD127-AD126)</f>
        <v>-2.5718074918067</v>
      </c>
      <c r="AE261" s="22" t="n">
        <f aca="false">100*(AE127-AE126)</f>
        <v>-2.5960482217221</v>
      </c>
      <c r="AF261" s="22" t="n">
        <f aca="false">100*(AF127-AF126)</f>
        <v>-2.6130991996878</v>
      </c>
      <c r="AG261" s="22" t="n">
        <f aca="false">100*(AG127-AG126)</f>
        <v>-2.62379484292821</v>
      </c>
      <c r="AH261" s="22" t="n">
        <f aca="false">100*(AH127-AH126)</f>
        <v>-2.62897875673669</v>
      </c>
      <c r="AI261" s="22" t="n">
        <f aca="false">100*(AI127-AI126)</f>
        <v>-2.62947610719051</v>
      </c>
      <c r="AJ261" s="22" t="n">
        <f aca="false">100*(AJ127-AJ126)</f>
        <v>-2.62608891793961</v>
      </c>
      <c r="AK261" s="22" t="n">
        <f aca="false">100*(AK127-AK126)</f>
        <v>-2.61959813240089</v>
      </c>
      <c r="AL261" s="22" t="n">
        <f aca="false">100*(AL127-AL126)</f>
        <v>-2.61075487422811</v>
      </c>
      <c r="AM261" s="22" t="n">
        <f aca="false">100*(AM127-AM126)</f>
        <v>-2.6002574304834</v>
      </c>
      <c r="AN261" s="22" t="n">
        <f aca="false">100*(AN127-AN126)</f>
        <v>-2.5887473297932</v>
      </c>
      <c r="AO261" s="22" t="n">
        <f aca="false">100*(AO127-AO126)</f>
        <v>-2.57680403285361</v>
      </c>
      <c r="AP261" s="22" t="n">
        <f aca="false">100*(AP127-AP126)</f>
        <v>-2.56494320843921</v>
      </c>
      <c r="AQ261" s="22" t="n">
        <f aca="false">100*(AQ127-AQ126)</f>
        <v>-2.55361066161479</v>
      </c>
      <c r="AR261" s="22" t="n">
        <f aca="false">100*(AR127-AR126)</f>
        <v>-2.5431826231574</v>
      </c>
      <c r="AS261" s="22" t="n">
        <f aca="false">100*(AS127-AS126)</f>
        <v>-2.5339715034288</v>
      </c>
      <c r="AT261" s="22" t="n">
        <f aca="false">100*(AT127-AT126)</f>
        <v>-2.5262279334197</v>
      </c>
      <c r="AU261" s="22" t="n">
        <f aca="false">100*(AU127-AU126)</f>
        <v>-2.5201376399129</v>
      </c>
      <c r="AV261" s="22" t="n">
        <f aca="false">AVERAGE(C261:AU261)</f>
        <v>-1.29098684653935</v>
      </c>
    </row>
    <row r="262" customFormat="false" ht="15" hidden="false" customHeight="false" outlineLevel="0" collapsed="false">
      <c r="A262" s="20" t="n">
        <f aca="false">A128</f>
        <v>3</v>
      </c>
      <c r="B262" s="21" t="n">
        <f aca="false">B128</f>
        <v>43179</v>
      </c>
      <c r="C262" s="22" t="n">
        <f aca="false">100*(C128-C127)</f>
        <v>4.98833391821282</v>
      </c>
      <c r="D262" s="22" t="n">
        <f aca="false">100*(D128-D127)</f>
        <v>5.1745454793674</v>
      </c>
      <c r="E262" s="22" t="n">
        <f aca="false">100*(E128-E127)</f>
        <v>5.28291722773223</v>
      </c>
      <c r="F262" s="22" t="n">
        <f aca="false">100*(F128-F127)</f>
        <v>5.34391147880772</v>
      </c>
      <c r="G262" s="22" t="n">
        <f aca="false">100*(G128-G127)</f>
        <v>5.37219440002767</v>
      </c>
      <c r="H262" s="22" t="n">
        <f aca="false">100*(H128-H127)</f>
        <v>5.37493455463438</v>
      </c>
      <c r="I262" s="22" t="n">
        <f aca="false">100*(I128-I127)</f>
        <v>5.35622581570798</v>
      </c>
      <c r="J262" s="22" t="n">
        <f aca="false">100*(J128-J127)</f>
        <v>5.3188211080377</v>
      </c>
      <c r="K262" s="22" t="n">
        <f aca="false">100*(K128-K127)</f>
        <v>5.2648219185415</v>
      </c>
      <c r="L262" s="22" t="n">
        <f aca="false">100*(L128-L127)</f>
        <v>5.1958173970083</v>
      </c>
      <c r="M262" s="22" t="n">
        <f aca="false">100*(M128-M127)</f>
        <v>5.1131309109143</v>
      </c>
      <c r="N262" s="22" t="n">
        <f aca="false">100*(N128-N127)</f>
        <v>5.0179324636058</v>
      </c>
      <c r="O262" s="22" t="n">
        <f aca="false">100*(O128-O127)</f>
        <v>3.0570492388158</v>
      </c>
      <c r="P262" s="22" t="n">
        <f aca="false">100*(P128-P127)</f>
        <v>2.8775400745406</v>
      </c>
      <c r="Q262" s="22" t="n">
        <f aca="false">100*(Q128-Q127)</f>
        <v>2.69872623529359</v>
      </c>
      <c r="R262" s="22" t="n">
        <f aca="false">100*(R128-R127)</f>
        <v>2.52184271901952</v>
      </c>
      <c r="S262" s="22" t="n">
        <f aca="false">100*(S128-S127)</f>
        <v>2.34811593180528</v>
      </c>
      <c r="T262" s="22" t="n">
        <f aca="false">100*(T128-T127)</f>
        <v>2.17876494565079</v>
      </c>
      <c r="U262" s="22" t="n">
        <f aca="false">100*(U128-U127)</f>
        <v>2.0149926203799</v>
      </c>
      <c r="V262" s="22" t="n">
        <f aca="false">100*(V128-V127)</f>
        <v>1.85790187910371</v>
      </c>
      <c r="W262" s="22" t="n">
        <f aca="false">100*(W128-W127)</f>
        <v>1.70843883108029</v>
      </c>
      <c r="X262" s="22" t="n">
        <f aca="false">100*(X128-X127)</f>
        <v>1.56740294303499</v>
      </c>
      <c r="Y262" s="22" t="n">
        <f aca="false">100*(Y128-Y127)</f>
        <v>1.4354146141297</v>
      </c>
      <c r="Z262" s="22" t="n">
        <f aca="false">100*(Z128-Z127)</f>
        <v>1.31289616778951</v>
      </c>
      <c r="AA262" s="22" t="n">
        <f aca="false">100*(AA128-AA127)</f>
        <v>1.20009374716001</v>
      </c>
      <c r="AB262" s="22" t="n">
        <f aca="false">100*(AB128-AB127)</f>
        <v>1.09709880050739</v>
      </c>
      <c r="AC262" s="22" t="n">
        <f aca="false">100*(AC128-AC127)</f>
        <v>1.00386616088519</v>
      </c>
      <c r="AD262" s="22" t="n">
        <f aca="false">100*(AD128-AD127)</f>
        <v>0.920212724453595</v>
      </c>
      <c r="AE262" s="22" t="n">
        <f aca="false">100*(AE128-AE127)</f>
        <v>0.845792181283911</v>
      </c>
      <c r="AF262" s="22" t="n">
        <f aca="false">100*(AF128-AF127)</f>
        <v>0.780118060385293</v>
      </c>
      <c r="AG262" s="22" t="n">
        <f aca="false">100*(AG128-AG127)</f>
        <v>0.722591803426909</v>
      </c>
      <c r="AH262" s="22" t="n">
        <f aca="false">100*(AH128-AH127)</f>
        <v>0.672527244765497</v>
      </c>
      <c r="AI262" s="22" t="n">
        <f aca="false">100*(AI128-AI127)</f>
        <v>0.629186861093811</v>
      </c>
      <c r="AJ262" s="22" t="n">
        <f aca="false">100*(AJ128-AJ127)</f>
        <v>0.591793542451602</v>
      </c>
      <c r="AK262" s="22" t="n">
        <f aca="false">100*(AK128-AK127)</f>
        <v>0.559534872230683</v>
      </c>
      <c r="AL262" s="22" t="n">
        <f aca="false">100*(AL128-AL127)</f>
        <v>0.531581333655207</v>
      </c>
      <c r="AM262" s="22" t="n">
        <f aca="false">100*(AM128-AM127)</f>
        <v>0.507124019514693</v>
      </c>
      <c r="AN262" s="22" t="n">
        <f aca="false">100*(AN128-AN127)</f>
        <v>0.485385337709987</v>
      </c>
      <c r="AO262" s="22" t="n">
        <f aca="false">100*(AO128-AO127)</f>
        <v>0.465630712935194</v>
      </c>
      <c r="AP262" s="22" t="n">
        <f aca="false">100*(AP128-AP127)</f>
        <v>0.447176930432303</v>
      </c>
      <c r="AQ262" s="22" t="n">
        <f aca="false">100*(AQ128-AQ127)</f>
        <v>0.429413973714987</v>
      </c>
      <c r="AR262" s="22" t="n">
        <f aca="false">100*(AR128-AR127)</f>
        <v>0.411812174104798</v>
      </c>
      <c r="AS262" s="22" t="n">
        <f aca="false">100*(AS128-AS127)</f>
        <v>0.39391589081379</v>
      </c>
      <c r="AT262" s="22" t="n">
        <f aca="false">100*(AT128-AT127)</f>
        <v>0.375346003786015</v>
      </c>
      <c r="AU262" s="22" t="n">
        <f aca="false">100*(AU128-AU127)</f>
        <v>0.355815906692203</v>
      </c>
      <c r="AV262" s="22" t="n">
        <f aca="false">AVERAGE(C262:AU262)</f>
        <v>2.26241535900543</v>
      </c>
    </row>
    <row r="263" customFormat="false" ht="15" hidden="false" customHeight="false" outlineLevel="0" collapsed="false">
      <c r="A263" s="20" t="n">
        <f aca="false">A129</f>
        <v>4</v>
      </c>
      <c r="B263" s="21" t="n">
        <f aca="false">B129</f>
        <v>43180</v>
      </c>
      <c r="C263" s="22" t="n">
        <f aca="false">100*(C129-C128)</f>
        <v>4.38124964615673</v>
      </c>
      <c r="D263" s="22" t="n">
        <f aca="false">100*(D129-D128)</f>
        <v>5.09069787121672</v>
      </c>
      <c r="E263" s="22" t="n">
        <f aca="false">100*(E129-E128)</f>
        <v>5.52408289372475</v>
      </c>
      <c r="F263" s="22" t="n">
        <f aca="false">100*(F129-F128)</f>
        <v>5.76445403585797</v>
      </c>
      <c r="G263" s="22" t="n">
        <f aca="false">100*(G129-G128)</f>
        <v>5.8752834943983</v>
      </c>
      <c r="H263" s="22" t="n">
        <f aca="false">100*(H129-H128)</f>
        <v>5.9002789477963</v>
      </c>
      <c r="I263" s="22" t="n">
        <f aca="false">100*(I129-I128)</f>
        <v>5.86795372652751</v>
      </c>
      <c r="J263" s="22" t="n">
        <f aca="false">100*(J129-J128)</f>
        <v>5.7967488666532</v>
      </c>
      <c r="K263" s="22" t="n">
        <f aca="false">100*(K129-K128)</f>
        <v>5.69877974905579</v>
      </c>
      <c r="L263" s="22" t="n">
        <f aca="false">100*(L129-L128)</f>
        <v>5.5819215795841</v>
      </c>
      <c r="M263" s="22" t="n">
        <f aca="false">100*(M129-M128)</f>
        <v>5.45131808943309</v>
      </c>
      <c r="N263" s="22" t="n">
        <f aca="false">100*(N129-N128)</f>
        <v>5.31031259388008</v>
      </c>
      <c r="O263" s="22" t="n">
        <f aca="false">100*(O129-O128)</f>
        <v>3.18799434378889</v>
      </c>
      <c r="P263" s="22" t="n">
        <f aca="false">100*(P129-P128)</f>
        <v>3.04520046782542</v>
      </c>
      <c r="Q263" s="22" t="n">
        <f aca="false">100*(Q129-Q128)</f>
        <v>2.91049129501331</v>
      </c>
      <c r="R263" s="22" t="n">
        <f aca="false">100*(R129-R128)</f>
        <v>2.78435457257848</v>
      </c>
      <c r="S263" s="22" t="n">
        <f aca="false">100*(S129-S128)</f>
        <v>2.6670916730932</v>
      </c>
      <c r="T263" s="22" t="n">
        <f aca="false">100*(T129-T128)</f>
        <v>2.5588457814897</v>
      </c>
      <c r="U263" s="22" t="n">
        <f aca="false">100*(U129-U128)</f>
        <v>2.4596211606019</v>
      </c>
      <c r="V263" s="22" t="n">
        <f aca="false">100*(V129-V128)</f>
        <v>2.3692745446833</v>
      </c>
      <c r="W263" s="22" t="n">
        <f aca="false">100*(W129-W128)</f>
        <v>2.28751658856718</v>
      </c>
      <c r="X263" s="22" t="n">
        <f aca="false">100*(X129-X128)</f>
        <v>2.21393350258712</v>
      </c>
      <c r="Y263" s="22" t="n">
        <f aca="false">100*(Y129-Y128)</f>
        <v>2.14803410674669</v>
      </c>
      <c r="Z263" s="22" t="n">
        <f aca="false">100*(Z129-Z128)</f>
        <v>2.08929006434779</v>
      </c>
      <c r="AA263" s="22" t="n">
        <f aca="false">100*(AA129-AA128)</f>
        <v>2.03714321046879</v>
      </c>
      <c r="AB263" s="22" t="n">
        <f aca="false">100*(AB129-AB128)</f>
        <v>1.99100918955262</v>
      </c>
      <c r="AC263" s="22" t="n">
        <f aca="false">100*(AC129-AC128)</f>
        <v>1.95028069185039</v>
      </c>
      <c r="AD263" s="22" t="n">
        <f aca="false">100*(AD129-AD128)</f>
        <v>1.91433999329671</v>
      </c>
      <c r="AE263" s="22" t="n">
        <f aca="false">100*(AE129-AE128)</f>
        <v>1.88258760149769</v>
      </c>
      <c r="AF263" s="22" t="n">
        <f aca="false">100*(AF129-AF128)</f>
        <v>1.85442431322591</v>
      </c>
      <c r="AG263" s="22" t="n">
        <f aca="false">100*(AG129-AG128)</f>
        <v>1.8292266064913</v>
      </c>
      <c r="AH263" s="22" t="n">
        <f aca="false">100*(AH129-AH128)</f>
        <v>1.80635648959819</v>
      </c>
      <c r="AI263" s="22" t="n">
        <f aca="false">100*(AI129-AI128)</f>
        <v>1.78518309103188</v>
      </c>
      <c r="AJ263" s="22" t="n">
        <f aca="false">100*(AJ129-AJ128)</f>
        <v>1.76508620973501</v>
      </c>
      <c r="AK263" s="22" t="n">
        <f aca="false">100*(AK129-AK128)</f>
        <v>1.745455551785</v>
      </c>
      <c r="AL263" s="22" t="n">
        <f aca="false">100*(AL129-AL128)</f>
        <v>1.72570412616049</v>
      </c>
      <c r="AM263" s="22" t="n">
        <f aca="false">100*(AM129-AM128)</f>
        <v>1.70530008856531</v>
      </c>
      <c r="AN263" s="22" t="n">
        <f aca="false">100*(AN129-AN128)</f>
        <v>1.6837727380058</v>
      </c>
      <c r="AO263" s="22" t="n">
        <f aca="false">100*(AO129-AO128)</f>
        <v>1.66071806661841</v>
      </c>
      <c r="AP263" s="22" t="n">
        <f aca="false">100*(AP129-AP128)</f>
        <v>1.6358006743139</v>
      </c>
      <c r="AQ263" s="22" t="n">
        <f aca="false">100*(AQ129-AQ128)</f>
        <v>1.60876136723151</v>
      </c>
      <c r="AR263" s="22" t="n">
        <f aca="false">100*(AR129-AR128)</f>
        <v>1.57941697731649</v>
      </c>
      <c r="AS263" s="22" t="n">
        <f aca="false">100*(AS129-AS128)</f>
        <v>1.54765408185731</v>
      </c>
      <c r="AT263" s="22" t="n">
        <f aca="false">100*(AT129-AT128)</f>
        <v>1.51342763568179</v>
      </c>
      <c r="AU263" s="22" t="n">
        <f aca="false">100*(AU129-AU128)</f>
        <v>1.4767652463604</v>
      </c>
      <c r="AV263" s="22" t="n">
        <f aca="false">AVERAGE(C263:AU263)</f>
        <v>2.97029207880561</v>
      </c>
    </row>
    <row r="264" customFormat="false" ht="15" hidden="false" customHeight="false" outlineLevel="0" collapsed="false">
      <c r="A264" s="20" t="n">
        <f aca="false">A130</f>
        <v>5</v>
      </c>
      <c r="B264" s="21" t="n">
        <f aca="false">B130</f>
        <v>43181</v>
      </c>
      <c r="C264" s="22" t="n">
        <f aca="false">100*(C130-C129)</f>
        <v>-4.67784365325675</v>
      </c>
      <c r="D264" s="22" t="n">
        <f aca="false">100*(D130-D129)</f>
        <v>-5.45262162020547</v>
      </c>
      <c r="E264" s="22" t="n">
        <f aca="false">100*(E130-E129)</f>
        <v>-6.17163118143197</v>
      </c>
      <c r="F264" s="22" t="n">
        <f aca="false">100*(F130-F129)</f>
        <v>-6.83639393317925</v>
      </c>
      <c r="G264" s="22" t="n">
        <f aca="false">100*(G130-G129)</f>
        <v>-7.4519239907209</v>
      </c>
      <c r="H264" s="22" t="n">
        <f aca="false">100*(H130-H129)</f>
        <v>-8.0234015133098</v>
      </c>
      <c r="I264" s="22" t="n">
        <f aca="false">100*(I130-I129)</f>
        <v>-8.55364144952331</v>
      </c>
      <c r="J264" s="22" t="n">
        <f aca="false">100*(J130-J129)</f>
        <v>-9.04334780450959</v>
      </c>
      <c r="K264" s="22" t="n">
        <f aca="false">100*(K130-K129)</f>
        <v>-9.49203891709969</v>
      </c>
      <c r="L264" s="22" t="n">
        <f aca="false">100*(L130-L129)</f>
        <v>-9.89865852763421</v>
      </c>
      <c r="M264" s="22" t="n">
        <f aca="false">100*(M130-M129)</f>
        <v>-10.2619637315304</v>
      </c>
      <c r="N264" s="22" t="n">
        <f aca="false">100*(N130-N129)</f>
        <v>-10.5807965899648</v>
      </c>
      <c r="O264" s="22" t="n">
        <f aca="false">100*(O130-O129)</f>
        <v>-11.1470174542362</v>
      </c>
      <c r="P264" s="22" t="n">
        <f aca="false">100*(P130-P129)</f>
        <v>-11.0218753274426</v>
      </c>
      <c r="Q264" s="22" t="n">
        <f aca="false">100*(Q130-Q129)</f>
        <v>-10.8901073334738</v>
      </c>
      <c r="R264" s="22" t="n">
        <f aca="false">100*(R130-R129)</f>
        <v>-10.7541028294201</v>
      </c>
      <c r="S264" s="22" t="n">
        <f aca="false">100*(S130-S129)</f>
        <v>-10.615868190164</v>
      </c>
      <c r="T264" s="22" t="n">
        <f aca="false">100*(T130-T129)</f>
        <v>-10.4770844984325</v>
      </c>
      <c r="U264" s="22" t="n">
        <f aca="false">100*(U130-U129)</f>
        <v>-10.3391581494952</v>
      </c>
      <c r="V264" s="22" t="n">
        <f aca="false">100*(V130-V129)</f>
        <v>-10.2032764212902</v>
      </c>
      <c r="W264" s="22" t="n">
        <f aca="false">100*(W130-W129)</f>
        <v>-10.0704460325836</v>
      </c>
      <c r="X264" s="22" t="n">
        <f aca="false">100*(X130-X129)</f>
        <v>-9.94151657755591</v>
      </c>
      <c r="Y264" s="22" t="n">
        <f aca="false">100*(Y130-Y129)</f>
        <v>-9.8171874644639</v>
      </c>
      <c r="Z264" s="22" t="n">
        <f aca="false">100*(Z130-Z129)</f>
        <v>-9.6980120094242</v>
      </c>
      <c r="AA264" s="22" t="n">
        <f aca="false">100*(AA130-AA129)</f>
        <v>-9.5844142171279</v>
      </c>
      <c r="AB264" s="22" t="n">
        <f aca="false">100*(AB130-AB129)</f>
        <v>-9.476704550527</v>
      </c>
      <c r="AC264" s="22" t="n">
        <f aca="false">100*(AC130-AC129)</f>
        <v>-9.37509324139219</v>
      </c>
      <c r="AD264" s="22" t="n">
        <f aca="false">100*(AD130-AD129)</f>
        <v>-9.27968767172751</v>
      </c>
      <c r="AE264" s="22" t="n">
        <f aca="false">100*(AE130-AE129)</f>
        <v>-9.19046371727079</v>
      </c>
      <c r="AF264" s="22" t="n">
        <f aca="false">100*(AF130-AF129)</f>
        <v>-9.1072735439832</v>
      </c>
      <c r="AG264" s="22" t="n">
        <f aca="false">100*(AG130-AG129)</f>
        <v>-9.0298659442279</v>
      </c>
      <c r="AH264" s="22" t="n">
        <f aca="false">100*(AH130-AH129)</f>
        <v>-8.9579041036777</v>
      </c>
      <c r="AI264" s="22" t="n">
        <f aca="false">100*(AI130-AI129)</f>
        <v>-8.8909960385392</v>
      </c>
      <c r="AJ264" s="22" t="n">
        <f aca="false">100*(AJ130-AJ129)</f>
        <v>-8.82870812189169</v>
      </c>
      <c r="AK264" s="22" t="n">
        <f aca="false">100*(AK130-AK129)</f>
        <v>-8.77056944791799</v>
      </c>
      <c r="AL264" s="22" t="n">
        <f aca="false">100*(AL130-AL129)</f>
        <v>-8.7160847264018</v>
      </c>
      <c r="AM264" s="22" t="n">
        <f aca="false">100*(AM130-AM129)</f>
        <v>-8.66476700384209</v>
      </c>
      <c r="AN264" s="22" t="n">
        <f aca="false">100*(AN130-AN129)</f>
        <v>-8.61614894679759</v>
      </c>
      <c r="AO264" s="22" t="n">
        <f aca="false">100*(AO130-AO129)</f>
        <v>-8.56979026527669</v>
      </c>
      <c r="AP264" s="22" t="n">
        <f aca="false">100*(AP130-AP129)</f>
        <v>-8.52528284794309</v>
      </c>
      <c r="AQ264" s="22" t="n">
        <f aca="false">100*(AQ130-AQ129)</f>
        <v>-8.4822600672031</v>
      </c>
      <c r="AR264" s="22" t="n">
        <f aca="false">100*(AR130-AR129)</f>
        <v>-8.440400261492</v>
      </c>
      <c r="AS264" s="22" t="n">
        <f aca="false">100*(AS130-AS129)</f>
        <v>-8.39942321089941</v>
      </c>
      <c r="AT264" s="22" t="n">
        <f aca="false">100*(AT130-AT129)</f>
        <v>-8.3590906477401</v>
      </c>
      <c r="AU264" s="22" t="n">
        <f aca="false">100*(AU130-AU129)</f>
        <v>-8.31921516779321</v>
      </c>
      <c r="AV264" s="22" t="n">
        <f aca="false">AVERAGE(C264:AU264)</f>
        <v>-9.04453464320045</v>
      </c>
    </row>
    <row r="265" customFormat="false" ht="15" hidden="false" customHeight="false" outlineLevel="0" collapsed="false">
      <c r="A265" s="20" t="n">
        <f aca="false">A131</f>
        <v>6</v>
      </c>
      <c r="B265" s="21" t="n">
        <f aca="false">B131</f>
        <v>43182</v>
      </c>
      <c r="C265" s="22" t="n">
        <f aca="false">100*(C131-C130)</f>
        <v>1.64148974891104</v>
      </c>
      <c r="D265" s="22" t="n">
        <f aca="false">100*(D131-D130)</f>
        <v>1.79596223224167</v>
      </c>
      <c r="E265" s="22" t="n">
        <f aca="false">100*(E131-E130)</f>
        <v>1.98202993985757</v>
      </c>
      <c r="F265" s="22" t="n">
        <f aca="false">100*(F131-F130)</f>
        <v>2.1598827230862</v>
      </c>
      <c r="G265" s="22" t="n">
        <f aca="false">100*(G131-G130)</f>
        <v>2.31378713521149</v>
      </c>
      <c r="H265" s="22" t="n">
        <f aca="false">100*(H131-H130)</f>
        <v>2.4407088994568</v>
      </c>
      <c r="I265" s="22" t="n">
        <f aca="false">100*(I131-I130)</f>
        <v>2.54404929522751</v>
      </c>
      <c r="J265" s="22" t="n">
        <f aca="false">100*(J131-J130)</f>
        <v>2.62931966901501</v>
      </c>
      <c r="K265" s="22" t="n">
        <f aca="false">100*(K131-K130)</f>
        <v>2.7018520380824</v>
      </c>
      <c r="L265" s="22" t="n">
        <f aca="false">100*(L131-L130)</f>
        <v>2.7658377820831</v>
      </c>
      <c r="M265" s="22" t="n">
        <f aca="false">100*(M131-M130)</f>
        <v>2.8240614129585</v>
      </c>
      <c r="N265" s="22" t="n">
        <f aca="false">100*(N131-N130)</f>
        <v>2.87810807698201</v>
      </c>
      <c r="O265" s="22" t="n">
        <f aca="false">100*(O131-O130)</f>
        <v>3.24818872275512</v>
      </c>
      <c r="P265" s="22" t="n">
        <f aca="false">100*(P131-P130)</f>
        <v>3.26060534858379</v>
      </c>
      <c r="Q265" s="22" t="n">
        <f aca="false">100*(Q131-Q130)</f>
        <v>3.2734635829343</v>
      </c>
      <c r="R265" s="22" t="n">
        <f aca="false">100*(R131-R130)</f>
        <v>3.2871556686185</v>
      </c>
      <c r="S265" s="22" t="n">
        <f aca="false">100*(S131-S130)</f>
        <v>3.301972220265</v>
      </c>
      <c r="T265" s="22" t="n">
        <f aca="false">100*(T131-T130)</f>
        <v>3.31811783754301</v>
      </c>
      <c r="U265" s="22" t="n">
        <f aca="false">100*(U131-U130)</f>
        <v>3.3357177617984</v>
      </c>
      <c r="V265" s="22" t="n">
        <f aca="false">100*(V131-V130)</f>
        <v>3.3548038093417</v>
      </c>
      <c r="W265" s="22" t="n">
        <f aca="false">100*(W131-W130)</f>
        <v>3.375324039039</v>
      </c>
      <c r="X265" s="22" t="n">
        <f aca="false">100*(X131-X130)</f>
        <v>3.39715658975359</v>
      </c>
      <c r="Y265" s="22" t="n">
        <f aca="false">100*(Y131-Y130)</f>
        <v>3.4201412498726</v>
      </c>
      <c r="Z265" s="22" t="n">
        <f aca="false">100*(Z131-Z130)</f>
        <v>3.4441124345364</v>
      </c>
      <c r="AA265" s="22" t="n">
        <f aca="false">100*(AA131-AA130)</f>
        <v>3.46890282534189</v>
      </c>
      <c r="AB265" s="22" t="n">
        <f aca="false">100*(AB131-AB130)</f>
        <v>3.49434358175069</v>
      </c>
      <c r="AC265" s="22" t="n">
        <f aca="false">100*(AC131-AC130)</f>
        <v>3.52026461087218</v>
      </c>
      <c r="AD265" s="22" t="n">
        <f aca="false">100*(AD131-AD130)</f>
        <v>3.54650605968181</v>
      </c>
      <c r="AE265" s="22" t="n">
        <f aca="false">100*(AE131-AE130)</f>
        <v>3.57295463693019</v>
      </c>
      <c r="AF265" s="22" t="n">
        <f aca="false">100*(AF131-AF130)</f>
        <v>3.59954800510258</v>
      </c>
      <c r="AG265" s="22" t="n">
        <f aca="false">100*(AG131-AG130)</f>
        <v>3.62626156368828</v>
      </c>
      <c r="AH265" s="22" t="n">
        <f aca="false">100*(AH131-AH130)</f>
        <v>3.65310605353639</v>
      </c>
      <c r="AI265" s="22" t="n">
        <f aca="false">100*(AI131-AI130)</f>
        <v>3.68011548728571</v>
      </c>
      <c r="AJ265" s="22" t="n">
        <f aca="false">100*(AJ131-AJ130)</f>
        <v>3.70733777846439</v>
      </c>
      <c r="AK265" s="22" t="n">
        <f aca="false">100*(AK131-AK130)</f>
        <v>3.7348334200884</v>
      </c>
      <c r="AL265" s="22" t="n">
        <f aca="false">100*(AL131-AL130)</f>
        <v>3.7626755812469</v>
      </c>
      <c r="AM265" s="22" t="n">
        <f aca="false">100*(AM131-AM130)</f>
        <v>3.79093720556418</v>
      </c>
      <c r="AN265" s="22" t="n">
        <f aca="false">100*(AN131-AN130)</f>
        <v>3.81968244368029</v>
      </c>
      <c r="AO265" s="22" t="n">
        <f aca="false">100*(AO131-AO130)</f>
        <v>3.8489586863721</v>
      </c>
      <c r="AP265" s="22" t="n">
        <f aca="false">100*(AP131-AP130)</f>
        <v>3.87879131089239</v>
      </c>
      <c r="AQ265" s="22" t="n">
        <f aca="false">100*(AQ131-AQ130)</f>
        <v>3.90918017726449</v>
      </c>
      <c r="AR265" s="22" t="n">
        <f aca="false">100*(AR131-AR130)</f>
        <v>3.94009705705241</v>
      </c>
      <c r="AS265" s="22" t="n">
        <f aca="false">100*(AS131-AS130)</f>
        <v>3.97148779175511</v>
      </c>
      <c r="AT265" s="22" t="n">
        <f aca="false">100*(AT131-AT130)</f>
        <v>4.0032736659237</v>
      </c>
      <c r="AU265" s="22" t="n">
        <f aca="false">100*(AU131-AU130)</f>
        <v>4.03534797250011</v>
      </c>
      <c r="AV265" s="22" t="n">
        <f aca="false">AVERAGE(C265:AU265)</f>
        <v>3.27241009184775</v>
      </c>
    </row>
    <row r="266" customFormat="false" ht="15" hidden="false" customHeight="false" outlineLevel="0" collapsed="false">
      <c r="A266" s="20" t="n">
        <f aca="false">A132</f>
        <v>7</v>
      </c>
      <c r="B266" s="21" t="n">
        <f aca="false">B132</f>
        <v>43185</v>
      </c>
      <c r="C266" s="22" t="n">
        <f aca="false">100*(C132-C131)</f>
        <v>0.114927672340803</v>
      </c>
      <c r="D266" s="22" t="n">
        <f aca="false">100*(D132-D131)</f>
        <v>0.166317757594026</v>
      </c>
      <c r="E266" s="22" t="n">
        <f aca="false">100*(E132-E131)</f>
        <v>0.213316743471514</v>
      </c>
      <c r="F266" s="22" t="n">
        <f aca="false">100*(F132-F131)</f>
        <v>0.252269596930144</v>
      </c>
      <c r="G266" s="22" t="n">
        <f aca="false">100*(G132-G131)</f>
        <v>0.282398011110119</v>
      </c>
      <c r="H266" s="22" t="n">
        <f aca="false">100*(H132-H131)</f>
        <v>0.303648643061916</v>
      </c>
      <c r="I266" s="22" t="n">
        <f aca="false">100*(I132-I131)</f>
        <v>0.316143722838103</v>
      </c>
      <c r="J266" s="22" t="n">
        <f aca="false">100*(J132-J131)</f>
        <v>0.320128857762003</v>
      </c>
      <c r="K266" s="22" t="n">
        <f aca="false">100*(K132-K131)</f>
        <v>0.316001036551494</v>
      </c>
      <c r="L266" s="22" t="n">
        <f aca="false">100*(L132-L131)</f>
        <v>0.304377051874893</v>
      </c>
      <c r="M266" s="22" t="n">
        <f aca="false">100*(M132-M131)</f>
        <v>0.285984942879991</v>
      </c>
      <c r="N266" s="22" t="n">
        <f aca="false">100*(N132-N131)</f>
        <v>0.261679130694792</v>
      </c>
      <c r="O266" s="22" t="n">
        <f aca="false">100*(O132-O131)</f>
        <v>-0.301024062188704</v>
      </c>
      <c r="P266" s="22" t="n">
        <f aca="false">100*(P132-P131)</f>
        <v>-0.354443303928487</v>
      </c>
      <c r="Q266" s="22" t="n">
        <f aca="false">100*(Q132-Q131)</f>
        <v>-0.408031209679494</v>
      </c>
      <c r="R266" s="22" t="n">
        <f aca="false">100*(R132-R131)</f>
        <v>-0.461302107683115</v>
      </c>
      <c r="S266" s="22" t="n">
        <f aca="false">100*(S132-S131)</f>
        <v>-0.513770373918687</v>
      </c>
      <c r="T266" s="22" t="n">
        <f aca="false">100*(T132-T131)</f>
        <v>-0.564950429970113</v>
      </c>
      <c r="U266" s="22" t="n">
        <f aca="false">100*(U132-U131)</f>
        <v>-0.614361745198999</v>
      </c>
      <c r="V266" s="22" t="n">
        <f aca="false">100*(V132-V131)</f>
        <v>-0.661561511617403</v>
      </c>
      <c r="W266" s="22" t="n">
        <f aca="false">100*(W132-W131)</f>
        <v>-0.706160693564195</v>
      </c>
      <c r="X266" s="22" t="n">
        <f aca="false">100*(X132-X131)</f>
        <v>-0.747820917820086</v>
      </c>
      <c r="Y266" s="22" t="n">
        <f aca="false">100*(Y132-Y131)</f>
        <v>-0.786271015142703</v>
      </c>
      <c r="Z266" s="22" t="n">
        <f aca="false">100*(Z132-Z131)</f>
        <v>-0.821314392644501</v>
      </c>
      <c r="AA266" s="22" t="n">
        <f aca="false">100*(AA132-AA131)</f>
        <v>-0.852820531457099</v>
      </c>
      <c r="AB266" s="22" t="n">
        <f aca="false">100*(AB132-AB131)</f>
        <v>-0.880716928922687</v>
      </c>
      <c r="AC266" s="22" t="n">
        <f aca="false">100*(AC132-AC131)</f>
        <v>-0.904982462154691</v>
      </c>
      <c r="AD266" s="22" t="n">
        <f aca="false">100*(AD132-AD131)</f>
        <v>-0.925652951292499</v>
      </c>
      <c r="AE266" s="22" t="n">
        <f aca="false">100*(AE132-AE131)</f>
        <v>-0.942839250525385</v>
      </c>
      <c r="AF266" s="22" t="n">
        <f aca="false">100*(AF132-AF131)</f>
        <v>-0.956712285344286</v>
      </c>
      <c r="AG266" s="22" t="n">
        <f aca="false">100*(AG132-AG131)</f>
        <v>-0.967487255615995</v>
      </c>
      <c r="AH266" s="22" t="n">
        <f aca="false">100*(AH132-AH131)</f>
        <v>-0.975412847988588</v>
      </c>
      <c r="AI266" s="22" t="n">
        <f aca="false">100*(AI132-AI131)</f>
        <v>-0.980758711960594</v>
      </c>
      <c r="AJ266" s="22" t="n">
        <f aca="false">100*(AJ132-AJ131)</f>
        <v>-0.983812327708611</v>
      </c>
      <c r="AK266" s="22" t="n">
        <f aca="false">100*(AK132-AK131)</f>
        <v>-0.984877062346912</v>
      </c>
      <c r="AL266" s="22" t="n">
        <f aca="false">100*(AL132-AL131)</f>
        <v>-0.984264769573007</v>
      </c>
      <c r="AM266" s="22" t="n">
        <f aca="false">100*(AM132-AM131)</f>
        <v>-0.9822849552654</v>
      </c>
      <c r="AN266" s="22" t="n">
        <f aca="false">100*(AN132-AN131)</f>
        <v>-0.979242975809691</v>
      </c>
      <c r="AO266" s="22" t="n">
        <f aca="false">100*(AO132-AO131)</f>
        <v>-0.975438964982911</v>
      </c>
      <c r="AP266" s="22" t="n">
        <f aca="false">100*(AP132-AP131)</f>
        <v>-0.971165132648411</v>
      </c>
      <c r="AQ266" s="22" t="n">
        <f aca="false">100*(AQ132-AQ131)</f>
        <v>-0.966692915308198</v>
      </c>
      <c r="AR266" s="22" t="n">
        <f aca="false">100*(AR132-AR131)</f>
        <v>-0.962268659533994</v>
      </c>
      <c r="AS266" s="22" t="n">
        <f aca="false">100*(AS132-AS131)</f>
        <v>-0.9581155293507</v>
      </c>
      <c r="AT266" s="22" t="n">
        <f aca="false">100*(AT132-AT131)</f>
        <v>-0.954431025125291</v>
      </c>
      <c r="AU266" s="22" t="n">
        <f aca="false">100*(AU132-AU131)</f>
        <v>-0.951379533465513</v>
      </c>
      <c r="AV266" s="22" t="n">
        <f aca="false">AVERAGE(C266:AU266)</f>
        <v>-0.529892792725048</v>
      </c>
    </row>
    <row r="267" customFormat="false" ht="15" hidden="false" customHeight="false" outlineLevel="0" collapsed="false">
      <c r="A267" s="20" t="n">
        <f aca="false">A133</f>
        <v>8</v>
      </c>
      <c r="B267" s="21" t="n">
        <f aca="false">B133</f>
        <v>43186</v>
      </c>
      <c r="C267" s="22" t="n">
        <f aca="false">100*(C133-C132)</f>
        <v>-1.53784621838672</v>
      </c>
      <c r="D267" s="22" t="n">
        <f aca="false">100*(D133-D132)</f>
        <v>-1.6774086848948</v>
      </c>
      <c r="E267" s="22" t="n">
        <f aca="false">100*(E133-E132)</f>
        <v>-1.8063288624816</v>
      </c>
      <c r="F267" s="22" t="n">
        <f aca="false">100*(F133-F132)</f>
        <v>-1.93594247909537</v>
      </c>
      <c r="G267" s="22" t="n">
        <f aca="false">100*(G133-G132)</f>
        <v>-2.06899068793061</v>
      </c>
      <c r="H267" s="22" t="n">
        <f aca="false">100*(H133-H132)</f>
        <v>-2.2046599278382</v>
      </c>
      <c r="I267" s="22" t="n">
        <f aca="false">100*(I133-I132)</f>
        <v>-2.34051717127022</v>
      </c>
      <c r="J267" s="22" t="n">
        <f aca="false">100*(J133-J132)</f>
        <v>-2.47320669647</v>
      </c>
      <c r="K267" s="22" t="n">
        <f aca="false">100*(K133-K132)</f>
        <v>-2.5989618915462</v>
      </c>
      <c r="L267" s="22" t="n">
        <f aca="false">100*(L133-L132)</f>
        <v>-2.71397557785369</v>
      </c>
      <c r="M267" s="22" t="n">
        <f aca="false">100*(M133-M132)</f>
        <v>-2.81474212717969</v>
      </c>
      <c r="N267" s="22" t="n">
        <f aca="false">100*(N133-N132)</f>
        <v>-2.8981859271894</v>
      </c>
      <c r="O267" s="22" t="n">
        <f aca="false">100*(O133-O132)</f>
        <v>-2.2655280591106</v>
      </c>
      <c r="P267" s="22" t="n">
        <f aca="false">100*(P133-P132)</f>
        <v>-2.1499363153384</v>
      </c>
      <c r="Q267" s="22" t="n">
        <f aca="false">100*(Q133-Q132)</f>
        <v>-2.0366902859974</v>
      </c>
      <c r="R267" s="22" t="n">
        <f aca="false">100*(R133-R132)</f>
        <v>-1.9272459711829</v>
      </c>
      <c r="S267" s="22" t="n">
        <f aca="false">100*(S133-S132)</f>
        <v>-1.82269837296221</v>
      </c>
      <c r="T267" s="22" t="n">
        <f aca="false">100*(T133-T132)</f>
        <v>-1.7238358816912</v>
      </c>
      <c r="U267" s="22" t="n">
        <f aca="false">100*(U133-U132)</f>
        <v>-1.6311854172353</v>
      </c>
      <c r="V267" s="22" t="n">
        <f aca="false">100*(V133-V132)</f>
        <v>-1.54504043936901</v>
      </c>
      <c r="W267" s="22" t="n">
        <f aca="false">100*(W133-W132)</f>
        <v>-1.46547956051901</v>
      </c>
      <c r="X267" s="22" t="n">
        <f aca="false">100*(X133-X132)</f>
        <v>-1.39239848064021</v>
      </c>
      <c r="Y267" s="22" t="n">
        <f aca="false">100*(Y133-Y132)</f>
        <v>-1.32556648157729</v>
      </c>
      <c r="Z267" s="22" t="n">
        <f aca="false">100*(Z133-Z132)</f>
        <v>-1.2646656275622</v>
      </c>
      <c r="AA267" s="22" t="n">
        <f aca="false">100*(AA133-AA132)</f>
        <v>-1.209302930987</v>
      </c>
      <c r="AB267" s="22" t="n">
        <f aca="false">100*(AB133-AB132)</f>
        <v>-1.1590195050688</v>
      </c>
      <c r="AC267" s="22" t="n">
        <f aca="false">100*(AC133-AC132)</f>
        <v>-1.1132986278243</v>
      </c>
      <c r="AD267" s="22" t="n">
        <f aca="false">100*(AD133-AD132)</f>
        <v>-1.0715808679443</v>
      </c>
      <c r="AE267" s="22" t="n">
        <f aca="false">100*(AE133-AE132)</f>
        <v>-1.0332866544037</v>
      </c>
      <c r="AF267" s="22" t="n">
        <f aca="false">100*(AF133-AF132)</f>
        <v>-0.99782312385821</v>
      </c>
      <c r="AG267" s="22" t="n">
        <f aca="false">100*(AG133-AG132)</f>
        <v>-0.964587969545194</v>
      </c>
      <c r="AH267" s="22" t="n">
        <f aca="false">100*(AH133-AH132)</f>
        <v>-0.932976786511008</v>
      </c>
      <c r="AI267" s="22" t="n">
        <f aca="false">100*(AI133-AI132)</f>
        <v>-0.9024034454852</v>
      </c>
      <c r="AJ267" s="22" t="n">
        <f aca="false">100*(AJ133-AJ132)</f>
        <v>-0.872305200917589</v>
      </c>
      <c r="AK267" s="22" t="n">
        <f aca="false">100*(AK133-AK132)</f>
        <v>-0.842140491890087</v>
      </c>
      <c r="AL267" s="22" t="n">
        <f aca="false">100*(AL133-AL132)</f>
        <v>-0.811393566534302</v>
      </c>
      <c r="AM267" s="22" t="n">
        <f aca="false">100*(AM133-AM132)</f>
        <v>-0.779594016899088</v>
      </c>
      <c r="AN267" s="22" t="n">
        <f aca="false">100*(AN133-AN132)</f>
        <v>-0.74632177803291</v>
      </c>
      <c r="AO267" s="22" t="n">
        <f aca="false">100*(AO133-AO132)</f>
        <v>-0.711212175956799</v>
      </c>
      <c r="AP267" s="22" t="n">
        <f aca="false">100*(AP133-AP132)</f>
        <v>-0.673959788634182</v>
      </c>
      <c r="AQ267" s="22" t="n">
        <f aca="false">100*(AQ133-AQ132)</f>
        <v>-0.634331418688006</v>
      </c>
      <c r="AR267" s="22" t="n">
        <f aca="false">100*(AR133-AR132)</f>
        <v>-0.592169478918114</v>
      </c>
      <c r="AS267" s="22" t="n">
        <f aca="false">100*(AS133-AS132)</f>
        <v>-0.547385932619515</v>
      </c>
      <c r="AT267" s="22" t="n">
        <f aca="false">100*(AT133-AT132)</f>
        <v>-0.499962934614207</v>
      </c>
      <c r="AU267" s="22" t="n">
        <f aca="false">100*(AU133-AU132)</f>
        <v>-0.449963806915088</v>
      </c>
      <c r="AV267" s="22" t="n">
        <f aca="false">AVERAGE(C267:AU267)</f>
        <v>-1.44813461439044</v>
      </c>
    </row>
    <row r="268" customFormat="false" ht="15" hidden="false" customHeight="false" outlineLevel="0" collapsed="false">
      <c r="A268" s="20" t="n">
        <f aca="false">A134</f>
        <v>9</v>
      </c>
      <c r="B268" s="21" t="n">
        <f aca="false">B134</f>
        <v>43187</v>
      </c>
      <c r="C268" s="22" t="n">
        <f aca="false">100*(C134-C133)</f>
        <v>-4.98486495086168</v>
      </c>
      <c r="D268" s="22" t="n">
        <f aca="false">100*(D134-D133)</f>
        <v>-5.49250374829006</v>
      </c>
      <c r="E268" s="22" t="n">
        <f aca="false">100*(E134-E133)</f>
        <v>-5.81123657010971</v>
      </c>
      <c r="F268" s="22" t="n">
        <f aca="false">100*(F134-F133)</f>
        <v>-6.00852533324067</v>
      </c>
      <c r="G268" s="22" t="n">
        <f aca="false">100*(G134-G133)</f>
        <v>-6.12099050816737</v>
      </c>
      <c r="H268" s="22" t="n">
        <f aca="false">100*(H134-H133)</f>
        <v>-6.16964671947403</v>
      </c>
      <c r="I268" s="22" t="n">
        <f aca="false">100*(I134-I133)</f>
        <v>-6.16749765959099</v>
      </c>
      <c r="J268" s="22" t="n">
        <f aca="false">100*(J134-J133)</f>
        <v>-6.1233630186013</v>
      </c>
      <c r="K268" s="22" t="n">
        <f aca="false">100*(K134-K133)</f>
        <v>-6.044137798496</v>
      </c>
      <c r="L268" s="22" t="n">
        <f aca="false">100*(L134-L133)</f>
        <v>-5.9358696244971</v>
      </c>
      <c r="M268" s="22" t="n">
        <f aca="false">100*(M134-M133)</f>
        <v>-5.80415118988999</v>
      </c>
      <c r="N268" s="22" t="n">
        <f aca="false">100*(N134-N133)</f>
        <v>-5.65432895288789</v>
      </c>
      <c r="O268" s="22" t="n">
        <f aca="false">100*(O134-O133)</f>
        <v>-3.56544640099892</v>
      </c>
      <c r="P268" s="22" t="n">
        <f aca="false">100*(P134-P133)</f>
        <v>-3.44220876221302</v>
      </c>
      <c r="Q268" s="22" t="n">
        <f aca="false">100*(Q134-Q133)</f>
        <v>-3.32635687583851</v>
      </c>
      <c r="R268" s="22" t="n">
        <f aca="false">100*(R134-R133)</f>
        <v>-3.21784492767419</v>
      </c>
      <c r="S268" s="22" t="n">
        <f aca="false">100*(S134-S133)</f>
        <v>-3.11652944871401</v>
      </c>
      <c r="T268" s="22" t="n">
        <f aca="false">100*(T134-T133)</f>
        <v>-3.02218396101819</v>
      </c>
      <c r="U268" s="22" t="n">
        <f aca="false">100*(U134-U133)</f>
        <v>-2.93451405639911</v>
      </c>
      <c r="V268" s="22" t="n">
        <f aca="false">100*(V134-V133)</f>
        <v>-2.8531812326589</v>
      </c>
      <c r="W268" s="22" t="n">
        <f aca="false">100*(W134-W133)</f>
        <v>-2.777814196725</v>
      </c>
      <c r="X268" s="22" t="n">
        <f aca="false">100*(X134-X133)</f>
        <v>-2.7080166958378</v>
      </c>
      <c r="Y268" s="22" t="n">
        <f aca="false">100*(Y134-Y133)</f>
        <v>-2.6433954319536</v>
      </c>
      <c r="Z268" s="22" t="n">
        <f aca="false">100*(Z134-Z133)</f>
        <v>-2.58357589293299</v>
      </c>
      <c r="AA268" s="22" t="n">
        <f aca="false">100*(AA134-AA133)</f>
        <v>-2.52820076426199</v>
      </c>
      <c r="AB268" s="22" t="n">
        <f aca="false">100*(AB134-AB133)</f>
        <v>-2.47692783177971</v>
      </c>
      <c r="AC268" s="22" t="n">
        <f aca="false">100*(AC134-AC133)</f>
        <v>-2.4294284157105</v>
      </c>
      <c r="AD268" s="22" t="n">
        <f aca="false">100*(AD134-AD133)</f>
        <v>-2.3853943395427</v>
      </c>
      <c r="AE268" s="22" t="n">
        <f aca="false">100*(AE134-AE133)</f>
        <v>-2.3445524319202</v>
      </c>
      <c r="AF268" s="22" t="n">
        <f aca="false">100*(AF134-AF133)</f>
        <v>-2.30665872259339</v>
      </c>
      <c r="AG268" s="22" t="n">
        <f aca="false">100*(AG134-AG133)</f>
        <v>-2.2714922746842</v>
      </c>
      <c r="AH268" s="22" t="n">
        <f aca="false">100*(AH134-AH133)</f>
        <v>-2.2388496593007</v>
      </c>
      <c r="AI268" s="22" t="n">
        <f aca="false">100*(AI134-AI133)</f>
        <v>-2.2085405623179</v>
      </c>
      <c r="AJ268" s="22" t="n">
        <f aca="false">100*(AJ134-AJ133)</f>
        <v>-2.18038717683711</v>
      </c>
      <c r="AK268" s="22" t="n">
        <f aca="false">100*(AK134-AK133)</f>
        <v>-2.154222829581</v>
      </c>
      <c r="AL268" s="22" t="n">
        <f aca="false">100*(AL134-AL133)</f>
        <v>-2.1298868234799</v>
      </c>
      <c r="AM268" s="22" t="n">
        <f aca="false">100*(AM134-AM133)</f>
        <v>-2.10721848904711</v>
      </c>
      <c r="AN268" s="22" t="n">
        <f aca="false">100*(AN134-AN133)</f>
        <v>-2.08605675744691</v>
      </c>
      <c r="AO268" s="22" t="n">
        <f aca="false">100*(AO134-AO133)</f>
        <v>-2.066240246884</v>
      </c>
      <c r="AP268" s="22" t="n">
        <f aca="false">100*(AP134-AP133)</f>
        <v>-2.04760875888741</v>
      </c>
      <c r="AQ268" s="22" t="n">
        <f aca="false">100*(AQ134-AQ133)</f>
        <v>-2.03000827641109</v>
      </c>
      <c r="AR268" s="22" t="n">
        <f aca="false">100*(AR134-AR133)</f>
        <v>-2.01329354118058</v>
      </c>
      <c r="AS268" s="22" t="n">
        <f aca="false">100*(AS134-AS133)</f>
        <v>-1.99732747132639</v>
      </c>
      <c r="AT268" s="22" t="n">
        <f aca="false">100*(AT134-AT133)</f>
        <v>-1.981983209841</v>
      </c>
      <c r="AU268" s="22" t="n">
        <f aca="false">100*(AU134-AU133)</f>
        <v>-1.96715173234341</v>
      </c>
      <c r="AV268" s="22" t="n">
        <f aca="false">AVERAGE(C268:AU268)</f>
        <v>-3.38799142827663</v>
      </c>
    </row>
    <row r="269" customFormat="false" ht="15" hidden="false" customHeight="false" outlineLevel="0" collapsed="false">
      <c r="A269" s="20" t="n">
        <f aca="false">A135</f>
        <v>10</v>
      </c>
      <c r="B269" s="21" t="n">
        <f aca="false">B135</f>
        <v>43188</v>
      </c>
      <c r="C269" s="22" t="n">
        <f aca="false">100*(C135-C134)</f>
        <v>-0.411333911547318</v>
      </c>
      <c r="D269" s="22" t="n">
        <f aca="false">100*(D135-D134)</f>
        <v>-0.803675561809236</v>
      </c>
      <c r="E269" s="22" t="n">
        <f aca="false">100*(E135-E134)</f>
        <v>-0.970409541670203</v>
      </c>
      <c r="F269" s="22" t="n">
        <f aca="false">100*(F135-F134)</f>
        <v>-1.03192227965087</v>
      </c>
      <c r="G269" s="22" t="n">
        <f aca="false">100*(G135-G134)</f>
        <v>-1.04599163160974</v>
      </c>
      <c r="H269" s="22" t="n">
        <f aca="false">100*(H135-H134)</f>
        <v>-1.04236766098718</v>
      </c>
      <c r="I269" s="22" t="n">
        <f aca="false">100*(I135-I134)</f>
        <v>-1.0367011550706</v>
      </c>
      <c r="J269" s="22" t="n">
        <f aca="false">100*(J135-J134)</f>
        <v>-1.03632756480321</v>
      </c>
      <c r="K269" s="22" t="n">
        <f aca="false">100*(K135-K134)</f>
        <v>-1.0437412622341</v>
      </c>
      <c r="L269" s="22" t="n">
        <f aca="false">100*(L135-L134)</f>
        <v>-1.05854373310761</v>
      </c>
      <c r="M269" s="22" t="n">
        <f aca="false">100*(M135-M134)</f>
        <v>-1.07894049756592</v>
      </c>
      <c r="N269" s="22" t="n">
        <f aca="false">100*(N135-N134)</f>
        <v>-1.1027049737276</v>
      </c>
      <c r="O269" s="22" t="n">
        <f aca="false">100*(O135-O134)</f>
        <v>-1.13496353843838</v>
      </c>
      <c r="P269" s="22" t="n">
        <f aca="false">100*(P135-P134)</f>
        <v>-1.11200645024658</v>
      </c>
      <c r="Q269" s="22" t="n">
        <f aca="false">100*(Q135-Q134)</f>
        <v>-1.08773590233739</v>
      </c>
      <c r="R269" s="22" t="n">
        <f aca="false">100*(R135-R134)</f>
        <v>-1.0625993209018</v>
      </c>
      <c r="S269" s="22" t="n">
        <f aca="false">100*(S135-S134)</f>
        <v>-1.03695692381309</v>
      </c>
      <c r="T269" s="22" t="n">
        <f aca="false">100*(T135-T134)</f>
        <v>-1.0110945127829</v>
      </c>
      <c r="U269" s="22" t="n">
        <f aca="false">100*(U135-U134)</f>
        <v>-0.985242459049185</v>
      </c>
      <c r="V269" s="22" t="n">
        <f aca="false">100*(V135-V134)</f>
        <v>-0.959598003262285</v>
      </c>
      <c r="W269" s="22" t="n">
        <f aca="false">100*(W135-W134)</f>
        <v>-0.934310579532105</v>
      </c>
      <c r="X269" s="22" t="n">
        <f aca="false">100*(X135-X134)</f>
        <v>-0.909490520631984</v>
      </c>
      <c r="Y269" s="22" t="n">
        <f aca="false">100*(Y135-Y134)</f>
        <v>-0.885234969253501</v>
      </c>
      <c r="Z269" s="22" t="n">
        <f aca="false">100*(Z135-Z134)</f>
        <v>-0.861627700018919</v>
      </c>
      <c r="AA269" s="22" t="n">
        <f aca="false">100*(AA135-AA134)</f>
        <v>-0.838739013813594</v>
      </c>
      <c r="AB269" s="22" t="n">
        <f aca="false">100*(AB135-AB134)</f>
        <v>-0.816627380925206</v>
      </c>
      <c r="AC269" s="22" t="n">
        <f aca="false">100*(AC135-AC134)</f>
        <v>-0.795341372027303</v>
      </c>
      <c r="AD269" s="22" t="n">
        <f aca="false">100*(AD135-AD134)</f>
        <v>-0.7749303211394</v>
      </c>
      <c r="AE269" s="22" t="n">
        <f aca="false">100*(AE135-AE134)</f>
        <v>-0.755447753083516</v>
      </c>
      <c r="AF269" s="22" t="n">
        <f aca="false">100*(AF135-AF134)</f>
        <v>-0.736938082514294</v>
      </c>
      <c r="AG269" s="22" t="n">
        <f aca="false">100*(AG135-AG134)</f>
        <v>-0.719438194954503</v>
      </c>
      <c r="AH269" s="22" t="n">
        <f aca="false">100*(AH135-AH134)</f>
        <v>-0.702966671484795</v>
      </c>
      <c r="AI269" s="22" t="n">
        <f aca="false">100*(AI135-AI134)</f>
        <v>-0.687520904667904</v>
      </c>
      <c r="AJ269" s="22" t="n">
        <f aca="false">100*(AJ135-AJ134)</f>
        <v>-0.673084968167892</v>
      </c>
      <c r="AK269" s="22" t="n">
        <f aca="false">100*(AK135-AK134)</f>
        <v>-0.659630473555106</v>
      </c>
      <c r="AL269" s="22" t="n">
        <f aca="false">100*(AL135-AL134)</f>
        <v>-0.647107610797093</v>
      </c>
      <c r="AM269" s="22" t="n">
        <f aca="false">100*(AM135-AM134)</f>
        <v>-0.635446856105282</v>
      </c>
      <c r="AN269" s="22" t="n">
        <f aca="false">100*(AN135-AN134)</f>
        <v>-0.624566516464586</v>
      </c>
      <c r="AO269" s="22" t="n">
        <f aca="false">100*(AO135-AO134)</f>
        <v>-0.614377399724786</v>
      </c>
      <c r="AP269" s="22" t="n">
        <f aca="false">100*(AP135-AP134)</f>
        <v>-0.604787743387392</v>
      </c>
      <c r="AQ269" s="22" t="n">
        <f aca="false">100*(AQ135-AQ134)</f>
        <v>-0.595708100888315</v>
      </c>
      <c r="AR269" s="22" t="n">
        <f aca="false">100*(AR135-AR134)</f>
        <v>-0.587056127573904</v>
      </c>
      <c r="AS269" s="22" t="n">
        <f aca="false">100*(AS135-AS134)</f>
        <v>-0.578756213781695</v>
      </c>
      <c r="AT269" s="22" t="n">
        <f aca="false">100*(AT135-AT134)</f>
        <v>-0.570739375898399</v>
      </c>
      <c r="AU269" s="22" t="n">
        <f aca="false">100*(AU135-AU134)</f>
        <v>-0.562950644307403</v>
      </c>
      <c r="AV269" s="22" t="n">
        <f aca="false">AVERAGE(C269:AU269)</f>
        <v>-0.840570719540313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6" t="s">
        <v>239</v>
      </c>
    </row>
    <row r="3" customFormat="false" ht="39.55" hidden="false" customHeight="false" outlineLevel="0" collapsed="false">
      <c r="A3" s="3" t="s">
        <v>85</v>
      </c>
      <c r="B3" s="3" t="s">
        <v>72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  <c r="I3" s="3" t="s">
        <v>164</v>
      </c>
      <c r="J3" s="3" t="s">
        <v>165</v>
      </c>
      <c r="K3" s="3" t="s">
        <v>166</v>
      </c>
    </row>
    <row r="4" customFormat="false" ht="15" hidden="false" customHeight="false" outlineLevel="0" collapsed="false">
      <c r="A4" s="10" t="n">
        <v>-121</v>
      </c>
      <c r="B4" s="8" t="n">
        <v>43000</v>
      </c>
      <c r="C4" s="15" t="n">
        <v>1.43713402977</v>
      </c>
      <c r="F4" s="10" t="n">
        <v>0</v>
      </c>
    </row>
    <row r="5" customFormat="false" ht="15" hidden="false" customHeight="false" outlineLevel="0" collapsed="false">
      <c r="A5" s="10" t="n">
        <v>-120</v>
      </c>
      <c r="B5" s="8" t="n">
        <v>43003</v>
      </c>
      <c r="C5" s="15" t="n">
        <v>1.40732565093</v>
      </c>
      <c r="D5" s="22" t="n">
        <f aca="false">100*(C5-C4)</f>
        <v>-2.98083788399999</v>
      </c>
      <c r="E5" s="23" t="n">
        <f aca="false">'A4 control'!AV139</f>
        <v>-2.82105544122336</v>
      </c>
      <c r="F5" s="10" t="n">
        <v>1</v>
      </c>
    </row>
    <row r="6" customFormat="false" ht="15" hidden="false" customHeight="false" outlineLevel="0" collapsed="false">
      <c r="A6" s="10" t="n">
        <v>-119</v>
      </c>
      <c r="B6" s="8" t="n">
        <v>43004</v>
      </c>
      <c r="C6" s="15" t="n">
        <v>1.40813176145</v>
      </c>
      <c r="D6" s="22" t="n">
        <f aca="false">100*(C6-C5)</f>
        <v>0.0806110519999903</v>
      </c>
      <c r="E6" s="23" t="n">
        <f aca="false">'A4 control'!AV140</f>
        <v>0.0693881706738243</v>
      </c>
      <c r="F6" s="10" t="n">
        <v>1</v>
      </c>
    </row>
    <row r="7" customFormat="false" ht="15" hidden="false" customHeight="false" outlineLevel="0" collapsed="false">
      <c r="A7" s="10" t="n">
        <v>-118</v>
      </c>
      <c r="B7" s="8" t="n">
        <v>43005</v>
      </c>
      <c r="C7" s="15" t="n">
        <v>1.45398558972</v>
      </c>
      <c r="D7" s="22" t="n">
        <f aca="false">100*(C7-C6)</f>
        <v>4.58538282700001</v>
      </c>
      <c r="E7" s="23" t="n">
        <f aca="false">'A4 control'!AV141</f>
        <v>3.82785440506426</v>
      </c>
      <c r="F7" s="10" t="n">
        <v>1</v>
      </c>
    </row>
    <row r="8" customFormat="false" ht="15" hidden="false" customHeight="false" outlineLevel="0" collapsed="false">
      <c r="A8" s="10" t="n">
        <v>-117</v>
      </c>
      <c r="B8" s="8" t="n">
        <v>43006</v>
      </c>
      <c r="C8" s="15" t="n">
        <v>1.45403736943</v>
      </c>
      <c r="D8" s="22" t="n">
        <f aca="false">100*(C8-C7)</f>
        <v>0.00517797099999218</v>
      </c>
      <c r="E8" s="23" t="n">
        <f aca="false">'A4 control'!AV142</f>
        <v>-0.518971169872277</v>
      </c>
      <c r="F8" s="10" t="n">
        <v>1</v>
      </c>
    </row>
    <row r="9" customFormat="false" ht="15" hidden="false" customHeight="false" outlineLevel="0" collapsed="false">
      <c r="A9" s="10" t="n">
        <v>-116</v>
      </c>
      <c r="B9" s="8" t="n">
        <v>43007</v>
      </c>
      <c r="C9" s="15" t="n">
        <v>1.43145111952</v>
      </c>
      <c r="D9" s="22" t="n">
        <f aca="false">100*(C9-C8)</f>
        <v>-2.258624991</v>
      </c>
      <c r="E9" s="23" t="n">
        <f aca="false">'A4 control'!AV143</f>
        <v>-2.150085013797</v>
      </c>
      <c r="F9" s="10" t="n">
        <v>1</v>
      </c>
    </row>
    <row r="10" customFormat="false" ht="15" hidden="false" customHeight="false" outlineLevel="0" collapsed="false">
      <c r="A10" s="10" t="n">
        <v>-115</v>
      </c>
      <c r="B10" s="8" t="n">
        <v>43010</v>
      </c>
      <c r="C10" s="15" t="n">
        <v>1.39917234039</v>
      </c>
      <c r="D10" s="22" t="n">
        <f aca="false">100*(C10-C9)</f>
        <v>-3.22787791299999</v>
      </c>
      <c r="E10" s="23" t="n">
        <f aca="false">'A4 control'!AV144</f>
        <v>-2.79239920121102</v>
      </c>
      <c r="F10" s="10" t="n">
        <v>1</v>
      </c>
    </row>
    <row r="11" customFormat="false" ht="15" hidden="false" customHeight="false" outlineLevel="0" collapsed="false">
      <c r="A11" s="10" t="n">
        <v>-114</v>
      </c>
      <c r="B11" s="8" t="n">
        <v>43011</v>
      </c>
      <c r="C11" s="15" t="n">
        <v>1.43006857853</v>
      </c>
      <c r="D11" s="22" t="n">
        <f aca="false">100*(C11-C10)</f>
        <v>3.089623814</v>
      </c>
      <c r="E11" s="23" t="n">
        <f aca="false">'A4 control'!AV145</f>
        <v>2.41145752778114</v>
      </c>
      <c r="F11" s="10" t="n">
        <v>1</v>
      </c>
    </row>
    <row r="12" customFormat="false" ht="15" hidden="false" customHeight="false" outlineLevel="0" collapsed="false">
      <c r="A12" s="10" t="n">
        <v>-113</v>
      </c>
      <c r="B12" s="8" t="n">
        <v>43012</v>
      </c>
      <c r="C12" s="15" t="n">
        <v>1.44311566931</v>
      </c>
      <c r="D12" s="22" t="n">
        <f aca="false">100*(C12-C11)</f>
        <v>1.304709078</v>
      </c>
      <c r="E12" s="23" t="n">
        <f aca="false">'A4 control'!AV146</f>
        <v>1.65014386786634</v>
      </c>
      <c r="F12" s="10" t="n">
        <v>1</v>
      </c>
    </row>
    <row r="13" customFormat="false" ht="15" hidden="false" customHeight="false" outlineLevel="0" collapsed="false">
      <c r="A13" s="10" t="n">
        <v>-112</v>
      </c>
      <c r="B13" s="8" t="n">
        <v>43013</v>
      </c>
      <c r="C13" s="15" t="n">
        <v>1.46154074002</v>
      </c>
      <c r="D13" s="22" t="n">
        <f aca="false">100*(C13-C12)</f>
        <v>1.842507071</v>
      </c>
      <c r="E13" s="23" t="n">
        <f aca="false">'A4 control'!AV147</f>
        <v>2.72742366189097</v>
      </c>
      <c r="F13" s="10" t="n">
        <v>1</v>
      </c>
    </row>
    <row r="14" customFormat="false" ht="15" hidden="false" customHeight="false" outlineLevel="0" collapsed="false">
      <c r="A14" s="10" t="n">
        <v>-111</v>
      </c>
      <c r="B14" s="8" t="n">
        <v>43014</v>
      </c>
      <c r="C14" s="15" t="n">
        <v>1.44255513823</v>
      </c>
      <c r="D14" s="22" t="n">
        <f aca="false">100*(C14-C13)</f>
        <v>-1.89856017900001</v>
      </c>
      <c r="E14" s="23" t="n">
        <f aca="false">'A4 control'!AV148</f>
        <v>-1.67256179562047</v>
      </c>
      <c r="F14" s="10" t="n">
        <v>1</v>
      </c>
    </row>
    <row r="15" customFormat="false" ht="15" hidden="false" customHeight="false" outlineLevel="0" collapsed="false">
      <c r="A15" s="10" t="n">
        <v>-110</v>
      </c>
      <c r="B15" s="8" t="n">
        <v>43017</v>
      </c>
      <c r="C15" s="15" t="n">
        <v>1.43521729775</v>
      </c>
      <c r="D15" s="22" t="n">
        <f aca="false">100*(C15-C14)</f>
        <v>-0.733784047999997</v>
      </c>
      <c r="E15" s="23" t="n">
        <f aca="false">'A4 control'!AV149</f>
        <v>-0.366812222687837</v>
      </c>
      <c r="F15" s="10" t="n">
        <v>1</v>
      </c>
    </row>
    <row r="16" customFormat="false" ht="15" hidden="false" customHeight="false" outlineLevel="0" collapsed="false">
      <c r="A16" s="10" t="n">
        <v>-109</v>
      </c>
      <c r="B16" s="8" t="n">
        <v>43018</v>
      </c>
      <c r="C16" s="15" t="n">
        <v>1.44182706239</v>
      </c>
      <c r="D16" s="22" t="n">
        <f aca="false">100*(C16-C15)</f>
        <v>0.660976464000007</v>
      </c>
      <c r="E16" s="23" t="n">
        <f aca="false">'A4 control'!AV150</f>
        <v>0.432704970958617</v>
      </c>
      <c r="F16" s="10" t="n">
        <v>1</v>
      </c>
    </row>
    <row r="17" customFormat="false" ht="15" hidden="false" customHeight="false" outlineLevel="0" collapsed="false">
      <c r="A17" s="10" t="n">
        <v>-108</v>
      </c>
      <c r="B17" s="8" t="n">
        <v>43019</v>
      </c>
      <c r="C17" s="15" t="n">
        <v>1.45453023944</v>
      </c>
      <c r="D17" s="22" t="n">
        <f aca="false">100*(C17-C16)</f>
        <v>1.27031770499999</v>
      </c>
      <c r="E17" s="23" t="n">
        <f aca="false">'A4 control'!AV151</f>
        <v>0.957830922885896</v>
      </c>
      <c r="F17" s="10" t="n">
        <v>1</v>
      </c>
    </row>
    <row r="18" customFormat="false" ht="15" hidden="false" customHeight="false" outlineLevel="0" collapsed="false">
      <c r="A18" s="10" t="n">
        <v>-107</v>
      </c>
      <c r="B18" s="8" t="n">
        <v>43020</v>
      </c>
      <c r="C18" s="15" t="n">
        <v>1.45386729622</v>
      </c>
      <c r="D18" s="22" t="n">
        <f aca="false">100*(C18-C17)</f>
        <v>-0.0662943219999823</v>
      </c>
      <c r="E18" s="23" t="n">
        <f aca="false">'A4 control'!AV152</f>
        <v>-0.232785431203622</v>
      </c>
      <c r="F18" s="10" t="n">
        <v>1</v>
      </c>
    </row>
    <row r="19" customFormat="false" ht="15" hidden="false" customHeight="false" outlineLevel="0" collapsed="false">
      <c r="A19" s="10" t="n">
        <v>-106</v>
      </c>
      <c r="B19" s="8" t="n">
        <v>43021</v>
      </c>
      <c r="C19" s="15" t="n">
        <v>1.44236000397</v>
      </c>
      <c r="D19" s="22" t="n">
        <f aca="false">100*(C19-C18)</f>
        <v>-1.15072922500001</v>
      </c>
      <c r="E19" s="23" t="n">
        <f aca="false">'A4 control'!AV153</f>
        <v>-1.57937971569988</v>
      </c>
      <c r="F19" s="10" t="n">
        <v>1</v>
      </c>
    </row>
    <row r="20" customFormat="false" ht="15" hidden="false" customHeight="false" outlineLevel="0" collapsed="false">
      <c r="A20" s="10" t="n">
        <v>-105</v>
      </c>
      <c r="B20" s="8" t="n">
        <v>43024</v>
      </c>
      <c r="C20" s="15" t="n">
        <v>1.41556405059</v>
      </c>
      <c r="D20" s="22" t="n">
        <f aca="false">100*(C20-C19)</f>
        <v>-2.679595338</v>
      </c>
      <c r="E20" s="23" t="n">
        <f aca="false">'A4 control'!AV154</f>
        <v>-2.72190490698394</v>
      </c>
      <c r="F20" s="10" t="n">
        <v>1</v>
      </c>
    </row>
    <row r="21" customFormat="false" ht="15" hidden="false" customHeight="false" outlineLevel="0" collapsed="false">
      <c r="A21" s="10" t="n">
        <v>-104</v>
      </c>
      <c r="B21" s="8" t="n">
        <v>43025</v>
      </c>
      <c r="C21" s="15" t="n">
        <v>1.3599904766</v>
      </c>
      <c r="D21" s="22" t="n">
        <f aca="false">100*(C21-C20)</f>
        <v>-5.55735739900001</v>
      </c>
      <c r="E21" s="23" t="n">
        <f aca="false">'A4 control'!AV155</f>
        <v>-4.52959927812146</v>
      </c>
      <c r="F21" s="10" t="n">
        <v>1</v>
      </c>
    </row>
    <row r="22" customFormat="false" ht="15" hidden="false" customHeight="false" outlineLevel="0" collapsed="false">
      <c r="A22" s="10" t="n">
        <v>-103</v>
      </c>
      <c r="B22" s="8" t="n">
        <v>43026</v>
      </c>
      <c r="C22" s="15" t="n">
        <v>1.39135044653</v>
      </c>
      <c r="D22" s="22" t="n">
        <f aca="false">100*(C22-C21)</f>
        <v>3.135996993</v>
      </c>
      <c r="E22" s="23" t="n">
        <f aca="false">'A4 control'!AV156</f>
        <v>2.78124889903565</v>
      </c>
      <c r="F22" s="10" t="n">
        <v>1</v>
      </c>
    </row>
    <row r="23" customFormat="false" ht="15" hidden="false" customHeight="false" outlineLevel="0" collapsed="false">
      <c r="A23" s="10" t="n">
        <v>-102</v>
      </c>
      <c r="B23" s="8" t="n">
        <v>43027</v>
      </c>
      <c r="C23" s="15" t="n">
        <v>1.3515678934</v>
      </c>
      <c r="D23" s="22" t="n">
        <f aca="false">100*(C23-C22)</f>
        <v>-3.978255313</v>
      </c>
      <c r="E23" s="23" t="n">
        <f aca="false">'A4 control'!AV157</f>
        <v>-3.36540731045572</v>
      </c>
      <c r="F23" s="10" t="n">
        <v>1</v>
      </c>
    </row>
    <row r="24" customFormat="false" ht="15" hidden="false" customHeight="false" outlineLevel="0" collapsed="false">
      <c r="A24" s="10" t="n">
        <v>-101</v>
      </c>
      <c r="B24" s="8" t="n">
        <v>43028</v>
      </c>
      <c r="C24" s="15" t="n">
        <v>1.41068279146</v>
      </c>
      <c r="D24" s="22" t="n">
        <f aca="false">100*(C24-C23)</f>
        <v>5.911489806</v>
      </c>
      <c r="E24" s="23" t="n">
        <f aca="false">'A4 control'!AV158</f>
        <v>5.51947171952754</v>
      </c>
      <c r="F24" s="10" t="n">
        <v>1</v>
      </c>
    </row>
    <row r="25" customFormat="false" ht="15" hidden="false" customHeight="false" outlineLevel="0" collapsed="false">
      <c r="A25" s="10" t="n">
        <v>-100</v>
      </c>
      <c r="B25" s="8" t="n">
        <v>43031</v>
      </c>
      <c r="C25" s="15" t="n">
        <v>1.39006874601</v>
      </c>
      <c r="D25" s="22" t="n">
        <f aca="false">100*(C25-C24)</f>
        <v>-2.06140454499999</v>
      </c>
      <c r="E25" s="23" t="n">
        <f aca="false">'A4 control'!AV159</f>
        <v>-1.86864023313245</v>
      </c>
      <c r="F25" s="10" t="n">
        <v>1</v>
      </c>
    </row>
    <row r="26" customFormat="false" ht="15" hidden="false" customHeight="false" outlineLevel="0" collapsed="false">
      <c r="A26" s="10" t="n">
        <v>-99</v>
      </c>
      <c r="B26" s="8" t="n">
        <v>43032</v>
      </c>
      <c r="C26" s="15" t="n">
        <v>1.43487698647</v>
      </c>
      <c r="D26" s="22" t="n">
        <f aca="false">100*(C26-C25)</f>
        <v>4.48082404599999</v>
      </c>
      <c r="E26" s="23" t="n">
        <f aca="false">'A4 control'!AV160</f>
        <v>3.43583039607644</v>
      </c>
      <c r="F26" s="10" t="n">
        <v>1</v>
      </c>
    </row>
    <row r="27" customFormat="false" ht="15" hidden="false" customHeight="false" outlineLevel="0" collapsed="false">
      <c r="A27" s="10" t="n">
        <v>-98</v>
      </c>
      <c r="B27" s="8" t="n">
        <v>43033</v>
      </c>
      <c r="C27" s="15" t="n">
        <v>1.49473295096</v>
      </c>
      <c r="D27" s="22" t="n">
        <f aca="false">100*(C27-C26)</f>
        <v>5.98559644900001</v>
      </c>
      <c r="E27" s="23" t="n">
        <f aca="false">'A4 control'!AV161</f>
        <v>4.62302264413192</v>
      </c>
      <c r="F27" s="10" t="n">
        <v>1</v>
      </c>
    </row>
    <row r="28" customFormat="false" ht="15" hidden="false" customHeight="false" outlineLevel="0" collapsed="false">
      <c r="A28" s="10" t="n">
        <v>-97</v>
      </c>
      <c r="B28" s="8" t="n">
        <v>43034</v>
      </c>
      <c r="C28" s="15" t="n">
        <v>1.48654663485</v>
      </c>
      <c r="D28" s="22" t="n">
        <f aca="false">100*(C28-C27)</f>
        <v>-0.818631610999998</v>
      </c>
      <c r="E28" s="23" t="n">
        <f aca="false">'A4 control'!AV162</f>
        <v>-0.260327335856971</v>
      </c>
      <c r="F28" s="10" t="n">
        <v>1</v>
      </c>
    </row>
    <row r="29" customFormat="false" ht="15" hidden="false" customHeight="false" outlineLevel="0" collapsed="false">
      <c r="A29" s="10" t="n">
        <v>-96</v>
      </c>
      <c r="B29" s="8" t="n">
        <v>43035</v>
      </c>
      <c r="C29" s="15" t="n">
        <v>1.44292339568</v>
      </c>
      <c r="D29" s="22" t="n">
        <f aca="false">100*(C29-C28)</f>
        <v>-4.362323917</v>
      </c>
      <c r="E29" s="23" t="n">
        <f aca="false">'A4 control'!AV163</f>
        <v>-3.33796818797041</v>
      </c>
      <c r="F29" s="10" t="n">
        <v>1</v>
      </c>
    </row>
    <row r="30" customFormat="false" ht="15" hidden="false" customHeight="false" outlineLevel="0" collapsed="false">
      <c r="A30" s="10" t="n">
        <v>-95</v>
      </c>
      <c r="B30" s="8" t="n">
        <v>43038</v>
      </c>
      <c r="C30" s="15" t="n">
        <v>1.41572633009</v>
      </c>
      <c r="D30" s="22" t="n">
        <f aca="false">100*(C30-C29)</f>
        <v>-2.719706559</v>
      </c>
      <c r="E30" s="23" t="n">
        <f aca="false">'A4 control'!AV164</f>
        <v>-2.20865594057283</v>
      </c>
      <c r="F30" s="10" t="n">
        <v>1</v>
      </c>
    </row>
    <row r="31" customFormat="false" ht="15" hidden="false" customHeight="false" outlineLevel="0" collapsed="false">
      <c r="A31" s="10" t="n">
        <v>-94</v>
      </c>
      <c r="B31" s="8" t="n">
        <v>43039</v>
      </c>
      <c r="C31" s="15" t="n">
        <v>1.41994349964</v>
      </c>
      <c r="D31" s="22" t="n">
        <f aca="false">100*(C31-C30)</f>
        <v>0.421716954999996</v>
      </c>
      <c r="E31" s="23" t="n">
        <f aca="false">'A4 control'!AV165</f>
        <v>-0.163975382445733</v>
      </c>
      <c r="F31" s="10" t="n">
        <v>1</v>
      </c>
    </row>
    <row r="32" customFormat="false" ht="15" hidden="false" customHeight="false" outlineLevel="0" collapsed="false">
      <c r="A32" s="10" t="n">
        <v>-93</v>
      </c>
      <c r="B32" s="8" t="n">
        <v>43040</v>
      </c>
      <c r="C32" s="15" t="n">
        <v>1.43221467443</v>
      </c>
      <c r="D32" s="22" t="n">
        <f aca="false">100*(C32-C31)</f>
        <v>1.227117479</v>
      </c>
      <c r="E32" s="23" t="n">
        <f aca="false">'A4 control'!AV166</f>
        <v>0.794025097706647</v>
      </c>
      <c r="F32" s="10" t="n">
        <v>1</v>
      </c>
    </row>
    <row r="33" customFormat="false" ht="15" hidden="false" customHeight="false" outlineLevel="0" collapsed="false">
      <c r="A33" s="10" t="n">
        <v>-92</v>
      </c>
      <c r="B33" s="8" t="n">
        <v>43041</v>
      </c>
      <c r="C33" s="15" t="n">
        <v>1.34955994359</v>
      </c>
      <c r="D33" s="22" t="n">
        <f aca="false">100*(C33-C32)</f>
        <v>-8.26547308399999</v>
      </c>
      <c r="E33" s="23" t="n">
        <f aca="false">'A4 control'!AV167</f>
        <v>-6.71144258871119</v>
      </c>
      <c r="F33" s="10" t="n">
        <v>1</v>
      </c>
    </row>
    <row r="34" customFormat="false" ht="15" hidden="false" customHeight="false" outlineLevel="0" collapsed="false">
      <c r="A34" s="10" t="n">
        <v>-91</v>
      </c>
      <c r="B34" s="8" t="n">
        <v>43042</v>
      </c>
      <c r="C34" s="15" t="n">
        <v>1.35233012385</v>
      </c>
      <c r="D34" s="22" t="n">
        <f aca="false">100*(C34-C33)</f>
        <v>0.277018025999998</v>
      </c>
      <c r="E34" s="23" t="n">
        <f aca="false">'A4 control'!AV168</f>
        <v>1.40503163424973</v>
      </c>
      <c r="F34" s="10" t="n">
        <v>1</v>
      </c>
    </row>
    <row r="35" customFormat="false" ht="15" hidden="false" customHeight="false" outlineLevel="0" collapsed="false">
      <c r="A35" s="10" t="n">
        <v>-90</v>
      </c>
      <c r="B35" s="8" t="n">
        <v>43045</v>
      </c>
      <c r="C35" s="15" t="n">
        <v>1.3449546342</v>
      </c>
      <c r="D35" s="22" t="n">
        <f aca="false">100*(C35-C34)</f>
        <v>-0.737548965000001</v>
      </c>
      <c r="E35" s="23" t="n">
        <f aca="false">'A4 control'!AV169</f>
        <v>-0.867756530991822</v>
      </c>
      <c r="F35" s="10" t="n">
        <v>1</v>
      </c>
    </row>
    <row r="36" customFormat="false" ht="15" hidden="false" customHeight="false" outlineLevel="0" collapsed="false">
      <c r="A36" s="10" t="n">
        <v>-89</v>
      </c>
      <c r="B36" s="8" t="n">
        <v>43046</v>
      </c>
      <c r="C36" s="15" t="n">
        <v>1.32775870069</v>
      </c>
      <c r="D36" s="22" t="n">
        <f aca="false">100*(C36-C35)</f>
        <v>-1.719593351</v>
      </c>
      <c r="E36" s="23" t="n">
        <f aca="false">'A4 control'!AV170</f>
        <v>-1.68886116077313</v>
      </c>
      <c r="F36" s="10" t="n">
        <v>1</v>
      </c>
    </row>
    <row r="37" customFormat="false" ht="15" hidden="false" customHeight="false" outlineLevel="0" collapsed="false">
      <c r="A37" s="10" t="n">
        <v>-88</v>
      </c>
      <c r="B37" s="8" t="n">
        <v>43047</v>
      </c>
      <c r="C37" s="15" t="n">
        <v>1.29647597373</v>
      </c>
      <c r="D37" s="22" t="n">
        <f aca="false">100*(C37-C36)</f>
        <v>-3.128272696</v>
      </c>
      <c r="E37" s="23" t="n">
        <f aca="false">'A4 control'!AV171</f>
        <v>-3.58511149487843</v>
      </c>
      <c r="F37" s="10" t="n">
        <v>1</v>
      </c>
    </row>
    <row r="38" customFormat="false" ht="15" hidden="false" customHeight="false" outlineLevel="0" collapsed="false">
      <c r="A38" s="10" t="n">
        <v>-87</v>
      </c>
      <c r="B38" s="8" t="n">
        <v>43048</v>
      </c>
      <c r="C38" s="15" t="n">
        <v>1.34973418419</v>
      </c>
      <c r="D38" s="22" t="n">
        <f aca="false">100*(C38-C37)</f>
        <v>5.32582104599999</v>
      </c>
      <c r="E38" s="23" t="n">
        <f aca="false">'A4 control'!AV172</f>
        <v>4.45490045021642</v>
      </c>
      <c r="F38" s="10" t="n">
        <v>1</v>
      </c>
    </row>
    <row r="39" customFormat="false" ht="15" hidden="false" customHeight="false" outlineLevel="0" collapsed="false">
      <c r="A39" s="10" t="n">
        <v>-86</v>
      </c>
      <c r="B39" s="8" t="n">
        <v>43049</v>
      </c>
      <c r="C39" s="15" t="n">
        <v>1.42895287561</v>
      </c>
      <c r="D39" s="22" t="n">
        <f aca="false">100*(C39-C38)</f>
        <v>7.92186914200002</v>
      </c>
      <c r="E39" s="23" t="n">
        <f aca="false">'A4 control'!AV173</f>
        <v>6.71808981473771</v>
      </c>
      <c r="F39" s="10" t="n">
        <v>1</v>
      </c>
    </row>
    <row r="40" customFormat="false" ht="15" hidden="false" customHeight="false" outlineLevel="0" collapsed="false">
      <c r="A40" s="10" t="n">
        <v>-85</v>
      </c>
      <c r="B40" s="8" t="n">
        <v>43052</v>
      </c>
      <c r="C40" s="15" t="n">
        <v>1.41986720904</v>
      </c>
      <c r="D40" s="22" t="n">
        <f aca="false">100*(C40-C39)</f>
        <v>-0.90856665700001</v>
      </c>
      <c r="E40" s="23" t="n">
        <f aca="false">'A4 control'!AV174</f>
        <v>-0.85660501651824</v>
      </c>
      <c r="F40" s="10" t="n">
        <v>1</v>
      </c>
    </row>
    <row r="41" customFormat="false" ht="15" hidden="false" customHeight="false" outlineLevel="0" collapsed="false">
      <c r="A41" s="10" t="n">
        <v>-84</v>
      </c>
      <c r="B41" s="8" t="n">
        <v>43053</v>
      </c>
      <c r="C41" s="15" t="n">
        <v>1.40201564205</v>
      </c>
      <c r="D41" s="22" t="n">
        <f aca="false">100*(C41-C40)</f>
        <v>-1.78515669899999</v>
      </c>
      <c r="E41" s="23" t="n">
        <f aca="false">'A4 control'!AV175</f>
        <v>-1.25074471014649</v>
      </c>
      <c r="F41" s="10" t="n">
        <v>1</v>
      </c>
    </row>
    <row r="42" customFormat="false" ht="15" hidden="false" customHeight="false" outlineLevel="0" collapsed="false">
      <c r="A42" s="10" t="n">
        <v>-83</v>
      </c>
      <c r="B42" s="8" t="n">
        <v>43054</v>
      </c>
      <c r="C42" s="15" t="n">
        <v>1.37763792487</v>
      </c>
      <c r="D42" s="22" t="n">
        <f aca="false">100*(C42-C41)</f>
        <v>-2.43777171800001</v>
      </c>
      <c r="E42" s="23" t="n">
        <f aca="false">'A4 control'!AV176</f>
        <v>-2.00765733866112</v>
      </c>
      <c r="F42" s="10" t="n">
        <v>1</v>
      </c>
    </row>
    <row r="43" customFormat="false" ht="15" hidden="false" customHeight="false" outlineLevel="0" collapsed="false">
      <c r="A43" s="10" t="n">
        <v>-82</v>
      </c>
      <c r="B43" s="8" t="n">
        <v>43055</v>
      </c>
      <c r="C43" s="15" t="n">
        <v>1.39173026004</v>
      </c>
      <c r="D43" s="22" t="n">
        <f aca="false">100*(C43-C42)</f>
        <v>1.409233517</v>
      </c>
      <c r="E43" s="23" t="n">
        <f aca="false">'A4 control'!AV177</f>
        <v>1.00208697100488</v>
      </c>
      <c r="F43" s="10" t="n">
        <v>1</v>
      </c>
    </row>
    <row r="44" customFormat="false" ht="15" hidden="false" customHeight="false" outlineLevel="0" collapsed="false">
      <c r="A44" s="10" t="n">
        <v>-81</v>
      </c>
      <c r="B44" s="8" t="n">
        <v>43056</v>
      </c>
      <c r="C44" s="15" t="n">
        <v>1.39185917163</v>
      </c>
      <c r="D44" s="22" t="n">
        <f aca="false">100*(C44-C43)</f>
        <v>0.0128911590000058</v>
      </c>
      <c r="E44" s="23" t="n">
        <f aca="false">'A4 control'!AV178</f>
        <v>-0.43206472407517</v>
      </c>
      <c r="F44" s="10" t="n">
        <v>1</v>
      </c>
    </row>
    <row r="45" customFormat="false" ht="15" hidden="false" customHeight="false" outlineLevel="0" collapsed="false">
      <c r="A45" s="10" t="n">
        <v>-80</v>
      </c>
      <c r="B45" s="8" t="n">
        <v>43059</v>
      </c>
      <c r="C45" s="15" t="n">
        <v>1.36904379723</v>
      </c>
      <c r="D45" s="22" t="n">
        <f aca="false">100*(C45-C44)</f>
        <v>-2.28153743999999</v>
      </c>
      <c r="E45" s="23" t="n">
        <f aca="false">'A4 control'!AV179</f>
        <v>-2.87261608802481</v>
      </c>
      <c r="F45" s="10" t="n">
        <v>1</v>
      </c>
    </row>
    <row r="46" customFormat="false" ht="15" hidden="false" customHeight="false" outlineLevel="0" collapsed="false">
      <c r="A46" s="10" t="n">
        <v>-79</v>
      </c>
      <c r="B46" s="8" t="n">
        <v>43060</v>
      </c>
      <c r="C46" s="15" t="n">
        <v>1.35772855335</v>
      </c>
      <c r="D46" s="22" t="n">
        <f aca="false">100*(C46-C45)</f>
        <v>-1.13152438799999</v>
      </c>
      <c r="E46" s="23" t="n">
        <f aca="false">'A4 control'!AV180</f>
        <v>-1.08655760156253</v>
      </c>
      <c r="F46" s="10" t="n">
        <v>1</v>
      </c>
    </row>
    <row r="47" customFormat="false" ht="15" hidden="false" customHeight="false" outlineLevel="0" collapsed="false">
      <c r="A47" s="10" t="n">
        <v>-78</v>
      </c>
      <c r="B47" s="8" t="n">
        <v>43061</v>
      </c>
      <c r="C47" s="15" t="n">
        <v>1.36234426269</v>
      </c>
      <c r="D47" s="22" t="n">
        <f aca="false">100*(C47-C46)</f>
        <v>0.461570933999989</v>
      </c>
      <c r="E47" s="23" t="n">
        <f aca="false">'A4 control'!AV181</f>
        <v>0.890742178530577</v>
      </c>
      <c r="F47" s="10" t="n">
        <v>1</v>
      </c>
    </row>
    <row r="48" customFormat="false" ht="15" hidden="false" customHeight="false" outlineLevel="0" collapsed="false">
      <c r="A48" s="10" t="n">
        <v>-77</v>
      </c>
      <c r="B48" s="8" t="n">
        <v>43062</v>
      </c>
      <c r="C48" s="15" t="n">
        <v>1.33626270554</v>
      </c>
      <c r="D48" s="22" t="n">
        <f aca="false">100*(C48-C47)</f>
        <v>-2.60815571499999</v>
      </c>
      <c r="E48" s="23" t="n">
        <f aca="false">'A4 control'!AV182</f>
        <v>-1.98312894985384</v>
      </c>
      <c r="F48" s="10" t="n">
        <v>1</v>
      </c>
    </row>
    <row r="49" customFormat="false" ht="15" hidden="false" customHeight="false" outlineLevel="0" collapsed="false">
      <c r="A49" s="10" t="n">
        <v>-76</v>
      </c>
      <c r="B49" s="8" t="n">
        <v>43063</v>
      </c>
      <c r="C49" s="15" t="n">
        <v>1.33471811042</v>
      </c>
      <c r="D49" s="22" t="n">
        <f aca="false">100*(C49-C48)</f>
        <v>-0.154459511999994</v>
      </c>
      <c r="E49" s="23" t="n">
        <f aca="false">'A4 control'!AV183</f>
        <v>-1.05346868317138</v>
      </c>
      <c r="F49" s="10" t="n">
        <v>1</v>
      </c>
    </row>
    <row r="50" customFormat="false" ht="15" hidden="false" customHeight="false" outlineLevel="0" collapsed="false">
      <c r="A50" s="10" t="n">
        <v>-75</v>
      </c>
      <c r="B50" s="8" t="n">
        <v>43066</v>
      </c>
      <c r="C50" s="15" t="n">
        <v>1.34596791993</v>
      </c>
      <c r="D50" s="22" t="n">
        <f aca="false">100*(C50-C49)</f>
        <v>1.124980951</v>
      </c>
      <c r="E50" s="23" t="n">
        <f aca="false">'A4 control'!AV184</f>
        <v>1.49873339629762</v>
      </c>
      <c r="F50" s="10" t="n">
        <v>1</v>
      </c>
    </row>
    <row r="51" customFormat="false" ht="15" hidden="false" customHeight="false" outlineLevel="0" collapsed="false">
      <c r="A51" s="10" t="n">
        <v>-74</v>
      </c>
      <c r="B51" s="8" t="n">
        <v>43067</v>
      </c>
      <c r="C51" s="15" t="n">
        <v>1.34189281735</v>
      </c>
      <c r="D51" s="22" t="n">
        <f aca="false">100*(C51-C50)</f>
        <v>-0.40751025800001</v>
      </c>
      <c r="E51" s="23" t="n">
        <f aca="false">'A4 control'!AV185</f>
        <v>0.172228728807059</v>
      </c>
      <c r="F51" s="10" t="n">
        <v>1</v>
      </c>
    </row>
    <row r="52" customFormat="false" ht="15" hidden="false" customHeight="false" outlineLevel="0" collapsed="false">
      <c r="A52" s="10" t="n">
        <v>-73</v>
      </c>
      <c r="B52" s="8" t="n">
        <v>43068</v>
      </c>
      <c r="C52" s="15" t="n">
        <v>1.43743637769</v>
      </c>
      <c r="D52" s="22" t="n">
        <f aca="false">100*(C52-C51)</f>
        <v>9.55435603400001</v>
      </c>
      <c r="E52" s="23" t="n">
        <f aca="false">'A4 control'!AV186</f>
        <v>7.82038686552935</v>
      </c>
      <c r="F52" s="10" t="n">
        <v>1</v>
      </c>
    </row>
    <row r="53" customFormat="false" ht="15" hidden="false" customHeight="false" outlineLevel="0" collapsed="false">
      <c r="A53" s="10" t="n">
        <v>-72</v>
      </c>
      <c r="B53" s="8" t="n">
        <v>43069</v>
      </c>
      <c r="C53" s="15" t="n">
        <v>1.41274208565</v>
      </c>
      <c r="D53" s="22" t="n">
        <f aca="false">100*(C53-C52)</f>
        <v>-2.46942920400002</v>
      </c>
      <c r="E53" s="23" t="n">
        <f aca="false">'A4 control'!AV187</f>
        <v>-2.17937426961091</v>
      </c>
      <c r="F53" s="10" t="n">
        <v>1</v>
      </c>
    </row>
    <row r="54" customFormat="false" ht="15" hidden="false" customHeight="false" outlineLevel="0" collapsed="false">
      <c r="A54" s="10" t="n">
        <v>-71</v>
      </c>
      <c r="B54" s="8" t="n">
        <v>43070</v>
      </c>
      <c r="C54" s="15" t="n">
        <v>1.3114499753</v>
      </c>
      <c r="D54" s="22" t="n">
        <f aca="false">100*(C54-C53)</f>
        <v>-10.129211035</v>
      </c>
      <c r="E54" s="23" t="n">
        <f aca="false">'A4 control'!AV188</f>
        <v>-8.64705540724973</v>
      </c>
      <c r="F54" s="10" t="n">
        <v>1</v>
      </c>
    </row>
    <row r="55" customFormat="false" ht="15" hidden="false" customHeight="false" outlineLevel="0" collapsed="false">
      <c r="A55" s="10" t="n">
        <v>-70</v>
      </c>
      <c r="B55" s="8" t="n">
        <v>43073</v>
      </c>
      <c r="C55" s="15" t="n">
        <v>1.37133788321</v>
      </c>
      <c r="D55" s="22" t="n">
        <f aca="false">100*(C55-C54)</f>
        <v>5.98879079100001</v>
      </c>
      <c r="E55" s="23" t="n">
        <f aca="false">'A4 control'!AV189</f>
        <v>5.79170559299807</v>
      </c>
      <c r="F55" s="10" t="n">
        <v>1</v>
      </c>
    </row>
    <row r="56" customFormat="false" ht="15" hidden="false" customHeight="false" outlineLevel="0" collapsed="false">
      <c r="A56" s="10" t="n">
        <v>-69</v>
      </c>
      <c r="B56" s="8" t="n">
        <v>43074</v>
      </c>
      <c r="C56" s="15" t="n">
        <v>1.35230898042</v>
      </c>
      <c r="D56" s="22" t="n">
        <f aca="false">100*(C56-C55)</f>
        <v>-1.90289027900001</v>
      </c>
      <c r="E56" s="23" t="n">
        <f aca="false">'A4 control'!AV190</f>
        <v>-1.63669347785004</v>
      </c>
      <c r="F56" s="10" t="n">
        <v>1</v>
      </c>
    </row>
    <row r="57" customFormat="false" ht="15" hidden="false" customHeight="false" outlineLevel="0" collapsed="false">
      <c r="A57" s="10" t="n">
        <v>-68</v>
      </c>
      <c r="B57" s="8" t="n">
        <v>43075</v>
      </c>
      <c r="C57" s="15" t="n">
        <v>1.31868167036</v>
      </c>
      <c r="D57" s="22" t="n">
        <f aca="false">100*(C57-C56)</f>
        <v>-3.362731006</v>
      </c>
      <c r="E57" s="23" t="n">
        <f aca="false">'A4 control'!AV191</f>
        <v>-2.73899030238313</v>
      </c>
      <c r="F57" s="10" t="n">
        <v>1</v>
      </c>
    </row>
    <row r="58" customFormat="false" ht="15" hidden="false" customHeight="false" outlineLevel="0" collapsed="false">
      <c r="A58" s="10" t="n">
        <v>-67</v>
      </c>
      <c r="B58" s="8" t="n">
        <v>43076</v>
      </c>
      <c r="C58" s="15" t="n">
        <v>1.34344518889</v>
      </c>
      <c r="D58" s="22" t="n">
        <f aca="false">100*(C58-C57)</f>
        <v>2.47635185300001</v>
      </c>
      <c r="E58" s="23" t="n">
        <f aca="false">'A4 control'!AV192</f>
        <v>2.73605820630954</v>
      </c>
      <c r="F58" s="10" t="n">
        <v>1</v>
      </c>
    </row>
    <row r="59" customFormat="false" ht="15" hidden="false" customHeight="false" outlineLevel="0" collapsed="false">
      <c r="A59" s="10" t="n">
        <v>-66</v>
      </c>
      <c r="B59" s="8" t="n">
        <v>43077</v>
      </c>
      <c r="C59" s="15" t="n">
        <v>1.36949092111</v>
      </c>
      <c r="D59" s="22" t="n">
        <f aca="false">100*(C59-C58)</f>
        <v>2.60457322199998</v>
      </c>
      <c r="E59" s="23" t="n">
        <f aca="false">'A4 control'!AV193</f>
        <v>1.81267013075742</v>
      </c>
      <c r="F59" s="10" t="n">
        <v>1</v>
      </c>
    </row>
    <row r="60" customFormat="false" ht="15" hidden="false" customHeight="false" outlineLevel="0" collapsed="false">
      <c r="A60" s="10" t="n">
        <v>-65</v>
      </c>
      <c r="B60" s="8" t="n">
        <v>43080</v>
      </c>
      <c r="C60" s="15" t="n">
        <v>1.29510673537</v>
      </c>
      <c r="D60" s="22" t="n">
        <f aca="false">100*(C60-C59)</f>
        <v>-7.43841857399998</v>
      </c>
      <c r="E60" s="23" t="n">
        <f aca="false">'A4 control'!AV194</f>
        <v>-6.28018393785266</v>
      </c>
      <c r="F60" s="10" t="n">
        <v>1</v>
      </c>
    </row>
    <row r="61" customFormat="false" ht="15" hidden="false" customHeight="false" outlineLevel="0" collapsed="false">
      <c r="A61" s="10" t="n">
        <v>-64</v>
      </c>
      <c r="B61" s="8" t="n">
        <v>43081</v>
      </c>
      <c r="C61" s="15" t="n">
        <v>1.3175935576</v>
      </c>
      <c r="D61" s="22" t="n">
        <f aca="false">100*(C61-C60)</f>
        <v>2.24868222299999</v>
      </c>
      <c r="E61" s="23" t="n">
        <f aca="false">'A4 control'!AV195</f>
        <v>1.31239551613227</v>
      </c>
      <c r="F61" s="10" t="n">
        <v>1</v>
      </c>
    </row>
    <row r="62" customFormat="false" ht="15" hidden="false" customHeight="false" outlineLevel="0" collapsed="false">
      <c r="A62" s="10" t="n">
        <v>-63</v>
      </c>
      <c r="B62" s="8" t="n">
        <v>43082</v>
      </c>
      <c r="C62" s="15" t="n">
        <v>1.30929232286</v>
      </c>
      <c r="D62" s="22" t="n">
        <f aca="false">100*(C62-C61)</f>
        <v>-0.830123474</v>
      </c>
      <c r="E62" s="23" t="n">
        <f aca="false">'A4 control'!AV196</f>
        <v>-0.717054268054315</v>
      </c>
      <c r="F62" s="10" t="n">
        <v>1</v>
      </c>
    </row>
    <row r="63" customFormat="false" ht="15" hidden="false" customHeight="false" outlineLevel="0" collapsed="false">
      <c r="A63" s="10" t="n">
        <v>-62</v>
      </c>
      <c r="B63" s="8" t="n">
        <v>43083</v>
      </c>
      <c r="C63" s="15" t="n">
        <v>1.26581114103</v>
      </c>
      <c r="D63" s="22" t="n">
        <f aca="false">100*(C63-C62)</f>
        <v>-4.34811818300001</v>
      </c>
      <c r="E63" s="23" t="n">
        <f aca="false">'A4 control'!AV197</f>
        <v>-5.04263456257245</v>
      </c>
      <c r="F63" s="10" t="n">
        <v>1</v>
      </c>
    </row>
    <row r="64" customFormat="false" ht="15" hidden="false" customHeight="false" outlineLevel="0" collapsed="false">
      <c r="A64" s="10" t="n">
        <v>-61</v>
      </c>
      <c r="B64" s="8" t="n">
        <v>43084</v>
      </c>
      <c r="C64" s="15" t="n">
        <v>1.24957914753</v>
      </c>
      <c r="D64" s="22" t="n">
        <f aca="false">100*(C64-C63)</f>
        <v>-1.62319934999999</v>
      </c>
      <c r="E64" s="23" t="n">
        <f aca="false">'A4 control'!AV198</f>
        <v>-1.0577884590259</v>
      </c>
      <c r="F64" s="10" t="n">
        <v>1</v>
      </c>
    </row>
    <row r="65" customFormat="false" ht="15" hidden="false" customHeight="false" outlineLevel="0" collapsed="false">
      <c r="A65" s="10" t="n">
        <v>-60</v>
      </c>
      <c r="B65" s="8" t="n">
        <v>43087</v>
      </c>
      <c r="C65" s="15" t="n">
        <v>1.23944130754</v>
      </c>
      <c r="D65" s="22" t="n">
        <f aca="false">100*(C65-C64)</f>
        <v>-1.01378399900001</v>
      </c>
      <c r="E65" s="23" t="n">
        <f aca="false">'A4 control'!AV199</f>
        <v>-0.805799109804132</v>
      </c>
      <c r="F65" s="10" t="n">
        <v>1</v>
      </c>
    </row>
    <row r="66" customFormat="false" ht="15" hidden="false" customHeight="false" outlineLevel="0" collapsed="false">
      <c r="A66" s="10" t="n">
        <v>-59</v>
      </c>
      <c r="B66" s="8" t="n">
        <v>43088</v>
      </c>
      <c r="C66" s="15" t="n">
        <v>1.30154906102</v>
      </c>
      <c r="D66" s="22" t="n">
        <f aca="false">100*(C66-C65)</f>
        <v>6.21077534800001</v>
      </c>
      <c r="E66" s="23" t="n">
        <f aca="false">'A4 control'!AV200</f>
        <v>6.37131508558156</v>
      </c>
      <c r="F66" s="10" t="n">
        <v>1</v>
      </c>
    </row>
    <row r="67" customFormat="false" ht="15" hidden="false" customHeight="false" outlineLevel="0" collapsed="false">
      <c r="A67" s="10" t="n">
        <v>-58</v>
      </c>
      <c r="B67" s="8" t="n">
        <v>43089</v>
      </c>
      <c r="C67" s="15" t="n">
        <v>1.35670530778</v>
      </c>
      <c r="D67" s="22" t="n">
        <f aca="false">100*(C67-C66)</f>
        <v>5.515624676</v>
      </c>
      <c r="E67" s="23" t="n">
        <f aca="false">'A4 control'!AV201</f>
        <v>4.90747011789379</v>
      </c>
      <c r="F67" s="10" t="n">
        <v>1</v>
      </c>
    </row>
    <row r="68" customFormat="false" ht="15" hidden="false" customHeight="false" outlineLevel="0" collapsed="false">
      <c r="A68" s="10" t="n">
        <v>-57</v>
      </c>
      <c r="B68" s="8" t="n">
        <v>43090</v>
      </c>
      <c r="C68" s="15" t="n">
        <v>1.35805318985</v>
      </c>
      <c r="D68" s="22" t="n">
        <f aca="false">100*(C68-C67)</f>
        <v>0.134788206999992</v>
      </c>
      <c r="E68" s="23" t="n">
        <f aca="false">'A4 control'!AV202</f>
        <v>0.0674463246795092</v>
      </c>
      <c r="F68" s="10" t="n">
        <v>1</v>
      </c>
    </row>
    <row r="69" customFormat="false" ht="15" hidden="false" customHeight="false" outlineLevel="0" collapsed="false">
      <c r="A69" s="10" t="n">
        <v>-56</v>
      </c>
      <c r="B69" s="8" t="n">
        <v>43091</v>
      </c>
      <c r="C69" s="15" t="n">
        <v>1.33589880836</v>
      </c>
      <c r="D69" s="22" t="n">
        <f aca="false">100*(C69-C68)</f>
        <v>-2.21543814899998</v>
      </c>
      <c r="E69" s="23" t="n">
        <f aca="false">'A4 control'!AV203</f>
        <v>-2.03040226710697</v>
      </c>
      <c r="F69" s="10" t="n">
        <v>1</v>
      </c>
    </row>
    <row r="70" customFormat="false" ht="15" hidden="false" customHeight="false" outlineLevel="0" collapsed="false">
      <c r="A70" s="10" t="n">
        <v>-55</v>
      </c>
      <c r="B70" s="8" t="n">
        <v>43096</v>
      </c>
      <c r="C70" s="15" t="n">
        <v>1.26938178302</v>
      </c>
      <c r="D70" s="22" t="n">
        <f aca="false">100*(C70-C69)</f>
        <v>-6.651702534</v>
      </c>
      <c r="E70" s="23" t="n">
        <f aca="false">'A4 control'!AV204</f>
        <v>-5.42490604541684</v>
      </c>
      <c r="F70" s="10" t="n">
        <v>1</v>
      </c>
    </row>
    <row r="71" customFormat="false" ht="15" hidden="false" customHeight="false" outlineLevel="0" collapsed="false">
      <c r="A71" s="10" t="n">
        <v>-54</v>
      </c>
      <c r="B71" s="8" t="n">
        <v>43097</v>
      </c>
      <c r="C71" s="15" t="n">
        <v>1.29390825817</v>
      </c>
      <c r="D71" s="22" t="n">
        <f aca="false">100*(C71-C70)</f>
        <v>2.45264751500001</v>
      </c>
      <c r="E71" s="23" t="n">
        <f aca="false">'A4 control'!AV205</f>
        <v>1.50734442450955</v>
      </c>
      <c r="F71" s="10" t="n">
        <v>1</v>
      </c>
    </row>
    <row r="72" customFormat="false" ht="15" hidden="false" customHeight="false" outlineLevel="0" collapsed="false">
      <c r="A72" s="10" t="n">
        <v>-53</v>
      </c>
      <c r="B72" s="8" t="n">
        <v>43098</v>
      </c>
      <c r="C72" s="15" t="n">
        <v>1.28578915073</v>
      </c>
      <c r="D72" s="22" t="n">
        <f aca="false">100*(C72-C71)</f>
        <v>-0.811910744</v>
      </c>
      <c r="E72" s="23" t="n">
        <f aca="false">'A4 control'!AV206</f>
        <v>-1.39894276642275</v>
      </c>
      <c r="F72" s="10" t="n">
        <v>1</v>
      </c>
    </row>
    <row r="73" customFormat="false" ht="15" hidden="false" customHeight="false" outlineLevel="0" collapsed="false">
      <c r="A73" s="10" t="n">
        <v>-52</v>
      </c>
      <c r="B73" s="8" t="n">
        <v>43102</v>
      </c>
      <c r="C73" s="15" t="n">
        <v>1.37740986642</v>
      </c>
      <c r="D73" s="22" t="n">
        <f aca="false">100*(C73-C72)</f>
        <v>9.162071569</v>
      </c>
      <c r="E73" s="23" t="n">
        <f aca="false">'A4 control'!AV207</f>
        <v>8.05821409143015</v>
      </c>
      <c r="F73" s="10" t="n">
        <v>1</v>
      </c>
    </row>
    <row r="74" customFormat="false" ht="15" hidden="false" customHeight="false" outlineLevel="0" collapsed="false">
      <c r="A74" s="10" t="n">
        <v>-51</v>
      </c>
      <c r="B74" s="8" t="n">
        <v>43103</v>
      </c>
      <c r="C74" s="15" t="n">
        <v>1.31524195187</v>
      </c>
      <c r="D74" s="22" t="n">
        <f aca="false">100*(C74-C73)</f>
        <v>-6.216791455</v>
      </c>
      <c r="E74" s="23" t="n">
        <f aca="false">'A4 control'!AV208</f>
        <v>-5.83458335308568</v>
      </c>
      <c r="F74" s="10" t="n">
        <v>1</v>
      </c>
    </row>
    <row r="75" customFormat="false" ht="15" hidden="false" customHeight="false" outlineLevel="0" collapsed="false">
      <c r="A75" s="10" t="n">
        <v>-50</v>
      </c>
      <c r="B75" s="8" t="n">
        <v>43104</v>
      </c>
      <c r="C75" s="15" t="n">
        <v>1.33611676023</v>
      </c>
      <c r="D75" s="22" t="n">
        <f aca="false">100*(C75-C74)</f>
        <v>2.08748083599999</v>
      </c>
      <c r="E75" s="23" t="n">
        <f aca="false">'A4 control'!AV209</f>
        <v>1.58625982225997</v>
      </c>
      <c r="F75" s="10" t="n">
        <v>1</v>
      </c>
    </row>
    <row r="76" customFormat="false" ht="15" hidden="false" customHeight="false" outlineLevel="0" collapsed="false">
      <c r="A76" s="10" t="n">
        <v>-49</v>
      </c>
      <c r="B76" s="8" t="n">
        <v>43105</v>
      </c>
      <c r="C76" s="15" t="n">
        <v>1.33872568034</v>
      </c>
      <c r="D76" s="22" t="n">
        <f aca="false">100*(C76-C75)</f>
        <v>0.260892011000013</v>
      </c>
      <c r="E76" s="23" t="n">
        <f aca="false">'A4 control'!AV210</f>
        <v>-0.0254434430861075</v>
      </c>
      <c r="F76" s="10" t="n">
        <v>1</v>
      </c>
    </row>
    <row r="77" customFormat="false" ht="15" hidden="false" customHeight="false" outlineLevel="0" collapsed="false">
      <c r="A77" s="10" t="n">
        <v>-48</v>
      </c>
      <c r="B77" s="8" t="n">
        <v>43108</v>
      </c>
      <c r="C77" s="15" t="n">
        <v>1.32434958259</v>
      </c>
      <c r="D77" s="22" t="n">
        <f aca="false">100*(C77-C76)</f>
        <v>-1.437609775</v>
      </c>
      <c r="E77" s="23" t="n">
        <f aca="false">'A4 control'!AV211</f>
        <v>-1.63700666682536</v>
      </c>
      <c r="F77" s="10" t="n">
        <v>1</v>
      </c>
    </row>
    <row r="78" customFormat="false" ht="15" hidden="false" customHeight="false" outlineLevel="0" collapsed="false">
      <c r="A78" s="10" t="n">
        <v>-47</v>
      </c>
      <c r="B78" s="8" t="n">
        <v>43109</v>
      </c>
      <c r="C78" s="15" t="n">
        <v>1.37658437614</v>
      </c>
      <c r="D78" s="22" t="n">
        <f aca="false">100*(C78-C77)</f>
        <v>5.22347935500001</v>
      </c>
      <c r="E78" s="23" t="n">
        <f aca="false">'A4 control'!AV212</f>
        <v>4.6034539293898</v>
      </c>
      <c r="F78" s="10" t="n">
        <v>1</v>
      </c>
    </row>
    <row r="79" customFormat="false" ht="15" hidden="false" customHeight="false" outlineLevel="0" collapsed="false">
      <c r="A79" s="10" t="n">
        <v>-46</v>
      </c>
      <c r="B79" s="8" t="n">
        <v>43110</v>
      </c>
      <c r="C79" s="15" t="n">
        <v>1.3896358291</v>
      </c>
      <c r="D79" s="22" t="n">
        <f aca="false">100*(C79-C78)</f>
        <v>1.30514529599999</v>
      </c>
      <c r="E79" s="23" t="n">
        <f aca="false">'A4 control'!AV213</f>
        <v>1.13048566857115</v>
      </c>
      <c r="F79" s="10" t="n">
        <v>1</v>
      </c>
    </row>
    <row r="80" customFormat="false" ht="15" hidden="false" customHeight="false" outlineLevel="0" collapsed="false">
      <c r="A80" s="10" t="n">
        <v>-45</v>
      </c>
      <c r="B80" s="8" t="n">
        <v>43111</v>
      </c>
      <c r="C80" s="15" t="n">
        <v>1.413785726</v>
      </c>
      <c r="D80" s="22" t="n">
        <f aca="false">100*(C80-C79)</f>
        <v>2.41498969</v>
      </c>
      <c r="E80" s="23" t="n">
        <f aca="false">'A4 control'!AV214</f>
        <v>1.49755159299073</v>
      </c>
      <c r="F80" s="10" t="n">
        <v>1</v>
      </c>
    </row>
    <row r="81" customFormat="false" ht="15" hidden="false" customHeight="false" outlineLevel="0" collapsed="false">
      <c r="A81" s="10" t="n">
        <v>-44</v>
      </c>
      <c r="B81" s="8" t="n">
        <v>43112</v>
      </c>
      <c r="C81" s="15" t="n">
        <v>1.43502412225</v>
      </c>
      <c r="D81" s="22" t="n">
        <f aca="false">100*(C81-C80)</f>
        <v>2.123839625</v>
      </c>
      <c r="E81" s="23" t="n">
        <f aca="false">'A4 control'!AV215</f>
        <v>1.5082987881741</v>
      </c>
      <c r="F81" s="10" t="n">
        <v>1</v>
      </c>
    </row>
    <row r="82" customFormat="false" ht="15" hidden="false" customHeight="false" outlineLevel="0" collapsed="false">
      <c r="A82" s="10" t="n">
        <v>-43</v>
      </c>
      <c r="B82" s="8" t="n">
        <v>43115</v>
      </c>
      <c r="C82" s="15" t="n">
        <v>1.41794517855</v>
      </c>
      <c r="D82" s="22" t="n">
        <f aca="false">100*(C82-C81)</f>
        <v>-1.70789437000001</v>
      </c>
      <c r="E82" s="23" t="n">
        <f aca="false">'A4 control'!AV216</f>
        <v>-2.00381596337469</v>
      </c>
      <c r="F82" s="10" t="n">
        <v>1</v>
      </c>
    </row>
    <row r="83" customFormat="false" ht="15" hidden="false" customHeight="false" outlineLevel="0" collapsed="false">
      <c r="A83" s="10" t="n">
        <v>-42</v>
      </c>
      <c r="B83" s="8" t="n">
        <v>43116</v>
      </c>
      <c r="C83" s="15" t="n">
        <v>1.40344702401</v>
      </c>
      <c r="D83" s="22" t="n">
        <f aca="false">100*(C83-C82)</f>
        <v>-1.44981545399998</v>
      </c>
      <c r="E83" s="23" t="n">
        <f aca="false">'A4 control'!AV217</f>
        <v>-0.558172837773871</v>
      </c>
      <c r="F83" s="10" t="n">
        <v>1</v>
      </c>
    </row>
    <row r="84" customFormat="false" ht="15" hidden="false" customHeight="false" outlineLevel="0" collapsed="false">
      <c r="A84" s="10" t="n">
        <v>-41</v>
      </c>
      <c r="B84" s="8" t="n">
        <v>43117</v>
      </c>
      <c r="C84" s="15" t="n">
        <v>1.39705490509</v>
      </c>
      <c r="D84" s="22" t="n">
        <f aca="false">100*(C84-C83)</f>
        <v>-0.639211892000002</v>
      </c>
      <c r="E84" s="23" t="n">
        <f aca="false">'A4 control'!AV218</f>
        <v>-0.871841686621984</v>
      </c>
      <c r="F84" s="10" t="n">
        <v>1</v>
      </c>
    </row>
    <row r="85" customFormat="false" ht="15" hidden="false" customHeight="false" outlineLevel="0" collapsed="false">
      <c r="A85" s="10" t="n">
        <v>-40</v>
      </c>
      <c r="B85" s="8" t="n">
        <v>43118</v>
      </c>
      <c r="C85" s="15" t="n">
        <v>1.43206759524</v>
      </c>
      <c r="D85" s="22" t="n">
        <f aca="false">100*(C85-C84)</f>
        <v>3.50126901499999</v>
      </c>
      <c r="E85" s="23" t="n">
        <f aca="false">'A4 control'!AV219</f>
        <v>3.22381489344993</v>
      </c>
      <c r="F85" s="10" t="n">
        <v>1</v>
      </c>
    </row>
    <row r="86" customFormat="false" ht="15" hidden="false" customHeight="false" outlineLevel="0" collapsed="false">
      <c r="A86" s="10" t="n">
        <v>-39</v>
      </c>
      <c r="B86" s="8" t="n">
        <v>43119</v>
      </c>
      <c r="C86" s="15" t="n">
        <v>1.43553648273</v>
      </c>
      <c r="D86" s="22" t="n">
        <f aca="false">100*(C86-C85)</f>
        <v>0.346888748999996</v>
      </c>
      <c r="E86" s="23" t="n">
        <f aca="false">'A4 control'!AV220</f>
        <v>0.347510833163583</v>
      </c>
      <c r="F86" s="10" t="n">
        <v>1</v>
      </c>
    </row>
    <row r="87" customFormat="false" ht="15" hidden="false" customHeight="false" outlineLevel="0" collapsed="false">
      <c r="A87" s="10" t="n">
        <v>-38</v>
      </c>
      <c r="B87" s="8" t="n">
        <v>43122</v>
      </c>
      <c r="C87" s="15" t="n">
        <v>1.45103747909</v>
      </c>
      <c r="D87" s="22" t="n">
        <f aca="false">100*(C87-C86)</f>
        <v>1.55009963600001</v>
      </c>
      <c r="E87" s="23" t="n">
        <f aca="false">'A4 control'!AV221</f>
        <v>1.26834855232343</v>
      </c>
      <c r="F87" s="10" t="n">
        <v>1</v>
      </c>
    </row>
    <row r="88" customFormat="false" ht="15" hidden="false" customHeight="false" outlineLevel="0" collapsed="false">
      <c r="A88" s="10" t="n">
        <v>-37</v>
      </c>
      <c r="B88" s="8" t="n">
        <v>43123</v>
      </c>
      <c r="C88" s="15" t="n">
        <v>1.45163270937</v>
      </c>
      <c r="D88" s="22" t="n">
        <f aca="false">100*(C88-C87)</f>
        <v>0.0595230280000081</v>
      </c>
      <c r="E88" s="23" t="n">
        <f aca="false">'A4 control'!AV222</f>
        <v>-0.276234965795553</v>
      </c>
      <c r="F88" s="10" t="n">
        <v>1</v>
      </c>
    </row>
    <row r="89" customFormat="false" ht="15" hidden="false" customHeight="false" outlineLevel="0" collapsed="false">
      <c r="A89" s="10" t="n">
        <v>-36</v>
      </c>
      <c r="B89" s="8" t="n">
        <v>43124</v>
      </c>
      <c r="C89" s="15" t="n">
        <v>1.50493048666</v>
      </c>
      <c r="D89" s="22" t="n">
        <f aca="false">100*(C89-C88)</f>
        <v>5.32977772899999</v>
      </c>
      <c r="E89" s="23" t="n">
        <f aca="false">'A4 control'!AV223</f>
        <v>4.07777482331711</v>
      </c>
      <c r="F89" s="10" t="n">
        <v>1</v>
      </c>
    </row>
    <row r="90" customFormat="false" ht="15" hidden="false" customHeight="false" outlineLevel="0" collapsed="false">
      <c r="A90" s="10" t="n">
        <v>-35</v>
      </c>
      <c r="B90" s="8" t="n">
        <v>43125</v>
      </c>
      <c r="C90" s="15" t="n">
        <v>1.50416508091</v>
      </c>
      <c r="D90" s="22" t="n">
        <f aca="false">100*(C90-C89)</f>
        <v>-0.0765405749999948</v>
      </c>
      <c r="E90" s="23" t="n">
        <f aca="false">'A4 control'!AV224</f>
        <v>-0.565722678057918</v>
      </c>
      <c r="F90" s="10" t="n">
        <v>1</v>
      </c>
    </row>
    <row r="91" customFormat="false" ht="15" hidden="false" customHeight="false" outlineLevel="0" collapsed="false">
      <c r="A91" s="10" t="n">
        <v>-34</v>
      </c>
      <c r="B91" s="8" t="n">
        <v>43126</v>
      </c>
      <c r="C91" s="15" t="n">
        <v>1.52771981252</v>
      </c>
      <c r="D91" s="22" t="n">
        <f aca="false">100*(C91-C90)</f>
        <v>2.355473161</v>
      </c>
      <c r="E91" s="23" t="n">
        <f aca="false">'A4 control'!AV225</f>
        <v>1.55104159214586</v>
      </c>
      <c r="F91" s="10" t="n">
        <v>1</v>
      </c>
    </row>
    <row r="92" customFormat="false" ht="15" hidden="false" customHeight="false" outlineLevel="0" collapsed="false">
      <c r="A92" s="10" t="n">
        <v>-33</v>
      </c>
      <c r="B92" s="8" t="n">
        <v>43129</v>
      </c>
      <c r="C92" s="15" t="n">
        <v>1.54608042405</v>
      </c>
      <c r="D92" s="22" t="n">
        <f aca="false">100*(C92-C91)</f>
        <v>1.83606115299999</v>
      </c>
      <c r="E92" s="23" t="n">
        <f aca="false">'A4 control'!AV226</f>
        <v>0.267433171205788</v>
      </c>
      <c r="F92" s="10" t="n">
        <v>1</v>
      </c>
    </row>
    <row r="93" customFormat="false" ht="15" hidden="false" customHeight="false" outlineLevel="0" collapsed="false">
      <c r="A93" s="10" t="n">
        <v>-32</v>
      </c>
      <c r="B93" s="8" t="n">
        <v>43130</v>
      </c>
      <c r="C93" s="15" t="n">
        <v>1.54867645419</v>
      </c>
      <c r="D93" s="22" t="n">
        <f aca="false">100*(C93-C92)</f>
        <v>0.259603014000009</v>
      </c>
      <c r="E93" s="23" t="n">
        <f aca="false">'A4 control'!AV227</f>
        <v>0.526364444065007</v>
      </c>
      <c r="F93" s="10" t="n">
        <v>1</v>
      </c>
    </row>
    <row r="94" customFormat="false" ht="15" hidden="false" customHeight="false" outlineLevel="0" collapsed="false">
      <c r="A94" s="10" t="n">
        <v>-31</v>
      </c>
      <c r="B94" s="8" t="n">
        <v>43131</v>
      </c>
      <c r="C94" s="15" t="n">
        <v>1.57232511767</v>
      </c>
      <c r="D94" s="22" t="n">
        <f aca="false">100*(C94-C93)</f>
        <v>2.36486634799999</v>
      </c>
      <c r="E94" s="23" t="n">
        <f aca="false">'A4 control'!AV228</f>
        <v>2.25758730661525</v>
      </c>
      <c r="F94" s="10" t="n">
        <v>1</v>
      </c>
    </row>
    <row r="95" customFormat="false" ht="15" hidden="false" customHeight="false" outlineLevel="0" collapsed="false">
      <c r="A95" s="10" t="n">
        <v>-30</v>
      </c>
      <c r="B95" s="8" t="n">
        <v>43132</v>
      </c>
      <c r="C95" s="15" t="n">
        <v>1.60367195501</v>
      </c>
      <c r="D95" s="22" t="n">
        <f aca="false">100*(C95-C94)</f>
        <v>3.13468373400001</v>
      </c>
      <c r="E95" s="23" t="n">
        <f aca="false">'A4 control'!AV229</f>
        <v>1.69278913667394</v>
      </c>
      <c r="F95" s="10" t="n">
        <v>1</v>
      </c>
    </row>
    <row r="96" customFormat="false" ht="15" hidden="false" customHeight="false" outlineLevel="0" collapsed="false">
      <c r="A96" s="10" t="n">
        <v>-29</v>
      </c>
      <c r="B96" s="8" t="n">
        <v>43133</v>
      </c>
      <c r="C96" s="15" t="n">
        <v>1.64829354575</v>
      </c>
      <c r="D96" s="22" t="n">
        <f aca="false">100*(C96-C95)</f>
        <v>4.46215907400001</v>
      </c>
      <c r="E96" s="23" t="n">
        <f aca="false">'A4 control'!AV230</f>
        <v>2.48859451260538</v>
      </c>
      <c r="F96" s="10" t="n">
        <v>1</v>
      </c>
    </row>
    <row r="97" customFormat="false" ht="15" hidden="false" customHeight="false" outlineLevel="0" collapsed="false">
      <c r="A97" s="10" t="n">
        <v>-28</v>
      </c>
      <c r="B97" s="8" t="n">
        <v>43136</v>
      </c>
      <c r="C97" s="15" t="n">
        <v>1.64317960292</v>
      </c>
      <c r="D97" s="22" t="n">
        <f aca="false">100*(C97-C96)</f>
        <v>-0.511394283</v>
      </c>
      <c r="E97" s="23" t="n">
        <f aca="false">'A4 control'!AV231</f>
        <v>-0.109891759632584</v>
      </c>
      <c r="F97" s="10" t="n">
        <v>1</v>
      </c>
    </row>
    <row r="98" customFormat="false" ht="15" hidden="false" customHeight="false" outlineLevel="0" collapsed="false">
      <c r="A98" s="10" t="n">
        <v>-27</v>
      </c>
      <c r="B98" s="8" t="n">
        <v>43137</v>
      </c>
      <c r="C98" s="15" t="n">
        <v>1.59766822641</v>
      </c>
      <c r="D98" s="22" t="n">
        <f aca="false">100*(C98-C97)</f>
        <v>-4.55113765100001</v>
      </c>
      <c r="E98" s="23" t="n">
        <f aca="false">'A4 control'!AV232</f>
        <v>-3.04074127732637</v>
      </c>
      <c r="F98" s="10" t="n">
        <v>1</v>
      </c>
    </row>
    <row r="99" customFormat="false" ht="15" hidden="false" customHeight="false" outlineLevel="0" collapsed="false">
      <c r="A99" s="10" t="n">
        <v>-26</v>
      </c>
      <c r="B99" s="8" t="n">
        <v>43138</v>
      </c>
      <c r="C99" s="15" t="n">
        <v>1.62222313038</v>
      </c>
      <c r="D99" s="22" t="n">
        <f aca="false">100*(C99-C98)</f>
        <v>2.45549039700002</v>
      </c>
      <c r="E99" s="23" t="n">
        <f aca="false">'A4 control'!AV233</f>
        <v>2.05962930131393</v>
      </c>
      <c r="F99" s="10" t="n">
        <v>1</v>
      </c>
    </row>
    <row r="100" customFormat="false" ht="15" hidden="false" customHeight="false" outlineLevel="0" collapsed="false">
      <c r="A100" s="10" t="n">
        <v>-25</v>
      </c>
      <c r="B100" s="8" t="n">
        <v>43139</v>
      </c>
      <c r="C100" s="15" t="n">
        <v>1.70077689546</v>
      </c>
      <c r="D100" s="22" t="n">
        <f aca="false">100*(C100-C99)</f>
        <v>7.85537650799999</v>
      </c>
      <c r="E100" s="23" t="n">
        <f aca="false">'A4 control'!AV234</f>
        <v>5.34769187097666</v>
      </c>
      <c r="F100" s="10" t="n">
        <v>1</v>
      </c>
    </row>
    <row r="101" customFormat="false" ht="15" hidden="false" customHeight="false" outlineLevel="0" collapsed="false">
      <c r="A101" s="10" t="n">
        <v>-24</v>
      </c>
      <c r="B101" s="8" t="n">
        <v>43140</v>
      </c>
      <c r="C101" s="15" t="n">
        <v>1.6714771977</v>
      </c>
      <c r="D101" s="22" t="n">
        <f aca="false">100*(C101-C100)</f>
        <v>-2.929969776</v>
      </c>
      <c r="E101" s="23" t="n">
        <f aca="false">'A4 control'!AV235</f>
        <v>-3.04442035686841</v>
      </c>
      <c r="F101" s="10" t="n">
        <v>1</v>
      </c>
    </row>
    <row r="102" customFormat="false" ht="15" hidden="false" customHeight="false" outlineLevel="0" collapsed="false">
      <c r="A102" s="10" t="n">
        <v>-23</v>
      </c>
      <c r="B102" s="8" t="n">
        <v>43143</v>
      </c>
      <c r="C102" s="15" t="n">
        <v>1.67416072938</v>
      </c>
      <c r="D102" s="22" t="n">
        <f aca="false">100*(C102-C101)</f>
        <v>0.268353168000002</v>
      </c>
      <c r="E102" s="23" t="n">
        <f aca="false">'A4 control'!AV236</f>
        <v>0.336153047069959</v>
      </c>
      <c r="F102" s="10" t="n">
        <v>1</v>
      </c>
    </row>
    <row r="103" customFormat="false" ht="15" hidden="false" customHeight="false" outlineLevel="0" collapsed="false">
      <c r="A103" s="10" t="n">
        <v>-22</v>
      </c>
      <c r="B103" s="8" t="n">
        <v>43144</v>
      </c>
      <c r="C103" s="15" t="n">
        <v>1.69547512085</v>
      </c>
      <c r="D103" s="22" t="n">
        <f aca="false">100*(C103-C102)</f>
        <v>2.131439147</v>
      </c>
      <c r="E103" s="23" t="n">
        <f aca="false">'A4 control'!AV237</f>
        <v>1.93249314641953</v>
      </c>
      <c r="F103" s="10" t="n">
        <v>1</v>
      </c>
    </row>
    <row r="104" customFormat="false" ht="15" hidden="false" customHeight="false" outlineLevel="0" collapsed="false">
      <c r="A104" s="10" t="n">
        <v>-21</v>
      </c>
      <c r="B104" s="8" t="n">
        <v>43145</v>
      </c>
      <c r="C104" s="15" t="n">
        <v>1.70864791363</v>
      </c>
      <c r="D104" s="22" t="n">
        <f aca="false">100*(C104-C103)</f>
        <v>1.31727927799998</v>
      </c>
      <c r="E104" s="23" t="n">
        <f aca="false">'A4 control'!AV238</f>
        <v>1.73193608584882</v>
      </c>
      <c r="F104" s="10" t="n">
        <v>1</v>
      </c>
    </row>
    <row r="105" customFormat="false" ht="15" hidden="false" customHeight="false" outlineLevel="0" collapsed="false">
      <c r="A105" s="10" t="n">
        <v>-20</v>
      </c>
      <c r="B105" s="8" t="n">
        <v>43146</v>
      </c>
      <c r="C105" s="15" t="n">
        <v>1.73445657496</v>
      </c>
      <c r="D105" s="22" t="n">
        <f aca="false">100*(C105-C104)</f>
        <v>2.58086613300002</v>
      </c>
      <c r="E105" s="23" t="n">
        <f aca="false">'A4 control'!AV239</f>
        <v>2.77617032706252</v>
      </c>
      <c r="F105" s="10" t="n">
        <v>0</v>
      </c>
    </row>
    <row r="106" customFormat="false" ht="15" hidden="false" customHeight="false" outlineLevel="0" collapsed="false">
      <c r="A106" s="10" t="n">
        <v>-19</v>
      </c>
      <c r="B106" s="8" t="n">
        <v>43147</v>
      </c>
      <c r="C106" s="15" t="n">
        <v>1.66766010077</v>
      </c>
      <c r="D106" s="22" t="n">
        <f aca="false">100*(C106-C105)</f>
        <v>-6.679647419</v>
      </c>
      <c r="E106" s="23" t="n">
        <f aca="false">'A4 control'!AV240</f>
        <v>-6.78648468920379</v>
      </c>
      <c r="F106" s="10" t="n">
        <v>0</v>
      </c>
    </row>
    <row r="107" customFormat="false" ht="15" hidden="false" customHeight="false" outlineLevel="0" collapsed="false">
      <c r="A107" s="10" t="n">
        <v>-18</v>
      </c>
      <c r="B107" s="8" t="n">
        <v>43150</v>
      </c>
      <c r="C107" s="15" t="n">
        <v>1.68397514041</v>
      </c>
      <c r="D107" s="22" t="n">
        <f aca="false">100*(C107-C106)</f>
        <v>1.631503964</v>
      </c>
      <c r="E107" s="23" t="n">
        <f aca="false">'A4 control'!AV241</f>
        <v>1.11947757313085</v>
      </c>
      <c r="F107" s="10" t="n">
        <v>0</v>
      </c>
    </row>
    <row r="108" customFormat="false" ht="15" hidden="false" customHeight="false" outlineLevel="0" collapsed="false">
      <c r="A108" s="10" t="n">
        <v>-17</v>
      </c>
      <c r="B108" s="8" t="n">
        <v>43151</v>
      </c>
      <c r="C108" s="15" t="n">
        <v>1.65357728051</v>
      </c>
      <c r="D108" s="22" t="n">
        <f aca="false">100*(C108-C107)</f>
        <v>-3.03978599000001</v>
      </c>
      <c r="E108" s="23" t="n">
        <f aca="false">'A4 control'!AV242</f>
        <v>-3.04610746519443</v>
      </c>
      <c r="F108" s="10" t="n">
        <v>0</v>
      </c>
    </row>
    <row r="109" customFormat="false" ht="15" hidden="false" customHeight="false" outlineLevel="0" collapsed="false">
      <c r="A109" s="10" t="n">
        <v>-16</v>
      </c>
      <c r="B109" s="8" t="n">
        <v>43152</v>
      </c>
      <c r="C109" s="15" t="n">
        <v>1.63635074011</v>
      </c>
      <c r="D109" s="22" t="n">
        <f aca="false">100*(C109-C108)</f>
        <v>-1.72265404</v>
      </c>
      <c r="E109" s="23" t="n">
        <f aca="false">'A4 control'!AV243</f>
        <v>-1.29923963121052</v>
      </c>
      <c r="F109" s="10" t="n">
        <v>0</v>
      </c>
    </row>
    <row r="110" customFormat="false" ht="15" hidden="false" customHeight="false" outlineLevel="0" collapsed="false">
      <c r="A110" s="10" t="n">
        <v>-15</v>
      </c>
      <c r="B110" s="8" t="n">
        <v>43153</v>
      </c>
      <c r="C110" s="15" t="n">
        <v>1.63123468459</v>
      </c>
      <c r="D110" s="22" t="n">
        <f aca="false">100*(C110-C109)</f>
        <v>-0.511605551999983</v>
      </c>
      <c r="E110" s="23" t="n">
        <f aca="false">'A4 control'!AV244</f>
        <v>-0.0517604651221543</v>
      </c>
      <c r="F110" s="10" t="n">
        <v>0</v>
      </c>
    </row>
    <row r="111" customFormat="false" ht="15" hidden="false" customHeight="false" outlineLevel="0" collapsed="false">
      <c r="A111" s="10" t="n">
        <v>-14</v>
      </c>
      <c r="B111" s="8" t="n">
        <v>43154</v>
      </c>
      <c r="C111" s="15" t="n">
        <v>1.61323955789</v>
      </c>
      <c r="D111" s="22" t="n">
        <f aca="false">100*(C111-C110)</f>
        <v>-1.79951267</v>
      </c>
      <c r="E111" s="23" t="n">
        <f aca="false">'A4 control'!AV245</f>
        <v>-1.11962947275173</v>
      </c>
      <c r="F111" s="10" t="n">
        <v>0</v>
      </c>
    </row>
    <row r="112" customFormat="false" ht="15" hidden="false" customHeight="false" outlineLevel="0" collapsed="false">
      <c r="A112" s="10" t="n">
        <v>-13</v>
      </c>
      <c r="B112" s="8" t="n">
        <v>43157</v>
      </c>
      <c r="C112" s="15" t="n">
        <v>1.59905351624</v>
      </c>
      <c r="D112" s="22" t="n">
        <f aca="false">100*(C112-C111)</f>
        <v>-1.41860416500001</v>
      </c>
      <c r="E112" s="23" t="n">
        <f aca="false">'A4 control'!AV246</f>
        <v>-1.15526497156238</v>
      </c>
      <c r="F112" s="10" t="n">
        <v>0</v>
      </c>
    </row>
    <row r="113" customFormat="false" ht="15" hidden="false" customHeight="false" outlineLevel="0" collapsed="false">
      <c r="A113" s="10" t="n">
        <v>-12</v>
      </c>
      <c r="B113" s="8" t="n">
        <v>43158</v>
      </c>
      <c r="C113" s="15" t="n">
        <v>1.64369058043</v>
      </c>
      <c r="D113" s="22" t="n">
        <f aca="false">100*(C113-C112)</f>
        <v>4.463706419</v>
      </c>
      <c r="E113" s="23" t="n">
        <f aca="false">'A4 control'!AV247</f>
        <v>3.83969305522521</v>
      </c>
      <c r="F113" s="10" t="n">
        <v>0</v>
      </c>
    </row>
    <row r="114" customFormat="false" ht="15" hidden="false" customHeight="false" outlineLevel="0" collapsed="false">
      <c r="A114" s="10" t="n">
        <v>-11</v>
      </c>
      <c r="B114" s="8" t="n">
        <v>43159</v>
      </c>
      <c r="C114" s="15" t="n">
        <v>1.5978488094</v>
      </c>
      <c r="D114" s="22" t="n">
        <f aca="false">100*(C114-C113)</f>
        <v>-4.58417710299999</v>
      </c>
      <c r="E114" s="23" t="n">
        <f aca="false">'A4 control'!AV248</f>
        <v>-4.22691194244442</v>
      </c>
      <c r="F114" s="10" t="n">
        <v>0</v>
      </c>
    </row>
    <row r="115" customFormat="false" ht="15" hidden="false" customHeight="false" outlineLevel="0" collapsed="false">
      <c r="A115" s="10" t="n">
        <v>-10</v>
      </c>
      <c r="B115" s="8" t="n">
        <v>43160</v>
      </c>
      <c r="C115" s="15" t="n">
        <v>1.55975779209</v>
      </c>
      <c r="D115" s="22" t="n">
        <f aca="false">100*(C115-C114)</f>
        <v>-3.809101731</v>
      </c>
      <c r="E115" s="23" t="n">
        <f aca="false">'A4 control'!AV249</f>
        <v>-2.99603794167728</v>
      </c>
      <c r="F115" s="10" t="n">
        <v>0</v>
      </c>
      <c r="G115" s="22" t="n">
        <f aca="false">D115-$B$137*E115</f>
        <v>-0.365945515703765</v>
      </c>
      <c r="H115" s="22" t="n">
        <f aca="false">H116-G116</f>
        <v>0.034362650467517</v>
      </c>
      <c r="I115" s="22" t="n">
        <f aca="false">D115-E115</f>
        <v>-0.813063789322716</v>
      </c>
      <c r="J115" s="22" t="n">
        <f aca="false">J116-I116</f>
        <v>-0.391444694850852</v>
      </c>
      <c r="K115" s="22" t="n">
        <f aca="false">K116-D116</f>
        <v>-3.244682949</v>
      </c>
    </row>
    <row r="116" customFormat="false" ht="15" hidden="false" customHeight="false" outlineLevel="0" collapsed="false">
      <c r="A116" s="10" t="n">
        <v>-9</v>
      </c>
      <c r="B116" s="8" t="n">
        <v>43161</v>
      </c>
      <c r="C116" s="15" t="n">
        <v>1.55217629104</v>
      </c>
      <c r="D116" s="22" t="n">
        <f aca="false">100*(C116-C115)</f>
        <v>-0.758150105</v>
      </c>
      <c r="E116" s="23" t="n">
        <f aca="false">'A4 control'!AV250</f>
        <v>-0.491388820240798</v>
      </c>
      <c r="F116" s="10" t="n">
        <v>0</v>
      </c>
      <c r="G116" s="22" t="n">
        <f aca="false">D116-$B$137*E116</f>
        <v>-0.193428127683521</v>
      </c>
      <c r="H116" s="22" t="n">
        <f aca="false">H117-G117</f>
        <v>-0.159065477216004</v>
      </c>
      <c r="I116" s="22" t="n">
        <f aca="false">D116-E116</f>
        <v>-0.266761284759201</v>
      </c>
      <c r="J116" s="22" t="n">
        <f aca="false">J117-I117</f>
        <v>-0.658205979610054</v>
      </c>
      <c r="K116" s="22" t="n">
        <f aca="false">K117-D117</f>
        <v>-4.002833054</v>
      </c>
    </row>
    <row r="117" customFormat="false" ht="15" hidden="false" customHeight="false" outlineLevel="0" collapsed="false">
      <c r="A117" s="10" t="n">
        <v>-8</v>
      </c>
      <c r="B117" s="8" t="n">
        <v>43164</v>
      </c>
      <c r="C117" s="15" t="n">
        <v>1.58473670842</v>
      </c>
      <c r="D117" s="22" t="n">
        <f aca="false">100*(C117-C116)</f>
        <v>3.25604173799998</v>
      </c>
      <c r="E117" s="23" t="n">
        <f aca="false">'A4 control'!AV251</f>
        <v>3.03169293211405</v>
      </c>
      <c r="F117" s="10" t="n">
        <v>0</v>
      </c>
      <c r="G117" s="22" t="n">
        <f aca="false">D117-$B$137*E117</f>
        <v>-0.228090494395674</v>
      </c>
      <c r="H117" s="22" t="n">
        <f aca="false">H118-G118</f>
        <v>-0.387155971611678</v>
      </c>
      <c r="I117" s="22" t="n">
        <f aca="false">D117-E117</f>
        <v>0.224348805885931</v>
      </c>
      <c r="J117" s="22" t="n">
        <f aca="false">J118-I118</f>
        <v>-0.433857173724123</v>
      </c>
      <c r="K117" s="22" t="n">
        <f aca="false">K118-D118</f>
        <v>-0.746791316000017</v>
      </c>
    </row>
    <row r="118" customFormat="false" ht="15" hidden="false" customHeight="false" outlineLevel="0" collapsed="false">
      <c r="A118" s="10" t="n">
        <v>-7</v>
      </c>
      <c r="B118" s="8" t="n">
        <v>43165</v>
      </c>
      <c r="C118" s="15" t="n">
        <v>1.61440196398</v>
      </c>
      <c r="D118" s="22" t="n">
        <f aca="false">100*(C118-C117)</f>
        <v>2.96652555600001</v>
      </c>
      <c r="E118" s="23" t="n">
        <f aca="false">'A4 control'!AV252</f>
        <v>2.38763433617837</v>
      </c>
      <c r="F118" s="10" t="n">
        <v>0</v>
      </c>
      <c r="G118" s="22" t="n">
        <f aca="false">D118-$B$137*E118</f>
        <v>0.222568982517886</v>
      </c>
      <c r="H118" s="22" t="n">
        <f aca="false">H119-G119</f>
        <v>-0.164586989093792</v>
      </c>
      <c r="I118" s="22" t="n">
        <f aca="false">D118-E118</f>
        <v>0.578891219821645</v>
      </c>
      <c r="J118" s="22" t="n">
        <f aca="false">J119-I119</f>
        <v>0.145034046097523</v>
      </c>
      <c r="K118" s="22" t="n">
        <f aca="false">K119-D119</f>
        <v>2.21973423999999</v>
      </c>
    </row>
    <row r="119" customFormat="false" ht="15" hidden="false" customHeight="false" outlineLevel="0" collapsed="false">
      <c r="A119" s="10" t="n">
        <v>-6</v>
      </c>
      <c r="B119" s="8" t="n">
        <v>43166</v>
      </c>
      <c r="C119" s="15" t="n">
        <v>1.59220462158</v>
      </c>
      <c r="D119" s="22" t="n">
        <f aca="false">100*(C119-C118)</f>
        <v>-2.21973423999999</v>
      </c>
      <c r="E119" s="23" t="n">
        <f aca="false">'A4 control'!AV253</f>
        <v>-2.07470019390247</v>
      </c>
      <c r="F119" s="10" t="n">
        <v>0</v>
      </c>
      <c r="G119" s="22" t="n">
        <f aca="false">D119-$B$137*E119</f>
        <v>0.164586989093792</v>
      </c>
      <c r="H119" s="22" t="n">
        <v>0</v>
      </c>
      <c r="I119" s="22" t="n">
        <f aca="false">D119-E119</f>
        <v>-0.145034046097523</v>
      </c>
      <c r="J119" s="22" t="n">
        <v>0</v>
      </c>
      <c r="K119" s="22" t="n">
        <v>0</v>
      </c>
    </row>
    <row r="120" customFormat="false" ht="15" hidden="false" customHeight="false" outlineLevel="0" collapsed="false">
      <c r="A120" s="10" t="n">
        <v>-5</v>
      </c>
      <c r="B120" s="8" t="n">
        <v>43167</v>
      </c>
      <c r="C120" s="15" t="n">
        <v>1.57204209397</v>
      </c>
      <c r="D120" s="22" t="n">
        <f aca="false">100*(C120-C119)</f>
        <v>-2.01625276100001</v>
      </c>
      <c r="E120" s="23" t="n">
        <f aca="false">'A4 control'!AV254</f>
        <v>-1.19879220277743</v>
      </c>
      <c r="F120" s="10" t="n">
        <v>0</v>
      </c>
      <c r="G120" s="22" t="n">
        <f aca="false">D120-$B$137*E120</f>
        <v>-0.63855698271124</v>
      </c>
      <c r="H120" s="22" t="n">
        <f aca="false">H119+G120</f>
        <v>-0.63855698271124</v>
      </c>
      <c r="I120" s="22" t="n">
        <f aca="false">D120-E120</f>
        <v>-0.817460558222581</v>
      </c>
      <c r="J120" s="22" t="n">
        <f aca="false">J119+I120</f>
        <v>-0.817460558222581</v>
      </c>
      <c r="K120" s="22" t="n">
        <f aca="false">K119+D120</f>
        <v>-2.01625276100001</v>
      </c>
    </row>
    <row r="121" customFormat="false" ht="15" hidden="false" customHeight="false" outlineLevel="0" collapsed="false">
      <c r="A121" s="10" t="n">
        <v>-4</v>
      </c>
      <c r="B121" s="8" t="n">
        <v>43168</v>
      </c>
      <c r="C121" s="15" t="n">
        <v>1.59731173318</v>
      </c>
      <c r="D121" s="22" t="n">
        <f aca="false">100*(C121-C120)</f>
        <v>2.526963921</v>
      </c>
      <c r="E121" s="23" t="n">
        <f aca="false">'A4 control'!AV255</f>
        <v>3.0708202660355</v>
      </c>
      <c r="F121" s="10" t="n">
        <v>0</v>
      </c>
      <c r="G121" s="22" t="n">
        <f aca="false">D121-$B$137*E121</f>
        <v>-1.00213487243465</v>
      </c>
      <c r="H121" s="22" t="n">
        <f aca="false">H120+G121</f>
        <v>-1.64069185514589</v>
      </c>
      <c r="I121" s="22" t="n">
        <f aca="false">D121-E121</f>
        <v>-0.543856345035493</v>
      </c>
      <c r="J121" s="22" t="n">
        <f aca="false">J120+I121</f>
        <v>-1.36131690325807</v>
      </c>
      <c r="K121" s="22" t="n">
        <f aca="false">K120+D121</f>
        <v>0.510711159999988</v>
      </c>
    </row>
    <row r="122" customFormat="false" ht="15" hidden="false" customHeight="false" outlineLevel="0" collapsed="false">
      <c r="A122" s="10" t="n">
        <v>-3</v>
      </c>
      <c r="B122" s="8" t="n">
        <v>43171</v>
      </c>
      <c r="C122" s="15" t="n">
        <v>1.5980845535</v>
      </c>
      <c r="D122" s="22" t="n">
        <f aca="false">100*(C122-C121)</f>
        <v>0.0772820319999923</v>
      </c>
      <c r="E122" s="23" t="n">
        <f aca="false">'A4 control'!AV256</f>
        <v>0.269364663558501</v>
      </c>
      <c r="F122" s="10" t="n">
        <v>0</v>
      </c>
      <c r="G122" s="22" t="n">
        <f aca="false">D122-$B$137*E122</f>
        <v>-0.232281676326547</v>
      </c>
      <c r="H122" s="22" t="n">
        <f aca="false">H121+G122</f>
        <v>-1.87297353147244</v>
      </c>
      <c r="I122" s="22" t="n">
        <f aca="false">D122-E122</f>
        <v>-0.192082631558508</v>
      </c>
      <c r="J122" s="22" t="n">
        <f aca="false">J121+I122</f>
        <v>-1.55339953481658</v>
      </c>
      <c r="K122" s="22" t="n">
        <f aca="false">K121+D122</f>
        <v>0.58799319199998</v>
      </c>
    </row>
    <row r="123" customFormat="false" ht="15" hidden="false" customHeight="false" outlineLevel="0" collapsed="false">
      <c r="A123" s="10" t="n">
        <v>-2</v>
      </c>
      <c r="B123" s="8" t="n">
        <v>43172</v>
      </c>
      <c r="C123" s="15" t="n">
        <v>1.57852811614</v>
      </c>
      <c r="D123" s="22" t="n">
        <f aca="false">100*(C123-C122)</f>
        <v>-1.95564373599999</v>
      </c>
      <c r="E123" s="23" t="n">
        <f aca="false">'A4 control'!AV257</f>
        <v>-3.35554653673351</v>
      </c>
      <c r="F123" s="10" t="n">
        <v>0</v>
      </c>
      <c r="G123" s="22" t="n">
        <f aca="false">D123-$B$137*E123</f>
        <v>1.90067288567857</v>
      </c>
      <c r="H123" s="22" t="n">
        <f aca="false">H122+G123</f>
        <v>0.0276993542061306</v>
      </c>
      <c r="I123" s="22" t="n">
        <f aca="false">D123-E123</f>
        <v>1.39990280073352</v>
      </c>
      <c r="J123" s="22" t="n">
        <f aca="false">J122+I123</f>
        <v>-0.153496734083065</v>
      </c>
      <c r="K123" s="22" t="n">
        <f aca="false">K122+D123</f>
        <v>-1.36765054400001</v>
      </c>
    </row>
    <row r="124" customFormat="false" ht="15" hidden="false" customHeight="false" outlineLevel="0" collapsed="false">
      <c r="A124" s="10" t="n">
        <v>-1</v>
      </c>
      <c r="B124" s="8" t="n">
        <v>43173</v>
      </c>
      <c r="C124" s="15" t="n">
        <v>1.51969830832</v>
      </c>
      <c r="D124" s="22" t="n">
        <f aca="false">100*(C124-C123)</f>
        <v>-5.882980782</v>
      </c>
      <c r="E124" s="23" t="n">
        <f aca="false">'A4 control'!AV258</f>
        <v>-6.12943121920651</v>
      </c>
      <c r="F124" s="10" t="n">
        <v>0</v>
      </c>
      <c r="G124" s="22" t="n">
        <f aca="false">D124-$B$137*E124</f>
        <v>1.16118541665188</v>
      </c>
      <c r="H124" s="22" t="n">
        <f aca="false">H123+G124</f>
        <v>1.18888477085801</v>
      </c>
      <c r="I124" s="22" t="n">
        <f aca="false">D124-E124</f>
        <v>0.246450437206509</v>
      </c>
      <c r="J124" s="22" t="n">
        <f aca="false">J123+I124</f>
        <v>0.0929537031234438</v>
      </c>
      <c r="K124" s="22" t="n">
        <f aca="false">K123+D124</f>
        <v>-7.25063132600001</v>
      </c>
    </row>
    <row r="125" customFormat="false" ht="15" hidden="false" customHeight="false" outlineLevel="0" collapsed="false">
      <c r="A125" s="10" t="n">
        <v>0</v>
      </c>
      <c r="B125" s="8" t="n">
        <v>43174</v>
      </c>
      <c r="C125" s="15" t="n">
        <v>1.5255504261</v>
      </c>
      <c r="D125" s="22" t="n">
        <f aca="false">100*(C125-C124)</f>
        <v>0.585211777999994</v>
      </c>
      <c r="E125" s="23" t="n">
        <f aca="false">'A4 control'!AV259</f>
        <v>-0.427292434489844</v>
      </c>
      <c r="F125" s="10" t="n">
        <v>0</v>
      </c>
      <c r="G125" s="22" t="n">
        <f aca="false">D125-$B$137*E125</f>
        <v>1.07627184806677</v>
      </c>
      <c r="H125" s="22" t="n">
        <f aca="false">H124+G125</f>
        <v>2.26515661892478</v>
      </c>
      <c r="I125" s="22" t="n">
        <f aca="false">D125-E125</f>
        <v>1.01250421248984</v>
      </c>
      <c r="J125" s="22" t="n">
        <f aca="false">J124+I125</f>
        <v>1.10545791561328</v>
      </c>
      <c r="K125" s="22" t="n">
        <f aca="false">K124+D125</f>
        <v>-6.66541954800002</v>
      </c>
    </row>
    <row r="126" customFormat="false" ht="15" hidden="false" customHeight="false" outlineLevel="0" collapsed="false">
      <c r="A126" s="10" t="n">
        <v>1</v>
      </c>
      <c r="B126" s="8" t="n">
        <v>43175</v>
      </c>
      <c r="C126" s="15" t="n">
        <v>1.52545928225</v>
      </c>
      <c r="D126" s="22" t="n">
        <f aca="false">100*(C126-C125)</f>
        <v>-0.00911438499999751</v>
      </c>
      <c r="E126" s="23" t="n">
        <f aca="false">'A4 control'!AV260</f>
        <v>-0.394441098388348</v>
      </c>
      <c r="F126" s="10" t="n">
        <v>0</v>
      </c>
      <c r="G126" s="22" t="n">
        <f aca="false">D126-$B$137*E126</f>
        <v>0.444191729916488</v>
      </c>
      <c r="H126" s="22" t="n">
        <f aca="false">H125+G126</f>
        <v>2.70934834884127</v>
      </c>
      <c r="I126" s="22" t="n">
        <f aca="false">D126-E126</f>
        <v>0.38532671338835</v>
      </c>
      <c r="J126" s="22" t="n">
        <f aca="false">J125+I126</f>
        <v>1.49078462900163</v>
      </c>
      <c r="K126" s="22" t="n">
        <f aca="false">K125+D126</f>
        <v>-6.67453393300002</v>
      </c>
    </row>
    <row r="127" customFormat="false" ht="15" hidden="false" customHeight="false" outlineLevel="0" collapsed="false">
      <c r="A127" s="10" t="n">
        <v>2</v>
      </c>
      <c r="B127" s="8" t="n">
        <v>43178</v>
      </c>
      <c r="C127" s="15" t="n">
        <v>1.52922215191</v>
      </c>
      <c r="D127" s="22" t="n">
        <f aca="false">100*(C127-C126)</f>
        <v>0.376286966000006</v>
      </c>
      <c r="E127" s="23" t="n">
        <f aca="false">'A4 control'!AV261</f>
        <v>-1.29098684653935</v>
      </c>
      <c r="F127" s="10" t="n">
        <v>0</v>
      </c>
      <c r="G127" s="22" t="n">
        <f aca="false">D127-$B$137*E127</f>
        <v>1.85993619576882</v>
      </c>
      <c r="H127" s="22" t="n">
        <f aca="false">H126+G127</f>
        <v>4.56928454461009</v>
      </c>
      <c r="I127" s="22" t="n">
        <f aca="false">D127-E127</f>
        <v>1.66727381253936</v>
      </c>
      <c r="J127" s="22" t="n">
        <f aca="false">J126+I127</f>
        <v>3.15805844154099</v>
      </c>
      <c r="K127" s="22" t="n">
        <f aca="false">K126+D127</f>
        <v>-6.29824696700001</v>
      </c>
    </row>
    <row r="128" customFormat="false" ht="15" hidden="false" customHeight="false" outlineLevel="0" collapsed="false">
      <c r="A128" s="10" t="n">
        <v>3</v>
      </c>
      <c r="B128" s="8" t="n">
        <v>43179</v>
      </c>
      <c r="C128" s="15" t="n">
        <v>1.57206721059</v>
      </c>
      <c r="D128" s="22" t="n">
        <f aca="false">100*(C128-C127)</f>
        <v>4.284505868</v>
      </c>
      <c r="E128" s="23" t="n">
        <f aca="false">'A4 control'!AV262</f>
        <v>2.26241535900543</v>
      </c>
      <c r="F128" s="10" t="n">
        <v>0</v>
      </c>
      <c r="G128" s="22" t="n">
        <f aca="false">D128-$B$137*E128</f>
        <v>1.68445551597402</v>
      </c>
      <c r="H128" s="22" t="n">
        <f aca="false">H127+G128</f>
        <v>6.2537400605841</v>
      </c>
      <c r="I128" s="22" t="n">
        <f aca="false">D128-E128</f>
        <v>2.02209050899456</v>
      </c>
      <c r="J128" s="22" t="n">
        <f aca="false">J127+I128</f>
        <v>5.18014895053555</v>
      </c>
      <c r="K128" s="22" t="n">
        <f aca="false">K127+D128</f>
        <v>-2.01374109900001</v>
      </c>
    </row>
    <row r="129" customFormat="false" ht="15" hidden="false" customHeight="false" outlineLevel="0" collapsed="false">
      <c r="A129" s="10" t="n">
        <v>4</v>
      </c>
      <c r="B129" s="8" t="n">
        <v>43180</v>
      </c>
      <c r="C129" s="15" t="n">
        <v>1.61596057717</v>
      </c>
      <c r="D129" s="22" t="n">
        <f aca="false">100*(C129-C128)</f>
        <v>4.38933665800001</v>
      </c>
      <c r="E129" s="23" t="n">
        <f aca="false">'A4 control'!AV263</f>
        <v>2.97029207880561</v>
      </c>
      <c r="F129" s="10" t="n">
        <v>0</v>
      </c>
      <c r="G129" s="22" t="n">
        <f aca="false">D129-$B$137*E129</f>
        <v>0.975768528532602</v>
      </c>
      <c r="H129" s="22" t="n">
        <f aca="false">H128+G129</f>
        <v>7.22950858911671</v>
      </c>
      <c r="I129" s="22" t="n">
        <f aca="false">D129-E129</f>
        <v>1.4190445791944</v>
      </c>
      <c r="J129" s="22" t="n">
        <f aca="false">J128+I129</f>
        <v>6.59919352972995</v>
      </c>
      <c r="K129" s="22" t="n">
        <f aca="false">K128+D129</f>
        <v>2.375595559</v>
      </c>
    </row>
    <row r="130" customFormat="false" ht="15" hidden="false" customHeight="false" outlineLevel="0" collapsed="false">
      <c r="A130" s="10" t="n">
        <v>5</v>
      </c>
      <c r="B130" s="8" t="n">
        <v>43181</v>
      </c>
      <c r="C130" s="15" t="n">
        <v>1.5010315427</v>
      </c>
      <c r="D130" s="22" t="n">
        <f aca="false">100*(C130-C129)</f>
        <v>-11.492903447</v>
      </c>
      <c r="E130" s="23" t="n">
        <f aca="false">'A4 control'!AV264</f>
        <v>-9.04453464320045</v>
      </c>
      <c r="F130" s="10" t="n">
        <v>0</v>
      </c>
      <c r="G130" s="22" t="n">
        <f aca="false">D130-$B$137*E130</f>
        <v>-1.09859393643234</v>
      </c>
      <c r="H130" s="22" t="n">
        <f aca="false">H129+G130</f>
        <v>6.13091465268436</v>
      </c>
      <c r="I130" s="22" t="n">
        <f aca="false">D130-E130</f>
        <v>-2.44836880379955</v>
      </c>
      <c r="J130" s="22" t="n">
        <f aca="false">J129+I130</f>
        <v>4.1508247259304</v>
      </c>
      <c r="K130" s="22" t="n">
        <f aca="false">K129+D130</f>
        <v>-9.117307888</v>
      </c>
    </row>
    <row r="131" customFormat="false" ht="15" hidden="false" customHeight="false" outlineLevel="0" collapsed="false">
      <c r="A131" s="10" t="n">
        <v>6</v>
      </c>
      <c r="B131" s="8" t="n">
        <v>43182</v>
      </c>
      <c r="C131" s="15" t="n">
        <v>1.53171598551</v>
      </c>
      <c r="D131" s="22" t="n">
        <f aca="false">100*(C131-C130)</f>
        <v>3.06844428099999</v>
      </c>
      <c r="E131" s="23" t="n">
        <f aca="false">'A4 control'!AV265</f>
        <v>3.27241009184775</v>
      </c>
      <c r="F131" s="10" t="n">
        <v>0</v>
      </c>
      <c r="G131" s="22" t="n">
        <f aca="false">D131-$B$137*E131</f>
        <v>-0.69232890214462</v>
      </c>
      <c r="H131" s="22" t="n">
        <f aca="false">H130+G131</f>
        <v>5.43858575053974</v>
      </c>
      <c r="I131" s="22" t="n">
        <f aca="false">D131-E131</f>
        <v>-0.20396581084776</v>
      </c>
      <c r="J131" s="22" t="n">
        <f aca="false">J130+I131</f>
        <v>3.94685891508264</v>
      </c>
      <c r="K131" s="22" t="n">
        <f aca="false">K130+D131</f>
        <v>-6.04886360700001</v>
      </c>
    </row>
    <row r="132" customFormat="false" ht="15" hidden="false" customHeight="false" outlineLevel="0" collapsed="false">
      <c r="A132" s="10" t="n">
        <v>7</v>
      </c>
      <c r="B132" s="8" t="n">
        <v>43185</v>
      </c>
      <c r="C132" s="15" t="n">
        <v>1.53205694643</v>
      </c>
      <c r="D132" s="22" t="n">
        <f aca="false">100*(C132-C131)</f>
        <v>0.0340960920000022</v>
      </c>
      <c r="E132" s="23" t="n">
        <f aca="false">'A4 control'!AV266</f>
        <v>-0.529892792725048</v>
      </c>
      <c r="F132" s="10" t="n">
        <v>0</v>
      </c>
      <c r="G132" s="22" t="n">
        <f aca="false">D132-$B$137*E132</f>
        <v>0.643068240627235</v>
      </c>
      <c r="H132" s="22" t="n">
        <f aca="false">H131+G132</f>
        <v>6.08165399116698</v>
      </c>
      <c r="I132" s="22" t="n">
        <f aca="false">D132-E132</f>
        <v>0.56398888472505</v>
      </c>
      <c r="J132" s="22" t="n">
        <f aca="false">J131+I132</f>
        <v>4.51084779980769</v>
      </c>
      <c r="K132" s="22" t="n">
        <f aca="false">K131+D132</f>
        <v>-6.01476751500001</v>
      </c>
    </row>
    <row r="133" customFormat="false" ht="15" hidden="false" customHeight="false" outlineLevel="0" collapsed="false">
      <c r="A133" s="10" t="n">
        <v>8</v>
      </c>
      <c r="B133" s="8" t="n">
        <v>43186</v>
      </c>
      <c r="C133" s="15" t="n">
        <v>1.50258184869</v>
      </c>
      <c r="D133" s="22" t="n">
        <f aca="false">100*(C133-C132)</f>
        <v>-2.947509774</v>
      </c>
      <c r="E133" s="23" t="n">
        <f aca="false">'A4 control'!AV267</f>
        <v>-1.44813461439044</v>
      </c>
      <c r="F133" s="10" t="n">
        <v>0</v>
      </c>
      <c r="G133" s="22" t="n">
        <f aca="false">D133-$B$137*E133</f>
        <v>-1.28326059051582</v>
      </c>
      <c r="H133" s="22" t="n">
        <f aca="false">H132+G133</f>
        <v>4.79839340065116</v>
      </c>
      <c r="I133" s="22" t="n">
        <f aca="false">D133-E133</f>
        <v>-1.49937515960956</v>
      </c>
      <c r="J133" s="22" t="n">
        <f aca="false">J132+I133</f>
        <v>3.01147264019813</v>
      </c>
      <c r="K133" s="22" t="n">
        <f aca="false">K132+D133</f>
        <v>-8.96227728900001</v>
      </c>
    </row>
    <row r="134" customFormat="false" ht="15" hidden="false" customHeight="false" outlineLevel="0" collapsed="false">
      <c r="A134" s="10" t="n">
        <v>9</v>
      </c>
      <c r="B134" s="8" t="n">
        <v>43187</v>
      </c>
      <c r="C134" s="15" t="n">
        <v>1.45544984293</v>
      </c>
      <c r="D134" s="22" t="n">
        <f aca="false">100*(C134-C133)</f>
        <v>-4.713200576</v>
      </c>
      <c r="E134" s="23" t="n">
        <f aca="false">'A4 control'!AV268</f>
        <v>-3.38799142827663</v>
      </c>
      <c r="F134" s="10" t="n">
        <v>0</v>
      </c>
      <c r="G134" s="22" t="n">
        <f aca="false">D134-$B$137*E134</f>
        <v>-0.819597100100639</v>
      </c>
      <c r="H134" s="22" t="n">
        <f aca="false">H133+G134</f>
        <v>3.97879630055052</v>
      </c>
      <c r="I134" s="22" t="n">
        <f aca="false">D134-E134</f>
        <v>-1.32520914772337</v>
      </c>
      <c r="J134" s="22" t="n">
        <f aca="false">J133+I134</f>
        <v>1.68626349247476</v>
      </c>
      <c r="K134" s="22" t="n">
        <f aca="false">K133+D134</f>
        <v>-13.675477865</v>
      </c>
    </row>
    <row r="135" customFormat="false" ht="15" hidden="false" customHeight="false" outlineLevel="0" collapsed="false">
      <c r="A135" s="10" t="n">
        <v>10</v>
      </c>
      <c r="B135" s="8" t="n">
        <v>43188</v>
      </c>
      <c r="C135" s="15" t="n">
        <v>1.44262311548</v>
      </c>
      <c r="D135" s="22" t="n">
        <f aca="false">100*(C135-C134)</f>
        <v>-1.282672745</v>
      </c>
      <c r="E135" s="23" t="n">
        <f aca="false">'A4 control'!AV269</f>
        <v>-0.840570719540313</v>
      </c>
      <c r="F135" s="10" t="n">
        <v>0</v>
      </c>
      <c r="G135" s="22" t="n">
        <f aca="false">D135-$B$137*E135</f>
        <v>-0.316658177186827</v>
      </c>
      <c r="H135" s="22" t="n">
        <f aca="false">H134+G135</f>
        <v>3.6621381233637</v>
      </c>
      <c r="I135" s="22" t="n">
        <f aca="false">D135-E135</f>
        <v>-0.442102025459689</v>
      </c>
      <c r="J135" s="22" t="n">
        <f aca="false">J134+I135</f>
        <v>1.24416146701507</v>
      </c>
      <c r="K135" s="22" t="n">
        <f aca="false">K134+D135</f>
        <v>-14.95815061</v>
      </c>
    </row>
    <row r="137" customFormat="false" ht="15" hidden="false" customHeight="false" outlineLevel="0" collapsed="false">
      <c r="A137" s="7" t="s">
        <v>167</v>
      </c>
      <c r="B137" s="24" t="n">
        <f aca="false">SLOPE(D5:D104,E5:E104)</f>
        <v>1.14923651913722</v>
      </c>
    </row>
    <row r="138" customFormat="false" ht="15" hidden="false" customHeight="false" outlineLevel="0" collapsed="false">
      <c r="A138" s="7" t="s">
        <v>168</v>
      </c>
      <c r="B138" s="22" t="n">
        <f aca="false">INTERCEPT(D5:D104,E5:E104)</f>
        <v>0.107423698433994</v>
      </c>
    </row>
    <row r="139" customFormat="false" ht="15" hidden="false" customHeight="false" outlineLevel="0" collapsed="false">
      <c r="A139" s="7" t="s">
        <v>169</v>
      </c>
      <c r="B139" s="18" t="n">
        <f aca="false">RSQ(D5:D104,E5:E104)</f>
        <v>0.973804833396109</v>
      </c>
    </row>
    <row r="140" customFormat="false" ht="15" hidden="false" customHeight="false" outlineLevel="0" collapsed="false">
      <c r="A140" s="7" t="s">
        <v>170</v>
      </c>
      <c r="B140" s="19" t="n">
        <f aca="false">COUNT(D5:D104)</f>
        <v>100</v>
      </c>
    </row>
    <row r="141" customFormat="false" ht="15" hidden="false" customHeight="false" outlineLevel="0" collapsed="false">
      <c r="A141" s="7" t="s">
        <v>171</v>
      </c>
      <c r="B141" s="25" t="n">
        <v>1.14923651913722</v>
      </c>
    </row>
    <row r="143" customFormat="false" ht="26.85" hidden="false" customHeight="false" outlineLevel="0" collapsed="false">
      <c r="A143" s="3" t="s">
        <v>172</v>
      </c>
      <c r="B143" s="3" t="s">
        <v>173</v>
      </c>
      <c r="C143" s="3" t="s">
        <v>174</v>
      </c>
      <c r="D143" s="3" t="s">
        <v>175</v>
      </c>
      <c r="E143" s="3" t="s">
        <v>176</v>
      </c>
    </row>
    <row r="144" customFormat="false" ht="15" hidden="false" customHeight="false" outlineLevel="0" collapsed="false">
      <c r="A144" s="7" t="s">
        <v>177</v>
      </c>
      <c r="B144" s="17" t="n">
        <f aca="false">H124-H119</f>
        <v>1.18888477085801</v>
      </c>
      <c r="C144" s="18" t="n">
        <f aca="false">J124-J119</f>
        <v>0.0929537031234438</v>
      </c>
      <c r="D144" s="18" t="n">
        <f aca="false">K124-K119</f>
        <v>-7.25063132600001</v>
      </c>
      <c r="E144" s="9" t="n">
        <v>1.188884770858</v>
      </c>
    </row>
    <row r="145" customFormat="false" ht="15" hidden="false" customHeight="false" outlineLevel="0" collapsed="false">
      <c r="A145" s="7" t="s">
        <v>178</v>
      </c>
      <c r="B145" s="17" t="n">
        <f aca="false">H125-H124</f>
        <v>1.07627184806677</v>
      </c>
      <c r="C145" s="18" t="n">
        <f aca="false">J125-J124</f>
        <v>1.01250421248984</v>
      </c>
      <c r="D145" s="18" t="n">
        <f aca="false">K125-K124</f>
        <v>0.585211777999994</v>
      </c>
      <c r="E145" s="9" t="n">
        <v>1.07627184806678</v>
      </c>
    </row>
    <row r="146" customFormat="false" ht="15" hidden="false" customHeight="false" outlineLevel="0" collapsed="false">
      <c r="A146" s="7" t="s">
        <v>179</v>
      </c>
      <c r="B146" s="17" t="n">
        <f aca="false">H130-H125</f>
        <v>3.86575803375958</v>
      </c>
      <c r="C146" s="18" t="n">
        <f aca="false">J130-J125</f>
        <v>3.04536681031712</v>
      </c>
      <c r="D146" s="18" t="n">
        <f aca="false">K130-K125</f>
        <v>-2.45188833999999</v>
      </c>
      <c r="E146" s="9" t="n">
        <v>3.86575803375958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5"/>
  </cols>
  <sheetData>
    <row r="1" customFormat="false" ht="15" hidden="false" customHeight="false" outlineLevel="0" collapsed="false">
      <c r="A1" s="6" t="s">
        <v>240</v>
      </c>
    </row>
    <row r="3" customFormat="false" ht="15" hidden="false" customHeight="false" outlineLevel="0" collapsed="false">
      <c r="A3" s="7" t="s">
        <v>33</v>
      </c>
      <c r="B3" s="8" t="n">
        <v>44838</v>
      </c>
    </row>
    <row r="4" customFormat="false" ht="15" hidden="false" customHeight="false" outlineLevel="0" collapsed="false">
      <c r="A4" s="7" t="s">
        <v>34</v>
      </c>
      <c r="B4" s="8" t="n">
        <v>44839</v>
      </c>
    </row>
    <row r="5" customFormat="false" ht="15" hidden="false" customHeight="false" outlineLevel="0" collapsed="false">
      <c r="A5" s="7" t="s">
        <v>35</v>
      </c>
      <c r="B5" s="8" t="n">
        <v>44839</v>
      </c>
    </row>
    <row r="6" customFormat="false" ht="15" hidden="false" customHeight="false" outlineLevel="0" collapsed="false">
      <c r="A6" s="7" t="s">
        <v>36</v>
      </c>
      <c r="B6" s="8" t="n">
        <v>44837</v>
      </c>
    </row>
    <row r="7" customFormat="false" ht="15" hidden="false" customHeight="false" outlineLevel="0" collapsed="false">
      <c r="A7" s="7" t="s">
        <v>37</v>
      </c>
      <c r="B7" s="9" t="n">
        <v>0.5</v>
      </c>
    </row>
    <row r="8" customFormat="false" ht="15" hidden="false" customHeight="false" outlineLevel="0" collapsed="false">
      <c r="A8" s="7" t="s">
        <v>38</v>
      </c>
      <c r="B8" s="8" t="n">
        <v>59101</v>
      </c>
    </row>
    <row r="9" customFormat="false" ht="15" hidden="false" customHeight="false" outlineLevel="0" collapsed="false">
      <c r="A9" s="7" t="s">
        <v>39</v>
      </c>
      <c r="B9" s="8" t="n">
        <v>43971</v>
      </c>
    </row>
    <row r="10" customFormat="false" ht="15" hidden="false" customHeight="false" outlineLevel="0" collapsed="false">
      <c r="A10" s="7" t="s">
        <v>40</v>
      </c>
      <c r="B10" s="8" t="n">
        <v>44126</v>
      </c>
    </row>
    <row r="11" customFormat="false" ht="15" hidden="false" customHeight="false" outlineLevel="0" collapsed="false">
      <c r="A11" s="7" t="s">
        <v>41</v>
      </c>
      <c r="B11" s="10" t="s">
        <v>241</v>
      </c>
    </row>
    <row r="12" customFormat="false" ht="15" hidden="false" customHeight="false" outlineLevel="0" collapsed="false">
      <c r="A12" s="7" t="s">
        <v>43</v>
      </c>
      <c r="B12" s="11" t="n">
        <v>0.226775956284153</v>
      </c>
    </row>
    <row r="13" customFormat="false" ht="15" hidden="false" customHeight="false" outlineLevel="0" collapsed="false">
      <c r="A13" s="7" t="s">
        <v>44</v>
      </c>
      <c r="B13" s="11" t="n">
        <v>3.370646</v>
      </c>
    </row>
    <row r="14" customFormat="false" ht="15" hidden="false" customHeight="false" outlineLevel="0" collapsed="false">
      <c r="A14" s="7" t="s">
        <v>45</v>
      </c>
      <c r="B14" s="12" t="n">
        <v>40</v>
      </c>
    </row>
    <row r="15" customFormat="false" ht="15" hidden="false" customHeight="false" outlineLevel="0" collapsed="false">
      <c r="A15" s="7" t="s">
        <v>46</v>
      </c>
      <c r="B15" s="11" t="n">
        <v>3.20212739021439</v>
      </c>
    </row>
    <row r="16" customFormat="false" ht="15" hidden="false" customHeight="false" outlineLevel="0" collapsed="false">
      <c r="A16" s="7" t="s">
        <v>47</v>
      </c>
      <c r="B16" s="11" t="n">
        <v>1.44557617738083</v>
      </c>
    </row>
    <row r="19" customFormat="false" ht="39.55" hidden="false" customHeight="false" outlineLevel="0" collapsed="false">
      <c r="A19" s="3" t="s">
        <v>48</v>
      </c>
      <c r="B19" s="3" t="s">
        <v>49</v>
      </c>
      <c r="C19" s="3" t="s">
        <v>50</v>
      </c>
      <c r="D19" s="3" t="s">
        <v>51</v>
      </c>
      <c r="E19" s="3" t="s">
        <v>52</v>
      </c>
      <c r="F19" s="3" t="s">
        <v>53</v>
      </c>
      <c r="G19" s="3" t="s">
        <v>54</v>
      </c>
      <c r="H19" s="3" t="s">
        <v>55</v>
      </c>
      <c r="I19" s="3" t="s">
        <v>56</v>
      </c>
      <c r="J19" s="3" t="s">
        <v>57</v>
      </c>
      <c r="K19" s="3" t="s">
        <v>58</v>
      </c>
      <c r="L19" s="3" t="s">
        <v>59</v>
      </c>
      <c r="M19" s="3" t="s">
        <v>60</v>
      </c>
      <c r="N19" s="3" t="s">
        <v>61</v>
      </c>
    </row>
    <row r="20" customFormat="false" ht="15" hidden="false" customHeight="false" outlineLevel="0" collapsed="false">
      <c r="A20" s="8" t="n">
        <v>44856</v>
      </c>
      <c r="B20" s="11" t="n">
        <v>0.25</v>
      </c>
      <c r="C20" s="13" t="n">
        <f aca="false">(A20-$B$5)/365.25</f>
        <v>0.0465434633812457</v>
      </c>
      <c r="D20" s="11" t="n">
        <v>3.02689136351221</v>
      </c>
      <c r="E20" s="14" t="n">
        <f aca="false">EXP(-D20/100*C20)</f>
        <v>0.998592171847766</v>
      </c>
      <c r="F20" s="13" t="n">
        <f aca="false">B20*E20</f>
        <v>0.249648042961941</v>
      </c>
      <c r="G20" s="11" t="n">
        <v>0.092896174863388</v>
      </c>
      <c r="H20" s="14" t="n">
        <f aca="false">(1/(1+$B$103/200))^G20</f>
        <v>0.998460871506181</v>
      </c>
      <c r="I20" s="13" t="n">
        <f aca="false">B20*H20</f>
        <v>0.249615217876545</v>
      </c>
    </row>
    <row r="21" customFormat="false" ht="15" hidden="false" customHeight="false" outlineLevel="0" collapsed="false">
      <c r="A21" s="8" t="n">
        <v>45038</v>
      </c>
      <c r="B21" s="11" t="n">
        <v>0.25</v>
      </c>
      <c r="C21" s="13" t="n">
        <f aca="false">(A21-$B$5)/365.25</f>
        <v>0.544832306639288</v>
      </c>
      <c r="D21" s="11" t="n">
        <v>3.38410846912016</v>
      </c>
      <c r="E21" s="14" t="n">
        <f aca="false">EXP(-D21/100*C21)</f>
        <v>0.981731218607598</v>
      </c>
      <c r="F21" s="13" t="n">
        <f aca="false">B21*E21</f>
        <v>0.245432804651899</v>
      </c>
      <c r="G21" s="11" t="n">
        <v>1.09289617486339</v>
      </c>
      <c r="H21" s="14" t="n">
        <f aca="false">(1/(1+$B$103/200))^G21</f>
        <v>0.982041861062698</v>
      </c>
      <c r="I21" s="13" t="n">
        <f aca="false">B21*H21</f>
        <v>0.245510465265675</v>
      </c>
      <c r="J21" s="9" t="n">
        <v>0.5</v>
      </c>
      <c r="K21" s="11" t="n">
        <v>3.31861587158549</v>
      </c>
      <c r="L21" s="9" t="n">
        <v>0.583333</v>
      </c>
      <c r="M21" s="11" t="n">
        <v>3.43635542906346</v>
      </c>
      <c r="N21" s="13" t="n">
        <f aca="false">IF(L21=J21,K21,K21+(M21-K21)*(C21-J21)/(L21-J21))</f>
        <v>3.38195855628935</v>
      </c>
    </row>
    <row r="22" customFormat="false" ht="15" hidden="false" customHeight="false" outlineLevel="0" collapsed="false">
      <c r="A22" s="8" t="n">
        <v>45221</v>
      </c>
      <c r="B22" s="11" t="n">
        <v>0.25</v>
      </c>
      <c r="C22" s="13" t="n">
        <f aca="false">(A22-$B$5)/365.25</f>
        <v>1.04585900068446</v>
      </c>
      <c r="D22" s="11" t="n">
        <v>3.83670415788632</v>
      </c>
      <c r="E22" s="14" t="n">
        <f aca="false">EXP(-D22/100*C22)</f>
        <v>0.96066789183052</v>
      </c>
      <c r="F22" s="13" t="n">
        <f aca="false">B22*E22</f>
        <v>0.24016697295763</v>
      </c>
      <c r="G22" s="11" t="n">
        <v>2.09289617486339</v>
      </c>
      <c r="H22" s="14" t="n">
        <f aca="false">(1/(1+$B$103/200))^G22</f>
        <v>0.965892850087033</v>
      </c>
      <c r="I22" s="13" t="n">
        <f aca="false">B22*H22</f>
        <v>0.241473212521758</v>
      </c>
      <c r="J22" s="9" t="n">
        <v>1</v>
      </c>
      <c r="K22" s="11" t="n">
        <v>3.81072699475532</v>
      </c>
      <c r="L22" s="9" t="n">
        <v>1.083333</v>
      </c>
      <c r="M22" s="11" t="n">
        <v>3.85644349922929</v>
      </c>
      <c r="N22" s="13" t="n">
        <f aca="false">IF(L22=J22,K22,K22+(M22-K22)*(C22-J22)/(L22-J22))</f>
        <v>3.83588525390791</v>
      </c>
    </row>
    <row r="23" customFormat="false" ht="15" hidden="false" customHeight="false" outlineLevel="0" collapsed="false">
      <c r="A23" s="8" t="n">
        <v>45404</v>
      </c>
      <c r="B23" s="11" t="n">
        <v>0.25</v>
      </c>
      <c r="C23" s="13" t="n">
        <f aca="false">(A23-$B$5)/365.25</f>
        <v>1.54688569472964</v>
      </c>
      <c r="D23" s="11" t="n">
        <v>4.02331960038625</v>
      </c>
      <c r="E23" s="14" t="n">
        <f aca="false">EXP(-D23/100*C23)</f>
        <v>0.939660954623735</v>
      </c>
      <c r="F23" s="13" t="n">
        <f aca="false">B23*E23</f>
        <v>0.234915238655934</v>
      </c>
      <c r="G23" s="11" t="n">
        <v>3.09289617486339</v>
      </c>
      <c r="H23" s="14" t="n">
        <f aca="false">(1/(1+$B$103/200))^G23</f>
        <v>0.950009398621438</v>
      </c>
      <c r="I23" s="13" t="n">
        <f aca="false">B23*H23</f>
        <v>0.237502349655359</v>
      </c>
      <c r="J23" s="9" t="n">
        <v>1.5</v>
      </c>
      <c r="K23" s="11" t="n">
        <v>4.01121630139824</v>
      </c>
      <c r="L23" s="9" t="n">
        <v>1.583333</v>
      </c>
      <c r="M23" s="11" t="n">
        <v>4.03219219012575</v>
      </c>
      <c r="N23" s="13" t="n">
        <f aca="false">IF(L23=J23,K23,K23+(M23-K23)*(C23-J23)/(L23-J23))</f>
        <v>4.02301797799168</v>
      </c>
    </row>
    <row r="24" customFormat="false" ht="15" hidden="false" customHeight="false" outlineLevel="0" collapsed="false">
      <c r="A24" s="8" t="n">
        <v>45587</v>
      </c>
      <c r="B24" s="11" t="n">
        <v>0.25</v>
      </c>
      <c r="C24" s="13" t="n">
        <f aca="false">(A24-$B$5)/365.25</f>
        <v>2.04791238877481</v>
      </c>
      <c r="D24" s="11" t="n">
        <v>4.11337436450288</v>
      </c>
      <c r="E24" s="14" t="n">
        <f aca="false">EXP(-D24/100*C24)</f>
        <v>0.919212178782317</v>
      </c>
      <c r="F24" s="13" t="n">
        <f aca="false">B24*E24</f>
        <v>0.229803044695579</v>
      </c>
      <c r="G24" s="11" t="n">
        <v>4.09289617486339</v>
      </c>
      <c r="H24" s="14" t="n">
        <f aca="false">(1/(1+$B$103/200))^G24</f>
        <v>0.934387139720253</v>
      </c>
      <c r="I24" s="13" t="n">
        <f aca="false">B24*H24</f>
        <v>0.233596784930063</v>
      </c>
      <c r="J24" s="9" t="n">
        <v>2</v>
      </c>
      <c r="K24" s="11" t="n">
        <v>4.1072428934653</v>
      </c>
      <c r="L24" s="9" t="n">
        <v>2.083333</v>
      </c>
      <c r="M24" s="11" t="n">
        <v>4.1176380203048</v>
      </c>
      <c r="N24" s="13" t="n">
        <f aca="false">IF(L24=J24,K24,K24+(M24-K24)*(C24-J24)/(L24-J24))</f>
        <v>4.11321958167402</v>
      </c>
    </row>
    <row r="25" customFormat="false" ht="15" hidden="false" customHeight="false" outlineLevel="0" collapsed="false">
      <c r="A25" s="8" t="n">
        <v>45769</v>
      </c>
      <c r="B25" s="11" t="n">
        <v>0.25</v>
      </c>
      <c r="C25" s="13" t="n">
        <f aca="false">(A25-$B$5)/365.25</f>
        <v>2.54620123203285</v>
      </c>
      <c r="D25" s="11" t="n">
        <v>4.15600282256873</v>
      </c>
      <c r="E25" s="14" t="n">
        <f aca="false">EXP(-D25/100*C25)</f>
        <v>0.89958638360039</v>
      </c>
      <c r="F25" s="13" t="n">
        <f aca="false">B25*E25</f>
        <v>0.224896595900098</v>
      </c>
      <c r="G25" s="11" t="n">
        <v>5.09289617486339</v>
      </c>
      <c r="H25" s="14" t="n">
        <f aca="false">(1/(1+$B$103/200))^G25</f>
        <v>0.919021778249272</v>
      </c>
      <c r="I25" s="13" t="n">
        <f aca="false">B25*H25</f>
        <v>0.229755444562318</v>
      </c>
      <c r="J25" s="9" t="n">
        <v>2.5</v>
      </c>
      <c r="K25" s="11" t="n">
        <v>4.15340318557746</v>
      </c>
      <c r="L25" s="9" t="n">
        <v>2.583333</v>
      </c>
      <c r="M25" s="11" t="n">
        <v>4.15792785552281</v>
      </c>
      <c r="N25" s="13" t="n">
        <f aca="false">IF(L25=J25,K25,K25+(M25-K25)*(C25-J25)/(L25-J25))</f>
        <v>4.15591173952388</v>
      </c>
    </row>
    <row r="26" customFormat="false" ht="15" hidden="false" customHeight="false" outlineLevel="0" collapsed="false">
      <c r="A26" s="8" t="n">
        <v>45952</v>
      </c>
      <c r="B26" s="11" t="n">
        <v>0.25</v>
      </c>
      <c r="C26" s="13" t="n">
        <f aca="false">(A26-$B$5)/365.25</f>
        <v>3.04722792607803</v>
      </c>
      <c r="D26" s="11" t="n">
        <v>4.17170579255486</v>
      </c>
      <c r="E26" s="14" t="n">
        <f aca="false">EXP(-D26/100*C26)</f>
        <v>0.880626772193237</v>
      </c>
      <c r="F26" s="13" t="n">
        <f aca="false">B26*E26</f>
        <v>0.220156693048309</v>
      </c>
      <c r="G26" s="11" t="n">
        <v>6.09289617486339</v>
      </c>
      <c r="H26" s="14" t="n">
        <f aca="false">(1/(1+$B$103/200))^G26</f>
        <v>0.903909089704852</v>
      </c>
      <c r="I26" s="13" t="n">
        <f aca="false">B26*H26</f>
        <v>0.225977272426213</v>
      </c>
      <c r="J26" s="9" t="n">
        <v>3</v>
      </c>
      <c r="K26" s="11" t="n">
        <v>4.17104846610577</v>
      </c>
      <c r="L26" s="9" t="n">
        <v>3.083333</v>
      </c>
      <c r="M26" s="11" t="n">
        <v>4.17211200154587</v>
      </c>
      <c r="N26" s="13" t="n">
        <f aca="false">IF(L26=J26,K26,K26+(M26-K26)*(C26-J26)/(L26-J26))</f>
        <v>4.17165121139451</v>
      </c>
    </row>
    <row r="27" customFormat="false" ht="15" hidden="false" customHeight="false" outlineLevel="0" collapsed="false">
      <c r="A27" s="8" t="n">
        <v>46134</v>
      </c>
      <c r="B27" s="11" t="n">
        <v>0.25</v>
      </c>
      <c r="C27" s="13" t="n">
        <f aca="false">(A27-$B$5)/365.25</f>
        <v>3.54551676933607</v>
      </c>
      <c r="D27" s="11" t="n">
        <v>4.17105394353314</v>
      </c>
      <c r="E27" s="14" t="n">
        <f aca="false">EXP(-D27/100*C27)</f>
        <v>0.862529940525804</v>
      </c>
      <c r="F27" s="13" t="n">
        <f aca="false">B27*E27</f>
        <v>0.215632485131451</v>
      </c>
      <c r="G27" s="11" t="n">
        <v>7.09289617486339</v>
      </c>
      <c r="H27" s="14" t="n">
        <f aca="false">(1/(1+$B$103/200))^G27</f>
        <v>0.889044919052441</v>
      </c>
      <c r="I27" s="13" t="n">
        <f aca="false">B27*H27</f>
        <v>0.22226122976311</v>
      </c>
      <c r="J27" s="9" t="n">
        <v>3.5</v>
      </c>
      <c r="K27" s="11" t="n">
        <v>4.17160701424782</v>
      </c>
      <c r="L27" s="9" t="n">
        <v>3.583333</v>
      </c>
      <c r="M27" s="11" t="n">
        <v>4.17053049193649</v>
      </c>
      <c r="N27" s="13" t="n">
        <f aca="false">IF(L27=J27,K27,K27+(M27-K27)*(C27-J27)/(L27-J27))</f>
        <v>4.17101901408306</v>
      </c>
    </row>
    <row r="28" customFormat="false" ht="15" hidden="false" customHeight="false" outlineLevel="0" collapsed="false">
      <c r="A28" s="8" t="n">
        <v>46317</v>
      </c>
      <c r="B28" s="11" t="n">
        <v>0.25</v>
      </c>
      <c r="C28" s="13" t="n">
        <f aca="false">(A28-$B$5)/365.25</f>
        <v>4.04654346338125</v>
      </c>
      <c r="D28" s="11" t="n">
        <v>4.16009970568464</v>
      </c>
      <c r="E28" s="14" t="n">
        <f aca="false">EXP(-D28/100*C28)</f>
        <v>0.845066258130281</v>
      </c>
      <c r="F28" s="13" t="n">
        <f aca="false">B28*E28</f>
        <v>0.21126656453257</v>
      </c>
      <c r="G28" s="11" t="n">
        <v>8.09289617486339</v>
      </c>
      <c r="H28" s="14" t="n">
        <f aca="false">(1/(1+$B$103/200))^G28</f>
        <v>0.874425179584206</v>
      </c>
      <c r="I28" s="13" t="n">
        <f aca="false">B28*H28</f>
        <v>0.218606294896052</v>
      </c>
      <c r="J28" s="9" t="n">
        <v>4</v>
      </c>
      <c r="K28" s="11" t="n">
        <v>4.16144025356123</v>
      </c>
      <c r="L28" s="9" t="n">
        <v>4.083333</v>
      </c>
      <c r="M28" s="11" t="n">
        <v>4.15900069101758</v>
      </c>
      <c r="N28" s="13" t="n">
        <f aca="false">IF(L28=J28,K28,K28+(M28-K28)*(C28-J28)/(L28-J28))</f>
        <v>4.16007769983202</v>
      </c>
    </row>
    <row r="29" customFormat="false" ht="15" hidden="false" customHeight="false" outlineLevel="0" collapsed="false">
      <c r="A29" s="8" t="n">
        <v>46499</v>
      </c>
      <c r="B29" s="11" t="n">
        <v>0.25</v>
      </c>
      <c r="C29" s="13" t="n">
        <f aca="false">(A29-$B$5)/365.25</f>
        <v>4.54483230663929</v>
      </c>
      <c r="D29" s="11" t="n">
        <v>4.14273507791737</v>
      </c>
      <c r="E29" s="14" t="n">
        <f aca="false">EXP(-D29/100*C29)</f>
        <v>0.828382427553427</v>
      </c>
      <c r="F29" s="13" t="n">
        <f aca="false">B29*E29</f>
        <v>0.207095606888357</v>
      </c>
      <c r="G29" s="11" t="n">
        <v>9.09289617486339</v>
      </c>
      <c r="H29" s="14" t="n">
        <f aca="false">(1/(1+$B$103/200))^G29</f>
        <v>0.860045851795447</v>
      </c>
      <c r="I29" s="13" t="n">
        <f aca="false">B29*H29</f>
        <v>0.215011462948862</v>
      </c>
      <c r="J29" s="9" t="n">
        <v>4.5</v>
      </c>
      <c r="K29" s="11" t="n">
        <v>4.14448690848847</v>
      </c>
      <c r="L29" s="9" t="n">
        <v>4.583333</v>
      </c>
      <c r="M29" s="11" t="n">
        <v>4.14120634268428</v>
      </c>
      <c r="N29" s="13" t="n">
        <f aca="false">IF(L29=J29,K29,K29+(M29-K29)*(C29-J29)/(L29-J29))</f>
        <v>4.14272199744382</v>
      </c>
    </row>
    <row r="30" customFormat="false" ht="15" hidden="false" customHeight="false" outlineLevel="0" collapsed="false">
      <c r="A30" s="8" t="n">
        <v>46682</v>
      </c>
      <c r="B30" s="11" t="n">
        <v>0.25</v>
      </c>
      <c r="C30" s="13" t="n">
        <f aca="false">(A30-$B$5)/365.25</f>
        <v>5.04585900068446</v>
      </c>
      <c r="D30" s="11" t="n">
        <v>4.12144340320556</v>
      </c>
      <c r="E30" s="14" t="n">
        <f aca="false">EXP(-D30/100*C30)</f>
        <v>0.812237720102706</v>
      </c>
      <c r="F30" s="13" t="n">
        <f aca="false">B30*E30</f>
        <v>0.203059430025677</v>
      </c>
      <c r="G30" s="11" t="n">
        <v>10.0928961748634</v>
      </c>
      <c r="H30" s="14" t="n">
        <f aca="false">(1/(1+$B$103/200))^G30</f>
        <v>0.845902982279487</v>
      </c>
      <c r="I30" s="13" t="n">
        <f aca="false">B30*H30</f>
        <v>0.211475745569872</v>
      </c>
      <c r="J30" s="9" t="n">
        <v>5</v>
      </c>
      <c r="K30" s="11" t="n">
        <v>4.12349487145537</v>
      </c>
      <c r="L30" s="9" t="n">
        <v>5.5</v>
      </c>
      <c r="M30" s="11" t="n">
        <v>4.10051926451781</v>
      </c>
      <c r="N30" s="13" t="n">
        <f aca="false">IF(L30=J30,K30,K30+(M30-K30)*(C30-J30)/(L30-J30))</f>
        <v>4.12138759470682</v>
      </c>
    </row>
    <row r="31" customFormat="false" ht="15" hidden="false" customHeight="false" outlineLevel="0" collapsed="false">
      <c r="A31" s="8" t="n">
        <v>46865</v>
      </c>
      <c r="B31" s="11" t="n">
        <v>0.25</v>
      </c>
      <c r="C31" s="13" t="n">
        <f aca="false">(A31-$B$5)/365.25</f>
        <v>5.54688569472964</v>
      </c>
      <c r="D31" s="11" t="n">
        <v>4.09832337864396</v>
      </c>
      <c r="E31" s="14" t="n">
        <f aca="false">EXP(-D31/100*C31)</f>
        <v>0.796658388953378</v>
      </c>
      <c r="F31" s="13" t="n">
        <f aca="false">B31*E31</f>
        <v>0.199164597238344</v>
      </c>
      <c r="G31" s="11" t="n">
        <v>11.0928961748634</v>
      </c>
      <c r="H31" s="14" t="n">
        <f aca="false">(1/(1+$B$103/200))^G31</f>
        <v>0.831992682640735</v>
      </c>
      <c r="I31" s="13" t="n">
        <f aca="false">B31*H31</f>
        <v>0.207998170660184</v>
      </c>
      <c r="J31" s="9" t="n">
        <v>5.5</v>
      </c>
      <c r="K31" s="11" t="n">
        <v>4.10051926451781</v>
      </c>
      <c r="L31" s="9" t="n">
        <v>6</v>
      </c>
      <c r="M31" s="11" t="n">
        <v>4.07716249466407</v>
      </c>
      <c r="N31" s="13" t="n">
        <f aca="false">IF(L31=J31,K31,K31+(M31-K31)*(C31-J31)/(L31-J31))</f>
        <v>4.09832906775534</v>
      </c>
    </row>
    <row r="32" customFormat="false" ht="15" hidden="false" customHeight="false" outlineLevel="0" collapsed="false">
      <c r="A32" s="8" t="n">
        <v>47048</v>
      </c>
      <c r="B32" s="11" t="n">
        <v>0.25</v>
      </c>
      <c r="C32" s="13" t="n">
        <f aca="false">(A32-$B$5)/365.25</f>
        <v>6.04791238877481</v>
      </c>
      <c r="D32" s="11" t="n">
        <v>4.07495340944447</v>
      </c>
      <c r="E32" s="14" t="n">
        <f aca="false">EXP(-D32/100*C32)</f>
        <v>0.781570742263722</v>
      </c>
      <c r="F32" s="13" t="n">
        <f aca="false">B32*E32</f>
        <v>0.19539268556593</v>
      </c>
      <c r="G32" s="11" t="n">
        <v>12.0928961748634</v>
      </c>
      <c r="H32" s="14" t="n">
        <f aca="false">(1/(1+$B$103/200))^G32</f>
        <v>0.818311128425624</v>
      </c>
      <c r="I32" s="13" t="n">
        <f aca="false">B32*H32</f>
        <v>0.204577782106406</v>
      </c>
      <c r="J32" s="9" t="n">
        <v>6</v>
      </c>
      <c r="K32" s="11" t="n">
        <v>4.07716249466407</v>
      </c>
      <c r="L32" s="9" t="n">
        <v>6.5</v>
      </c>
      <c r="M32" s="11" t="n">
        <v>4.05469750462697</v>
      </c>
      <c r="N32" s="13" t="n">
        <f aca="false">IF(L32=J32,K32,K32+(M32-K32)*(C32-J32)/(L32-J32))</f>
        <v>4.07500979199111</v>
      </c>
    </row>
    <row r="33" customFormat="false" ht="15" hidden="false" customHeight="false" outlineLevel="0" collapsed="false">
      <c r="A33" s="8" t="n">
        <v>47230</v>
      </c>
      <c r="B33" s="11" t="n">
        <v>0.25</v>
      </c>
      <c r="C33" s="13" t="n">
        <f aca="false">(A33-$B$5)/365.25</f>
        <v>6.54620123203285</v>
      </c>
      <c r="D33" s="11" t="n">
        <v>4.05270421325127</v>
      </c>
      <c r="E33" s="14" t="n">
        <f aca="false">EXP(-D33/100*C33)</f>
        <v>0.766977223871559</v>
      </c>
      <c r="F33" s="13" t="n">
        <f aca="false">B33*E33</f>
        <v>0.19174430596789</v>
      </c>
      <c r="G33" s="11" t="n">
        <v>13.0928961748634</v>
      </c>
      <c r="H33" s="14" t="n">
        <f aca="false">(1/(1+$B$103/200))^G33</f>
        <v>0.804854558071123</v>
      </c>
      <c r="I33" s="13" t="n">
        <f aca="false">B33*H33</f>
        <v>0.201213639517781</v>
      </c>
      <c r="J33" s="9" t="n">
        <v>6.5</v>
      </c>
      <c r="K33" s="11" t="n">
        <v>4.05469750462697</v>
      </c>
      <c r="L33" s="9" t="n">
        <v>7</v>
      </c>
      <c r="M33" s="11" t="n">
        <v>4.03413220204005</v>
      </c>
      <c r="N33" s="13" t="n">
        <f aca="false">IF(L33=J33,K33,K33+(M33-K33)*(C33-J33)/(L33-J33))</f>
        <v>4.05279721999368</v>
      </c>
    </row>
    <row r="34" customFormat="false" ht="15" hidden="false" customHeight="false" outlineLevel="0" collapsed="false">
      <c r="A34" s="8" t="n">
        <v>47413</v>
      </c>
      <c r="B34" s="11" t="n">
        <v>0.25</v>
      </c>
      <c r="C34" s="13" t="n">
        <f aca="false">(A34-$B$5)/365.25</f>
        <v>7.04722792607803</v>
      </c>
      <c r="D34" s="11" t="n">
        <v>4.03231746843311</v>
      </c>
      <c r="E34" s="14" t="n">
        <f aca="false">EXP(-D34/100*C34)</f>
        <v>0.752641242194542</v>
      </c>
      <c r="F34" s="13" t="n">
        <f aca="false">B34*E34</f>
        <v>0.188160310548636</v>
      </c>
      <c r="G34" s="11" t="n">
        <v>14.0928961748634</v>
      </c>
      <c r="H34" s="14" t="n">
        <f aca="false">(1/(1+$B$103/200))^G34</f>
        <v>0.791619271870554</v>
      </c>
      <c r="I34" s="13" t="n">
        <f aca="false">B34*H34</f>
        <v>0.197904817967638</v>
      </c>
      <c r="J34" s="9" t="n">
        <v>7</v>
      </c>
      <c r="K34" s="11" t="n">
        <v>4.03413220204005</v>
      </c>
      <c r="L34" s="9" t="n">
        <v>7.5</v>
      </c>
      <c r="M34" s="11" t="n">
        <v>4.01622784315569</v>
      </c>
      <c r="N34" s="13" t="n">
        <f aca="false">IF(L34=J34,K34,K34+(M34-K34)*(C34-J34)/(L34-J34))</f>
        <v>4.03244103056432</v>
      </c>
    </row>
    <row r="35" customFormat="false" ht="15" hidden="false" customHeight="false" outlineLevel="0" collapsed="false">
      <c r="A35" s="8" t="n">
        <v>47595</v>
      </c>
      <c r="B35" s="11" t="n">
        <v>0.25</v>
      </c>
      <c r="C35" s="13" t="n">
        <f aca="false">(A35-$B$5)/365.25</f>
        <v>7.54551676933607</v>
      </c>
      <c r="D35" s="11" t="n">
        <v>4.0147498135132</v>
      </c>
      <c r="E35" s="14" t="n">
        <f aca="false">EXP(-D35/100*C35)</f>
        <v>0.738648125891467</v>
      </c>
      <c r="F35" s="13" t="n">
        <f aca="false">B35*E35</f>
        <v>0.184662031472867</v>
      </c>
      <c r="G35" s="11" t="n">
        <v>15.0928961748634</v>
      </c>
      <c r="H35" s="14" t="n">
        <f aca="false">(1/(1+$B$103/200))^G35</f>
        <v>0.778601630956395</v>
      </c>
      <c r="I35" s="13" t="n">
        <f aca="false">B35*H35</f>
        <v>0.194650407739099</v>
      </c>
      <c r="J35" s="9" t="n">
        <v>7.5</v>
      </c>
      <c r="K35" s="11" t="n">
        <v>4.01622784315569</v>
      </c>
      <c r="L35" s="9" t="n">
        <v>8</v>
      </c>
      <c r="M35" s="11" t="n">
        <v>4.0014956629515</v>
      </c>
      <c r="N35" s="13" t="n">
        <f aca="false">IF(L35=J35,K35,K35+(M35-K35)*(C35-J35)/(L35-J35))</f>
        <v>4.01488672065935</v>
      </c>
    </row>
    <row r="36" customFormat="false" ht="15" hidden="false" customHeight="false" outlineLevel="0" collapsed="false">
      <c r="A36" s="8" t="n">
        <v>47778</v>
      </c>
      <c r="B36" s="11" t="n">
        <v>0.25</v>
      </c>
      <c r="C36" s="13" t="n">
        <f aca="false">(A36-$B$5)/365.25</f>
        <v>8.04654346338125</v>
      </c>
      <c r="D36" s="11" t="n">
        <v>4.00029708375753</v>
      </c>
      <c r="E36" s="14" t="n">
        <f aca="false">EXP(-D36/100*C36)</f>
        <v>0.724781069010807</v>
      </c>
      <c r="F36" s="13" t="n">
        <f aca="false">B36*E36</f>
        <v>0.181195267252702</v>
      </c>
      <c r="G36" s="11" t="n">
        <v>16.0928961748634</v>
      </c>
      <c r="H36" s="14" t="n">
        <f aca="false">(1/(1+$B$103/200))^G36</f>
        <v>0.765798056299833</v>
      </c>
      <c r="I36" s="13" t="n">
        <f aca="false">B36*H36</f>
        <v>0.191449514074958</v>
      </c>
      <c r="J36" s="9" t="n">
        <v>8</v>
      </c>
      <c r="K36" s="11" t="n">
        <v>4.0014956629515</v>
      </c>
      <c r="L36" s="9" t="n">
        <v>8.5</v>
      </c>
      <c r="M36" s="11" t="n">
        <v>3.99020386049627</v>
      </c>
      <c r="N36" s="13" t="n">
        <f aca="false">IF(L36=J36,K36,K36+(M36-K36)*(C36-J36)/(L36-J36))</f>
        <v>4.00044454376333</v>
      </c>
    </row>
    <row r="37" customFormat="false" ht="15" hidden="false" customHeight="false" outlineLevel="0" collapsed="false">
      <c r="A37" s="8" t="n">
        <v>47960</v>
      </c>
      <c r="B37" s="11" t="n">
        <v>0.25</v>
      </c>
      <c r="C37" s="13" t="n">
        <f aca="false">(A37-$B$5)/365.25</f>
        <v>8.54483230663929</v>
      </c>
      <c r="D37" s="11" t="n">
        <v>3.98936277708567</v>
      </c>
      <c r="E37" s="14" t="n">
        <f aca="false">EXP(-D37/100*C37)</f>
        <v>0.711141140235898</v>
      </c>
      <c r="F37" s="13" t="n">
        <f aca="false">B37*E37</f>
        <v>0.177785285058974</v>
      </c>
      <c r="G37" s="11" t="n">
        <v>17.0928961748634</v>
      </c>
      <c r="H37" s="14" t="n">
        <f aca="false">(1/(1+$B$103/200))^G37</f>
        <v>0.753205027726747</v>
      </c>
      <c r="I37" s="13" t="n">
        <f aca="false">B37*H37</f>
        <v>0.188301256931687</v>
      </c>
      <c r="J37" s="9" t="n">
        <v>8.5</v>
      </c>
      <c r="K37" s="11" t="n">
        <v>3.99020386049627</v>
      </c>
      <c r="L37" s="9" t="n">
        <v>9</v>
      </c>
      <c r="M37" s="11" t="n">
        <v>3.98240249026049</v>
      </c>
      <c r="N37" s="13" t="n">
        <f aca="false">IF(L37=J37,K37,K37+(M37-K37)*(C37-J37)/(L37-J37))</f>
        <v>3.98950435365103</v>
      </c>
    </row>
    <row r="38" customFormat="false" ht="15" hidden="false" customHeight="false" outlineLevel="0" collapsed="false">
      <c r="A38" s="8" t="n">
        <v>48143</v>
      </c>
      <c r="B38" s="11" t="n">
        <v>0.25</v>
      </c>
      <c r="C38" s="13" t="n">
        <f aca="false">(A38-$B$5)/365.25</f>
        <v>9.04585900068446</v>
      </c>
      <c r="D38" s="11" t="n">
        <v>3.98185813488739</v>
      </c>
      <c r="E38" s="14" t="n">
        <f aca="false">EXP(-D38/100*C38)</f>
        <v>0.697541497460588</v>
      </c>
      <c r="F38" s="13" t="n">
        <f aca="false">B38*E38</f>
        <v>0.174385374365147</v>
      </c>
      <c r="G38" s="11" t="n">
        <v>18.0928961748634</v>
      </c>
      <c r="H38" s="14" t="n">
        <f aca="false">(1/(1+$B$103/200))^G38</f>
        <v>0.740819082949889</v>
      </c>
      <c r="I38" s="13" t="n">
        <f aca="false">B38*H38</f>
        <v>0.185204770737472</v>
      </c>
      <c r="J38" s="9" t="n">
        <v>9</v>
      </c>
      <c r="K38" s="11" t="n">
        <v>3.98240249026049</v>
      </c>
      <c r="L38" s="9" t="n">
        <v>9.5</v>
      </c>
      <c r="M38" s="11" t="n">
        <v>3.9779537435899</v>
      </c>
      <c r="N38" s="13" t="n">
        <f aca="false">IF(L38=J38,K38,K38+(M38-K38)*(C38-J38)/(L38-J38))</f>
        <v>3.98199446010726</v>
      </c>
    </row>
    <row r="39" customFormat="false" ht="15" hidden="false" customHeight="false" outlineLevel="0" collapsed="false">
      <c r="A39" s="8" t="n">
        <v>48326</v>
      </c>
      <c r="B39" s="11" t="n">
        <v>0.25</v>
      </c>
      <c r="C39" s="13" t="n">
        <f aca="false">(A39-$B$5)/365.25</f>
        <v>9.54688569472964</v>
      </c>
      <c r="D39" s="11" t="n">
        <v>3.97769962800535</v>
      </c>
      <c r="E39" s="14" t="n">
        <f aca="false">EXP(-D39/100*C39)</f>
        <v>0.684034833309382</v>
      </c>
      <c r="F39" s="13" t="n">
        <f aca="false">B39*E39</f>
        <v>0.171008708327346</v>
      </c>
      <c r="G39" s="11" t="n">
        <v>19.0928961748634</v>
      </c>
      <c r="H39" s="14" t="n">
        <f aca="false">(1/(1+$B$103/200))^G39</f>
        <v>0.728636816616971</v>
      </c>
      <c r="I39" s="13" t="n">
        <f aca="false">B39*H39</f>
        <v>0.182159204154243</v>
      </c>
      <c r="J39" s="9" t="n">
        <v>9.5</v>
      </c>
      <c r="K39" s="11" t="n">
        <v>3.9779537435899</v>
      </c>
      <c r="L39" s="9" t="n">
        <v>10</v>
      </c>
      <c r="M39" s="11" t="n">
        <v>3.97657820064282</v>
      </c>
      <c r="N39" s="13" t="n">
        <f aca="false">IF(L39=J39,K39,K39+(M39-K39)*(C39-J39)/(L39-J39))</f>
        <v>3.9778247570165</v>
      </c>
    </row>
    <row r="40" customFormat="false" ht="15" hidden="false" customHeight="false" outlineLevel="0" collapsed="false">
      <c r="A40" s="8" t="n">
        <v>48509</v>
      </c>
      <c r="B40" s="11" t="n">
        <v>0.25</v>
      </c>
      <c r="C40" s="13" t="n">
        <f aca="false">(A40-$B$5)/365.25</f>
        <v>10.0479123887748</v>
      </c>
      <c r="D40" s="11" t="n">
        <v>3.97659375827181</v>
      </c>
      <c r="E40" s="14" t="n">
        <f aca="false">EXP(-D40/100*C40)</f>
        <v>0.67061192878005</v>
      </c>
      <c r="F40" s="13" t="n">
        <f aca="false">B40*E40</f>
        <v>0.167652982195012</v>
      </c>
      <c r="G40" s="11" t="n">
        <v>20.0928961748634</v>
      </c>
      <c r="H40" s="14" t="n">
        <f aca="false">(1/(1+$B$103/200))^G40</f>
        <v>0.716654879374409</v>
      </c>
      <c r="I40" s="13" t="n">
        <f aca="false">B40*H40</f>
        <v>0.179163719843602</v>
      </c>
      <c r="J40" s="9" t="n">
        <v>10</v>
      </c>
      <c r="K40" s="11" t="n">
        <v>3.97657820064282</v>
      </c>
      <c r="L40" s="9" t="n">
        <v>10.5</v>
      </c>
      <c r="M40" s="11" t="n">
        <v>3.97788000977798</v>
      </c>
      <c r="N40" s="13" t="n">
        <f aca="false">IF(L40=J40,K40,K40+(M40-K40)*(C40-J40)/(L40-J40))</f>
        <v>3.97670294621361</v>
      </c>
    </row>
    <row r="41" customFormat="false" ht="15" hidden="false" customHeight="false" outlineLevel="0" collapsed="false">
      <c r="A41" s="8" t="n">
        <v>48691</v>
      </c>
      <c r="B41" s="11" t="n">
        <v>0.25</v>
      </c>
      <c r="C41" s="13" t="n">
        <f aca="false">(A41-$B$5)/365.25</f>
        <v>10.5462012320329</v>
      </c>
      <c r="D41" s="11" t="n">
        <v>3.97812007195171</v>
      </c>
      <c r="E41" s="14" t="n">
        <f aca="false">EXP(-D41/100*C41)</f>
        <v>0.657348770624921</v>
      </c>
      <c r="F41" s="13" t="n">
        <f aca="false">B41*E41</f>
        <v>0.16433719265623</v>
      </c>
      <c r="G41" s="11" t="n">
        <v>21.0928961748634</v>
      </c>
      <c r="H41" s="14" t="n">
        <f aca="false">(1/(1+$B$103/200))^G41</f>
        <v>0.704869976946464</v>
      </c>
      <c r="I41" s="13" t="n">
        <f aca="false">B41*H41</f>
        <v>0.176217494236616</v>
      </c>
      <c r="J41" s="9" t="n">
        <v>10.5</v>
      </c>
      <c r="K41" s="11" t="n">
        <v>3.97788000977798</v>
      </c>
      <c r="L41" s="9" t="n">
        <v>11</v>
      </c>
      <c r="M41" s="11" t="n">
        <v>3.98141729255743</v>
      </c>
      <c r="N41" s="13" t="n">
        <f aca="false">IF(L41=J41,K41,K41+(M41-K41)*(C41-J41)/(L41-J41))</f>
        <v>3.9782068634229</v>
      </c>
    </row>
    <row r="42" customFormat="false" ht="15" hidden="false" customHeight="false" outlineLevel="0" collapsed="false">
      <c r="A42" s="8" t="n">
        <v>48874</v>
      </c>
      <c r="B42" s="11" t="n">
        <v>0.25</v>
      </c>
      <c r="C42" s="13" t="n">
        <f aca="false">(A42-$B$5)/365.25</f>
        <v>11.047227926078</v>
      </c>
      <c r="D42" s="11" t="n">
        <v>3.981850368672</v>
      </c>
      <c r="E42" s="14" t="n">
        <f aca="false">EXP(-D42/100*C42)</f>
        <v>0.64411107831043</v>
      </c>
      <c r="F42" s="13" t="n">
        <f aca="false">B42*E42</f>
        <v>0.161027769577607</v>
      </c>
      <c r="G42" s="11" t="n">
        <v>22.0928961748634</v>
      </c>
      <c r="H42" s="14" t="n">
        <f aca="false">(1/(1+$B$103/200))^G42</f>
        <v>0.693278869229521</v>
      </c>
      <c r="I42" s="13" t="n">
        <f aca="false">B42*H42</f>
        <v>0.17331971730738</v>
      </c>
      <c r="J42" s="9" t="n">
        <v>11</v>
      </c>
      <c r="K42" s="11" t="n">
        <v>3.98141729255743</v>
      </c>
      <c r="L42" s="9" t="n">
        <v>11.5</v>
      </c>
      <c r="M42" s="11" t="n">
        <v>3.98672613187573</v>
      </c>
      <c r="N42" s="13" t="n">
        <f aca="false">IF(L42=J42,K42,K42+(M42-K42)*(C42-J42)/(L42-J42))</f>
        <v>3.9819187434992</v>
      </c>
    </row>
    <row r="43" customFormat="false" ht="15" hidden="false" customHeight="false" outlineLevel="0" collapsed="false">
      <c r="A43" s="8" t="n">
        <v>49056</v>
      </c>
      <c r="B43" s="11" t="n">
        <v>0.25</v>
      </c>
      <c r="C43" s="13" t="n">
        <f aca="false">(A43-$B$5)/365.25</f>
        <v>11.5455167693361</v>
      </c>
      <c r="D43" s="11" t="n">
        <v>3.98728087264261</v>
      </c>
      <c r="E43" s="14" t="n">
        <f aca="false">EXP(-D43/100*C43)</f>
        <v>0.631061358046814</v>
      </c>
      <c r="F43" s="13" t="n">
        <f aca="false">B43*E43</f>
        <v>0.157765339511703</v>
      </c>
      <c r="G43" s="11" t="n">
        <v>23.0928961748634</v>
      </c>
      <c r="H43" s="14" t="n">
        <f aca="false">(1/(1+$B$103/200))^G43</f>
        <v>0.681878369401266</v>
      </c>
      <c r="I43" s="13" t="n">
        <f aca="false">B43*H43</f>
        <v>0.170469592350316</v>
      </c>
      <c r="J43" s="9" t="n">
        <v>11.5</v>
      </c>
      <c r="K43" s="11" t="n">
        <v>3.98672613187573</v>
      </c>
      <c r="L43" s="9" t="n">
        <v>12</v>
      </c>
      <c r="M43" s="11" t="n">
        <v>3.99332523710702</v>
      </c>
      <c r="N43" s="13" t="n">
        <f aca="false">IF(L43=J43,K43,K43+(M43-K43)*(C43-J43)/(L43-J43))</f>
        <v>3.98732687177701</v>
      </c>
    </row>
    <row r="44" customFormat="false" ht="15" hidden="false" customHeight="false" outlineLevel="0" collapsed="false">
      <c r="A44" s="8" t="n">
        <v>49239</v>
      </c>
      <c r="B44" s="11" t="n">
        <v>0.25</v>
      </c>
      <c r="C44" s="13" t="n">
        <f aca="false">(A44-$B$5)/365.25</f>
        <v>12.0465434633812</v>
      </c>
      <c r="D44" s="11" t="n">
        <v>3.99398761871952</v>
      </c>
      <c r="E44" s="14" t="n">
        <f aca="false">EXP(-D44/100*C44)</f>
        <v>0.618079954047641</v>
      </c>
      <c r="F44" s="13" t="n">
        <f aca="false">B44*E44</f>
        <v>0.15451998851191</v>
      </c>
      <c r="G44" s="11" t="n">
        <v>24.0928961748634</v>
      </c>
      <c r="H44" s="14" t="n">
        <f aca="false">(1/(1+$B$103/200))^G44</f>
        <v>0.670665343044514</v>
      </c>
      <c r="I44" s="13" t="n">
        <f aca="false">B44*H44</f>
        <v>0.167666335761128</v>
      </c>
      <c r="J44" s="9" t="n">
        <v>12</v>
      </c>
      <c r="K44" s="11" t="n">
        <v>3.99332523710702</v>
      </c>
      <c r="L44" s="9" t="n">
        <v>12.5</v>
      </c>
      <c r="M44" s="11" t="n">
        <v>4.0007244779378</v>
      </c>
      <c r="N44" s="13" t="n">
        <f aca="false">IF(L44=J44,K44,K44+(M44-K44)*(C44-J44)/(L44-J44))</f>
        <v>3.99401400969633</v>
      </c>
    </row>
    <row r="45" customFormat="false" ht="15" hidden="false" customHeight="false" outlineLevel="0" collapsed="false">
      <c r="A45" s="8" t="n">
        <v>49421</v>
      </c>
      <c r="B45" s="11" t="n">
        <v>0.25</v>
      </c>
      <c r="C45" s="13" t="n">
        <f aca="false">(A45-$B$5)/365.25</f>
        <v>12.5448323066393</v>
      </c>
      <c r="D45" s="11" t="n">
        <v>4.00141094512137</v>
      </c>
      <c r="E45" s="14" t="n">
        <f aca="false">EXP(-D45/100*C45)</f>
        <v>0.605336793140429</v>
      </c>
      <c r="F45" s="13" t="n">
        <f aca="false">B45*E45</f>
        <v>0.151334198285107</v>
      </c>
      <c r="G45" s="11" t="n">
        <v>25.0928961748634</v>
      </c>
      <c r="H45" s="14" t="n">
        <f aca="false">(1/(1+$B$103/200))^G45</f>
        <v>0.659636707285439</v>
      </c>
      <c r="I45" s="13" t="n">
        <f aca="false">B45*H45</f>
        <v>0.16490917682136</v>
      </c>
      <c r="J45" s="9" t="n">
        <v>12.5</v>
      </c>
      <c r="K45" s="11" t="n">
        <v>4.0007244779378</v>
      </c>
      <c r="L45" s="9" t="n">
        <v>13</v>
      </c>
      <c r="M45" s="11" t="n">
        <v>4.0084635563985</v>
      </c>
      <c r="N45" s="13" t="n">
        <f aca="false">IF(L45=J45,K45,K45+(M45-K45)*(C45-J45)/(L45-J45))</f>
        <v>4.00141839941511</v>
      </c>
    </row>
    <row r="46" customFormat="false" ht="15" hidden="false" customHeight="false" outlineLevel="0" collapsed="false">
      <c r="A46" s="8" t="n">
        <v>49604</v>
      </c>
      <c r="B46" s="11" t="n">
        <v>0.25</v>
      </c>
      <c r="C46" s="13" t="n">
        <f aca="false">(A46-$B$5)/365.25</f>
        <v>13.0458590006845</v>
      </c>
      <c r="D46" s="11" t="n">
        <v>4.00917572620829</v>
      </c>
      <c r="E46" s="14" t="n">
        <f aca="false">EXP(-D46/100*C46)</f>
        <v>0.592721039953601</v>
      </c>
      <c r="F46" s="13" t="n">
        <f aca="false">B46*E46</f>
        <v>0.1481802599884</v>
      </c>
      <c r="G46" s="11" t="n">
        <v>26.0928961748634</v>
      </c>
      <c r="H46" s="14" t="n">
        <f aca="false">(1/(1+$B$103/200))^G46</f>
        <v>0.648789429945981</v>
      </c>
      <c r="I46" s="13" t="n">
        <f aca="false">B46*H46</f>
        <v>0.162197357486495</v>
      </c>
      <c r="J46" s="9" t="n">
        <v>13</v>
      </c>
      <c r="K46" s="11" t="n">
        <v>4.0084635563985</v>
      </c>
      <c r="L46" s="9" t="n">
        <v>13.5</v>
      </c>
      <c r="M46" s="11" t="n">
        <v>4.01613196373422</v>
      </c>
      <c r="N46" s="13" t="n">
        <f aca="false">IF(L46=J46,K46,K46+(M46-K46)*(C46-J46)/(L46-J46))</f>
        <v>4.00916688739301</v>
      </c>
    </row>
    <row r="47" customFormat="false" ht="15" hidden="false" customHeight="false" outlineLevel="0" collapsed="false">
      <c r="A47" s="8" t="n">
        <v>49787</v>
      </c>
      <c r="B47" s="11" t="n">
        <v>0.25</v>
      </c>
      <c r="C47" s="13" t="n">
        <f aca="false">(A47-$B$5)/365.25</f>
        <v>13.5468856947296</v>
      </c>
      <c r="D47" s="11" t="n">
        <v>4.01683375362774</v>
      </c>
      <c r="E47" s="14" t="n">
        <f aca="false">EXP(-D47/100*C47)</f>
        <v>0.580331447677165</v>
      </c>
      <c r="F47" s="13" t="n">
        <f aca="false">B47*E47</f>
        <v>0.145082861919291</v>
      </c>
      <c r="G47" s="11" t="n">
        <v>27.0928961748634</v>
      </c>
      <c r="H47" s="14" t="n">
        <f aca="false">(1/(1+$B$103/200))^G47</f>
        <v>0.638120528710187</v>
      </c>
      <c r="I47" s="13" t="n">
        <f aca="false">B47*H47</f>
        <v>0.159530132177547</v>
      </c>
      <c r="J47" s="9" t="n">
        <v>13.5</v>
      </c>
      <c r="K47" s="11" t="n">
        <v>4.01613196373422</v>
      </c>
      <c r="L47" s="9" t="n">
        <v>14</v>
      </c>
      <c r="M47" s="11" t="n">
        <v>4.02335953161353</v>
      </c>
      <c r="N47" s="13" t="n">
        <f aca="false">IF(L47=J47,K47,K47+(M47-K47)*(C47-J47)/(L47-J47))</f>
        <v>4.01680970281667</v>
      </c>
    </row>
    <row r="48" customFormat="false" ht="15" hidden="false" customHeight="false" outlineLevel="0" collapsed="false">
      <c r="A48" s="8" t="n">
        <v>49970</v>
      </c>
      <c r="B48" s="11" t="n">
        <v>0.25</v>
      </c>
      <c r="C48" s="13" t="n">
        <f aca="false">(A48-$B$5)/365.25</f>
        <v>14.0479123887748</v>
      </c>
      <c r="D48" s="11" t="n">
        <v>4.02401683677645</v>
      </c>
      <c r="E48" s="14" t="n">
        <f aca="false">EXP(-D48/100*C48)</f>
        <v>0.568195141809713</v>
      </c>
      <c r="F48" s="13" t="n">
        <f aca="false">B48*E48</f>
        <v>0.142048785452428</v>
      </c>
      <c r="G48" s="11" t="n">
        <v>28.0928961748634</v>
      </c>
      <c r="H48" s="14" t="n">
        <f aca="false">(1/(1+$B$103/200))^G48</f>
        <v>0.627627070304263</v>
      </c>
      <c r="I48" s="13" t="n">
        <f aca="false">B48*H48</f>
        <v>0.156906767576066</v>
      </c>
      <c r="J48" s="9" t="n">
        <v>14</v>
      </c>
      <c r="K48" s="11" t="n">
        <v>4.02335953161353</v>
      </c>
      <c r="L48" s="9" t="n">
        <v>14.5</v>
      </c>
      <c r="M48" s="11" t="n">
        <v>4.02983039218112</v>
      </c>
      <c r="N48" s="13" t="n">
        <f aca="false">IF(L48=J48,K48,K48+(M48-K48)*(C48-J48)/(L48-J48))</f>
        <v>4.02397960038797</v>
      </c>
    </row>
    <row r="49" customFormat="false" ht="15" hidden="false" customHeight="false" outlineLevel="0" collapsed="false">
      <c r="A49" s="8" t="n">
        <v>50152</v>
      </c>
      <c r="B49" s="11" t="n">
        <v>0.25</v>
      </c>
      <c r="C49" s="13" t="n">
        <f aca="false">(A49-$B$5)/365.25</f>
        <v>14.5462012320329</v>
      </c>
      <c r="D49" s="11" t="n">
        <v>4.03038072481801</v>
      </c>
      <c r="E49" s="14" t="n">
        <f aca="false">EXP(-D49/100*C49)</f>
        <v>0.55640029393716</v>
      </c>
      <c r="F49" s="13" t="n">
        <f aca="false">B49*E49</f>
        <v>0.13910007348429</v>
      </c>
      <c r="G49" s="11" t="n">
        <v>29.0928961748634</v>
      </c>
      <c r="H49" s="14" t="n">
        <f aca="false">(1/(1+$B$103/200))^G49</f>
        <v>0.617306169690107</v>
      </c>
      <c r="I49" s="13" t="n">
        <f aca="false">B49*H49</f>
        <v>0.154326542422527</v>
      </c>
      <c r="J49" s="9" t="n">
        <v>14.5</v>
      </c>
      <c r="K49" s="11" t="n">
        <v>4.02983039218112</v>
      </c>
      <c r="L49" s="9" t="n">
        <v>15</v>
      </c>
      <c r="M49" s="11" t="n">
        <v>4.03529071060725</v>
      </c>
      <c r="N49" s="13" t="n">
        <f aca="false">IF(L49=J49,K49,K49+(M49-K49)*(C49-J49)/(L49-J49))</f>
        <v>4.03033493905828</v>
      </c>
    </row>
    <row r="50" customFormat="false" ht="15" hidden="false" customHeight="false" outlineLevel="0" collapsed="false">
      <c r="A50" s="8" t="n">
        <v>50335</v>
      </c>
      <c r="B50" s="11" t="n">
        <v>0.25</v>
      </c>
      <c r="C50" s="13" t="n">
        <f aca="false">(A50-$B$5)/365.25</f>
        <v>15.047227926078</v>
      </c>
      <c r="D50" s="11" t="n">
        <v>4.03574658792555</v>
      </c>
      <c r="E50" s="14" t="n">
        <f aca="false">EXP(-D50/100*C50)</f>
        <v>0.544837339988058</v>
      </c>
      <c r="F50" s="13" t="n">
        <f aca="false">B50*E50</f>
        <v>0.136209334997015</v>
      </c>
      <c r="G50" s="11" t="n">
        <v>30.0928961748634</v>
      </c>
      <c r="H50" s="14" t="n">
        <f aca="false">(1/(1+$B$103/200))^G50</f>
        <v>0.607154989272112</v>
      </c>
      <c r="I50" s="13" t="n">
        <f aca="false">B50*H50</f>
        <v>0.151788747318028</v>
      </c>
      <c r="J50" s="9" t="n">
        <v>15</v>
      </c>
      <c r="K50" s="11" t="n">
        <v>4.03529071060725</v>
      </c>
      <c r="L50" s="9" t="n">
        <v>15.5</v>
      </c>
      <c r="M50" s="11" t="n">
        <v>4.03953966389984</v>
      </c>
      <c r="N50" s="13" t="n">
        <f aca="false">IF(L50=J50,K50,K50+(M50-K50)*(C50-J50)/(L50-J50))</f>
        <v>4.03569204911127</v>
      </c>
    </row>
    <row r="51" customFormat="false" ht="15" hidden="false" customHeight="false" outlineLevel="0" collapsed="false">
      <c r="A51" s="8" t="n">
        <v>50517</v>
      </c>
      <c r="B51" s="11" t="n">
        <v>0.25</v>
      </c>
      <c r="C51" s="13" t="n">
        <f aca="false">(A51-$B$5)/365.25</f>
        <v>15.5455167693361</v>
      </c>
      <c r="D51" s="11" t="n">
        <v>4.03986058872803</v>
      </c>
      <c r="E51" s="14" t="n">
        <f aca="false">EXP(-D51/100*C51)</f>
        <v>0.533648868846587</v>
      </c>
      <c r="F51" s="13" t="n">
        <f aca="false">B51*E51</f>
        <v>0.133412217211647</v>
      </c>
      <c r="G51" s="11" t="n">
        <v>31.0928961748634</v>
      </c>
      <c r="H51" s="14" t="n">
        <f aca="false">(1/(1+$B$103/200))^G51</f>
        <v>0.597170738116998</v>
      </c>
      <c r="I51" s="13" t="n">
        <f aca="false">B51*H51</f>
        <v>0.149292684529249</v>
      </c>
      <c r="J51" s="9" t="n">
        <v>15.5</v>
      </c>
      <c r="K51" s="11" t="n">
        <v>4.03953966389984</v>
      </c>
      <c r="L51" s="9" t="n">
        <v>16</v>
      </c>
      <c r="M51" s="11" t="n">
        <v>4.0424211578048</v>
      </c>
      <c r="N51" s="13" t="n">
        <f aca="false">IF(L51=J51,K51,K51+(M51-K51)*(C51-J51)/(L51-J51))</f>
        <v>4.03980197648667</v>
      </c>
    </row>
    <row r="52" customFormat="false" ht="15" hidden="false" customHeight="false" outlineLevel="0" collapsed="false">
      <c r="A52" s="8" t="n">
        <v>50700</v>
      </c>
      <c r="B52" s="11" t="n">
        <v>0.25</v>
      </c>
      <c r="C52" s="13" t="n">
        <f aca="false">(A52-$B$5)/365.25</f>
        <v>16.0465434633812</v>
      </c>
      <c r="D52" s="11" t="n">
        <v>4.04261529346057</v>
      </c>
      <c r="E52" s="14" t="n">
        <f aca="false">EXP(-D52/100*C52)</f>
        <v>0.522724867072201</v>
      </c>
      <c r="F52" s="13" t="n">
        <f aca="false">B52*E52</f>
        <v>0.13068121676805</v>
      </c>
      <c r="G52" s="11" t="n">
        <v>32.0928961748634</v>
      </c>
      <c r="H52" s="14" t="n">
        <f aca="false">(1/(1+$B$103/200))^G52</f>
        <v>0.587350671186489</v>
      </c>
      <c r="I52" s="13" t="n">
        <f aca="false">B52*H52</f>
        <v>0.146837667796622</v>
      </c>
      <c r="J52" s="9" t="n">
        <v>16</v>
      </c>
      <c r="K52" s="11" t="n">
        <v>4.0424211578048</v>
      </c>
      <c r="L52" s="9" t="n">
        <v>16.5</v>
      </c>
      <c r="M52" s="11" t="n">
        <v>4.04381747520094</v>
      </c>
      <c r="N52" s="13" t="n">
        <f aca="false">IF(L52=J52,K52,K52+(M52-K52)*(C52-J52)/(L52-J52))</f>
        <v>4.04255113669999</v>
      </c>
    </row>
    <row r="53" customFormat="false" ht="15" hidden="false" customHeight="false" outlineLevel="0" collapsed="false">
      <c r="A53" s="8" t="n">
        <v>50882</v>
      </c>
      <c r="B53" s="11" t="n">
        <v>0.25</v>
      </c>
      <c r="C53" s="13" t="n">
        <f aca="false">(A53-$B$5)/365.25</f>
        <v>16.5448323066393</v>
      </c>
      <c r="D53" s="11" t="n">
        <v>4.04386720996998</v>
      </c>
      <c r="E53" s="14" t="n">
        <f aca="false">EXP(-D53/100*C53)</f>
        <v>0.512194394833485</v>
      </c>
      <c r="F53" s="13" t="n">
        <f aca="false">B53*E53</f>
        <v>0.128048598708371</v>
      </c>
      <c r="G53" s="11" t="n">
        <v>33.0928961748634</v>
      </c>
      <c r="H53" s="14" t="n">
        <f aca="false">(1/(1+$B$103/200))^G53</f>
        <v>0.577692088582595</v>
      </c>
      <c r="I53" s="13" t="n">
        <f aca="false">B53*H53</f>
        <v>0.144423022145649</v>
      </c>
      <c r="J53" s="9" t="n">
        <v>16.5</v>
      </c>
      <c r="K53" s="11" t="n">
        <v>4.04381747520094</v>
      </c>
      <c r="L53" s="9" t="n">
        <v>17</v>
      </c>
      <c r="M53" s="11" t="n">
        <v>4.04365490150105</v>
      </c>
      <c r="N53" s="13" t="n">
        <f aca="false">IF(L53=J53,K53,K53+(M53-K53)*(C53-J53)/(L53-J53))</f>
        <v>4.04380289809301</v>
      </c>
    </row>
    <row r="54" customFormat="false" ht="15" hidden="false" customHeight="false" outlineLevel="0" collapsed="false">
      <c r="A54" s="8" t="n">
        <v>51065</v>
      </c>
      <c r="B54" s="11" t="n">
        <v>0.25</v>
      </c>
      <c r="C54" s="13" t="n">
        <f aca="false">(A54-$B$5)/365.25</f>
        <v>17.0458590006845</v>
      </c>
      <c r="D54" s="11" t="n">
        <v>4.04356073143377</v>
      </c>
      <c r="E54" s="14" t="n">
        <f aca="false">EXP(-D54/100*C54)</f>
        <v>0.501947542939359</v>
      </c>
      <c r="F54" s="13" t="n">
        <f aca="false">B54*E54</f>
        <v>0.12548688573484</v>
      </c>
      <c r="G54" s="11" t="n">
        <v>34.0928961748634</v>
      </c>
      <c r="H54" s="14" t="n">
        <f aca="false">(1/(1+$B$103/200))^G54</f>
        <v>0.568192334805318</v>
      </c>
      <c r="I54" s="13" t="n">
        <f aca="false">B54*H54</f>
        <v>0.142048083701329</v>
      </c>
      <c r="J54" s="9" t="n">
        <v>17</v>
      </c>
      <c r="K54" s="11" t="n">
        <v>4.04365490150105</v>
      </c>
      <c r="L54" s="9" t="n">
        <v>17.5</v>
      </c>
      <c r="M54" s="11" t="n">
        <v>4.04190765811144</v>
      </c>
      <c r="N54" s="13" t="n">
        <f aca="false">IF(L54=J54,K54,K54+(M54-K54)*(C54-J54)/(L54-J54))</f>
        <v>4.04349464782945</v>
      </c>
    </row>
    <row r="55" customFormat="false" ht="15" hidden="false" customHeight="false" outlineLevel="0" collapsed="false">
      <c r="A55" s="8" t="n">
        <v>51248</v>
      </c>
      <c r="B55" s="11" t="n">
        <v>0.25</v>
      </c>
      <c r="C55" s="13" t="n">
        <f aca="false">(A55-$B$5)/365.25</f>
        <v>17.5468856947296</v>
      </c>
      <c r="D55" s="11" t="n">
        <v>4.04166261921896</v>
      </c>
      <c r="E55" s="14" t="n">
        <f aca="false">EXP(-D55/100*C55)</f>
        <v>0.492044598145414</v>
      </c>
      <c r="F55" s="13" t="n">
        <f aca="false">B55*E55</f>
        <v>0.123011149536354</v>
      </c>
      <c r="G55" s="11" t="n">
        <v>35.0928961748634</v>
      </c>
      <c r="H55" s="14" t="n">
        <f aca="false">(1/(1+$B$103/200))^G55</f>
        <v>0.558848798022547</v>
      </c>
      <c r="I55" s="13" t="n">
        <f aca="false">B55*H55</f>
        <v>0.139712199505637</v>
      </c>
      <c r="J55" s="9" t="n">
        <v>17.5</v>
      </c>
      <c r="K55" s="11" t="n">
        <v>4.04190765811144</v>
      </c>
      <c r="L55" s="9" t="n">
        <v>18</v>
      </c>
      <c r="M55" s="11" t="n">
        <v>4.03858444418737</v>
      </c>
      <c r="N55" s="13" t="n">
        <f aca="false">IF(L55=J55,K55,K55+(M55-K55)*(C55-J55)/(L55-J55))</f>
        <v>4.04159603572431</v>
      </c>
    </row>
    <row r="56" customFormat="false" ht="15" hidden="false" customHeight="false" outlineLevel="0" collapsed="false">
      <c r="A56" s="8" t="n">
        <v>51431</v>
      </c>
      <c r="B56" s="11" t="n">
        <v>0.25</v>
      </c>
      <c r="C56" s="13" t="n">
        <f aca="false">(A56-$B$5)/365.25</f>
        <v>18.0479123887748</v>
      </c>
      <c r="D56" s="11" t="n">
        <v>4.03818437547565</v>
      </c>
      <c r="E56" s="14" t="n">
        <f aca="false">EXP(-D56/100*C56)</f>
        <v>0.482483778632361</v>
      </c>
      <c r="F56" s="13" t="n">
        <f aca="false">B56*E56</f>
        <v>0.12062094465809</v>
      </c>
      <c r="G56" s="11" t="n">
        <v>36.0928961748634</v>
      </c>
      <c r="H56" s="14" t="n">
        <f aca="false">(1/(1+$B$103/200))^G56</f>
        <v>0.549658909351979</v>
      </c>
      <c r="I56" s="13" t="n">
        <f aca="false">B56*H56</f>
        <v>0.137414727337995</v>
      </c>
      <c r="J56" s="9" t="n">
        <v>18</v>
      </c>
      <c r="K56" s="11" t="n">
        <v>4.03858444418737</v>
      </c>
      <c r="L56" s="9" t="n">
        <v>18.5</v>
      </c>
      <c r="M56" s="11" t="n">
        <v>4.03372145793559</v>
      </c>
      <c r="N56" s="13" t="n">
        <f aca="false">IF(L56=J56,K56,K56+(M56-K56)*(C56-J56)/(L56-J56))</f>
        <v>4.03811844961156</v>
      </c>
    </row>
    <row r="57" customFormat="false" ht="15" hidden="false" customHeight="false" outlineLevel="0" collapsed="false">
      <c r="A57" s="8" t="n">
        <v>51613</v>
      </c>
      <c r="B57" s="11" t="n">
        <v>0.25</v>
      </c>
      <c r="C57" s="13" t="n">
        <f aca="false">(A57-$B$5)/365.25</f>
        <v>18.5462012320329</v>
      </c>
      <c r="D57" s="11" t="n">
        <v>4.03319629791871</v>
      </c>
      <c r="E57" s="14" t="n">
        <f aca="false">EXP(-D57/100*C57)</f>
        <v>0.473310005939928</v>
      </c>
      <c r="F57" s="13" t="n">
        <f aca="false">B57*E57</f>
        <v>0.118327501484982</v>
      </c>
      <c r="G57" s="11" t="n">
        <v>37.0928961748634</v>
      </c>
      <c r="H57" s="14" t="n">
        <f aca="false">(1/(1+$B$103/200))^G57</f>
        <v>0.540620142154833</v>
      </c>
      <c r="I57" s="13" t="n">
        <f aca="false">B57*H57</f>
        <v>0.135155035538708</v>
      </c>
      <c r="J57" s="9" t="n">
        <v>18.5</v>
      </c>
      <c r="K57" s="11" t="n">
        <v>4.03372145793559</v>
      </c>
      <c r="L57" s="9" t="n">
        <v>19</v>
      </c>
      <c r="M57" s="11" t="n">
        <v>4.02737663520836</v>
      </c>
      <c r="N57" s="13" t="n">
        <f aca="false">IF(L57=J57,K57,K57+(M57-K57)*(C57-J57)/(L57-J57))</f>
        <v>4.03313518068154</v>
      </c>
    </row>
    <row r="58" customFormat="false" ht="15" hidden="false" customHeight="false" outlineLevel="0" collapsed="false">
      <c r="A58" s="8" t="n">
        <v>51796</v>
      </c>
      <c r="B58" s="11" t="n">
        <v>0.25</v>
      </c>
      <c r="C58" s="13" t="n">
        <f aca="false">(A58-$B$5)/365.25</f>
        <v>19.047227926078</v>
      </c>
      <c r="D58" s="11" t="n">
        <v>4.02670325296717</v>
      </c>
      <c r="E58" s="14" t="n">
        <f aca="false">EXP(-D58/100*C58)</f>
        <v>0.464415642490253</v>
      </c>
      <c r="F58" s="13" t="n">
        <f aca="false">B58*E58</f>
        <v>0.116103910622563</v>
      </c>
      <c r="G58" s="11" t="n">
        <v>38.0928961748634</v>
      </c>
      <c r="H58" s="14" t="n">
        <f aca="false">(1/(1+$B$103/200))^G58</f>
        <v>0.531730011341187</v>
      </c>
      <c r="I58" s="13" t="n">
        <f aca="false">B58*H58</f>
        <v>0.132932502835297</v>
      </c>
      <c r="J58" s="9" t="n">
        <v>19</v>
      </c>
      <c r="K58" s="11" t="n">
        <v>4.02737663520836</v>
      </c>
      <c r="L58" s="9" t="n">
        <v>19.5</v>
      </c>
      <c r="M58" s="11" t="n">
        <v>4.0196221665839</v>
      </c>
      <c r="N58" s="13" t="n">
        <f aca="false">IF(L58=J58,K58,K58+(M58-K58)*(C58-J58)/(L58-J58))</f>
        <v>4.02664418026642</v>
      </c>
    </row>
    <row r="59" customFormat="false" ht="15" hidden="false" customHeight="false" outlineLevel="0" collapsed="false">
      <c r="A59" s="8" t="n">
        <v>51978</v>
      </c>
      <c r="B59" s="11" t="n">
        <v>0.25</v>
      </c>
      <c r="C59" s="13" t="n">
        <f aca="false">(A59-$B$5)/365.25</f>
        <v>19.5455167693361</v>
      </c>
      <c r="D59" s="11" t="n">
        <v>4.01884900574706</v>
      </c>
      <c r="E59" s="14" t="n">
        <f aca="false">EXP(-D59/100*C59)</f>
        <v>0.455889507769227</v>
      </c>
      <c r="F59" s="13" t="n">
        <f aca="false">B59*E59</f>
        <v>0.113972376942307</v>
      </c>
      <c r="G59" s="11" t="n">
        <v>39.0928961748634</v>
      </c>
      <c r="H59" s="14" t="n">
        <f aca="false">(1/(1+$B$103/200))^G59</f>
        <v>0.522986072686731</v>
      </c>
      <c r="I59" s="13" t="n">
        <f aca="false">B59*H59</f>
        <v>0.130746518171683</v>
      </c>
      <c r="J59" s="9" t="n">
        <v>19.5</v>
      </c>
      <c r="K59" s="11" t="n">
        <v>4.0196221665839</v>
      </c>
      <c r="L59" s="9" t="n">
        <v>20</v>
      </c>
      <c r="M59" s="11" t="n">
        <v>4.01053899146331</v>
      </c>
      <c r="N59" s="13" t="n">
        <f aca="false">IF(L59=J59,K59,K59+(M59-K59)*(C59-J59)/(L59-J59))</f>
        <v>4.01879529301029</v>
      </c>
    </row>
    <row r="60" customFormat="false" ht="15" hidden="false" customHeight="false" outlineLevel="0" collapsed="false">
      <c r="A60" s="8" t="n">
        <v>52161</v>
      </c>
      <c r="B60" s="11" t="n">
        <v>0.25</v>
      </c>
      <c r="C60" s="13" t="n">
        <f aca="false">(A60-$B$5)/365.25</f>
        <v>20.0465434633812</v>
      </c>
      <c r="D60" s="11" t="n">
        <v>4.00962886811414</v>
      </c>
      <c r="E60" s="14" t="n">
        <f aca="false">EXP(-D60/100*C60)</f>
        <v>0.447628337905857</v>
      </c>
      <c r="F60" s="13" t="n">
        <f aca="false">B60*E60</f>
        <v>0.111907084476464</v>
      </c>
      <c r="G60" s="11" t="n">
        <v>40.0928961748634</v>
      </c>
      <c r="H60" s="14" t="n">
        <f aca="false">(1/(1+$B$103/200))^G60</f>
        <v>0.514385922160766</v>
      </c>
      <c r="I60" s="13" t="n">
        <f aca="false">B60*H60</f>
        <v>0.128596480540192</v>
      </c>
      <c r="J60" s="9" t="n">
        <v>20</v>
      </c>
      <c r="K60" s="11" t="n">
        <v>4.01053899146331</v>
      </c>
      <c r="L60" s="9" t="n">
        <v>20.5</v>
      </c>
      <c r="M60" s="11" t="n">
        <v>4.00021230689173</v>
      </c>
      <c r="N60" s="13" t="n">
        <f aca="false">IF(L60=J60,K60,K60+(M60-K60)*(C60-J60)/(L60-J60))</f>
        <v>4.00957771213289</v>
      </c>
    </row>
    <row r="61" customFormat="false" ht="15" hidden="false" customHeight="false" outlineLevel="0" collapsed="false">
      <c r="A61" s="8" t="n">
        <v>52343</v>
      </c>
      <c r="B61" s="11" t="n">
        <v>0.25</v>
      </c>
      <c r="C61" s="13" t="n">
        <f aca="false">(A61-$B$5)/365.25</f>
        <v>20.5448323066393</v>
      </c>
      <c r="D61" s="11" t="n">
        <v>3.99922858903978</v>
      </c>
      <c r="E61" s="14" t="n">
        <f aca="false">EXP(-D61/100*C61)</f>
        <v>0.43971222190308</v>
      </c>
      <c r="F61" s="13" t="n">
        <f aca="false">B61*E61</f>
        <v>0.10992805547577</v>
      </c>
      <c r="G61" s="11" t="n">
        <v>41.0928961748634</v>
      </c>
      <c r="H61" s="14" t="n">
        <f aca="false">(1/(1+$B$103/200))^G61</f>
        <v>0.505927195265241</v>
      </c>
      <c r="I61" s="13" t="n">
        <f aca="false">B61*H61</f>
        <v>0.12648179881631</v>
      </c>
      <c r="J61" s="9" t="n">
        <v>20.5</v>
      </c>
      <c r="K61" s="11" t="n">
        <v>4.00021230689173</v>
      </c>
      <c r="L61" s="9" t="n">
        <v>21</v>
      </c>
      <c r="M61" s="11" t="n">
        <v>3.98872900815959</v>
      </c>
      <c r="N61" s="13" t="n">
        <f aca="false">IF(L61=J61,K61,K61+(M61-K61)*(C61-J61)/(L61-J61))</f>
        <v>3.99918266135175</v>
      </c>
    </row>
    <row r="62" customFormat="false" ht="15" hidden="false" customHeight="false" outlineLevel="0" collapsed="false">
      <c r="A62" s="8" t="n">
        <v>52526</v>
      </c>
      <c r="B62" s="11" t="n">
        <v>0.25</v>
      </c>
      <c r="C62" s="13" t="n">
        <f aca="false">(A62-$B$5)/365.25</f>
        <v>21.0458590006845</v>
      </c>
      <c r="D62" s="11" t="n">
        <v>3.98762085822827</v>
      </c>
      <c r="E62" s="14" t="n">
        <f aca="false">EXP(-D62/100*C62)</f>
        <v>0.432043473238502</v>
      </c>
      <c r="F62" s="13" t="n">
        <f aca="false">B62*E62</f>
        <v>0.108010868309625</v>
      </c>
      <c r="G62" s="11" t="n">
        <v>42.0928961748634</v>
      </c>
      <c r="H62" s="14" t="n">
        <f aca="false">(1/(1+$B$103/200))^G62</f>
        <v>0.497607566384671</v>
      </c>
      <c r="I62" s="13" t="n">
        <f aca="false">B62*H62</f>
        <v>0.124401891596168</v>
      </c>
      <c r="J62" s="9" t="n">
        <v>21</v>
      </c>
      <c r="K62" s="11" t="n">
        <v>3.98872900815959</v>
      </c>
      <c r="L62" s="9" t="n">
        <v>21.5</v>
      </c>
      <c r="M62" s="11" t="n">
        <v>3.97617380389644</v>
      </c>
      <c r="N62" s="13" t="n">
        <f aca="false">IF(L62=J62,K62,K62+(M62-K62)*(C62-J62)/(L62-J62))</f>
        <v>3.98757746991779</v>
      </c>
    </row>
    <row r="63" customFormat="false" ht="15" hidden="false" customHeight="false" outlineLevel="0" collapsed="false">
      <c r="A63" s="8" t="n">
        <v>52709</v>
      </c>
      <c r="B63" s="11" t="n">
        <v>0.25</v>
      </c>
      <c r="C63" s="13" t="n">
        <f aca="false">(A63-$B$5)/365.25</f>
        <v>21.5468856947296</v>
      </c>
      <c r="D63" s="11" t="n">
        <v>3.97494446643334</v>
      </c>
      <c r="E63" s="14" t="n">
        <f aca="false">EXP(-D63/100*C63)</f>
        <v>0.424655621615377</v>
      </c>
      <c r="F63" s="13" t="n">
        <f aca="false">B63*E63</f>
        <v>0.106163905403844</v>
      </c>
      <c r="G63" s="11" t="n">
        <v>43.0928961748634</v>
      </c>
      <c r="H63" s="14" t="n">
        <f aca="false">(1/(1+$B$103/200))^G63</f>
        <v>0.489424748146736</v>
      </c>
      <c r="I63" s="13" t="n">
        <f aca="false">B63*H63</f>
        <v>0.122356187036684</v>
      </c>
      <c r="J63" s="9" t="n">
        <v>21.5</v>
      </c>
      <c r="K63" s="11" t="n">
        <v>3.97617380389644</v>
      </c>
      <c r="L63" s="9" t="n">
        <v>22</v>
      </c>
      <c r="M63" s="11" t="n">
        <v>3.9626280979489</v>
      </c>
      <c r="N63" s="13" t="n">
        <f aca="false">IF(L63=J63,K63,K63+(M63-K63)*(C63-J63)/(L63-J63))</f>
        <v>3.97490360422853</v>
      </c>
    </row>
    <row r="64" customFormat="false" ht="15" hidden="false" customHeight="false" outlineLevel="0" collapsed="false">
      <c r="A64" s="8" t="n">
        <v>52892</v>
      </c>
      <c r="B64" s="11" t="n">
        <v>0.25</v>
      </c>
      <c r="C64" s="13" t="n">
        <f aca="false">(A64-$B$5)/365.25</f>
        <v>22.0479123887748</v>
      </c>
      <c r="D64" s="11" t="n">
        <v>3.96128093308019</v>
      </c>
      <c r="E64" s="14" t="n">
        <f aca="false">EXP(-D64/100*C64)</f>
        <v>0.417537988004249</v>
      </c>
      <c r="F64" s="13" t="n">
        <f aca="false">B64*E64</f>
        <v>0.104384497001062</v>
      </c>
      <c r="G64" s="11" t="n">
        <v>44.0928961748634</v>
      </c>
      <c r="H64" s="14" t="n">
        <f aca="false">(1/(1+$B$103/200))^G64</f>
        <v>0.481376490793397</v>
      </c>
      <c r="I64" s="13" t="n">
        <f aca="false">B64*H64</f>
        <v>0.120344122698349</v>
      </c>
      <c r="J64" s="9" t="n">
        <v>22</v>
      </c>
      <c r="K64" s="11" t="n">
        <v>3.9626280979489</v>
      </c>
      <c r="L64" s="9" t="n">
        <v>22.5</v>
      </c>
      <c r="M64" s="11" t="n">
        <v>3.94816848470444</v>
      </c>
      <c r="N64" s="13" t="n">
        <f aca="false">IF(L64=J64,K64,K64+(M64-K64)*(C64-J64)/(L64-J64))</f>
        <v>3.96124250872629</v>
      </c>
    </row>
    <row r="65" customFormat="false" ht="15" hidden="false" customHeight="false" outlineLevel="0" collapsed="false">
      <c r="A65" s="8" t="n">
        <v>53074</v>
      </c>
      <c r="B65" s="11" t="n">
        <v>0.25</v>
      </c>
      <c r="C65" s="13" t="n">
        <f aca="false">(A65-$B$5)/365.25</f>
        <v>22.5462012320329</v>
      </c>
      <c r="D65" s="11" t="n">
        <v>3.94678881140289</v>
      </c>
      <c r="E65" s="14" t="n">
        <f aca="false">EXP(-D65/100*C65)</f>
        <v>0.410716966530645</v>
      </c>
      <c r="F65" s="13" t="n">
        <f aca="false">B65*E65</f>
        <v>0.102679241632661</v>
      </c>
      <c r="G65" s="11" t="n">
        <v>45.0928961748634</v>
      </c>
      <c r="H65" s="14" t="n">
        <f aca="false">(1/(1+$B$103/200))^G65</f>
        <v>0.473460581562361</v>
      </c>
      <c r="I65" s="13" t="n">
        <f aca="false">B65*H65</f>
        <v>0.11836514539059</v>
      </c>
      <c r="J65" s="9" t="n">
        <v>22.5</v>
      </c>
      <c r="K65" s="11" t="n">
        <v>3.94816848470444</v>
      </c>
      <c r="L65" s="9" t="n">
        <v>23</v>
      </c>
      <c r="M65" s="11" t="n">
        <v>3.93286625771482</v>
      </c>
      <c r="N65" s="13" t="n">
        <f aca="false">IF(L65=J65,K65,K65+(M65-K65)*(C65-J65)/(L65-J65))</f>
        <v>3.9467545212249</v>
      </c>
    </row>
    <row r="66" customFormat="false" ht="15" hidden="false" customHeight="false" outlineLevel="0" collapsed="false">
      <c r="A66" s="8" t="n">
        <v>53257</v>
      </c>
      <c r="B66" s="11" t="n">
        <v>0.25</v>
      </c>
      <c r="C66" s="13" t="n">
        <f aca="false">(A66-$B$5)/365.25</f>
        <v>23.047227926078</v>
      </c>
      <c r="D66" s="11" t="n">
        <v>3.93137973661984</v>
      </c>
      <c r="E66" s="14" t="n">
        <f aca="false">EXP(-D66/100*C66)</f>
        <v>0.404107620734846</v>
      </c>
      <c r="F66" s="13" t="n">
        <f aca="false">B66*E66</f>
        <v>0.101026905183711</v>
      </c>
      <c r="G66" s="11" t="n">
        <v>46.0928961748634</v>
      </c>
      <c r="H66" s="14" t="n">
        <f aca="false">(1/(1+$B$103/200))^G66</f>
        <v>0.465674844078705</v>
      </c>
      <c r="I66" s="13" t="n">
        <f aca="false">B66*H66</f>
        <v>0.116418711019676</v>
      </c>
      <c r="J66" s="9" t="n">
        <v>23</v>
      </c>
      <c r="K66" s="11" t="n">
        <v>3.93286625771482</v>
      </c>
      <c r="L66" s="9" t="n">
        <v>23.5</v>
      </c>
      <c r="M66" s="11" t="n">
        <v>3.91678711047851</v>
      </c>
      <c r="N66" s="13" t="n">
        <f aca="false">IF(L66=J66,K66,K66+(M66-K66)*(C66-J66)/(L66-J66))</f>
        <v>3.93134748816067</v>
      </c>
    </row>
    <row r="67" customFormat="false" ht="15" hidden="false" customHeight="false" outlineLevel="0" collapsed="false">
      <c r="A67" s="8" t="n">
        <v>53439</v>
      </c>
      <c r="B67" s="11" t="n">
        <v>0.25</v>
      </c>
      <c r="C67" s="13" t="n">
        <f aca="false">(A67-$B$5)/365.25</f>
        <v>23.5455167693361</v>
      </c>
      <c r="D67" s="11" t="n">
        <v>3.91528691486569</v>
      </c>
      <c r="E67" s="14" t="n">
        <f aca="false">EXP(-D67/100*C67)</f>
        <v>0.39777270209264</v>
      </c>
      <c r="F67" s="13" t="n">
        <f aca="false">B67*E67</f>
        <v>0.0994431755231601</v>
      </c>
      <c r="G67" s="11" t="n">
        <v>47.0928961748634</v>
      </c>
      <c r="H67" s="14" t="n">
        <f aca="false">(1/(1+$B$103/200))^G67</f>
        <v>0.458017137756512</v>
      </c>
      <c r="I67" s="13" t="n">
        <f aca="false">B67*H67</f>
        <v>0.114504284439128</v>
      </c>
      <c r="J67" s="9" t="n">
        <v>23.5</v>
      </c>
      <c r="K67" s="11" t="n">
        <v>3.91678711047851</v>
      </c>
      <c r="L67" s="9" t="n">
        <v>24</v>
      </c>
      <c r="M67" s="11" t="n">
        <v>3.89999127826503</v>
      </c>
      <c r="N67" s="13" t="n">
        <f aca="false">IF(L67=J67,K67,K67+(M67-K67)*(C67-J67)/(L67-J67))</f>
        <v>3.91525812643717</v>
      </c>
    </row>
    <row r="68" customFormat="false" ht="15" hidden="false" customHeight="false" outlineLevel="0" collapsed="false">
      <c r="A68" s="8" t="n">
        <v>53622</v>
      </c>
      <c r="B68" s="11" t="n">
        <v>0.25</v>
      </c>
      <c r="C68" s="13" t="n">
        <f aca="false">(A68-$B$5)/365.25</f>
        <v>24.0465434633812</v>
      </c>
      <c r="D68" s="11" t="n">
        <v>3.89839333853658</v>
      </c>
      <c r="E68" s="14" t="n">
        <f aca="false">EXP(-D68/100*C68)</f>
        <v>0.391633490986132</v>
      </c>
      <c r="F68" s="13" t="n">
        <f aca="false">B68*E68</f>
        <v>0.0979083727465329</v>
      </c>
      <c r="G68" s="11" t="n">
        <v>48.0928961748634</v>
      </c>
      <c r="H68" s="14" t="n">
        <f aca="false">(1/(1+$B$103/200))^G68</f>
        <v>0.450485357210346</v>
      </c>
      <c r="I68" s="13" t="n">
        <f aca="false">B68*H68</f>
        <v>0.112621339302586</v>
      </c>
      <c r="J68" s="9" t="n">
        <v>24</v>
      </c>
      <c r="K68" s="11" t="n">
        <v>3.89999127826503</v>
      </c>
      <c r="L68" s="9" t="n">
        <v>24.5</v>
      </c>
      <c r="M68" s="11" t="n">
        <v>3.88253377950544</v>
      </c>
      <c r="N68" s="13" t="n">
        <f aca="false">IF(L68=J68,K68,K68+(M68-K68)*(C68-J68)/(L68-J68))</f>
        <v>3.89836621335654</v>
      </c>
    </row>
    <row r="69" customFormat="false" ht="15" hidden="false" customHeight="false" outlineLevel="0" collapsed="false">
      <c r="A69" s="8" t="n">
        <v>53804</v>
      </c>
      <c r="B69" s="11" t="n">
        <v>0.25</v>
      </c>
      <c r="C69" s="13" t="n">
        <f aca="false">(A69-$B$5)/365.25</f>
        <v>24.5448323066393</v>
      </c>
      <c r="D69" s="11" t="n">
        <v>3.88093787832744</v>
      </c>
      <c r="E69" s="14" t="n">
        <f aca="false">EXP(-D69/100*C69)</f>
        <v>0.38574849310087</v>
      </c>
      <c r="F69" s="13" t="n">
        <f aca="false">B69*E69</f>
        <v>0.0964371232752175</v>
      </c>
      <c r="G69" s="11" t="n">
        <v>49.0928961748634</v>
      </c>
      <c r="H69" s="14" t="n">
        <f aca="false">(1/(1+$B$103/200))^G69</f>
        <v>0.443077431676404</v>
      </c>
      <c r="I69" s="13" t="n">
        <f aca="false">B69*H69</f>
        <v>0.110769357919101</v>
      </c>
      <c r="J69" s="9" t="n">
        <v>24.5</v>
      </c>
      <c r="K69" s="11" t="n">
        <v>3.88253377950544</v>
      </c>
      <c r="L69" s="9" t="n">
        <v>25</v>
      </c>
      <c r="M69" s="11" t="n">
        <v>3.86446470432818</v>
      </c>
      <c r="N69" s="13" t="n">
        <f aca="false">IF(L69=J69,K69,K69+(M69-K69)*(C69-J69)/(L69-J69))</f>
        <v>3.88091362286737</v>
      </c>
    </row>
    <row r="70" customFormat="false" ht="15" hidden="false" customHeight="false" outlineLevel="0" collapsed="false">
      <c r="A70" s="8" t="n">
        <v>53987</v>
      </c>
      <c r="B70" s="11" t="n">
        <v>0.25</v>
      </c>
      <c r="C70" s="13" t="n">
        <f aca="false">(A70-$B$5)/365.25</f>
        <v>25.0458590006845</v>
      </c>
      <c r="D70" s="11" t="n">
        <v>3.8627784487611</v>
      </c>
      <c r="E70" s="14" t="n">
        <f aca="false">EXP(-D70/100*C70)</f>
        <v>0.380044835985825</v>
      </c>
      <c r="F70" s="13" t="n">
        <f aca="false">B70*E70</f>
        <v>0.0950112089964562</v>
      </c>
      <c r="G70" s="11" t="n">
        <v>50.0928961748634</v>
      </c>
      <c r="H70" s="14" t="n">
        <f aca="false">(1/(1+$B$103/200))^G70</f>
        <v>0.435791324443185</v>
      </c>
      <c r="I70" s="13" t="n">
        <f aca="false">B70*H70</f>
        <v>0.108947831110796</v>
      </c>
      <c r="J70" s="9" t="n">
        <v>25</v>
      </c>
      <c r="K70" s="11" t="n">
        <v>3.86446470432818</v>
      </c>
      <c r="L70" s="9" t="n">
        <v>25.5</v>
      </c>
      <c r="M70" s="11" t="n">
        <v>3.84582955892186</v>
      </c>
      <c r="N70" s="13" t="n">
        <f aca="false">IF(L70=J70,K70,K70+(M70-K70)*(C70-J70)/(L70-J70))</f>
        <v>3.86275552603629</v>
      </c>
    </row>
    <row r="71" customFormat="false" ht="15" hidden="false" customHeight="false" outlineLevel="0" collapsed="false">
      <c r="A71" s="8" t="n">
        <v>54170</v>
      </c>
      <c r="B71" s="11" t="n">
        <v>0.25</v>
      </c>
      <c r="C71" s="13" t="n">
        <f aca="false">(A71-$B$5)/365.25</f>
        <v>25.5468856947296</v>
      </c>
      <c r="D71" s="11" t="n">
        <v>3.84405460334343</v>
      </c>
      <c r="E71" s="14" t="n">
        <f aca="false">EXP(-D71/100*C71)</f>
        <v>0.374547654586146</v>
      </c>
      <c r="F71" s="13" t="n">
        <f aca="false">B71*E71</f>
        <v>0.0936369136465364</v>
      </c>
      <c r="G71" s="11" t="n">
        <v>51.0928961748634</v>
      </c>
      <c r="H71" s="14" t="n">
        <f aca="false">(1/(1+$B$103/200))^G71</f>
        <v>0.428625032291528</v>
      </c>
      <c r="I71" s="13" t="n">
        <f aca="false">B71*H71</f>
        <v>0.107156258072882</v>
      </c>
      <c r="J71" s="9" t="n">
        <v>25.5</v>
      </c>
      <c r="K71" s="11" t="n">
        <v>3.84582955892186</v>
      </c>
      <c r="L71" s="9" t="n">
        <v>26</v>
      </c>
      <c r="M71" s="11" t="n">
        <v>3.82666988855072</v>
      </c>
      <c r="N71" s="13" t="n">
        <f aca="false">IF(L71=J71,K71,K71+(M71-K71)*(C71-J71)/(L71-J71))</f>
        <v>3.84403293000957</v>
      </c>
    </row>
    <row r="72" customFormat="false" ht="15" hidden="false" customHeight="false" outlineLevel="0" collapsed="false">
      <c r="A72" s="8" t="n">
        <v>54353</v>
      </c>
      <c r="B72" s="11" t="n">
        <v>0.25</v>
      </c>
      <c r="C72" s="13" t="n">
        <f aca="false">(A72-$B$5)/365.25</f>
        <v>26.0479123887748</v>
      </c>
      <c r="D72" s="11" t="n">
        <v>3.82480780183136</v>
      </c>
      <c r="E72" s="14" t="n">
        <f aca="false">EXP(-D72/100*C72)</f>
        <v>0.369249546675964</v>
      </c>
      <c r="F72" s="13" t="n">
        <f aca="false">B72*E72</f>
        <v>0.092312386668991</v>
      </c>
      <c r="G72" s="11" t="n">
        <v>52.0928961748634</v>
      </c>
      <c r="H72" s="14" t="n">
        <f aca="false">(1/(1+$B$103/200))^G72</f>
        <v>0.421576584943845</v>
      </c>
      <c r="I72" s="13" t="n">
        <f aca="false">B72*H72</f>
        <v>0.105394146235961</v>
      </c>
      <c r="J72" s="9" t="n">
        <v>26</v>
      </c>
      <c r="K72" s="11" t="n">
        <v>3.82666988855072</v>
      </c>
      <c r="L72" s="9" t="n">
        <v>26.5</v>
      </c>
      <c r="M72" s="11" t="n">
        <v>3.80702375098699</v>
      </c>
      <c r="N72" s="13" t="n">
        <f aca="false">IF(L72=J72,K72,K72+(M72-K72)*(C72-J72)/(L72-J72))</f>
        <v>3.82478730178897</v>
      </c>
    </row>
    <row r="73" customFormat="false" ht="15" hidden="false" customHeight="false" outlineLevel="0" collapsed="false">
      <c r="A73" s="8" t="n">
        <v>54535</v>
      </c>
      <c r="B73" s="11" t="n">
        <v>0.25</v>
      </c>
      <c r="C73" s="13" t="n">
        <f aca="false">(A73-$B$5)/365.25</f>
        <v>26.5462012320329</v>
      </c>
      <c r="D73" s="11" t="n">
        <v>3.80518510048583</v>
      </c>
      <c r="E73" s="14" t="n">
        <f aca="false">EXP(-D73/100*C73)</f>
        <v>0.364170871597515</v>
      </c>
      <c r="F73" s="13" t="n">
        <f aca="false">B73*E73</f>
        <v>0.0910427178993787</v>
      </c>
      <c r="G73" s="11" t="n">
        <v>53.0928961748634</v>
      </c>
      <c r="H73" s="14" t="n">
        <f aca="false">(1/(1+$B$103/200))^G73</f>
        <v>0.414644044522427</v>
      </c>
      <c r="I73" s="13" t="n">
        <f aca="false">B73*H73</f>
        <v>0.103661011130607</v>
      </c>
      <c r="J73" s="9" t="n">
        <v>26.5</v>
      </c>
      <c r="K73" s="11" t="n">
        <v>3.80702375098699</v>
      </c>
      <c r="L73" s="9" t="n">
        <v>27</v>
      </c>
      <c r="M73" s="11" t="n">
        <v>3.78692618126931</v>
      </c>
      <c r="N73" s="13" t="n">
        <f aca="false">IF(L73=J73,K73,K73+(M73-K73)*(C73-J73)/(L73-J73))</f>
        <v>3.80516668602334</v>
      </c>
    </row>
    <row r="74" customFormat="false" ht="15" hidden="false" customHeight="false" outlineLevel="0" collapsed="false">
      <c r="A74" s="8" t="n">
        <v>54718</v>
      </c>
      <c r="B74" s="11" t="n">
        <v>0.25</v>
      </c>
      <c r="C74" s="13" t="n">
        <f aca="false">(A74-$B$5)/365.25</f>
        <v>27.047227926078</v>
      </c>
      <c r="D74" s="11" t="n">
        <v>3.78500571484448</v>
      </c>
      <c r="E74" s="14" t="n">
        <f aca="false">EXP(-D74/100*C74)</f>
        <v>0.35924914905054</v>
      </c>
      <c r="F74" s="13" t="n">
        <f aca="false">B74*E74</f>
        <v>0.089812287262635</v>
      </c>
      <c r="G74" s="11" t="n">
        <v>54.0928961748634</v>
      </c>
      <c r="H74" s="14" t="n">
        <f aca="false">(1/(1+$B$103/200))^G74</f>
        <v>0.407825505016646</v>
      </c>
      <c r="I74" s="13" t="n">
        <f aca="false">B74*H74</f>
        <v>0.101956376254161</v>
      </c>
      <c r="J74" s="9" t="n">
        <v>27</v>
      </c>
      <c r="K74" s="11" t="n">
        <v>3.78692618126931</v>
      </c>
      <c r="L74" s="9" t="n">
        <v>27.5</v>
      </c>
      <c r="M74" s="11" t="n">
        <v>3.7664100502394</v>
      </c>
      <c r="N74" s="13" t="n">
        <f aca="false">IF(L74=J74,K74,K74+(M74-K74)*(C74-J74)/(L74-J74))</f>
        <v>3.78498831262993</v>
      </c>
    </row>
    <row r="75" customFormat="false" ht="15" hidden="false" customHeight="false" outlineLevel="0" collapsed="false">
      <c r="A75" s="8" t="n">
        <v>54900</v>
      </c>
      <c r="B75" s="11" t="n">
        <v>0.25</v>
      </c>
      <c r="C75" s="13" t="n">
        <f aca="false">(A75-$B$5)/365.25</f>
        <v>27.5455167693361</v>
      </c>
      <c r="D75" s="11" t="n">
        <v>3.7645227022592</v>
      </c>
      <c r="E75" s="14" t="n">
        <f aca="false">EXP(-D75/100*C75)</f>
        <v>0.354531800350507</v>
      </c>
      <c r="F75" s="13" t="n">
        <f aca="false">B75*E75</f>
        <v>0.0886329500876269</v>
      </c>
      <c r="G75" s="11" t="n">
        <v>55.0928961748634</v>
      </c>
      <c r="H75" s="14" t="n">
        <f aca="false">(1/(1+$B$103/200))^G75</f>
        <v>0.401119091758923</v>
      </c>
      <c r="I75" s="13" t="n">
        <f aca="false">B75*H75</f>
        <v>0.100279772939731</v>
      </c>
      <c r="J75" s="9" t="n">
        <v>27.5</v>
      </c>
      <c r="K75" s="11" t="n">
        <v>3.7664100502394</v>
      </c>
      <c r="L75" s="9" t="n">
        <v>28</v>
      </c>
      <c r="M75" s="11" t="n">
        <v>3.74550670793076</v>
      </c>
      <c r="N75" s="13" t="n">
        <f aca="false">IF(L75=J75,K75,K75+(M75-K75)*(C75-J75)/(L75-J75))</f>
        <v>3.76450714501897</v>
      </c>
    </row>
    <row r="76" customFormat="false" ht="15" hidden="false" customHeight="false" outlineLevel="0" collapsed="false">
      <c r="A76" s="8" t="n">
        <v>55083</v>
      </c>
      <c r="B76" s="11" t="n">
        <v>0.25</v>
      </c>
      <c r="C76" s="13" t="n">
        <f aca="false">(A76-$B$5)/365.25</f>
        <v>28.0465434633812</v>
      </c>
      <c r="D76" s="11" t="n">
        <v>3.74354226553027</v>
      </c>
      <c r="E76" s="14" t="n">
        <f aca="false">EXP(-D76/100*C76)</f>
        <v>0.349960772772754</v>
      </c>
      <c r="F76" s="13" t="n">
        <f aca="false">B76*E76</f>
        <v>0.0874901931931884</v>
      </c>
      <c r="G76" s="11" t="n">
        <v>56.0928961748634</v>
      </c>
      <c r="H76" s="14" t="n">
        <f aca="false">(1/(1+$B$103/200))^G76</f>
        <v>0.394522960909313</v>
      </c>
      <c r="I76" s="13" t="n">
        <f aca="false">B76*H76</f>
        <v>0.0986307402273282</v>
      </c>
      <c r="J76" s="9" t="n">
        <v>28</v>
      </c>
      <c r="K76" s="11" t="n">
        <v>3.74550670793076</v>
      </c>
      <c r="L76" s="9" t="n">
        <v>28.5</v>
      </c>
      <c r="M76" s="11" t="n">
        <v>3.72424657719215</v>
      </c>
      <c r="N76" s="13" t="n">
        <f aca="false">IF(L76=J76,K76,K76+(M76-K76)*(C76-J76)/(L76-J76))</f>
        <v>3.74352766769773</v>
      </c>
    </row>
    <row r="77" customFormat="false" ht="15" hidden="false" customHeight="false" outlineLevel="0" collapsed="false">
      <c r="A77" s="8" t="n">
        <v>55265</v>
      </c>
      <c r="B77" s="11" t="n">
        <v>0.25</v>
      </c>
      <c r="C77" s="13" t="n">
        <f aca="false">(A77-$B$5)/365.25</f>
        <v>28.5448323066393</v>
      </c>
      <c r="D77" s="11" t="n">
        <v>3.72232388514349</v>
      </c>
      <c r="E77" s="14" t="n">
        <f aca="false">EXP(-D77/100*C77)</f>
        <v>0.345580001096516</v>
      </c>
      <c r="F77" s="13" t="n">
        <f aca="false">B77*E77</f>
        <v>0.086395000274129</v>
      </c>
      <c r="G77" s="11" t="n">
        <v>57.0928961748634</v>
      </c>
      <c r="H77" s="14" t="n">
        <f aca="false">(1/(1+$B$103/200))^G77</f>
        <v>0.388035298948567</v>
      </c>
      <c r="I77" s="13" t="n">
        <f aca="false">B77*H77</f>
        <v>0.0970088247371418</v>
      </c>
      <c r="J77" s="9" t="n">
        <v>28.5</v>
      </c>
      <c r="K77" s="11" t="n">
        <v>3.72424657719215</v>
      </c>
      <c r="L77" s="9" t="n">
        <v>29</v>
      </c>
      <c r="M77" s="11" t="n">
        <v>3.70265954935506</v>
      </c>
      <c r="N77" s="13" t="n">
        <f aca="false">IF(L77=J77,K77,K77+(M77-K77)*(C77-J77)/(L77-J77))</f>
        <v>3.7223109846893</v>
      </c>
    </row>
    <row r="78" customFormat="false" ht="15" hidden="false" customHeight="false" outlineLevel="0" collapsed="false">
      <c r="A78" s="8" t="n">
        <v>55448</v>
      </c>
      <c r="B78" s="11" t="n">
        <v>0.25</v>
      </c>
      <c r="C78" s="13" t="n">
        <f aca="false">(A78-$B$5)/365.25</f>
        <v>29.0458590006845</v>
      </c>
      <c r="D78" s="11" t="n">
        <v>3.70066430161966</v>
      </c>
      <c r="E78" s="14" t="n">
        <f aca="false">EXP(-D78/100*C78)</f>
        <v>0.34133539052607</v>
      </c>
      <c r="F78" s="13" t="n">
        <f aca="false">B78*E78</f>
        <v>0.0853338476315175</v>
      </c>
      <c r="G78" s="11" t="n">
        <v>58.0928961748634</v>
      </c>
      <c r="H78" s="14" t="n">
        <f aca="false">(1/(1+$B$103/200))^G78</f>
        <v>0.381654322179527</v>
      </c>
      <c r="I78" s="13" t="n">
        <f aca="false">B78*H78</f>
        <v>0.0954135805448818</v>
      </c>
      <c r="J78" s="9" t="n">
        <v>29</v>
      </c>
      <c r="K78" s="11" t="n">
        <v>3.70265954935506</v>
      </c>
      <c r="L78" s="9" t="n">
        <v>29.5</v>
      </c>
      <c r="M78" s="11" t="n">
        <v>3.68077531372095</v>
      </c>
      <c r="N78" s="13" t="n">
        <f aca="false">IF(L78=J78,K78,K78+(M78-K78)*(C78-J78)/(L78-J78))</f>
        <v>3.70065237100121</v>
      </c>
    </row>
    <row r="79" customFormat="false" ht="15" hidden="false" customHeight="false" outlineLevel="0" collapsed="false">
      <c r="A79" s="8" t="n">
        <v>55631</v>
      </c>
      <c r="B79" s="11" t="n">
        <v>0.25</v>
      </c>
      <c r="C79" s="13" t="n">
        <f aca="false">(A79-$B$5)/365.25</f>
        <v>29.5468856947296</v>
      </c>
      <c r="D79" s="11" t="n">
        <v>3.6787090161114</v>
      </c>
      <c r="E79" s="14" t="n">
        <f aca="false">EXP(-D79/100*C79)</f>
        <v>0.337245560423723</v>
      </c>
      <c r="F79" s="13" t="n">
        <f aca="false">B79*E79</f>
        <v>0.0843113901059307</v>
      </c>
      <c r="G79" s="11" t="n">
        <v>59.0928961748634</v>
      </c>
      <c r="H79" s="14" t="n">
        <f aca="false">(1/(1+$B$103/200))^G79</f>
        <v>0.375378276236722</v>
      </c>
      <c r="I79" s="13" t="n">
        <f aca="false">B79*H79</f>
        <v>0.0938445690591805</v>
      </c>
      <c r="J79" s="9" t="n">
        <v>29.5</v>
      </c>
      <c r="K79" s="11" t="n">
        <v>3.68077531372095</v>
      </c>
      <c r="L79" s="9" t="n">
        <v>30</v>
      </c>
      <c r="M79" s="11" t="n">
        <v>3.65862343477511</v>
      </c>
      <c r="N79" s="13" t="n">
        <f aca="false">IF(L79=J79,K79,K79+(M79-K79)*(C79-J79)/(L79-J79))</f>
        <v>3.67869810125306</v>
      </c>
    </row>
    <row r="80" customFormat="false" ht="15" hidden="false" customHeight="false" outlineLevel="0" collapsed="false">
      <c r="A80" s="8" t="n">
        <v>55814</v>
      </c>
      <c r="B80" s="11" t="n">
        <v>0.25</v>
      </c>
      <c r="C80" s="13" t="n">
        <f aca="false">(A80-$B$5)/365.25</f>
        <v>30.0479123887748</v>
      </c>
      <c r="D80" s="11" t="n">
        <v>3.6564877651423</v>
      </c>
      <c r="E80" s="14" t="n">
        <f aca="false">EXP(-D80/100*C80)</f>
        <v>0.333304684061869</v>
      </c>
      <c r="F80" s="13" t="n">
        <f aca="false">B80*E80</f>
        <v>0.0833261710154672</v>
      </c>
      <c r="G80" s="11" t="n">
        <v>60.0928961748634</v>
      </c>
      <c r="H80" s="14" t="n">
        <f aca="false">(1/(1+$B$103/200))^G80</f>
        <v>0.369205435604029</v>
      </c>
      <c r="I80" s="13" t="n">
        <f aca="false">B80*H80</f>
        <v>0.0923013589010072</v>
      </c>
      <c r="J80" s="9" t="n">
        <v>30</v>
      </c>
      <c r="K80" s="11" t="n">
        <v>3.65862343477511</v>
      </c>
      <c r="L80" s="9" t="n">
        <v>30.5</v>
      </c>
      <c r="M80" s="11" t="n">
        <v>3.63623339026197</v>
      </c>
      <c r="N80" s="13" t="n">
        <f aca="false">IF(L80=J80,K80,K80+(M80-K80)*(C80-J80)/(L80-J80))</f>
        <v>3.65647791374031</v>
      </c>
    </row>
    <row r="81" customFormat="false" ht="15" hidden="false" customHeight="false" outlineLevel="0" collapsed="false">
      <c r="A81" s="8" t="n">
        <v>55996</v>
      </c>
      <c r="B81" s="11" t="n">
        <v>0.25</v>
      </c>
      <c r="C81" s="13" t="n">
        <f aca="false">(A81-$B$5)/365.25</f>
        <v>30.5462012320329</v>
      </c>
      <c r="D81" s="11" t="n">
        <v>3.63415351181658</v>
      </c>
      <c r="E81" s="14" t="n">
        <f aca="false">EXP(-D81/100*C81)</f>
        <v>0.329527376075971</v>
      </c>
      <c r="F81" s="13" t="n">
        <f aca="false">B81*E81</f>
        <v>0.0823818440189928</v>
      </c>
      <c r="G81" s="11" t="n">
        <v>61.0928961748634</v>
      </c>
      <c r="H81" s="14" t="n">
        <f aca="false">(1/(1+$B$103/200))^G81</f>
        <v>0.363134103140265</v>
      </c>
      <c r="I81" s="13" t="n">
        <f aca="false">B81*H81</f>
        <v>0.0907835257850663</v>
      </c>
      <c r="J81" s="9" t="n">
        <v>30.5</v>
      </c>
      <c r="K81" s="11" t="n">
        <v>3.63623339026197</v>
      </c>
      <c r="L81" s="9" t="n">
        <v>31</v>
      </c>
      <c r="M81" s="11" t="n">
        <v>3.61363464782823</v>
      </c>
      <c r="N81" s="13" t="n">
        <f aca="false">IF(L81=J81,K81,K81+(M81-K81)*(C81-J81)/(L81-J81))</f>
        <v>3.63414521077631</v>
      </c>
    </row>
    <row r="82" customFormat="false" ht="15" hidden="false" customHeight="false" outlineLevel="0" collapsed="false">
      <c r="A82" s="8" t="n">
        <v>56179</v>
      </c>
      <c r="B82" s="11" t="n">
        <v>0.25</v>
      </c>
      <c r="C82" s="13" t="n">
        <f aca="false">(A82-$B$5)/365.25</f>
        <v>31.047227926078</v>
      </c>
      <c r="D82" s="11" t="n">
        <v>3.61149034100336</v>
      </c>
      <c r="E82" s="14" t="n">
        <f aca="false">EXP(-D82/100*C82)</f>
        <v>0.325866452094392</v>
      </c>
      <c r="F82" s="13" t="n">
        <f aca="false">B82*E82</f>
        <v>0.0814666130235979</v>
      </c>
      <c r="G82" s="11" t="n">
        <v>62.0928961748634</v>
      </c>
      <c r="H82" s="14" t="n">
        <f aca="false">(1/(1+$B$103/200))^G82</f>
        <v>0.357162609612581</v>
      </c>
      <c r="I82" s="13" t="n">
        <f aca="false">B82*H82</f>
        <v>0.0892906524031454</v>
      </c>
      <c r="J82" s="9" t="n">
        <v>31</v>
      </c>
      <c r="K82" s="11" t="n">
        <v>3.61363464782823</v>
      </c>
      <c r="L82" s="9" t="n">
        <v>31.5</v>
      </c>
      <c r="M82" s="11" t="n">
        <v>3.5908566966829</v>
      </c>
      <c r="N82" s="13" t="n">
        <f aca="false">IF(L82=J82,K82,K82+(M82-K82)*(C82-J82)/(L82-J82))</f>
        <v>3.61148313704243</v>
      </c>
    </row>
    <row r="83" customFormat="false" ht="15" hidden="false" customHeight="false" outlineLevel="0" collapsed="false">
      <c r="A83" s="8" t="n">
        <v>56361</v>
      </c>
      <c r="B83" s="11" t="n">
        <v>0.25</v>
      </c>
      <c r="C83" s="13" t="n">
        <f aca="false">(A83-$B$5)/365.25</f>
        <v>31.5455167693361</v>
      </c>
      <c r="D83" s="11" t="n">
        <v>3.58877526081783</v>
      </c>
      <c r="E83" s="14" t="n">
        <f aca="false">EXP(-D83/100*C83)</f>
        <v>0.322356339239621</v>
      </c>
      <c r="F83" s="13" t="n">
        <f aca="false">B83*E83</f>
        <v>0.0805890848099052</v>
      </c>
      <c r="G83" s="11" t="n">
        <v>63.0928961748634</v>
      </c>
      <c r="H83" s="14" t="n">
        <f aca="false">(1/(1+$B$103/200))^G83</f>
        <v>0.351289313237527</v>
      </c>
      <c r="I83" s="13" t="n">
        <f aca="false">B83*H83</f>
        <v>0.0878223283093818</v>
      </c>
      <c r="J83" s="9" t="n">
        <v>31.5</v>
      </c>
      <c r="K83" s="11" t="n">
        <v>3.5908566966829</v>
      </c>
      <c r="L83" s="9" t="n">
        <v>32</v>
      </c>
      <c r="M83" s="11" t="n">
        <v>3.56792904670399</v>
      </c>
      <c r="N83" s="13" t="n">
        <f aca="false">IF(L83=J83,K83,K83+(M83-K83)*(C83-J83)/(L83-J83))</f>
        <v>3.58876951157188</v>
      </c>
    </row>
    <row r="84" customFormat="false" ht="15" hidden="false" customHeight="false" outlineLevel="0" collapsed="false">
      <c r="A84" s="8" t="n">
        <v>56544</v>
      </c>
      <c r="B84" s="11" t="n">
        <v>0.25</v>
      </c>
      <c r="C84" s="13" t="n">
        <f aca="false">(A84-$B$5)/365.25</f>
        <v>32.0465434633813</v>
      </c>
      <c r="D84" s="11" t="n">
        <v>3.56578821451937</v>
      </c>
      <c r="E84" s="14" t="n">
        <f aca="false">EXP(-D84/100*C84)</f>
        <v>0.318952889163004</v>
      </c>
      <c r="F84" s="13" t="n">
        <f aca="false">B84*E84</f>
        <v>0.0797382222907511</v>
      </c>
      <c r="G84" s="11" t="n">
        <v>64.0928961748634</v>
      </c>
      <c r="H84" s="14" t="n">
        <f aca="false">(1/(1+$B$103/200))^G84</f>
        <v>0.345512599229666</v>
      </c>
      <c r="I84" s="13" t="n">
        <f aca="false">B84*H84</f>
        <v>0.0863781498074166</v>
      </c>
      <c r="J84" s="9" t="n">
        <v>32</v>
      </c>
      <c r="K84" s="11" t="n">
        <v>3.56792904670399</v>
      </c>
      <c r="L84" s="9" t="n">
        <v>32.5</v>
      </c>
      <c r="M84" s="11" t="n">
        <v>3.54488122043743</v>
      </c>
      <c r="N84" s="13" t="n">
        <f aca="false">IF(L84=J84,K84,K84+(M84-K84)*(C84-J84)/(L84-J84))</f>
        <v>3.56578359538828</v>
      </c>
    </row>
    <row r="85" customFormat="false" ht="15" hidden="false" customHeight="false" outlineLevel="0" collapsed="false">
      <c r="A85" s="8" t="n">
        <v>56726</v>
      </c>
      <c r="B85" s="11" t="n">
        <v>0.25</v>
      </c>
      <c r="C85" s="13" t="n">
        <f aca="false">(A85-$B$5)/365.25</f>
        <v>32.5448323066393</v>
      </c>
      <c r="D85" s="11" t="n">
        <v>3.54280977802884</v>
      </c>
      <c r="E85" s="14" t="n">
        <f aca="false">EXP(-D85/100*C85)</f>
        <v>0.315687808600833</v>
      </c>
      <c r="F85" s="13" t="n">
        <f aca="false">B85*E85</f>
        <v>0.0789219521502083</v>
      </c>
      <c r="G85" s="11" t="n">
        <v>65.0928961748634</v>
      </c>
      <c r="H85" s="14" t="n">
        <f aca="false">(1/(1+$B$103/200))^G85</f>
        <v>0.339830879357611</v>
      </c>
      <c r="I85" s="13" t="n">
        <f aca="false">B85*H85</f>
        <v>0.0849577198394027</v>
      </c>
      <c r="J85" s="9" t="n">
        <v>32.5</v>
      </c>
      <c r="K85" s="11" t="n">
        <v>3.54488122043743</v>
      </c>
      <c r="L85" s="9" t="n">
        <v>33</v>
      </c>
      <c r="M85" s="11" t="n">
        <v>3.52174264469651</v>
      </c>
      <c r="N85" s="13" t="n">
        <f aca="false">IF(L85=J85,K85,K85+(M85-K85)*(C85-J85)/(L85-J85))</f>
        <v>3.5428065089918</v>
      </c>
    </row>
    <row r="86" customFormat="false" ht="15" hidden="false" customHeight="false" outlineLevel="0" collapsed="false">
      <c r="A86" s="8" t="n">
        <v>56909</v>
      </c>
      <c r="B86" s="11" t="n">
        <v>0.25</v>
      </c>
      <c r="C86" s="13" t="n">
        <f aca="false">(A86-$B$5)/365.25</f>
        <v>33.0458590006845</v>
      </c>
      <c r="D86" s="11" t="n">
        <v>3.51961689907751</v>
      </c>
      <c r="E86" s="14" t="n">
        <f aca="false">EXP(-D86/100*C86)</f>
        <v>0.312519741864893</v>
      </c>
      <c r="F86" s="13" t="n">
        <f aca="false">B86*E86</f>
        <v>0.0781299354662231</v>
      </c>
      <c r="G86" s="11" t="n">
        <v>66.0928961748634</v>
      </c>
      <c r="H86" s="14" t="n">
        <f aca="false">(1/(1+$B$103/200))^G86</f>
        <v>0.334242591507358</v>
      </c>
      <c r="I86" s="13" t="n">
        <f aca="false">B86*H86</f>
        <v>0.0835606478768395</v>
      </c>
      <c r="J86" s="9" t="n">
        <v>33</v>
      </c>
      <c r="K86" s="11" t="n">
        <v>3.52174264469651</v>
      </c>
      <c r="L86" s="9" t="n">
        <v>33.5</v>
      </c>
      <c r="M86" s="11" t="n">
        <v>3.49854250715542</v>
      </c>
      <c r="N86" s="13" t="n">
        <f aca="false">IF(L86=J86,K86,K86+(M86-K86)*(C86-J86)/(L86-J86))</f>
        <v>3.51961477444975</v>
      </c>
    </row>
    <row r="87" customFormat="false" ht="15" hidden="false" customHeight="false" outlineLevel="0" collapsed="false">
      <c r="A87" s="8" t="n">
        <v>57092</v>
      </c>
      <c r="B87" s="11" t="n">
        <v>0.25</v>
      </c>
      <c r="C87" s="13" t="n">
        <f aca="false">(A87-$B$5)/365.25</f>
        <v>33.5468856947296</v>
      </c>
      <c r="D87" s="11" t="n">
        <v>3.49636487576564</v>
      </c>
      <c r="E87" s="14" t="n">
        <f aca="false">EXP(-D87/100*C87)</f>
        <v>0.309461518702454</v>
      </c>
      <c r="F87" s="13" t="n">
        <f aca="false">B87*E87</f>
        <v>0.0773653796756136</v>
      </c>
      <c r="G87" s="11" t="n">
        <v>67.0928961748634</v>
      </c>
      <c r="H87" s="14" t="n">
        <f aca="false">(1/(1+$B$103/200))^G87</f>
        <v>0.32874619925281</v>
      </c>
      <c r="I87" s="13" t="n">
        <f aca="false">B87*H87</f>
        <v>0.0821865498132025</v>
      </c>
      <c r="J87" s="9" t="n">
        <v>33.5</v>
      </c>
      <c r="K87" s="11" t="n">
        <v>3.49854250715542</v>
      </c>
      <c r="L87" s="9" t="n">
        <v>34</v>
      </c>
      <c r="M87" s="11" t="n">
        <v>3.47530948597003</v>
      </c>
      <c r="N87" s="13" t="n">
        <f aca="false">IF(L87=J87,K87,K87+(M87-K87)*(C87-J87)/(L87-J87))</f>
        <v>3.49636391447753</v>
      </c>
    </row>
    <row r="88" customFormat="false" ht="15" hidden="false" customHeight="false" outlineLevel="0" collapsed="false">
      <c r="A88" s="8" t="n">
        <v>57275</v>
      </c>
      <c r="B88" s="11" t="n">
        <v>0.25</v>
      </c>
      <c r="C88" s="13" t="n">
        <f aca="false">(A88-$B$5)/365.25</f>
        <v>34.0479123887748</v>
      </c>
      <c r="D88" s="11" t="n">
        <v>3.47308248223682</v>
      </c>
      <c r="E88" s="14" t="n">
        <f aca="false">EXP(-D88/100*C88)</f>
        <v>0.306507798337019</v>
      </c>
      <c r="F88" s="13" t="n">
        <f aca="false">B88*E88</f>
        <v>0.0766269495842548</v>
      </c>
      <c r="G88" s="11" t="n">
        <v>68.0928961748634</v>
      </c>
      <c r="H88" s="14" t="n">
        <f aca="false">(1/(1+$B$103/200))^G88</f>
        <v>0.32334019143335</v>
      </c>
      <c r="I88" s="13" t="n">
        <f aca="false">B88*H88</f>
        <v>0.0808350478583375</v>
      </c>
      <c r="J88" s="9" t="n">
        <v>34</v>
      </c>
      <c r="K88" s="11" t="n">
        <v>3.47530948597003</v>
      </c>
      <c r="L88" s="9" t="n">
        <v>34.5</v>
      </c>
      <c r="M88" s="11" t="n">
        <v>3.45207115668808</v>
      </c>
      <c r="N88" s="13" t="n">
        <f aca="false">IF(L88=J88,K88,K88+(M88-K88)*(C88-J88)/(L88-J88))</f>
        <v>3.47308267823596</v>
      </c>
    </row>
    <row r="89" customFormat="false" ht="15" hidden="false" customHeight="false" outlineLevel="0" collapsed="false">
      <c r="A89" s="8" t="n">
        <v>57457</v>
      </c>
      <c r="B89" s="11" t="n">
        <v>0.25</v>
      </c>
      <c r="C89" s="13" t="n">
        <f aca="false">(A89-$B$5)/365.25</f>
        <v>34.5462012320329</v>
      </c>
      <c r="D89" s="11" t="n">
        <v>3.44992454821825</v>
      </c>
      <c r="E89" s="14" t="n">
        <f aca="false">EXP(-D89/100*C89)</f>
        <v>0.303668729666429</v>
      </c>
      <c r="F89" s="13" t="n">
        <f aca="false">B89*E89</f>
        <v>0.0759171824166073</v>
      </c>
      <c r="G89" s="11" t="n">
        <v>69.0928961748634</v>
      </c>
      <c r="H89" s="14" t="n">
        <f aca="false">(1/(1+$B$103/200))^G89</f>
        <v>0.318023081738372</v>
      </c>
      <c r="I89" s="13" t="n">
        <f aca="false">B89*H89</f>
        <v>0.0795057704345929</v>
      </c>
      <c r="J89" s="9" t="n">
        <v>34.5</v>
      </c>
      <c r="K89" s="11" t="n">
        <v>3.45207115668808</v>
      </c>
      <c r="L89" s="9" t="n">
        <v>35</v>
      </c>
      <c r="M89" s="11" t="n">
        <v>3.42885390982175</v>
      </c>
      <c r="N89" s="13" t="n">
        <f aca="false">IF(L89=J89,K89,K89+(M89-K89)*(C89-J89)/(L89-J89))</f>
        <v>3.44992582586881</v>
      </c>
    </row>
    <row r="90" customFormat="false" ht="15" hidden="false" customHeight="false" outlineLevel="0" collapsed="false">
      <c r="A90" s="8" t="n">
        <v>57640</v>
      </c>
      <c r="B90" s="11" t="n">
        <v>0.25</v>
      </c>
      <c r="C90" s="13" t="n">
        <f aca="false">(A90-$B$5)/365.25</f>
        <v>35.047227926078</v>
      </c>
      <c r="D90" s="11" t="n">
        <v>3.42666291594114</v>
      </c>
      <c r="E90" s="14" t="n">
        <f aca="false">EXP(-D90/100*C90)</f>
        <v>0.300908104230135</v>
      </c>
      <c r="F90" s="13" t="n">
        <f aca="false">B90*E90</f>
        <v>0.0752270260575337</v>
      </c>
      <c r="G90" s="11" t="n">
        <v>70.0928961748634</v>
      </c>
      <c r="H90" s="14" t="n">
        <f aca="false">(1/(1+$B$103/200))^G90</f>
        <v>0.312793408298636</v>
      </c>
      <c r="I90" s="13" t="n">
        <f aca="false">B90*H90</f>
        <v>0.0781983520746591</v>
      </c>
      <c r="J90" s="9" t="n">
        <v>35</v>
      </c>
      <c r="K90" s="11" t="n">
        <v>3.42885390982175</v>
      </c>
      <c r="L90" s="9" t="n">
        <v>35.5</v>
      </c>
      <c r="M90" s="11" t="n">
        <v>3.40568278034981</v>
      </c>
      <c r="N90" s="13" t="n">
        <f aca="false">IF(L90=J90,K90,K90+(M90-K90)*(C90-J90)/(L90-J90))</f>
        <v>3.42666526104206</v>
      </c>
    </row>
    <row r="91" customFormat="false" ht="15" hidden="false" customHeight="false" outlineLevel="0" collapsed="false">
      <c r="A91" s="8" t="n">
        <v>57822</v>
      </c>
      <c r="B91" s="11" t="n">
        <v>0.25</v>
      </c>
      <c r="C91" s="13" t="n">
        <f aca="false">(A91-$B$5)/365.25</f>
        <v>35.5455167693361</v>
      </c>
      <c r="D91" s="11" t="n">
        <v>3.40357652819429</v>
      </c>
      <c r="E91" s="14" t="n">
        <f aca="false">EXP(-D91/100*C91)</f>
        <v>0.298251298111381</v>
      </c>
      <c r="F91" s="13" t="n">
        <f aca="false">B91*E91</f>
        <v>0.0745628245278452</v>
      </c>
      <c r="G91" s="11" t="n">
        <v>71.0928961748634</v>
      </c>
      <c r="H91" s="14" t="n">
        <f aca="false">(1/(1+$B$103/200))^G91</f>
        <v>0.307649733284351</v>
      </c>
      <c r="I91" s="13" t="n">
        <f aca="false">B91*H91</f>
        <v>0.0769124333210877</v>
      </c>
      <c r="J91" s="9" t="n">
        <v>35.5</v>
      </c>
      <c r="K91" s="11" t="n">
        <v>3.40568278034981</v>
      </c>
      <c r="L91" s="9" t="n">
        <v>36</v>
      </c>
      <c r="M91" s="11" t="n">
        <v>3.38258046506604</v>
      </c>
      <c r="N91" s="13" t="n">
        <f aca="false">IF(L91=J91,K91,K91+(M91-K91)*(C91-J91)/(L91-J91))</f>
        <v>3.40357969483801</v>
      </c>
    </row>
    <row r="92" customFormat="false" ht="15" hidden="false" customHeight="false" outlineLevel="0" collapsed="false">
      <c r="A92" s="8" t="n">
        <v>58005</v>
      </c>
      <c r="B92" s="11" t="n">
        <v>0.25</v>
      </c>
      <c r="C92" s="13" t="n">
        <f aca="false">(A92-$B$5)/365.25</f>
        <v>36.0465434633813</v>
      </c>
      <c r="D92" s="11" t="n">
        <v>3.38043417465317</v>
      </c>
      <c r="E92" s="14" t="n">
        <f aca="false">EXP(-D92/100*C92)</f>
        <v>0.29566457078869</v>
      </c>
      <c r="F92" s="13" t="n">
        <f aca="false">B92*E92</f>
        <v>0.0739161426971724</v>
      </c>
      <c r="G92" s="11" t="n">
        <v>72.0928961748634</v>
      </c>
      <c r="H92" s="14" t="n">
        <f aca="false">(1/(1+$B$103/200))^G92</f>
        <v>0.302590642509857</v>
      </c>
      <c r="I92" s="13" t="n">
        <f aca="false">B92*H92</f>
        <v>0.0756476606274642</v>
      </c>
      <c r="J92" s="9" t="n">
        <v>36</v>
      </c>
      <c r="K92" s="11" t="n">
        <v>3.38258046506604</v>
      </c>
      <c r="L92" s="9" t="n">
        <v>36.5</v>
      </c>
      <c r="M92" s="11" t="n">
        <v>3.3595669903437</v>
      </c>
      <c r="N92" s="13" t="n">
        <f aca="false">IF(L92=J92,K92,K92+(M92-K92)*(C92-J92)/(L92-J92))</f>
        <v>3.38043821143001</v>
      </c>
    </row>
    <row r="93" customFormat="false" ht="15" hidden="false" customHeight="false" outlineLevel="0" collapsed="false">
      <c r="A93" s="8" t="n">
        <v>58187</v>
      </c>
      <c r="B93" s="11" t="n">
        <v>0.25</v>
      </c>
      <c r="C93" s="13" t="n">
        <f aca="false">(A93-$B$5)/365.25</f>
        <v>36.5448323066393</v>
      </c>
      <c r="D93" s="11" t="n">
        <v>3.35750845196486</v>
      </c>
      <c r="E93" s="14" t="n">
        <f aca="false">EXP(-D93/100*C93)</f>
        <v>0.293171993559503</v>
      </c>
      <c r="F93" s="13" t="n">
        <f aca="false">B93*E93</f>
        <v>0.0732929983898758</v>
      </c>
      <c r="G93" s="11" t="n">
        <v>73.0928961748634</v>
      </c>
      <c r="H93" s="14" t="n">
        <f aca="false">(1/(1+$B$103/200))^G93</f>
        <v>0.297614745044816</v>
      </c>
      <c r="I93" s="13" t="n">
        <f aca="false">B93*H93</f>
        <v>0.0744036862612041</v>
      </c>
      <c r="J93" s="9" t="n">
        <v>36.5</v>
      </c>
      <c r="K93" s="11" t="n">
        <v>3.3595669903437</v>
      </c>
      <c r="L93" s="9" t="n">
        <v>37</v>
      </c>
      <c r="M93" s="11" t="n">
        <v>3.33665987930843</v>
      </c>
      <c r="N93" s="13" t="n">
        <f aca="false">IF(L93=J93,K93,K93+(M93-K93)*(C93-J93)/(L93-J93))</f>
        <v>3.35751303309139</v>
      </c>
    </row>
    <row r="94" customFormat="false" ht="15" hidden="false" customHeight="false" outlineLevel="0" collapsed="false">
      <c r="A94" s="8" t="n">
        <v>58370</v>
      </c>
      <c r="B94" s="11" t="n">
        <v>0.25</v>
      </c>
      <c r="C94" s="13" t="n">
        <f aca="false">(A94-$B$5)/365.25</f>
        <v>37.0458590006845</v>
      </c>
      <c r="D94" s="11" t="n">
        <v>3.33456475658412</v>
      </c>
      <c r="E94" s="14" t="n">
        <f aca="false">EXP(-D94/100*C94)</f>
        <v>0.290742245676667</v>
      </c>
      <c r="F94" s="13" t="n">
        <f aca="false">B94*E94</f>
        <v>0.0726855614191667</v>
      </c>
      <c r="G94" s="11" t="n">
        <v>74.0928961748634</v>
      </c>
      <c r="H94" s="14" t="n">
        <f aca="false">(1/(1+$B$103/200))^G94</f>
        <v>0.292720672831797</v>
      </c>
      <c r="I94" s="13" t="n">
        <f aca="false">B94*H94</f>
        <v>0.0731801682079493</v>
      </c>
      <c r="J94" s="9" t="n">
        <v>37</v>
      </c>
      <c r="K94" s="11" t="n">
        <v>3.33665987930843</v>
      </c>
      <c r="L94" s="9" t="n">
        <v>37.5</v>
      </c>
      <c r="M94" s="11" t="n">
        <v>3.31387431816134</v>
      </c>
      <c r="N94" s="13" t="n">
        <f aca="false">IF(L94=J94,K94,K94+(M94-K94)*(C94-J94)/(L94-J94))</f>
        <v>3.33457003317995</v>
      </c>
    </row>
    <row r="95" customFormat="false" ht="15" hidden="false" customHeight="false" outlineLevel="0" collapsed="false">
      <c r="A95" s="8" t="n">
        <v>58553</v>
      </c>
      <c r="B95" s="11" t="n">
        <v>0.25</v>
      </c>
      <c r="C95" s="13" t="n">
        <f aca="false">(A95-$B$5)/365.25</f>
        <v>37.5468856947296</v>
      </c>
      <c r="D95" s="11" t="n">
        <v>3.31174440752783</v>
      </c>
      <c r="E95" s="14" t="n">
        <f aca="false">EXP(-D95/100*C95)</f>
        <v>0.288385576431318</v>
      </c>
      <c r="F95" s="13" t="n">
        <f aca="false">B95*E95</f>
        <v>0.0720963941078294</v>
      </c>
      <c r="G95" s="11" t="n">
        <v>75.0928961748634</v>
      </c>
      <c r="H95" s="14" t="n">
        <f aca="false">(1/(1+$B$103/200))^G95</f>
        <v>0.287907080310141</v>
      </c>
      <c r="I95" s="13" t="n">
        <f aca="false">B95*H95</f>
        <v>0.0719767700775352</v>
      </c>
      <c r="J95" s="9" t="n">
        <v>37.5</v>
      </c>
      <c r="K95" s="11" t="n">
        <v>3.31387431816134</v>
      </c>
      <c r="L95" s="9" t="n">
        <v>38</v>
      </c>
      <c r="M95" s="11" t="n">
        <v>3.29122318820436</v>
      </c>
      <c r="N95" s="13" t="n">
        <f aca="false">IF(L95=J95,K95,K95+(M95-K95)*(C95-J95)/(L95-J95))</f>
        <v>3.31175029023245</v>
      </c>
    </row>
    <row r="96" customFormat="false" ht="15" hidden="false" customHeight="false" outlineLevel="0" collapsed="false">
      <c r="A96" s="8" t="n">
        <v>58736</v>
      </c>
      <c r="B96" s="11" t="n">
        <v>0.25</v>
      </c>
      <c r="C96" s="13" t="n">
        <f aca="false">(A96-$B$5)/365.25</f>
        <v>38.0479123887748</v>
      </c>
      <c r="D96" s="11" t="n">
        <v>3.28906007862668</v>
      </c>
      <c r="E96" s="14" t="n">
        <f aca="false">EXP(-D96/100*C96)</f>
        <v>0.286098621515163</v>
      </c>
      <c r="F96" s="13" t="n">
        <f aca="false">B96*E96</f>
        <v>0.0715246553787909</v>
      </c>
      <c r="G96" s="11" t="n">
        <v>76.0928961748634</v>
      </c>
      <c r="H96" s="14" t="n">
        <f aca="false">(1/(1+$B$103/200))^G96</f>
        <v>0.28317264404602</v>
      </c>
      <c r="I96" s="13" t="n">
        <f aca="false">B96*H96</f>
        <v>0.0707931610115049</v>
      </c>
      <c r="J96" s="9" t="n">
        <v>38</v>
      </c>
      <c r="K96" s="11" t="n">
        <v>3.29122318820436</v>
      </c>
      <c r="L96" s="9" t="n">
        <v>38.5</v>
      </c>
      <c r="M96" s="11" t="n">
        <v>3.26871669329893</v>
      </c>
      <c r="N96" s="13" t="n">
        <f aca="false">IF(L96=J96,K96,K96+(M96-K96)*(C96-J96)/(L96-J96))</f>
        <v>3.28906650833663</v>
      </c>
    </row>
    <row r="97" customFormat="false" ht="15" hidden="false" customHeight="false" outlineLevel="0" collapsed="false">
      <c r="A97" s="8" t="n">
        <v>58918</v>
      </c>
      <c r="B97" s="11" t="n">
        <v>0.25</v>
      </c>
      <c r="C97" s="13" t="n">
        <f aca="false">(A97-$B$5)/365.25</f>
        <v>38.5462012320329</v>
      </c>
      <c r="D97" s="11" t="n">
        <v>3.26664471651006</v>
      </c>
      <c r="E97" s="14" t="n">
        <f aca="false">EXP(-D97/100*C97)</f>
        <v>0.283890282139206</v>
      </c>
      <c r="F97" s="13" t="n">
        <f aca="false">B97*E97</f>
        <v>0.0709725705348014</v>
      </c>
      <c r="G97" s="11" t="n">
        <v>77.0928961748634</v>
      </c>
      <c r="H97" s="14" t="n">
        <f aca="false">(1/(1+$B$103/200))^G97</f>
        <v>0.278516062368576</v>
      </c>
      <c r="I97" s="13" t="n">
        <f aca="false">B97*H97</f>
        <v>0.069629015592144</v>
      </c>
      <c r="J97" s="9" t="n">
        <v>38.5</v>
      </c>
      <c r="K97" s="11" t="n">
        <v>3.26871669329893</v>
      </c>
      <c r="L97" s="9" t="n">
        <v>39</v>
      </c>
      <c r="M97" s="11" t="n">
        <v>3.24636229102819</v>
      </c>
      <c r="N97" s="13" t="n">
        <f aca="false">IF(L97=J97,K97,K97+(M97-K97)*(C97-J97)/(L97-J97))</f>
        <v>3.2666510914464</v>
      </c>
    </row>
    <row r="98" customFormat="false" ht="15" hidden="false" customHeight="false" outlineLevel="0" collapsed="false">
      <c r="A98" s="8" t="n">
        <v>59101</v>
      </c>
      <c r="B98" s="11" t="n">
        <v>100.25</v>
      </c>
      <c r="C98" s="13" t="n">
        <f aca="false">(A98-$B$5)/365.25</f>
        <v>39.047227926078</v>
      </c>
      <c r="D98" s="11" t="n">
        <v>3.24425848333461</v>
      </c>
      <c r="E98" s="14" t="n">
        <f aca="false">EXP(-D98/100*C98)</f>
        <v>0.281733693222416</v>
      </c>
      <c r="F98" s="13" t="n">
        <f aca="false">B98*E98</f>
        <v>28.2438027455472</v>
      </c>
      <c r="G98" s="11" t="n">
        <v>78.0928961748634</v>
      </c>
      <c r="H98" s="14" t="n">
        <f aca="false">(1/(1+$B$103/200))^G98</f>
        <v>0.273936055012044</v>
      </c>
      <c r="I98" s="13" t="n">
        <f aca="false">B98*H98</f>
        <v>27.4620895149574</v>
      </c>
      <c r="J98" s="9" t="n">
        <v>39</v>
      </c>
      <c r="K98" s="11" t="n">
        <v>3.24636229102819</v>
      </c>
      <c r="L98" s="9" t="n">
        <v>39.5</v>
      </c>
      <c r="M98" s="11" t="n">
        <v>3.22416488297697</v>
      </c>
      <c r="N98" s="13" t="n">
        <f aca="false">IF(L98=J98,K98,K98+(M98-K98)*(C98-J98)/(L98-J98))</f>
        <v>3.24426561593505</v>
      </c>
    </row>
    <row r="100" customFormat="false" ht="15" hidden="false" customHeight="false" outlineLevel="0" collapsed="false">
      <c r="A100" s="7" t="s">
        <v>62</v>
      </c>
      <c r="B100" s="13" t="n">
        <f aca="false">SUM(F20:F98)</f>
        <v>38.4769080113998</v>
      </c>
    </row>
    <row r="101" customFormat="false" ht="15" hidden="false" customHeight="false" outlineLevel="0" collapsed="false">
      <c r="A101" s="7" t="s">
        <v>63</v>
      </c>
      <c r="B101" s="13" t="n">
        <f aca="false">B12</f>
        <v>0.226775956284153</v>
      </c>
    </row>
    <row r="102" customFormat="false" ht="15" hidden="false" customHeight="false" outlineLevel="0" collapsed="false">
      <c r="A102" s="7" t="s">
        <v>64</v>
      </c>
      <c r="B102" s="13" t="n">
        <f aca="false">B100-B101</f>
        <v>38.2501320551156</v>
      </c>
    </row>
    <row r="103" customFormat="false" ht="15" hidden="false" customHeight="false" outlineLevel="0" collapsed="false">
      <c r="A103" s="7" t="s">
        <v>65</v>
      </c>
      <c r="B103" s="15" t="n">
        <v>3.34385143739499</v>
      </c>
    </row>
    <row r="104" customFormat="false" ht="15" hidden="false" customHeight="false" outlineLevel="0" collapsed="false">
      <c r="A104" s="7" t="s">
        <v>66</v>
      </c>
      <c r="B104" s="13" t="n">
        <f aca="false">SUM(I20:I98)</f>
        <v>38.4769080113994</v>
      </c>
    </row>
    <row r="105" customFormat="false" ht="15" hidden="false" customHeight="false" outlineLevel="0" collapsed="false">
      <c r="A105" s="7" t="s">
        <v>67</v>
      </c>
      <c r="B105" s="16" t="n">
        <f aca="false">B104-B100</f>
        <v>-3.97903932025656E-013</v>
      </c>
    </row>
    <row r="106" customFormat="false" ht="15" hidden="false" customHeight="false" outlineLevel="0" collapsed="false">
      <c r="A106" s="7" t="s">
        <v>68</v>
      </c>
      <c r="B106" s="17" t="n">
        <f aca="false">100*(B13-B103)</f>
        <v>2.6794562605013</v>
      </c>
    </row>
    <row r="107" customFormat="false" ht="15" hidden="false" customHeight="false" outlineLevel="0" collapsed="false">
      <c r="A107" s="7" t="s">
        <v>69</v>
      </c>
      <c r="B107" s="9" t="n">
        <v>2.6794562605013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6" t="s">
        <v>242</v>
      </c>
    </row>
    <row r="3" customFormat="false" ht="77.6" hidden="false" customHeight="false" outlineLevel="0" collapsed="false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</row>
    <row r="4" customFormat="false" ht="15" hidden="false" customHeight="false" outlineLevel="0" collapsed="false">
      <c r="A4" s="10" t="n">
        <v>-25</v>
      </c>
      <c r="B4" s="8" t="n">
        <v>44799</v>
      </c>
      <c r="C4" s="11"/>
      <c r="D4" s="11" t="n">
        <v>2.61719936</v>
      </c>
      <c r="E4" s="18" t="str">
        <f aca="false">IF(F4=1,100*(C4-D4),"")</f>
        <v/>
      </c>
      <c r="F4" s="10" t="n">
        <v>0</v>
      </c>
      <c r="G4" s="10" t="s">
        <v>216</v>
      </c>
    </row>
    <row r="5" customFormat="false" ht="15" hidden="false" customHeight="false" outlineLevel="0" collapsed="false">
      <c r="A5" s="10" t="n">
        <v>-24</v>
      </c>
      <c r="B5" s="8" t="n">
        <v>44803</v>
      </c>
      <c r="C5" s="11"/>
      <c r="D5" s="11" t="n">
        <v>2.736074811</v>
      </c>
      <c r="E5" s="18" t="str">
        <f aca="false">IF(F5=1,100*(C5-D5),"")</f>
        <v/>
      </c>
      <c r="F5" s="10" t="n">
        <v>0</v>
      </c>
      <c r="G5" s="10" t="s">
        <v>216</v>
      </c>
    </row>
    <row r="6" customFormat="false" ht="15" hidden="false" customHeight="false" outlineLevel="0" collapsed="false">
      <c r="A6" s="10" t="n">
        <v>-23</v>
      </c>
      <c r="B6" s="8" t="n">
        <v>44804</v>
      </c>
      <c r="C6" s="11"/>
      <c r="D6" s="11" t="n">
        <v>2.824600504</v>
      </c>
      <c r="E6" s="18" t="str">
        <f aca="false">IF(F6=1,100*(C6-D6),"")</f>
        <v/>
      </c>
      <c r="F6" s="10" t="n">
        <v>0</v>
      </c>
      <c r="G6" s="10" t="s">
        <v>216</v>
      </c>
    </row>
    <row r="7" customFormat="false" ht="15" hidden="false" customHeight="false" outlineLevel="0" collapsed="false">
      <c r="A7" s="10" t="n">
        <v>-22</v>
      </c>
      <c r="B7" s="8" t="n">
        <v>44805</v>
      </c>
      <c r="C7" s="11"/>
      <c r="D7" s="11" t="n">
        <v>2.968038944</v>
      </c>
      <c r="E7" s="18" t="str">
        <f aca="false">IF(F7=1,100*(C7-D7),"")</f>
        <v/>
      </c>
      <c r="F7" s="10" t="n">
        <v>0</v>
      </c>
      <c r="G7" s="10" t="s">
        <v>216</v>
      </c>
    </row>
    <row r="8" customFormat="false" ht="15" hidden="false" customHeight="false" outlineLevel="0" collapsed="false">
      <c r="A8" s="10" t="n">
        <v>-21</v>
      </c>
      <c r="B8" s="8" t="n">
        <v>44806</v>
      </c>
      <c r="C8" s="11"/>
      <c r="D8" s="11" t="n">
        <v>3.019329513</v>
      </c>
      <c r="E8" s="18" t="str">
        <f aca="false">IF(F8=1,100*(C8-D8),"")</f>
        <v/>
      </c>
      <c r="F8" s="10" t="n">
        <v>0</v>
      </c>
      <c r="G8" s="10" t="s">
        <v>216</v>
      </c>
    </row>
    <row r="9" customFormat="false" ht="15" hidden="false" customHeight="false" outlineLevel="0" collapsed="false">
      <c r="A9" s="10" t="n">
        <v>-20</v>
      </c>
      <c r="B9" s="8" t="n">
        <v>44809</v>
      </c>
      <c r="C9" s="11"/>
      <c r="D9" s="11" t="n">
        <v>2.954781799</v>
      </c>
      <c r="E9" s="18" t="str">
        <f aca="false">IF(F9=1,100*(C9-D9),"")</f>
        <v/>
      </c>
      <c r="F9" s="10" t="n">
        <v>0</v>
      </c>
      <c r="G9" s="10" t="s">
        <v>216</v>
      </c>
    </row>
    <row r="10" customFormat="false" ht="15" hidden="false" customHeight="false" outlineLevel="0" collapsed="false">
      <c r="A10" s="10" t="n">
        <v>-19</v>
      </c>
      <c r="B10" s="8" t="n">
        <v>44810</v>
      </c>
      <c r="C10" s="11"/>
      <c r="D10" s="11" t="n">
        <v>3.113173777</v>
      </c>
      <c r="E10" s="18" t="str">
        <f aca="false">IF(F10=1,100*(C10-D10),"")</f>
        <v/>
      </c>
      <c r="F10" s="10" t="n">
        <v>0</v>
      </c>
      <c r="G10" s="10" t="s">
        <v>216</v>
      </c>
    </row>
    <row r="11" customFormat="false" ht="15" hidden="false" customHeight="false" outlineLevel="0" collapsed="false">
      <c r="A11" s="10" t="n">
        <v>-18</v>
      </c>
      <c r="B11" s="8" t="n">
        <v>44811</v>
      </c>
      <c r="C11" s="11"/>
      <c r="D11" s="11" t="n">
        <v>3.126550938</v>
      </c>
      <c r="E11" s="18" t="str">
        <f aca="false">IF(F11=1,100*(C11-D11),"")</f>
        <v/>
      </c>
      <c r="F11" s="10" t="n">
        <v>0</v>
      </c>
      <c r="G11" s="10" t="s">
        <v>216</v>
      </c>
    </row>
    <row r="12" customFormat="false" ht="15" hidden="false" customHeight="false" outlineLevel="0" collapsed="false">
      <c r="A12" s="10" t="n">
        <v>-17</v>
      </c>
      <c r="B12" s="8" t="n">
        <v>44812</v>
      </c>
      <c r="C12" s="11"/>
      <c r="D12" s="11" t="n">
        <v>3.264129558</v>
      </c>
      <c r="E12" s="18" t="str">
        <f aca="false">IF(F12=1,100*(C12-D12),"")</f>
        <v/>
      </c>
      <c r="F12" s="10" t="n">
        <v>0</v>
      </c>
      <c r="G12" s="10" t="s">
        <v>216</v>
      </c>
    </row>
    <row r="13" customFormat="false" ht="15" hidden="false" customHeight="false" outlineLevel="0" collapsed="false">
      <c r="A13" s="10" t="n">
        <v>-16</v>
      </c>
      <c r="B13" s="8" t="n">
        <v>44813</v>
      </c>
      <c r="C13" s="11"/>
      <c r="D13" s="11" t="n">
        <v>3.261734717</v>
      </c>
      <c r="E13" s="18" t="str">
        <f aca="false">IF(F13=1,100*(C13-D13),"")</f>
        <v/>
      </c>
      <c r="F13" s="10" t="n">
        <v>0</v>
      </c>
      <c r="G13" s="10" t="s">
        <v>216</v>
      </c>
    </row>
    <row r="14" customFormat="false" ht="15" hidden="false" customHeight="false" outlineLevel="0" collapsed="false">
      <c r="A14" s="10" t="n">
        <v>-15</v>
      </c>
      <c r="B14" s="8" t="n">
        <v>44816</v>
      </c>
      <c r="C14" s="11"/>
      <c r="D14" s="11" t="n">
        <v>3.191193475</v>
      </c>
      <c r="E14" s="18" t="str">
        <f aca="false">IF(F14=1,100*(C14-D14),"")</f>
        <v/>
      </c>
      <c r="F14" s="10" t="n">
        <v>0</v>
      </c>
      <c r="G14" s="10" t="s">
        <v>216</v>
      </c>
    </row>
    <row r="15" customFormat="false" ht="15" hidden="false" customHeight="false" outlineLevel="0" collapsed="false">
      <c r="A15" s="10" t="n">
        <v>-14</v>
      </c>
      <c r="B15" s="8" t="n">
        <v>44817</v>
      </c>
      <c r="C15" s="11"/>
      <c r="D15" s="11" t="n">
        <v>3.215508842</v>
      </c>
      <c r="E15" s="18" t="str">
        <f aca="false">IF(F15=1,100*(C15-D15),"")</f>
        <v/>
      </c>
      <c r="F15" s="10" t="n">
        <v>0</v>
      </c>
      <c r="G15" s="10" t="s">
        <v>216</v>
      </c>
    </row>
    <row r="16" customFormat="false" ht="15" hidden="false" customHeight="false" outlineLevel="0" collapsed="false">
      <c r="A16" s="10" t="n">
        <v>-13</v>
      </c>
      <c r="B16" s="8" t="n">
        <v>44818</v>
      </c>
      <c r="C16" s="11"/>
      <c r="D16" s="11" t="n">
        <v>3.183160003</v>
      </c>
      <c r="E16" s="18" t="str">
        <f aca="false">IF(F16=1,100*(C16-D16),"")</f>
        <v/>
      </c>
      <c r="F16" s="10" t="n">
        <v>0</v>
      </c>
      <c r="G16" s="10" t="s">
        <v>216</v>
      </c>
    </row>
    <row r="17" customFormat="false" ht="15" hidden="false" customHeight="false" outlineLevel="0" collapsed="false">
      <c r="A17" s="10" t="n">
        <v>-12</v>
      </c>
      <c r="B17" s="8" t="n">
        <v>44819</v>
      </c>
      <c r="C17" s="11"/>
      <c r="D17" s="11" t="n">
        <v>3.204838649</v>
      </c>
      <c r="E17" s="18" t="str">
        <f aca="false">IF(F17=1,100*(C17-D17),"")</f>
        <v/>
      </c>
      <c r="F17" s="10" t="n">
        <v>0</v>
      </c>
      <c r="G17" s="10" t="s">
        <v>216</v>
      </c>
    </row>
    <row r="18" customFormat="false" ht="15" hidden="false" customHeight="false" outlineLevel="0" collapsed="false">
      <c r="A18" s="10" t="n">
        <v>-11</v>
      </c>
      <c r="B18" s="8" t="n">
        <v>44820</v>
      </c>
      <c r="C18" s="11"/>
      <c r="D18" s="11" t="n">
        <v>3.210084383</v>
      </c>
      <c r="E18" s="18" t="str">
        <f aca="false">IF(F18=1,100*(C18-D18),"")</f>
        <v/>
      </c>
      <c r="F18" s="10" t="n">
        <v>0</v>
      </c>
      <c r="G18" s="10" t="s">
        <v>216</v>
      </c>
    </row>
    <row r="19" customFormat="false" ht="15" hidden="false" customHeight="false" outlineLevel="0" collapsed="false">
      <c r="A19" s="10" t="n">
        <v>-10</v>
      </c>
      <c r="B19" s="8" t="n">
        <v>44824</v>
      </c>
      <c r="C19" s="11"/>
      <c r="D19" s="11" t="n">
        <v>3.322540491</v>
      </c>
      <c r="E19" s="18" t="str">
        <f aca="false">IF(F19=1,100*(C19-D19),"")</f>
        <v/>
      </c>
      <c r="F19" s="10" t="n">
        <v>0</v>
      </c>
      <c r="G19" s="10" t="s">
        <v>216</v>
      </c>
    </row>
    <row r="20" customFormat="false" ht="15" hidden="false" customHeight="false" outlineLevel="0" collapsed="false">
      <c r="A20" s="10" t="n">
        <v>-9</v>
      </c>
      <c r="B20" s="8" t="n">
        <v>44825</v>
      </c>
      <c r="C20" s="11"/>
      <c r="D20" s="11" t="n">
        <v>3.315202138</v>
      </c>
      <c r="E20" s="18" t="str">
        <f aca="false">IF(F20=1,100*(C20-D20),"")</f>
        <v/>
      </c>
      <c r="F20" s="10" t="n">
        <v>0</v>
      </c>
      <c r="G20" s="10" t="s">
        <v>216</v>
      </c>
    </row>
    <row r="21" customFormat="false" ht="15" hidden="false" customHeight="false" outlineLevel="0" collapsed="false">
      <c r="A21" s="10" t="n">
        <v>-8</v>
      </c>
      <c r="B21" s="8" t="n">
        <v>44826</v>
      </c>
      <c r="C21" s="11"/>
      <c r="D21" s="11" t="n">
        <v>3.4976187</v>
      </c>
      <c r="E21" s="18" t="str">
        <f aca="false">IF(F21=1,100*(C21-D21),"")</f>
        <v/>
      </c>
      <c r="F21" s="10" t="n">
        <v>0</v>
      </c>
      <c r="G21" s="10" t="s">
        <v>216</v>
      </c>
    </row>
    <row r="22" customFormat="false" ht="15" hidden="false" customHeight="false" outlineLevel="0" collapsed="false">
      <c r="A22" s="10" t="n">
        <v>-7</v>
      </c>
      <c r="B22" s="8" t="n">
        <v>44827</v>
      </c>
      <c r="C22" s="11"/>
      <c r="D22" s="11" t="n">
        <v>3.716276291</v>
      </c>
      <c r="E22" s="18" t="str">
        <f aca="false">IF(F22=1,100*(C22-D22),"")</f>
        <v/>
      </c>
      <c r="F22" s="10" t="n">
        <v>0</v>
      </c>
      <c r="G22" s="10" t="s">
        <v>216</v>
      </c>
    </row>
    <row r="23" customFormat="false" ht="15" hidden="false" customHeight="false" outlineLevel="0" collapsed="false">
      <c r="A23" s="10" t="n">
        <v>-6</v>
      </c>
      <c r="B23" s="8" t="n">
        <v>44830</v>
      </c>
      <c r="C23" s="11"/>
      <c r="D23" s="11" t="n">
        <v>4.114181842</v>
      </c>
      <c r="E23" s="18" t="str">
        <f aca="false">IF(F23=1,100*(C23-D23),"")</f>
        <v/>
      </c>
      <c r="F23" s="10" t="n">
        <v>0</v>
      </c>
      <c r="G23" s="10" t="s">
        <v>216</v>
      </c>
    </row>
    <row r="25" customFormat="false" ht="15" hidden="false" customHeight="false" outlineLevel="0" collapsed="false">
      <c r="A25" s="7" t="s">
        <v>78</v>
      </c>
      <c r="B25" s="19" t="n">
        <f aca="false">SUM(F4:F23)</f>
        <v>0</v>
      </c>
    </row>
    <row r="26" customFormat="false" ht="15" hidden="false" customHeight="false" outlineLevel="0" collapsed="false">
      <c r="A26" s="7" t="s">
        <v>79</v>
      </c>
      <c r="B26" s="18" t="str">
        <f aca="false">IF(B25&gt;=10,AVERAGEIF(F4:F23,1,E4:E23),"n/a")</f>
        <v>n/a</v>
      </c>
    </row>
    <row r="27" customFormat="false" ht="15" hidden="false" customHeight="false" outlineLevel="0" collapsed="false">
      <c r="A27" s="7" t="s">
        <v>80</v>
      </c>
      <c r="B27" s="18" t="n">
        <f aca="false">'A5 M1'!B106</f>
        <v>2.6794562605013</v>
      </c>
    </row>
    <row r="28" customFormat="false" ht="15" hidden="false" customHeight="false" outlineLevel="0" collapsed="false">
      <c r="A28" s="7" t="s">
        <v>81</v>
      </c>
      <c r="B28" s="17" t="str">
        <f aca="false">IF(B25&gt;=10,B27-B26,"n/a")</f>
        <v>n/a</v>
      </c>
    </row>
    <row r="29" customFormat="false" ht="15" hidden="false" customHeight="false" outlineLevel="0" collapsed="false">
      <c r="A29" s="7" t="s">
        <v>82</v>
      </c>
      <c r="B29" s="9"/>
    </row>
    <row r="30" customFormat="false" ht="15" hidden="false" customHeight="false" outlineLevel="0" collapsed="false">
      <c r="A30" s="7" t="s">
        <v>83</v>
      </c>
      <c r="B30" s="10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244</v>
      </c>
    </row>
    <row r="3" customFormat="false" ht="15" hidden="false" customHeight="false" outlineLevel="0" collapsed="false">
      <c r="A3" s="3" t="s">
        <v>85</v>
      </c>
      <c r="B3" s="3" t="s">
        <v>72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188</v>
      </c>
      <c r="H3" s="3" t="s">
        <v>189</v>
      </c>
      <c r="I3" s="3" t="s">
        <v>190</v>
      </c>
      <c r="J3" s="3" t="s">
        <v>191</v>
      </c>
      <c r="K3" s="3" t="s">
        <v>192</v>
      </c>
      <c r="L3" s="3" t="s">
        <v>193</v>
      </c>
      <c r="M3" s="3" t="s">
        <v>208</v>
      </c>
      <c r="N3" s="3" t="s">
        <v>209</v>
      </c>
      <c r="O3" s="3" t="s">
        <v>86</v>
      </c>
      <c r="P3" s="3" t="s">
        <v>87</v>
      </c>
      <c r="Q3" s="3" t="s">
        <v>88</v>
      </c>
      <c r="R3" s="3" t="s">
        <v>89</v>
      </c>
      <c r="S3" s="3" t="s">
        <v>90</v>
      </c>
      <c r="T3" s="3" t="s">
        <v>91</v>
      </c>
      <c r="U3" s="3" t="s">
        <v>92</v>
      </c>
      <c r="V3" s="3" t="s">
        <v>93</v>
      </c>
      <c r="W3" s="3" t="s">
        <v>94</v>
      </c>
      <c r="X3" s="3" t="s">
        <v>95</v>
      </c>
      <c r="Y3" s="3" t="s">
        <v>96</v>
      </c>
      <c r="Z3" s="3" t="s">
        <v>97</v>
      </c>
      <c r="AA3" s="3" t="s">
        <v>98</v>
      </c>
      <c r="AB3" s="3" t="s">
        <v>99</v>
      </c>
      <c r="AC3" s="3" t="s">
        <v>100</v>
      </c>
      <c r="AD3" s="3" t="s">
        <v>101</v>
      </c>
      <c r="AE3" s="3" t="s">
        <v>102</v>
      </c>
      <c r="AF3" s="3" t="s">
        <v>103</v>
      </c>
      <c r="AG3" s="3" t="s">
        <v>104</v>
      </c>
      <c r="AH3" s="3" t="s">
        <v>105</v>
      </c>
      <c r="AI3" s="3" t="s">
        <v>106</v>
      </c>
      <c r="AJ3" s="3" t="s">
        <v>107</v>
      </c>
      <c r="AK3" s="3" t="s">
        <v>108</v>
      </c>
      <c r="AL3" s="3" t="s">
        <v>109</v>
      </c>
      <c r="AM3" s="3" t="s">
        <v>110</v>
      </c>
      <c r="AN3" s="3" t="s">
        <v>111</v>
      </c>
      <c r="AO3" s="3" t="s">
        <v>112</v>
      </c>
      <c r="AP3" s="3" t="s">
        <v>113</v>
      </c>
      <c r="AQ3" s="3" t="s">
        <v>114</v>
      </c>
      <c r="AR3" s="3" t="s">
        <v>115</v>
      </c>
      <c r="AS3" s="3" t="s">
        <v>116</v>
      </c>
      <c r="AT3" s="3" t="s">
        <v>117</v>
      </c>
      <c r="AU3" s="3" t="s">
        <v>118</v>
      </c>
      <c r="AV3" s="3" t="s">
        <v>119</v>
      </c>
      <c r="AW3" s="3" t="s">
        <v>120</v>
      </c>
      <c r="AX3" s="3" t="s">
        <v>219</v>
      </c>
      <c r="AY3" s="3" t="s">
        <v>220</v>
      </c>
      <c r="AZ3" s="3" t="s">
        <v>221</v>
      </c>
      <c r="BA3" s="3" t="s">
        <v>222</v>
      </c>
      <c r="BB3" s="3" t="s">
        <v>223</v>
      </c>
      <c r="BC3" s="3" t="s">
        <v>224</v>
      </c>
      <c r="BD3" s="3" t="s">
        <v>225</v>
      </c>
      <c r="BE3" s="3" t="s">
        <v>226</v>
      </c>
      <c r="BF3" s="3" t="s">
        <v>227</v>
      </c>
      <c r="BG3" s="3" t="s">
        <v>228</v>
      </c>
    </row>
    <row r="4" customFormat="false" ht="15" hidden="false" customHeight="false" outlineLevel="0" collapsed="false">
      <c r="A4" s="10" t="n">
        <v>-121</v>
      </c>
      <c r="B4" s="8" t="n">
        <v>44658</v>
      </c>
      <c r="C4" s="11" t="n">
        <v>1.47962246456763</v>
      </c>
      <c r="D4" s="11" t="n">
        <v>1.5007824699031</v>
      </c>
      <c r="E4" s="11" t="n">
        <v>1.50946108173578</v>
      </c>
      <c r="F4" s="11" t="n">
        <v>1.51398426306703</v>
      </c>
      <c r="G4" s="11" t="n">
        <v>1.51836847223126</v>
      </c>
      <c r="H4" s="11" t="n">
        <v>1.52445587955676</v>
      </c>
      <c r="I4" s="11" t="n">
        <v>1.53302206789</v>
      </c>
      <c r="J4" s="11" t="n">
        <v>1.54432488630804</v>
      </c>
      <c r="K4" s="11" t="n">
        <v>1.55835225265498</v>
      </c>
      <c r="L4" s="11" t="n">
        <v>1.57493302737176</v>
      </c>
      <c r="M4" s="11" t="n">
        <v>1.59379460900775</v>
      </c>
      <c r="N4" s="11" t="n">
        <v>1.61459388480722</v>
      </c>
      <c r="O4" s="11" t="n">
        <v>1.63694374059686</v>
      </c>
      <c r="P4" s="11" t="n">
        <v>1.66042910711527</v>
      </c>
      <c r="Q4" s="11" t="n">
        <v>1.68461779452533</v>
      </c>
      <c r="R4" s="11" t="n">
        <v>1.7090722145633</v>
      </c>
      <c r="S4" s="11" t="n">
        <v>1.73337122892249</v>
      </c>
      <c r="T4" s="11" t="n">
        <v>1.75713042191302</v>
      </c>
      <c r="U4" s="11" t="n">
        <v>1.78000779453065</v>
      </c>
      <c r="V4" s="11" t="n">
        <v>1.80173001268006</v>
      </c>
      <c r="W4" s="11" t="n">
        <v>1.82208734061826</v>
      </c>
      <c r="X4" s="11" t="n">
        <v>1.84092096227535</v>
      </c>
      <c r="Y4" s="11" t="n">
        <v>1.85811570515589</v>
      </c>
      <c r="Z4" s="11" t="n">
        <v>1.87360944755376</v>
      </c>
      <c r="AA4" s="11" t="n">
        <v>1.88739635504112</v>
      </c>
      <c r="AB4" s="11" t="n">
        <v>1.89951811798851</v>
      </c>
      <c r="AC4" s="11" t="n">
        <v>1.91004274161651</v>
      </c>
      <c r="AD4" s="11" t="n">
        <v>1.91905041276663</v>
      </c>
      <c r="AE4" s="11" t="n">
        <v>1.92663105189063</v>
      </c>
      <c r="AF4" s="11" t="n">
        <v>1.93288283826109</v>
      </c>
      <c r="AG4" s="11" t="n">
        <v>1.93791053822844</v>
      </c>
      <c r="AH4" s="11" t="n">
        <v>1.9418137564579</v>
      </c>
      <c r="AI4" s="11" t="n">
        <v>1.94467907155679</v>
      </c>
      <c r="AJ4" s="11" t="n">
        <v>1.94658451554582</v>
      </c>
      <c r="AK4" s="11" t="n">
        <v>1.94759958180222</v>
      </c>
      <c r="AL4" s="11" t="n">
        <v>1.94778585615891</v>
      </c>
      <c r="AM4" s="11" t="n">
        <v>1.94719719164433</v>
      </c>
      <c r="AN4" s="11" t="n">
        <v>1.94588055284405</v>
      </c>
      <c r="AO4" s="11" t="n">
        <v>1.94387695211708</v>
      </c>
      <c r="AP4" s="11" t="n">
        <v>1.94122237297672</v>
      </c>
      <c r="AQ4" s="11" t="n">
        <v>1.93794881579015</v>
      </c>
      <c r="AR4" s="11" t="n">
        <v>1.93408495842934</v>
      </c>
      <c r="AS4" s="11" t="n">
        <v>1.92965693121934</v>
      </c>
      <c r="AT4" s="11" t="n">
        <v>1.92468889936771</v>
      </c>
      <c r="AU4" s="11" t="n">
        <v>1.91920382474244</v>
      </c>
      <c r="AV4" s="11" t="n">
        <v>1.91322403805182</v>
      </c>
      <c r="AW4" s="11" t="n">
        <v>1.90677225329799</v>
      </c>
      <c r="AX4" s="11" t="n">
        <v>1.89987217649108</v>
      </c>
      <c r="AY4" s="11" t="n">
        <v>1.89254889484611</v>
      </c>
      <c r="AZ4" s="11" t="n">
        <v>1.88482896425378</v>
      </c>
      <c r="BA4" s="11" t="n">
        <v>1.87674032182067</v>
      </c>
      <c r="BB4" s="11" t="n">
        <v>1.86831228458519</v>
      </c>
      <c r="BC4" s="11" t="n">
        <v>1.85957591546561</v>
      </c>
      <c r="BD4" s="11" t="n">
        <v>1.85056409447633</v>
      </c>
      <c r="BE4" s="11" t="n">
        <v>1.84131138929058</v>
      </c>
      <c r="BF4" s="11" t="n">
        <v>1.83185374652317</v>
      </c>
      <c r="BG4" s="11" t="n">
        <v>1.82222821707252</v>
      </c>
    </row>
    <row r="5" customFormat="false" ht="15" hidden="false" customHeight="false" outlineLevel="0" collapsed="false">
      <c r="A5" s="10" t="n">
        <v>-120</v>
      </c>
      <c r="B5" s="8" t="n">
        <v>44659</v>
      </c>
      <c r="C5" s="11" t="n">
        <v>1.49238328290945</v>
      </c>
      <c r="D5" s="11" t="n">
        <v>1.51470238673889</v>
      </c>
      <c r="E5" s="11" t="n">
        <v>1.52434928580033</v>
      </c>
      <c r="F5" s="11" t="n">
        <v>1.52974680012479</v>
      </c>
      <c r="G5" s="11" t="n">
        <v>1.53497226885952</v>
      </c>
      <c r="H5" s="11" t="n">
        <v>1.54190653247212</v>
      </c>
      <c r="I5" s="11" t="n">
        <v>1.55134990781307</v>
      </c>
      <c r="J5" s="11" t="n">
        <v>1.56357524719728</v>
      </c>
      <c r="K5" s="11" t="n">
        <v>1.57857700382718</v>
      </c>
      <c r="L5" s="11" t="n">
        <v>1.59618600479366</v>
      </c>
      <c r="M5" s="11" t="n">
        <v>1.61612698501923</v>
      </c>
      <c r="N5" s="11" t="n">
        <v>1.63805136551319</v>
      </c>
      <c r="O5" s="11" t="n">
        <v>1.66156485343305</v>
      </c>
      <c r="P5" s="11" t="n">
        <v>1.68624451052807</v>
      </c>
      <c r="Q5" s="11" t="n">
        <v>1.71164916920979</v>
      </c>
      <c r="R5" s="11" t="n">
        <v>1.73733172193719</v>
      </c>
      <c r="S5" s="11" t="n">
        <v>1.76286091011634</v>
      </c>
      <c r="T5" s="11" t="n">
        <v>1.78784181180606</v>
      </c>
      <c r="U5" s="11" t="n">
        <v>1.81192127071465</v>
      </c>
      <c r="V5" s="11" t="n">
        <v>1.83481525840848</v>
      </c>
      <c r="W5" s="11" t="n">
        <v>1.85630366460429</v>
      </c>
      <c r="X5" s="11" t="n">
        <v>1.87621754923354</v>
      </c>
      <c r="Y5" s="11" t="n">
        <v>1.8944320694423</v>
      </c>
      <c r="Z5" s="11" t="n">
        <v>1.91087672056673</v>
      </c>
      <c r="AA5" s="11" t="n">
        <v>1.9255386687942</v>
      </c>
      <c r="AB5" s="11" t="n">
        <v>1.93845416493112</v>
      </c>
      <c r="AC5" s="11" t="n">
        <v>1.94968772057085</v>
      </c>
      <c r="AD5" s="11" t="n">
        <v>1.95931833865769</v>
      </c>
      <c r="AE5" s="11" t="n">
        <v>1.96743676858751</v>
      </c>
      <c r="AF5" s="11" t="n">
        <v>1.97414372644231</v>
      </c>
      <c r="AG5" s="11" t="n">
        <v>1.97954794244122</v>
      </c>
      <c r="AH5" s="11" t="n">
        <v>1.98375428405097</v>
      </c>
      <c r="AI5" s="11" t="n">
        <v>1.98685612860645</v>
      </c>
      <c r="AJ5" s="11" t="n">
        <v>1.98893902401807</v>
      </c>
      <c r="AK5" s="11" t="n">
        <v>1.99008034409568</v>
      </c>
      <c r="AL5" s="11" t="n">
        <v>1.99034965182115</v>
      </c>
      <c r="AM5" s="11" t="n">
        <v>1.98980844242774</v>
      </c>
      <c r="AN5" s="11" t="n">
        <v>1.98851083555764</v>
      </c>
      <c r="AO5" s="11" t="n">
        <v>1.98650443499728</v>
      </c>
      <c r="AP5" s="11" t="n">
        <v>1.98383127203368</v>
      </c>
      <c r="AQ5" s="11" t="n">
        <v>1.98052883391257</v>
      </c>
      <c r="AR5" s="11" t="n">
        <v>1.9766307611666</v>
      </c>
      <c r="AS5" s="11" t="n">
        <v>1.97216765051499</v>
      </c>
      <c r="AT5" s="11" t="n">
        <v>1.9671676573803</v>
      </c>
      <c r="AU5" s="11" t="n">
        <v>1.96165722865236</v>
      </c>
      <c r="AV5" s="11" t="n">
        <v>1.9556616788913</v>
      </c>
      <c r="AW5" s="11" t="n">
        <v>1.94920618760546</v>
      </c>
      <c r="AX5" s="11" t="n">
        <v>1.94231640668264</v>
      </c>
      <c r="AY5" s="11" t="n">
        <v>1.93501886219989</v>
      </c>
      <c r="AZ5" s="11" t="n">
        <v>1.92734105036654</v>
      </c>
      <c r="BA5" s="11" t="n">
        <v>1.91931138299733</v>
      </c>
      <c r="BB5" s="11" t="n">
        <v>1.9109592318848</v>
      </c>
      <c r="BC5" s="11" t="n">
        <v>1.90231532744966</v>
      </c>
      <c r="BD5" s="11" t="n">
        <v>1.89341186063145</v>
      </c>
      <c r="BE5" s="11" t="n">
        <v>1.88428239542664</v>
      </c>
      <c r="BF5" s="11" t="n">
        <v>1.87496158987602</v>
      </c>
      <c r="BG5" s="11" t="n">
        <v>1.86548496186012</v>
      </c>
    </row>
    <row r="6" customFormat="false" ht="15" hidden="false" customHeight="false" outlineLevel="0" collapsed="false">
      <c r="A6" s="10" t="n">
        <v>-119</v>
      </c>
      <c r="B6" s="8" t="n">
        <v>44662</v>
      </c>
      <c r="C6" s="11" t="n">
        <v>1.55492529608552</v>
      </c>
      <c r="D6" s="11" t="n">
        <v>1.58016464454365</v>
      </c>
      <c r="E6" s="11" t="n">
        <v>1.59135496361986</v>
      </c>
      <c r="F6" s="11" t="n">
        <v>1.597836646494</v>
      </c>
      <c r="G6" s="11" t="n">
        <v>1.60407029411162</v>
      </c>
      <c r="H6" s="11" t="n">
        <v>1.61208739966945</v>
      </c>
      <c r="I6" s="11" t="n">
        <v>1.62273253758296</v>
      </c>
      <c r="J6" s="11" t="n">
        <v>1.63627194657958</v>
      </c>
      <c r="K6" s="11" t="n">
        <v>1.65266688400392</v>
      </c>
      <c r="L6" s="11" t="n">
        <v>1.67170324811799</v>
      </c>
      <c r="M6" s="11" t="n">
        <v>1.69305735137225</v>
      </c>
      <c r="N6" s="11" t="n">
        <v>1.71633365532249</v>
      </c>
      <c r="O6" s="11" t="n">
        <v>1.7410956126622</v>
      </c>
      <c r="P6" s="11" t="n">
        <v>1.76688578603546</v>
      </c>
      <c r="Q6" s="11" t="n">
        <v>1.79323790563308</v>
      </c>
      <c r="R6" s="11" t="n">
        <v>1.8196900636534</v>
      </c>
      <c r="S6" s="11" t="n">
        <v>1.84580558553145</v>
      </c>
      <c r="T6" s="11" t="n">
        <v>1.87119194493292</v>
      </c>
      <c r="U6" s="11" t="n">
        <v>1.89550510230467</v>
      </c>
      <c r="V6" s="11" t="n">
        <v>1.91847380274607</v>
      </c>
      <c r="W6" s="11" t="n">
        <v>1.93989301844387</v>
      </c>
      <c r="X6" s="11" t="n">
        <v>1.95961073515548</v>
      </c>
      <c r="Y6" s="11" t="n">
        <v>1.97752035995062</v>
      </c>
      <c r="Z6" s="11" t="n">
        <v>1.99356937008162</v>
      </c>
      <c r="AA6" s="11" t="n">
        <v>2.00776162724214</v>
      </c>
      <c r="AB6" s="11" t="n">
        <v>2.02014868729418</v>
      </c>
      <c r="AC6" s="11" t="n">
        <v>2.03080858449999</v>
      </c>
      <c r="AD6" s="11" t="n">
        <v>2.03983209539058</v>
      </c>
      <c r="AE6" s="11" t="n">
        <v>2.04732026304346</v>
      </c>
      <c r="AF6" s="11" t="n">
        <v>2.05338284154528</v>
      </c>
      <c r="AG6" s="11" t="n">
        <v>2.05813650493076</v>
      </c>
      <c r="AH6" s="11" t="n">
        <v>2.06169286477368</v>
      </c>
      <c r="AI6" s="11" t="n">
        <v>2.06415095004084</v>
      </c>
      <c r="AJ6" s="11" t="n">
        <v>2.06560114314186</v>
      </c>
      <c r="AK6" s="11" t="n">
        <v>2.06612502331399</v>
      </c>
      <c r="AL6" s="11" t="n">
        <v>2.06579588484093</v>
      </c>
      <c r="AM6" s="11" t="n">
        <v>2.06467869903369</v>
      </c>
      <c r="AN6" s="11" t="n">
        <v>2.06283095042671</v>
      </c>
      <c r="AO6" s="11" t="n">
        <v>2.06030359906516</v>
      </c>
      <c r="AP6" s="11" t="n">
        <v>2.05714203275165</v>
      </c>
      <c r="AQ6" s="11" t="n">
        <v>2.05338708587473</v>
      </c>
      <c r="AR6" s="11" t="n">
        <v>2.04907570106573</v>
      </c>
      <c r="AS6" s="11" t="n">
        <v>2.04424160961795</v>
      </c>
      <c r="AT6" s="11" t="n">
        <v>2.03891585728213</v>
      </c>
      <c r="AU6" s="11" t="n">
        <v>2.03312739637</v>
      </c>
      <c r="AV6" s="11" t="n">
        <v>2.02690358890375</v>
      </c>
      <c r="AW6" s="11" t="n">
        <v>2.02027105591221</v>
      </c>
      <c r="AX6" s="11" t="n">
        <v>2.01325620303052</v>
      </c>
      <c r="AY6" s="11" t="n">
        <v>2.00588555177426</v>
      </c>
      <c r="AZ6" s="11" t="n">
        <v>1.99818579262927</v>
      </c>
      <c r="BA6" s="11" t="n">
        <v>1.99018376904159</v>
      </c>
      <c r="BB6" s="11" t="n">
        <v>1.98190657162151</v>
      </c>
      <c r="BC6" s="11" t="n">
        <v>1.97338192414336</v>
      </c>
      <c r="BD6" s="11" t="n">
        <v>1.96463833745822</v>
      </c>
      <c r="BE6" s="11" t="n">
        <v>1.95570512971095</v>
      </c>
      <c r="BF6" s="11" t="n">
        <v>1.94661227165649</v>
      </c>
      <c r="BG6" s="11" t="n">
        <v>1.93739028924219</v>
      </c>
    </row>
    <row r="7" customFormat="false" ht="15" hidden="false" customHeight="false" outlineLevel="0" collapsed="false">
      <c r="A7" s="10" t="n">
        <v>-118</v>
      </c>
      <c r="B7" s="8" t="n">
        <v>44663</v>
      </c>
      <c r="C7" s="11" t="n">
        <v>1.50812715026498</v>
      </c>
      <c r="D7" s="11" t="n">
        <v>1.53404824315561</v>
      </c>
      <c r="E7" s="11" t="n">
        <v>1.54580321229932</v>
      </c>
      <c r="F7" s="11" t="n">
        <v>1.55258488677171</v>
      </c>
      <c r="G7" s="11" t="n">
        <v>1.55889537145445</v>
      </c>
      <c r="H7" s="11" t="n">
        <v>1.56684878055201</v>
      </c>
      <c r="I7" s="11" t="n">
        <v>1.57737185395624</v>
      </c>
      <c r="J7" s="11" t="n">
        <v>1.59080106332769</v>
      </c>
      <c r="K7" s="11" t="n">
        <v>1.60715177794507</v>
      </c>
      <c r="L7" s="11" t="n">
        <v>1.62624765914758</v>
      </c>
      <c r="M7" s="11" t="n">
        <v>1.64778712636701</v>
      </c>
      <c r="N7" s="11" t="n">
        <v>1.67138263877967</v>
      </c>
      <c r="O7" s="11" t="n">
        <v>1.69659438242274</v>
      </c>
      <c r="P7" s="11" t="n">
        <v>1.7229546211876</v>
      </c>
      <c r="Q7" s="11" t="n">
        <v>1.74998221831563</v>
      </c>
      <c r="R7" s="11" t="n">
        <v>1.77719793828161</v>
      </c>
      <c r="S7" s="11" t="n">
        <v>1.80414672820451</v>
      </c>
      <c r="T7" s="11" t="n">
        <v>1.83041810781383</v>
      </c>
      <c r="U7" s="11" t="n">
        <v>1.85565132411859</v>
      </c>
      <c r="V7" s="11" t="n">
        <v>1.87955986183066</v>
      </c>
      <c r="W7" s="11" t="n">
        <v>1.90192454655184</v>
      </c>
      <c r="X7" s="11" t="n">
        <v>1.92258010698977</v>
      </c>
      <c r="Y7" s="11" t="n">
        <v>1.94140753317787</v>
      </c>
      <c r="Z7" s="11" t="n">
        <v>1.9583431085852</v>
      </c>
      <c r="AA7" s="11" t="n">
        <v>1.9733808134947</v>
      </c>
      <c r="AB7" s="11" t="n">
        <v>1.98656375847749</v>
      </c>
      <c r="AC7" s="11" t="n">
        <v>1.9979633077356</v>
      </c>
      <c r="AD7" s="11" t="n">
        <v>2.00766547409399</v>
      </c>
      <c r="AE7" s="11" t="n">
        <v>2.01576817510834</v>
      </c>
      <c r="AF7" s="11" t="n">
        <v>2.02237942931792</v>
      </c>
      <c r="AG7" s="11" t="n">
        <v>2.02761535546927</v>
      </c>
      <c r="AH7" s="11" t="n">
        <v>2.03158815703658</v>
      </c>
      <c r="AI7" s="11" t="n">
        <v>2.03439868060565</v>
      </c>
      <c r="AJ7" s="11" t="n">
        <v>2.03614009369392</v>
      </c>
      <c r="AK7" s="11" t="n">
        <v>2.03689761902998</v>
      </c>
      <c r="AL7" s="11" t="n">
        <v>2.03674889738616</v>
      </c>
      <c r="AM7" s="11" t="n">
        <v>2.03576376913437</v>
      </c>
      <c r="AN7" s="11" t="n">
        <v>2.03400492646452</v>
      </c>
      <c r="AO7" s="11" t="n">
        <v>2.03152871063164</v>
      </c>
      <c r="AP7" s="11" t="n">
        <v>2.02838596198614</v>
      </c>
      <c r="AQ7" s="11" t="n">
        <v>2.02462288611027</v>
      </c>
      <c r="AR7" s="11" t="n">
        <v>2.02028164101738</v>
      </c>
      <c r="AS7" s="11" t="n">
        <v>2.01540084773083</v>
      </c>
      <c r="AT7" s="11" t="n">
        <v>2.01001602469625</v>
      </c>
      <c r="AU7" s="11" t="n">
        <v>2.00416002574146</v>
      </c>
      <c r="AV7" s="11" t="n">
        <v>1.99786349942033</v>
      </c>
      <c r="AW7" s="11" t="n">
        <v>1.99115569878492</v>
      </c>
      <c r="AX7" s="11" t="n">
        <v>1.98406501065027</v>
      </c>
      <c r="AY7" s="11" t="n">
        <v>1.97661932815847</v>
      </c>
      <c r="AZ7" s="11" t="n">
        <v>1.96884619105937</v>
      </c>
      <c r="BA7" s="11" t="n">
        <v>1.9607728327474</v>
      </c>
      <c r="BB7" s="11" t="n">
        <v>1.95242633645643</v>
      </c>
      <c r="BC7" s="11" t="n">
        <v>1.94383412639781</v>
      </c>
      <c r="BD7" s="11" t="n">
        <v>1.93502420351667</v>
      </c>
      <c r="BE7" s="11" t="n">
        <v>1.92602524936506</v>
      </c>
      <c r="BF7" s="11" t="n">
        <v>1.91686653593393</v>
      </c>
      <c r="BG7" s="11" t="n">
        <v>1.90757790678911</v>
      </c>
    </row>
    <row r="8" customFormat="false" ht="15" hidden="false" customHeight="false" outlineLevel="0" collapsed="false">
      <c r="A8" s="10" t="n">
        <v>-117</v>
      </c>
      <c r="B8" s="8" t="n">
        <v>44664</v>
      </c>
      <c r="C8" s="11" t="n">
        <v>1.49732180950711</v>
      </c>
      <c r="D8" s="11" t="n">
        <v>1.5237460151599</v>
      </c>
      <c r="E8" s="11" t="n">
        <v>1.53619147902136</v>
      </c>
      <c r="F8" s="11" t="n">
        <v>1.54377419029605</v>
      </c>
      <c r="G8" s="11" t="n">
        <v>1.55098580034333</v>
      </c>
      <c r="H8" s="11" t="n">
        <v>1.55993597369933</v>
      </c>
      <c r="I8" s="11" t="n">
        <v>1.57154320058721</v>
      </c>
      <c r="J8" s="11" t="n">
        <v>1.58613187380554</v>
      </c>
      <c r="K8" s="11" t="n">
        <v>1.6036997083106</v>
      </c>
      <c r="L8" s="11" t="n">
        <v>1.62404800941976</v>
      </c>
      <c r="M8" s="11" t="n">
        <v>1.64685132834521</v>
      </c>
      <c r="N8" s="11" t="n">
        <v>1.67169900011652</v>
      </c>
      <c r="O8" s="11" t="n">
        <v>1.69813037173658</v>
      </c>
      <c r="P8" s="11" t="n">
        <v>1.72566005202032</v>
      </c>
      <c r="Q8" s="11" t="n">
        <v>1.75379297139023</v>
      </c>
      <c r="R8" s="11" t="n">
        <v>1.78204024482522</v>
      </c>
      <c r="S8" s="11" t="n">
        <v>1.80994067900011</v>
      </c>
      <c r="T8" s="11" t="n">
        <v>1.83708047017554</v>
      </c>
      <c r="U8" s="11" t="n">
        <v>1.86309788769738</v>
      </c>
      <c r="V8" s="11" t="n">
        <v>1.88770640774931</v>
      </c>
      <c r="W8" s="11" t="n">
        <v>1.91068727352368</v>
      </c>
      <c r="X8" s="11" t="n">
        <v>1.93187596977327</v>
      </c>
      <c r="Y8" s="11" t="n">
        <v>1.95115454216434</v>
      </c>
      <c r="Z8" s="11" t="n">
        <v>1.96846048709823</v>
      </c>
      <c r="AA8" s="11" t="n">
        <v>1.98378895434368</v>
      </c>
      <c r="AB8" s="11" t="n">
        <v>1.99718424526502</v>
      </c>
      <c r="AC8" s="11" t="n">
        <v>2.00871937732385</v>
      </c>
      <c r="AD8" s="11" t="n">
        <v>2.01848279783064</v>
      </c>
      <c r="AE8" s="11" t="n">
        <v>2.02657554574934</v>
      </c>
      <c r="AF8" s="11" t="n">
        <v>2.03310934387106</v>
      </c>
      <c r="AG8" s="11" t="n">
        <v>2.03820451210704</v>
      </c>
      <c r="AH8" s="11" t="n">
        <v>2.04197810241012</v>
      </c>
      <c r="AI8" s="11" t="n">
        <v>2.04453659744875</v>
      </c>
      <c r="AJ8" s="11" t="n">
        <v>2.0459793110155</v>
      </c>
      <c r="AK8" s="11" t="n">
        <v>2.04639806486473</v>
      </c>
      <c r="AL8" s="11" t="n">
        <v>2.04587743616121</v>
      </c>
      <c r="AM8" s="11" t="n">
        <v>2.04449438008948</v>
      </c>
      <c r="AN8" s="11" t="n">
        <v>2.04231869594282</v>
      </c>
      <c r="AO8" s="11" t="n">
        <v>2.03941365678911</v>
      </c>
      <c r="AP8" s="11" t="n">
        <v>2.03583677534151</v>
      </c>
      <c r="AQ8" s="11" t="n">
        <v>2.03164052172519</v>
      </c>
      <c r="AR8" s="11" t="n">
        <v>2.0268728755967</v>
      </c>
      <c r="AS8" s="11" t="n">
        <v>2.02157773660845</v>
      </c>
      <c r="AT8" s="11" t="n">
        <v>2.0157953332137</v>
      </c>
      <c r="AU8" s="11" t="n">
        <v>2.00956262275775</v>
      </c>
      <c r="AV8" s="11" t="n">
        <v>2.00291375419397</v>
      </c>
      <c r="AW8" s="11" t="n">
        <v>1.99588084790507</v>
      </c>
      <c r="AX8" s="11" t="n">
        <v>1.98849451625276</v>
      </c>
      <c r="AY8" s="11" t="n">
        <v>1.98078422646482</v>
      </c>
      <c r="AZ8" s="11" t="n">
        <v>1.97277845700342</v>
      </c>
      <c r="BA8" s="11" t="n">
        <v>1.96450479118891</v>
      </c>
      <c r="BB8" s="11" t="n">
        <v>1.95599012457786</v>
      </c>
      <c r="BC8" s="11" t="n">
        <v>1.94726119064281</v>
      </c>
      <c r="BD8" s="11" t="n">
        <v>1.93834484615883</v>
      </c>
      <c r="BE8" s="11" t="n">
        <v>1.92926824190244</v>
      </c>
      <c r="BF8" s="11" t="n">
        <v>1.92005880540987</v>
      </c>
      <c r="BG8" s="11" t="n">
        <v>1.91074429697557</v>
      </c>
    </row>
    <row r="9" customFormat="false" ht="15" hidden="false" customHeight="false" outlineLevel="0" collapsed="false">
      <c r="A9" s="10" t="n">
        <v>-116</v>
      </c>
      <c r="B9" s="8" t="n">
        <v>44665</v>
      </c>
      <c r="C9" s="11" t="n">
        <v>1.54757986259015</v>
      </c>
      <c r="D9" s="11" t="n">
        <v>1.57334565422357</v>
      </c>
      <c r="E9" s="11" t="n">
        <v>1.58611373859092</v>
      </c>
      <c r="F9" s="11" t="n">
        <v>1.59470204071249</v>
      </c>
      <c r="G9" s="11" t="n">
        <v>1.60336392402516</v>
      </c>
      <c r="H9" s="11" t="n">
        <v>1.61404649085021</v>
      </c>
      <c r="I9" s="11" t="n">
        <v>1.62755193794093</v>
      </c>
      <c r="J9" s="11" t="n">
        <v>1.64412507311563</v>
      </c>
      <c r="K9" s="11" t="n">
        <v>1.66370322177274</v>
      </c>
      <c r="L9" s="11" t="n">
        <v>1.6860420912847</v>
      </c>
      <c r="M9" s="11" t="n">
        <v>1.7107847428376</v>
      </c>
      <c r="N9" s="11" t="n">
        <v>1.7375019016247</v>
      </c>
      <c r="O9" s="11" t="n">
        <v>1.7657230336499</v>
      </c>
      <c r="P9" s="11" t="n">
        <v>1.79495933183549</v>
      </c>
      <c r="Q9" s="11" t="n">
        <v>1.82471706618094</v>
      </c>
      <c r="R9" s="11" t="n">
        <v>1.85450888360249</v>
      </c>
      <c r="S9" s="11" t="n">
        <v>1.88387672954654</v>
      </c>
      <c r="T9" s="11" t="n">
        <v>1.9124084100138</v>
      </c>
      <c r="U9" s="11" t="n">
        <v>1.93974353857237</v>
      </c>
      <c r="V9" s="11" t="n">
        <v>1.96559612770879</v>
      </c>
      <c r="W9" s="11" t="n">
        <v>1.98974638477046</v>
      </c>
      <c r="X9" s="11" t="n">
        <v>2.0120274934575</v>
      </c>
      <c r="Y9" s="11" t="n">
        <v>2.03231859612294</v>
      </c>
      <c r="Z9" s="11" t="n">
        <v>2.05055506314635</v>
      </c>
      <c r="AA9" s="11" t="n">
        <v>2.06673070915045</v>
      </c>
      <c r="AB9" s="11" t="n">
        <v>2.0808889950714</v>
      </c>
      <c r="AC9" s="11" t="n">
        <v>2.09310295997616</v>
      </c>
      <c r="AD9" s="11" t="n">
        <v>2.10346262457638</v>
      </c>
      <c r="AE9" s="11" t="n">
        <v>2.11207198645343</v>
      </c>
      <c r="AF9" s="11" t="n">
        <v>2.11904690235087</v>
      </c>
      <c r="AG9" s="11" t="n">
        <v>2.12451275570118</v>
      </c>
      <c r="AH9" s="11" t="n">
        <v>2.12859223810837</v>
      </c>
      <c r="AI9" s="11" t="n">
        <v>2.13139846233226</v>
      </c>
      <c r="AJ9" s="11" t="n">
        <v>2.13303766148913</v>
      </c>
      <c r="AK9" s="11" t="n">
        <v>2.13360860944418</v>
      </c>
      <c r="AL9" s="11" t="n">
        <v>2.13320267440982</v>
      </c>
      <c r="AM9" s="11" t="n">
        <v>2.13190317326253</v>
      </c>
      <c r="AN9" s="11" t="n">
        <v>2.1297857484049</v>
      </c>
      <c r="AO9" s="11" t="n">
        <v>2.12691896134441</v>
      </c>
      <c r="AP9" s="11" t="n">
        <v>2.12336515862699</v>
      </c>
      <c r="AQ9" s="11" t="n">
        <v>2.11918132135376</v>
      </c>
      <c r="AR9" s="11" t="n">
        <v>2.1144197171535</v>
      </c>
      <c r="AS9" s="11" t="n">
        <v>2.10912850250241</v>
      </c>
      <c r="AT9" s="11" t="n">
        <v>2.10335220009918</v>
      </c>
      <c r="AU9" s="11" t="n">
        <v>2.09713210394524</v>
      </c>
      <c r="AV9" s="11" t="n">
        <v>2.09050672996871</v>
      </c>
      <c r="AW9" s="11" t="n">
        <v>2.08351252196264</v>
      </c>
      <c r="AX9" s="11" t="n">
        <v>2.07618431486696</v>
      </c>
      <c r="AY9" s="11" t="n">
        <v>2.06855558493918</v>
      </c>
      <c r="AZ9" s="11" t="n">
        <v>2.06065837231564</v>
      </c>
      <c r="BA9" s="11" t="n">
        <v>2.05252332829371</v>
      </c>
      <c r="BB9" s="11" t="n">
        <v>2.04417991109895</v>
      </c>
      <c r="BC9" s="11" t="n">
        <v>2.0356567376522</v>
      </c>
      <c r="BD9" s="11" t="n">
        <v>2.02698179756817</v>
      </c>
      <c r="BE9" s="11" t="n">
        <v>2.01818259752769</v>
      </c>
      <c r="BF9" s="11" t="n">
        <v>2.00928613847471</v>
      </c>
      <c r="BG9" s="11" t="n">
        <v>2.00031896099844</v>
      </c>
    </row>
    <row r="10" customFormat="false" ht="15" hidden="false" customHeight="false" outlineLevel="0" collapsed="false">
      <c r="A10" s="10" t="n">
        <v>-115</v>
      </c>
      <c r="B10" s="8" t="n">
        <v>44670</v>
      </c>
      <c r="C10" s="11" t="n">
        <v>1.6053309912042</v>
      </c>
      <c r="D10" s="11" t="n">
        <v>1.63749352075867</v>
      </c>
      <c r="E10" s="11" t="n">
        <v>1.65565643592618</v>
      </c>
      <c r="F10" s="11" t="n">
        <v>1.66892759018424</v>
      </c>
      <c r="G10" s="11" t="n">
        <v>1.68175254821644</v>
      </c>
      <c r="H10" s="11" t="n">
        <v>1.69619838179961</v>
      </c>
      <c r="I10" s="11" t="n">
        <v>1.71313748915039</v>
      </c>
      <c r="J10" s="11" t="n">
        <v>1.73285282627469</v>
      </c>
      <c r="K10" s="11" t="n">
        <v>1.75530129005506</v>
      </c>
      <c r="L10" s="11" t="n">
        <v>1.78024715229229</v>
      </c>
      <c r="M10" s="11" t="n">
        <v>1.80733727407304</v>
      </c>
      <c r="N10" s="11" t="n">
        <v>1.83614548517104</v>
      </c>
      <c r="O10" s="11" t="n">
        <v>1.86620612259057</v>
      </c>
      <c r="P10" s="11" t="n">
        <v>1.89703794146075</v>
      </c>
      <c r="Q10" s="11" t="n">
        <v>1.9281577783322</v>
      </c>
      <c r="R10" s="11" t="n">
        <v>1.95909220954571</v>
      </c>
      <c r="S10" s="11" t="n">
        <v>1.98940038505151</v>
      </c>
      <c r="T10" s="11" t="n">
        <v>2.01868990783005</v>
      </c>
      <c r="U10" s="11" t="n">
        <v>2.04662273962038</v>
      </c>
      <c r="V10" s="11" t="n">
        <v>2.0729348249095</v>
      </c>
      <c r="W10" s="11" t="n">
        <v>2.09742725330067</v>
      </c>
      <c r="X10" s="11" t="n">
        <v>2.11995324829625</v>
      </c>
      <c r="Y10" s="11" t="n">
        <v>2.14041107464766</v>
      </c>
      <c r="Z10" s="11" t="n">
        <v>2.15875282718837</v>
      </c>
      <c r="AA10" s="11" t="n">
        <v>2.17498588732435</v>
      </c>
      <c r="AB10" s="11" t="n">
        <v>2.18916433093564</v>
      </c>
      <c r="AC10" s="11" t="n">
        <v>2.20136923289708</v>
      </c>
      <c r="AD10" s="11" t="n">
        <v>2.21169657030939</v>
      </c>
      <c r="AE10" s="11" t="n">
        <v>2.22025455313239</v>
      </c>
      <c r="AF10" s="11" t="n">
        <v>2.22716177072149</v>
      </c>
      <c r="AG10" s="11" t="n">
        <v>2.23254506531738</v>
      </c>
      <c r="AH10" s="11" t="n">
        <v>2.23652752846251</v>
      </c>
      <c r="AI10" s="11" t="n">
        <v>2.23922196772294</v>
      </c>
      <c r="AJ10" s="11" t="n">
        <v>2.24073377787572</v>
      </c>
      <c r="AK10" s="11" t="n">
        <v>2.24116051772972</v>
      </c>
      <c r="AL10" s="11" t="n">
        <v>2.2405920953787</v>
      </c>
      <c r="AM10" s="11" t="n">
        <v>2.23911033059892</v>
      </c>
      <c r="AN10" s="11" t="n">
        <v>2.23678955895648</v>
      </c>
      <c r="AO10" s="11" t="n">
        <v>2.23369741156822</v>
      </c>
      <c r="AP10" s="11" t="n">
        <v>2.22989581561596</v>
      </c>
      <c r="AQ10" s="11" t="n">
        <v>2.22544208051053</v>
      </c>
      <c r="AR10" s="11" t="n">
        <v>2.22038958014726</v>
      </c>
      <c r="AS10" s="11" t="n">
        <v>2.21478845113829</v>
      </c>
      <c r="AT10" s="11" t="n">
        <v>2.20868602469781</v>
      </c>
      <c r="AU10" s="11" t="n">
        <v>2.20212708885086</v>
      </c>
      <c r="AV10" s="11" t="n">
        <v>2.19515420612265</v>
      </c>
      <c r="AW10" s="11" t="n">
        <v>2.1878081999129</v>
      </c>
      <c r="AX10" s="11" t="n">
        <v>2.18012846608073</v>
      </c>
      <c r="AY10" s="11" t="n">
        <v>2.17215302348021</v>
      </c>
      <c r="AZ10" s="11" t="n">
        <v>2.16391814455547</v>
      </c>
      <c r="BA10" s="11" t="n">
        <v>2.15545833373691</v>
      </c>
      <c r="BB10" s="11" t="n">
        <v>2.14680648721785</v>
      </c>
      <c r="BC10" s="11" t="n">
        <v>2.13799404454668</v>
      </c>
      <c r="BD10" s="11" t="n">
        <v>2.12905115219748</v>
      </c>
      <c r="BE10" s="11" t="n">
        <v>2.1200068322947</v>
      </c>
      <c r="BF10" s="11" t="n">
        <v>2.1108890085666</v>
      </c>
      <c r="BG10" s="11" t="n">
        <v>2.1017245956861</v>
      </c>
    </row>
    <row r="11" customFormat="false" ht="15" hidden="false" customHeight="false" outlineLevel="0" collapsed="false">
      <c r="A11" s="10" t="n">
        <v>-114</v>
      </c>
      <c r="B11" s="8" t="n">
        <v>44671</v>
      </c>
      <c r="C11" s="11" t="n">
        <v>1.58192330638453</v>
      </c>
      <c r="D11" s="11" t="n">
        <v>1.61152390386311</v>
      </c>
      <c r="E11" s="11" t="n">
        <v>1.62672578745924</v>
      </c>
      <c r="F11" s="11" t="n">
        <v>1.63660576549427</v>
      </c>
      <c r="G11" s="11" t="n">
        <v>1.64572520180427</v>
      </c>
      <c r="H11" s="11" t="n">
        <v>1.65629251303073</v>
      </c>
      <c r="I11" s="11" t="n">
        <v>1.66931066763029</v>
      </c>
      <c r="J11" s="11" t="n">
        <v>1.68517084829642</v>
      </c>
      <c r="K11" s="11" t="n">
        <v>1.70391454690678</v>
      </c>
      <c r="L11" s="11" t="n">
        <v>1.7253661546831</v>
      </c>
      <c r="M11" s="11" t="n">
        <v>1.74921123583717</v>
      </c>
      <c r="N11" s="11" t="n">
        <v>1.77504535543509</v>
      </c>
      <c r="O11" s="11" t="n">
        <v>1.80241181891273</v>
      </c>
      <c r="P11" s="11" t="n">
        <v>1.83082878574245</v>
      </c>
      <c r="Q11" s="11" t="n">
        <v>1.85980498419746</v>
      </c>
      <c r="R11" s="11" t="n">
        <v>1.88885339578059</v>
      </c>
      <c r="S11" s="11" t="n">
        <v>1.91751585399774</v>
      </c>
      <c r="T11" s="11" t="n">
        <v>1.94538065650604</v>
      </c>
      <c r="U11" s="11" t="n">
        <v>1.97208997175263</v>
      </c>
      <c r="V11" s="11" t="n">
        <v>1.99736128448495</v>
      </c>
      <c r="W11" s="11" t="n">
        <v>2.02097852949393</v>
      </c>
      <c r="X11" s="11" t="n">
        <v>2.04277881957469</v>
      </c>
      <c r="Y11" s="11" t="n">
        <v>2.06264539533783</v>
      </c>
      <c r="Z11" s="11" t="n">
        <v>2.08051736917073</v>
      </c>
      <c r="AA11" s="11" t="n">
        <v>2.09639125571684</v>
      </c>
      <c r="AB11" s="11" t="n">
        <v>2.11031143489842</v>
      </c>
      <c r="AC11" s="11" t="n">
        <v>2.12234952012589</v>
      </c>
      <c r="AD11" s="11" t="n">
        <v>2.13259198452793</v>
      </c>
      <c r="AE11" s="11" t="n">
        <v>2.14113749464371</v>
      </c>
      <c r="AF11" s="11" t="n">
        <v>2.14809506293648</v>
      </c>
      <c r="AG11" s="11" t="n">
        <v>2.15358188888839</v>
      </c>
      <c r="AH11" s="11" t="n">
        <v>2.15771095336099</v>
      </c>
      <c r="AI11" s="11" t="n">
        <v>2.16058456643548</v>
      </c>
      <c r="AJ11" s="11" t="n">
        <v>2.1622978795046</v>
      </c>
      <c r="AK11" s="11" t="n">
        <v>2.16293872876546</v>
      </c>
      <c r="AL11" s="11" t="n">
        <v>2.1625879487527</v>
      </c>
      <c r="AM11" s="11" t="n">
        <v>2.16131920454647</v>
      </c>
      <c r="AN11" s="11" t="n">
        <v>2.15919960487322</v>
      </c>
      <c r="AO11" s="11" t="n">
        <v>2.15629042919732</v>
      </c>
      <c r="AP11" s="11" t="n">
        <v>2.15264811421177</v>
      </c>
      <c r="AQ11" s="11" t="n">
        <v>2.14832538979756</v>
      </c>
      <c r="AR11" s="11" t="n">
        <v>2.14337192319871</v>
      </c>
      <c r="AS11" s="11" t="n">
        <v>2.13783503405321</v>
      </c>
      <c r="AT11" s="11" t="n">
        <v>2.13176007406937</v>
      </c>
      <c r="AU11" s="11" t="n">
        <v>2.12519061667092</v>
      </c>
      <c r="AV11" s="11" t="n">
        <v>2.11816869925793</v>
      </c>
      <c r="AW11" s="11" t="n">
        <v>2.11073522734099</v>
      </c>
      <c r="AX11" s="11" t="n">
        <v>2.10293021525847</v>
      </c>
      <c r="AY11" s="11" t="n">
        <v>2.09479274927467</v>
      </c>
      <c r="AZ11" s="11" t="n">
        <v>2.08636049381998</v>
      </c>
      <c r="BA11" s="11" t="n">
        <v>2.07766961367219</v>
      </c>
      <c r="BB11" s="11" t="n">
        <v>2.06875489229299</v>
      </c>
      <c r="BC11" s="11" t="n">
        <v>2.05964980735546</v>
      </c>
      <c r="BD11" s="11" t="n">
        <v>2.05038666618401</v>
      </c>
      <c r="BE11" s="11" t="n">
        <v>2.04099677487976</v>
      </c>
      <c r="BF11" s="11" t="n">
        <v>2.03151047732584</v>
      </c>
      <c r="BG11" s="11" t="n">
        <v>2.02195726250473</v>
      </c>
    </row>
    <row r="12" customFormat="false" ht="15" hidden="false" customHeight="false" outlineLevel="0" collapsed="false">
      <c r="A12" s="10" t="n">
        <v>-113</v>
      </c>
      <c r="B12" s="8" t="n">
        <v>44672</v>
      </c>
      <c r="C12" s="11" t="n">
        <v>1.72391497924734</v>
      </c>
      <c r="D12" s="11" t="n">
        <v>1.74918428689798</v>
      </c>
      <c r="E12" s="11" t="n">
        <v>1.75948600429814</v>
      </c>
      <c r="F12" s="11" t="n">
        <v>1.76436020643684</v>
      </c>
      <c r="G12" s="11" t="n">
        <v>1.7684709027005</v>
      </c>
      <c r="H12" s="11" t="n">
        <v>1.77402990183894</v>
      </c>
      <c r="I12" s="11" t="n">
        <v>1.78202894271303</v>
      </c>
      <c r="J12" s="11" t="n">
        <v>1.79285370729212</v>
      </c>
      <c r="K12" s="11" t="n">
        <v>1.80654999317419</v>
      </c>
      <c r="L12" s="11" t="n">
        <v>1.82295331726127</v>
      </c>
      <c r="M12" s="11" t="n">
        <v>1.84176405890431</v>
      </c>
      <c r="N12" s="11" t="n">
        <v>1.86259477965456</v>
      </c>
      <c r="O12" s="11" t="n">
        <v>1.88500829492549</v>
      </c>
      <c r="P12" s="11" t="n">
        <v>1.90854385962644</v>
      </c>
      <c r="Q12" s="11" t="n">
        <v>1.93273187694434</v>
      </c>
      <c r="R12" s="11" t="n">
        <v>1.9571066836686</v>
      </c>
      <c r="S12" s="11" t="n">
        <v>1.98123022735294</v>
      </c>
      <c r="T12" s="11" t="n">
        <v>2.00470971809874</v>
      </c>
      <c r="U12" s="11" t="n">
        <v>2.02720481729633</v>
      </c>
      <c r="V12" s="11" t="n">
        <v>2.04844915432209</v>
      </c>
      <c r="W12" s="11" t="n">
        <v>2.0682416391902</v>
      </c>
      <c r="X12" s="11" t="n">
        <v>2.08643342350435</v>
      </c>
      <c r="Y12" s="11" t="n">
        <v>2.10292094691994</v>
      </c>
      <c r="Z12" s="11" t="n">
        <v>2.11765510202863</v>
      </c>
      <c r="AA12" s="11" t="n">
        <v>2.13064213390071</v>
      </c>
      <c r="AB12" s="11" t="n">
        <v>2.14193298659775</v>
      </c>
      <c r="AC12" s="11" t="n">
        <v>2.15160123205411</v>
      </c>
      <c r="AD12" s="11" t="n">
        <v>2.15973062616168</v>
      </c>
      <c r="AE12" s="11" t="n">
        <v>2.16641314570965</v>
      </c>
      <c r="AF12" s="11" t="n">
        <v>2.17174774279402</v>
      </c>
      <c r="AG12" s="11" t="n">
        <v>2.17583863475278</v>
      </c>
      <c r="AH12" s="11" t="n">
        <v>2.17878277376556</v>
      </c>
      <c r="AI12" s="11" t="n">
        <v>2.18066383569152</v>
      </c>
      <c r="AJ12" s="11" t="n">
        <v>2.18155689281733</v>
      </c>
      <c r="AK12" s="11" t="n">
        <v>2.18152884339288</v>
      </c>
      <c r="AL12" s="11" t="n">
        <v>2.18063927092741</v>
      </c>
      <c r="AM12" s="11" t="n">
        <v>2.17894111150659</v>
      </c>
      <c r="AN12" s="11" t="n">
        <v>2.17648168427462</v>
      </c>
      <c r="AO12" s="11" t="n">
        <v>2.17330365909766</v>
      </c>
      <c r="AP12" s="11" t="n">
        <v>2.16944607557226</v>
      </c>
      <c r="AQ12" s="11" t="n">
        <v>2.16494558430902</v>
      </c>
      <c r="AR12" s="11" t="n">
        <v>2.15983705723667</v>
      </c>
      <c r="AS12" s="11" t="n">
        <v>2.15415437463838</v>
      </c>
      <c r="AT12" s="11" t="n">
        <v>2.14793081634083</v>
      </c>
      <c r="AU12" s="11" t="n">
        <v>2.14119938643415</v>
      </c>
      <c r="AV12" s="11" t="n">
        <v>2.13399305902985</v>
      </c>
      <c r="AW12" s="11" t="n">
        <v>2.12634524244257</v>
      </c>
      <c r="AX12" s="11" t="n">
        <v>2.11828999150798</v>
      </c>
      <c r="AY12" s="11" t="n">
        <v>2.10986191795023</v>
      </c>
      <c r="AZ12" s="11" t="n">
        <v>2.10109562231305</v>
      </c>
      <c r="BA12" s="11" t="n">
        <v>2.09202550572173</v>
      </c>
      <c r="BB12" s="11" t="n">
        <v>2.08268576907099</v>
      </c>
      <c r="BC12" s="11" t="n">
        <v>2.07311037936306</v>
      </c>
      <c r="BD12" s="11" t="n">
        <v>2.06333311178547</v>
      </c>
      <c r="BE12" s="11" t="n">
        <v>2.05338763717627</v>
      </c>
      <c r="BF12" s="11" t="n">
        <v>2.04330748870972</v>
      </c>
      <c r="BG12" s="11" t="n">
        <v>2.03312609469492</v>
      </c>
    </row>
    <row r="13" customFormat="false" ht="15" hidden="false" customHeight="false" outlineLevel="0" collapsed="false">
      <c r="A13" s="10" t="n">
        <v>-112</v>
      </c>
      <c r="B13" s="8" t="n">
        <v>44673</v>
      </c>
      <c r="C13" s="11" t="n">
        <v>1.71066625596639</v>
      </c>
      <c r="D13" s="11" t="n">
        <v>1.73465677081623</v>
      </c>
      <c r="E13" s="11" t="n">
        <v>1.74449113221009</v>
      </c>
      <c r="F13" s="11" t="n">
        <v>1.7492135161082</v>
      </c>
      <c r="G13" s="11" t="n">
        <v>1.75324228009435</v>
      </c>
      <c r="H13" s="11" t="n">
        <v>1.75866265544798</v>
      </c>
      <c r="I13" s="11" t="n">
        <v>1.76640086317268</v>
      </c>
      <c r="J13" s="11" t="n">
        <v>1.77680416027393</v>
      </c>
      <c r="K13" s="11" t="n">
        <v>1.78989874046321</v>
      </c>
      <c r="L13" s="11" t="n">
        <v>1.80551211913787</v>
      </c>
      <c r="M13" s="11" t="n">
        <v>1.82334507634978</v>
      </c>
      <c r="N13" s="11" t="n">
        <v>1.84301706692468</v>
      </c>
      <c r="O13" s="11" t="n">
        <v>1.86410411054429</v>
      </c>
      <c r="P13" s="11" t="n">
        <v>1.88616291945526</v>
      </c>
      <c r="Q13" s="11" t="n">
        <v>1.90874428050045</v>
      </c>
      <c r="R13" s="11" t="n">
        <v>1.93140595932355</v>
      </c>
      <c r="S13" s="11" t="n">
        <v>1.95373541579908</v>
      </c>
      <c r="T13" s="11" t="n">
        <v>1.9753668974736</v>
      </c>
      <c r="U13" s="11" t="n">
        <v>1.99598766674236</v>
      </c>
      <c r="V13" s="11" t="n">
        <v>2.01535734992208</v>
      </c>
      <c r="W13" s="11" t="n">
        <v>2.03329892564046</v>
      </c>
      <c r="X13" s="11" t="n">
        <v>2.04968606864199</v>
      </c>
      <c r="Y13" s="11" t="n">
        <v>2.06443630608009</v>
      </c>
      <c r="Z13" s="11" t="n">
        <v>2.07751869937847</v>
      </c>
      <c r="AA13" s="11" t="n">
        <v>2.08895388885486</v>
      </c>
      <c r="AB13" s="11" t="n">
        <v>2.09880360229779</v>
      </c>
      <c r="AC13" s="11" t="n">
        <v>2.10714811906018</v>
      </c>
      <c r="AD13" s="11" t="n">
        <v>2.11407422157292</v>
      </c>
      <c r="AE13" s="11" t="n">
        <v>2.11967381848573</v>
      </c>
      <c r="AF13" s="11" t="n">
        <v>2.12404316796728</v>
      </c>
      <c r="AG13" s="11" t="n">
        <v>2.12728147931104</v>
      </c>
      <c r="AH13" s="11" t="n">
        <v>2.12947824299706</v>
      </c>
      <c r="AI13" s="11" t="n">
        <v>2.13070782386777</v>
      </c>
      <c r="AJ13" s="11" t="n">
        <v>2.13103479983538</v>
      </c>
      <c r="AK13" s="11" t="n">
        <v>2.13051479899618</v>
      </c>
      <c r="AL13" s="11" t="n">
        <v>2.12919573440994</v>
      </c>
      <c r="AM13" s="11" t="n">
        <v>2.12711900697691</v>
      </c>
      <c r="AN13" s="11" t="n">
        <v>2.12432078843485</v>
      </c>
      <c r="AO13" s="11" t="n">
        <v>2.12083312237236</v>
      </c>
      <c r="AP13" s="11" t="n">
        <v>2.11668504911164</v>
      </c>
      <c r="AQ13" s="11" t="n">
        <v>2.111904015988</v>
      </c>
      <c r="AR13" s="11" t="n">
        <v>2.10651652636046</v>
      </c>
      <c r="AS13" s="11" t="n">
        <v>2.1005490899547</v>
      </c>
      <c r="AT13" s="11" t="n">
        <v>2.09402864976876</v>
      </c>
      <c r="AU13" s="11" t="n">
        <v>2.08698299403882</v>
      </c>
      <c r="AV13" s="11" t="n">
        <v>2.07944097216684</v>
      </c>
      <c r="AW13" s="11" t="n">
        <v>2.0714329068438</v>
      </c>
      <c r="AX13" s="11" t="n">
        <v>2.06299071764247</v>
      </c>
      <c r="AY13" s="11" t="n">
        <v>2.05414771005512</v>
      </c>
      <c r="AZ13" s="11" t="n">
        <v>2.04493787689725</v>
      </c>
      <c r="BA13" s="11" t="n">
        <v>2.03539563556642</v>
      </c>
      <c r="BB13" s="11" t="n">
        <v>2.02555576598241</v>
      </c>
      <c r="BC13" s="11" t="n">
        <v>2.01545331492115</v>
      </c>
      <c r="BD13" s="11" t="n">
        <v>2.00512361347053</v>
      </c>
      <c r="BE13" s="11" t="n">
        <v>1.99460236416014</v>
      </c>
      <c r="BF13" s="11" t="n">
        <v>1.98392560144922</v>
      </c>
      <c r="BG13" s="11" t="n">
        <v>1.97312972338453</v>
      </c>
    </row>
    <row r="14" customFormat="false" ht="15" hidden="false" customHeight="false" outlineLevel="0" collapsed="false">
      <c r="A14" s="10" t="n">
        <v>-111</v>
      </c>
      <c r="B14" s="8" t="n">
        <v>44676</v>
      </c>
      <c r="C14" s="11" t="n">
        <v>1.56286635959971</v>
      </c>
      <c r="D14" s="11" t="n">
        <v>1.58860075047803</v>
      </c>
      <c r="E14" s="11" t="n">
        <v>1.60179343936661</v>
      </c>
      <c r="F14" s="11" t="n">
        <v>1.61032894482293</v>
      </c>
      <c r="G14" s="11" t="n">
        <v>1.61814212222332</v>
      </c>
      <c r="H14" s="11" t="n">
        <v>1.62710746451099</v>
      </c>
      <c r="I14" s="11" t="n">
        <v>1.63806601409669</v>
      </c>
      <c r="J14" s="11" t="n">
        <v>1.65134422124536</v>
      </c>
      <c r="K14" s="11" t="n">
        <v>1.66698642717537</v>
      </c>
      <c r="L14" s="11" t="n">
        <v>1.68486346555359</v>
      </c>
      <c r="M14" s="11" t="n">
        <v>1.7047345594675</v>
      </c>
      <c r="N14" s="11" t="n">
        <v>1.72628451286493</v>
      </c>
      <c r="O14" s="11" t="n">
        <v>1.74915330161199</v>
      </c>
      <c r="P14" s="11" t="n">
        <v>1.77295290618449</v>
      </c>
      <c r="Q14" s="11" t="n">
        <v>1.79727763938679</v>
      </c>
      <c r="R14" s="11" t="n">
        <v>1.82171617119305</v>
      </c>
      <c r="S14" s="11" t="n">
        <v>1.84587393944235</v>
      </c>
      <c r="T14" s="11" t="n">
        <v>1.86939130187545</v>
      </c>
      <c r="U14" s="11" t="n">
        <v>1.89195123110378</v>
      </c>
      <c r="V14" s="11" t="n">
        <v>1.91330245955483</v>
      </c>
      <c r="W14" s="11" t="n">
        <v>1.93325215236916</v>
      </c>
      <c r="X14" s="11" t="n">
        <v>1.9516542359277</v>
      </c>
      <c r="Y14" s="11" t="n">
        <v>1.96840370860613</v>
      </c>
      <c r="Z14" s="11" t="n">
        <v>1.98344675164366</v>
      </c>
      <c r="AA14" s="11" t="n">
        <v>1.99678203159032</v>
      </c>
      <c r="AB14" s="11" t="n">
        <v>2.00845110752037</v>
      </c>
      <c r="AC14" s="11" t="n">
        <v>2.01851760522279</v>
      </c>
      <c r="AD14" s="11" t="n">
        <v>2.02705569373379</v>
      </c>
      <c r="AE14" s="11" t="n">
        <v>2.03414812682235</v>
      </c>
      <c r="AF14" s="11" t="n">
        <v>2.03988494227317</v>
      </c>
      <c r="AG14" s="11" t="n">
        <v>2.04436166341741</v>
      </c>
      <c r="AH14" s="11" t="n">
        <v>2.04766702147738</v>
      </c>
      <c r="AI14" s="11" t="n">
        <v>2.04987765706029</v>
      </c>
      <c r="AJ14" s="11" t="n">
        <v>2.05106253941785</v>
      </c>
      <c r="AK14" s="11" t="n">
        <v>2.05128339567251</v>
      </c>
      <c r="AL14" s="11" t="n">
        <v>2.05059553159848</v>
      </c>
      <c r="AM14" s="11" t="n">
        <v>2.04904852919594</v>
      </c>
      <c r="AN14" s="11" t="n">
        <v>2.04668723737111</v>
      </c>
      <c r="AO14" s="11" t="n">
        <v>2.04355266990712</v>
      </c>
      <c r="AP14" s="11" t="n">
        <v>2.03968298283979</v>
      </c>
      <c r="AQ14" s="11" t="n">
        <v>2.03511468000037</v>
      </c>
      <c r="AR14" s="11" t="n">
        <v>2.0298831626674</v>
      </c>
      <c r="AS14" s="11" t="n">
        <v>2.02402347595387</v>
      </c>
      <c r="AT14" s="11" t="n">
        <v>2.01757064302251</v>
      </c>
      <c r="AU14" s="11" t="n">
        <v>2.01055994744937</v>
      </c>
      <c r="AV14" s="11" t="n">
        <v>2.00302711685412</v>
      </c>
      <c r="AW14" s="11" t="n">
        <v>1.99500868460637</v>
      </c>
      <c r="AX14" s="11" t="n">
        <v>1.98654212543485</v>
      </c>
      <c r="AY14" s="11" t="n">
        <v>1.97766566031397</v>
      </c>
      <c r="AZ14" s="11" t="n">
        <v>1.96841753269402</v>
      </c>
      <c r="BA14" s="11" t="n">
        <v>1.95883578240467</v>
      </c>
      <c r="BB14" s="11" t="n">
        <v>1.94895822572176</v>
      </c>
      <c r="BC14" s="11" t="n">
        <v>1.93882236650497</v>
      </c>
      <c r="BD14" s="11" t="n">
        <v>1.92846544406916</v>
      </c>
      <c r="BE14" s="11" t="n">
        <v>1.91792455618668</v>
      </c>
      <c r="BF14" s="11" t="n">
        <v>1.90723665289394</v>
      </c>
      <c r="BG14" s="11" t="n">
        <v>1.89643861013054</v>
      </c>
    </row>
    <row r="15" customFormat="false" ht="15" hidden="false" customHeight="false" outlineLevel="0" collapsed="false">
      <c r="A15" s="10" t="n">
        <v>-110</v>
      </c>
      <c r="B15" s="8" t="n">
        <v>44677</v>
      </c>
      <c r="C15" s="11" t="n">
        <v>1.5027717189343</v>
      </c>
      <c r="D15" s="11" t="n">
        <v>1.52682850226206</v>
      </c>
      <c r="E15" s="11" t="n">
        <v>1.54015566420121</v>
      </c>
      <c r="F15" s="11" t="n">
        <v>1.54961498410752</v>
      </c>
      <c r="G15" s="11" t="n">
        <v>1.55867336823812</v>
      </c>
      <c r="H15" s="11" t="n">
        <v>1.56896926692946</v>
      </c>
      <c r="I15" s="11" t="n">
        <v>1.58121997903004</v>
      </c>
      <c r="J15" s="11" t="n">
        <v>1.59568827726637</v>
      </c>
      <c r="K15" s="11" t="n">
        <v>1.61239173174331</v>
      </c>
      <c r="L15" s="11" t="n">
        <v>1.6311980152365</v>
      </c>
      <c r="M15" s="11" t="n">
        <v>1.65187686794539</v>
      </c>
      <c r="N15" s="11" t="n">
        <v>1.67413029606356</v>
      </c>
      <c r="O15" s="11" t="n">
        <v>1.69761692207849</v>
      </c>
      <c r="P15" s="11" t="n">
        <v>1.7219656204016</v>
      </c>
      <c r="Q15" s="11" t="n">
        <v>1.74678463312953</v>
      </c>
      <c r="R15" s="11" t="n">
        <v>1.77167353965053</v>
      </c>
      <c r="S15" s="11" t="n">
        <v>1.79624576876295</v>
      </c>
      <c r="T15" s="11" t="n">
        <v>1.82014738684038</v>
      </c>
      <c r="U15" s="11" t="n">
        <v>1.84306533799099</v>
      </c>
      <c r="V15" s="11" t="n">
        <v>1.86475113814688</v>
      </c>
      <c r="W15" s="11" t="n">
        <v>1.88501374621553</v>
      </c>
      <c r="X15" s="11" t="n">
        <v>1.90370809031894</v>
      </c>
      <c r="Y15" s="11" t="n">
        <v>1.92072959162226</v>
      </c>
      <c r="Z15" s="11" t="n">
        <v>1.93602445729831</v>
      </c>
      <c r="AA15" s="11" t="n">
        <v>1.94959103324544</v>
      </c>
      <c r="AB15" s="11" t="n">
        <v>1.96147040844452</v>
      </c>
      <c r="AC15" s="11" t="n">
        <v>1.9717257962118</v>
      </c>
      <c r="AD15" s="11" t="n">
        <v>1.9804311712239</v>
      </c>
      <c r="AE15" s="11" t="n">
        <v>1.98766928962283</v>
      </c>
      <c r="AF15" s="11" t="n">
        <v>1.993530358491</v>
      </c>
      <c r="AG15" s="11" t="n">
        <v>1.99811019635132</v>
      </c>
      <c r="AH15" s="11" t="n">
        <v>2.00149792305583</v>
      </c>
      <c r="AI15" s="11" t="n">
        <v>2.0037707757158</v>
      </c>
      <c r="AJ15" s="11" t="n">
        <v>2.00499839759628</v>
      </c>
      <c r="AK15" s="11" t="n">
        <v>2.00524322098542</v>
      </c>
      <c r="AL15" s="11" t="n">
        <v>2.00456124813629</v>
      </c>
      <c r="AM15" s="11" t="n">
        <v>2.00300269434183</v>
      </c>
      <c r="AN15" s="11" t="n">
        <v>2.00061300266697</v>
      </c>
      <c r="AO15" s="11" t="n">
        <v>1.99743377048115</v>
      </c>
      <c r="AP15" s="11" t="n">
        <v>1.99350376262647</v>
      </c>
      <c r="AQ15" s="11" t="n">
        <v>1.98886016074194</v>
      </c>
      <c r="AR15" s="11" t="n">
        <v>1.98353911814782</v>
      </c>
      <c r="AS15" s="11" t="n">
        <v>1.97757651043437</v>
      </c>
      <c r="AT15" s="11" t="n">
        <v>1.97100825321788</v>
      </c>
      <c r="AU15" s="11" t="n">
        <v>1.96387054485069</v>
      </c>
      <c r="AV15" s="11" t="n">
        <v>1.95620002081479</v>
      </c>
      <c r="AW15" s="11" t="n">
        <v>1.9480340599836</v>
      </c>
      <c r="AX15" s="11" t="n">
        <v>1.93941088760898</v>
      </c>
      <c r="AY15" s="11" t="n">
        <v>1.93036936559689</v>
      </c>
      <c r="AZ15" s="11" t="n">
        <v>1.92094830045535</v>
      </c>
      <c r="BA15" s="11" t="n">
        <v>1.91118623625118</v>
      </c>
      <c r="BB15" s="11" t="n">
        <v>1.90112145792379</v>
      </c>
      <c r="BC15" s="11" t="n">
        <v>1.89079196214661</v>
      </c>
      <c r="BD15" s="11" t="n">
        <v>1.88023553291093</v>
      </c>
      <c r="BE15" s="11" t="n">
        <v>1.86948987723224</v>
      </c>
      <c r="BF15" s="11" t="n">
        <v>1.85859261579788</v>
      </c>
      <c r="BG15" s="11" t="n">
        <v>1.84758135053167</v>
      </c>
    </row>
    <row r="16" customFormat="false" ht="15" hidden="false" customHeight="false" outlineLevel="0" collapsed="false">
      <c r="A16" s="10" t="n">
        <v>-109</v>
      </c>
      <c r="B16" s="8" t="n">
        <v>44678</v>
      </c>
      <c r="C16" s="11" t="n">
        <v>1.50473896802031</v>
      </c>
      <c r="D16" s="11" t="n">
        <v>1.52653983827596</v>
      </c>
      <c r="E16" s="11" t="n">
        <v>1.53986506763488</v>
      </c>
      <c r="F16" s="11" t="n">
        <v>1.55065922545504</v>
      </c>
      <c r="G16" s="11" t="n">
        <v>1.56180477522896</v>
      </c>
      <c r="H16" s="11" t="n">
        <v>1.57456399922826</v>
      </c>
      <c r="I16" s="11" t="n">
        <v>1.58941399541877</v>
      </c>
      <c r="J16" s="11" t="n">
        <v>1.60646460024956</v>
      </c>
      <c r="K16" s="11" t="n">
        <v>1.62563858425366</v>
      </c>
      <c r="L16" s="11" t="n">
        <v>1.64675062796769</v>
      </c>
      <c r="M16" s="11" t="n">
        <v>1.66954751241305</v>
      </c>
      <c r="N16" s="11" t="n">
        <v>1.69372951603784</v>
      </c>
      <c r="O16" s="11" t="n">
        <v>1.71896673719949</v>
      </c>
      <c r="P16" s="11" t="n">
        <v>1.74490589226006</v>
      </c>
      <c r="Q16" s="11" t="n">
        <v>1.7711751584359</v>
      </c>
      <c r="R16" s="11" t="n">
        <v>1.79739377820235</v>
      </c>
      <c r="S16" s="11" t="n">
        <v>1.82319313034419</v>
      </c>
      <c r="T16" s="11" t="n">
        <v>1.84823520664822</v>
      </c>
      <c r="U16" s="11" t="n">
        <v>1.87222068580313</v>
      </c>
      <c r="V16" s="11" t="n">
        <v>1.89491145954289</v>
      </c>
      <c r="W16" s="11" t="n">
        <v>1.91612380020333</v>
      </c>
      <c r="X16" s="11" t="n">
        <v>1.93571749852764</v>
      </c>
      <c r="Y16" s="11" t="n">
        <v>1.95359076920604</v>
      </c>
      <c r="Z16" s="11" t="n">
        <v>1.9696902155883</v>
      </c>
      <c r="AA16" s="11" t="n">
        <v>1.98401236936469</v>
      </c>
      <c r="AB16" s="11" t="n">
        <v>1.99659559896112</v>
      </c>
      <c r="AC16" s="11" t="n">
        <v>2.00750081057729</v>
      </c>
      <c r="AD16" s="11" t="n">
        <v>2.01680060448515</v>
      </c>
      <c r="AE16" s="11" t="n">
        <v>2.02457717722246</v>
      </c>
      <c r="AF16" s="11" t="n">
        <v>2.03092086761314</v>
      </c>
      <c r="AG16" s="11" t="n">
        <v>2.03592822982572</v>
      </c>
      <c r="AH16" s="11" t="n">
        <v>2.03969010338496</v>
      </c>
      <c r="AI16" s="11" t="n">
        <v>2.04228670394047</v>
      </c>
      <c r="AJ16" s="11" t="n">
        <v>2.04379154360497</v>
      </c>
      <c r="AK16" s="11" t="n">
        <v>2.04427168168254</v>
      </c>
      <c r="AL16" s="11" t="n">
        <v>2.04378832512832</v>
      </c>
      <c r="AM16" s="11" t="n">
        <v>2.04239725678094</v>
      </c>
      <c r="AN16" s="11" t="n">
        <v>2.04014973521257</v>
      </c>
      <c r="AO16" s="11" t="n">
        <v>2.03709334336801</v>
      </c>
      <c r="AP16" s="11" t="n">
        <v>2.03327299274492</v>
      </c>
      <c r="AQ16" s="11" t="n">
        <v>2.02873216964784</v>
      </c>
      <c r="AR16" s="11" t="n">
        <v>2.02351344222107</v>
      </c>
      <c r="AS16" s="11" t="n">
        <v>2.01765909847806</v>
      </c>
      <c r="AT16" s="11" t="n">
        <v>2.01121132959122</v>
      </c>
      <c r="AU16" s="11" t="n">
        <v>2.00421217789235</v>
      </c>
      <c r="AV16" s="11" t="n">
        <v>1.99670353692011</v>
      </c>
      <c r="AW16" s="11" t="n">
        <v>1.98872718692833</v>
      </c>
      <c r="AX16" s="11" t="n">
        <v>1.98032480032679</v>
      </c>
      <c r="AY16" s="11" t="n">
        <v>1.97153770519246</v>
      </c>
      <c r="AZ16" s="11" t="n">
        <v>1.96240623635683</v>
      </c>
      <c r="BA16" s="11" t="n">
        <v>1.95296960768495</v>
      </c>
      <c r="BB16" s="11" t="n">
        <v>1.94326597696495</v>
      </c>
      <c r="BC16" s="11" t="n">
        <v>1.93333243769594</v>
      </c>
      <c r="BD16" s="11" t="n">
        <v>1.9232051306979</v>
      </c>
      <c r="BE16" s="11" t="n">
        <v>1.91291941432048</v>
      </c>
      <c r="BF16" s="11" t="n">
        <v>1.90250990549074</v>
      </c>
      <c r="BG16" s="11" t="n">
        <v>1.89201059099772</v>
      </c>
    </row>
    <row r="17" customFormat="false" ht="15" hidden="false" customHeight="false" outlineLevel="0" collapsed="false">
      <c r="A17" s="10" t="n">
        <v>-108</v>
      </c>
      <c r="B17" s="8" t="n">
        <v>44679</v>
      </c>
      <c r="C17" s="11" t="n">
        <v>1.54985857195363</v>
      </c>
      <c r="D17" s="11" t="n">
        <v>1.57174218323724</v>
      </c>
      <c r="E17" s="11" t="n">
        <v>1.5849186984495</v>
      </c>
      <c r="F17" s="11" t="n">
        <v>1.59555319986072</v>
      </c>
      <c r="G17" s="11" t="n">
        <v>1.60663104803671</v>
      </c>
      <c r="H17" s="11" t="n">
        <v>1.61947154353067</v>
      </c>
      <c r="I17" s="11" t="n">
        <v>1.63458584721891</v>
      </c>
      <c r="J17" s="11" t="n">
        <v>1.652099760589</v>
      </c>
      <c r="K17" s="11" t="n">
        <v>1.67193433354308</v>
      </c>
      <c r="L17" s="11" t="n">
        <v>1.69388660251682</v>
      </c>
      <c r="M17" s="11" t="n">
        <v>1.71767217198509</v>
      </c>
      <c r="N17" s="11" t="n">
        <v>1.74295107256799</v>
      </c>
      <c r="O17" s="11" t="n">
        <v>1.76934998452012</v>
      </c>
      <c r="P17" s="11" t="n">
        <v>1.79647529259672</v>
      </c>
      <c r="Q17" s="11" t="n">
        <v>1.82392116782111</v>
      </c>
      <c r="R17" s="11" t="n">
        <v>1.8512813388137</v>
      </c>
      <c r="S17" s="11" t="n">
        <v>1.8781703964838</v>
      </c>
      <c r="T17" s="11" t="n">
        <v>1.90424117142415</v>
      </c>
      <c r="U17" s="11" t="n">
        <v>1.92919146700243</v>
      </c>
      <c r="V17" s="11" t="n">
        <v>1.95278372874835</v>
      </c>
      <c r="W17" s="11" t="n">
        <v>1.97483709955685</v>
      </c>
      <c r="X17" s="11" t="n">
        <v>1.99521609305147</v>
      </c>
      <c r="Y17" s="11" t="n">
        <v>2.01382491271384</v>
      </c>
      <c r="Z17" s="11" t="n">
        <v>2.03061576182042</v>
      </c>
      <c r="AA17" s="11" t="n">
        <v>2.04558955073375</v>
      </c>
      <c r="AB17" s="11" t="n">
        <v>2.0587878530298</v>
      </c>
      <c r="AC17" s="11" t="n">
        <v>2.0702738562725</v>
      </c>
      <c r="AD17" s="11" t="n">
        <v>2.08012180776853</v>
      </c>
      <c r="AE17" s="11" t="n">
        <v>2.08841502656427</v>
      </c>
      <c r="AF17" s="11" t="n">
        <v>2.09524452893979</v>
      </c>
      <c r="AG17" s="11" t="n">
        <v>2.10070715902104</v>
      </c>
      <c r="AH17" s="11" t="n">
        <v>2.10489383888729</v>
      </c>
      <c r="AI17" s="11" t="n">
        <v>2.10788495923771</v>
      </c>
      <c r="AJ17" s="11" t="n">
        <v>2.10975438801707</v>
      </c>
      <c r="AK17" s="11" t="n">
        <v>2.11056979004833</v>
      </c>
      <c r="AL17" s="11" t="n">
        <v>2.11039325381511</v>
      </c>
      <c r="AM17" s="11" t="n">
        <v>2.10928178141375</v>
      </c>
      <c r="AN17" s="11" t="n">
        <v>2.10728818637175</v>
      </c>
      <c r="AO17" s="11" t="n">
        <v>2.10446192273232</v>
      </c>
      <c r="AP17" s="11" t="n">
        <v>2.10085010377738</v>
      </c>
      <c r="AQ17" s="11" t="n">
        <v>2.09649878428438</v>
      </c>
      <c r="AR17" s="11" t="n">
        <v>2.0914534557115</v>
      </c>
      <c r="AS17" s="11" t="n">
        <v>2.08575969221903</v>
      </c>
      <c r="AT17" s="11" t="n">
        <v>2.07946326873953</v>
      </c>
      <c r="AU17" s="11" t="n">
        <v>2.07260995945505</v>
      </c>
      <c r="AV17" s="11" t="n">
        <v>2.06524543283025</v>
      </c>
      <c r="AW17" s="11" t="n">
        <v>2.05741511004541</v>
      </c>
      <c r="AX17" s="11" t="n">
        <v>2.04916410568365</v>
      </c>
      <c r="AY17" s="11" t="n">
        <v>2.0405369392483</v>
      </c>
      <c r="AZ17" s="11" t="n">
        <v>2.03157678093577</v>
      </c>
      <c r="BA17" s="11" t="n">
        <v>2.02232531926443</v>
      </c>
      <c r="BB17" s="11" t="n">
        <v>2.01282281494013</v>
      </c>
      <c r="BC17" s="11" t="n">
        <v>2.00310799424776</v>
      </c>
      <c r="BD17" s="11" t="n">
        <v>1.99321811608121</v>
      </c>
      <c r="BE17" s="11" t="n">
        <v>1.98318910517804</v>
      </c>
      <c r="BF17" s="11" t="n">
        <v>1.97305556785919</v>
      </c>
      <c r="BG17" s="11" t="n">
        <v>1.96285087292939</v>
      </c>
    </row>
    <row r="18" customFormat="false" ht="15" hidden="false" customHeight="false" outlineLevel="0" collapsed="false">
      <c r="A18" s="10" t="n">
        <v>-107</v>
      </c>
      <c r="B18" s="8" t="n">
        <v>44680</v>
      </c>
      <c r="C18" s="11" t="n">
        <v>1.61112210955097</v>
      </c>
      <c r="D18" s="11" t="n">
        <v>1.63322392484511</v>
      </c>
      <c r="E18" s="11" t="n">
        <v>1.64590246976802</v>
      </c>
      <c r="F18" s="11" t="n">
        <v>1.655558750456</v>
      </c>
      <c r="G18" s="11" t="n">
        <v>1.66529289675638</v>
      </c>
      <c r="H18" s="11" t="n">
        <v>1.67651527992894</v>
      </c>
      <c r="I18" s="11" t="n">
        <v>1.68982902829618</v>
      </c>
      <c r="J18" s="11" t="n">
        <v>1.70545105765062</v>
      </c>
      <c r="K18" s="11" t="n">
        <v>1.72338246332109</v>
      </c>
      <c r="L18" s="11" t="n">
        <v>1.74348825089801</v>
      </c>
      <c r="M18" s="11" t="n">
        <v>1.76553683687695</v>
      </c>
      <c r="N18" s="11" t="n">
        <v>1.78922598174663</v>
      </c>
      <c r="O18" s="11" t="n">
        <v>1.81420533928102</v>
      </c>
      <c r="P18" s="11" t="n">
        <v>1.84009196127545</v>
      </c>
      <c r="Q18" s="11" t="n">
        <v>1.86648013928957</v>
      </c>
      <c r="R18" s="11" t="n">
        <v>1.89295623278108</v>
      </c>
      <c r="S18" s="11" t="n">
        <v>1.91912207886448</v>
      </c>
      <c r="T18" s="11" t="n">
        <v>1.94461476821924</v>
      </c>
      <c r="U18" s="11" t="n">
        <v>1.9691145437165</v>
      </c>
      <c r="V18" s="11" t="n">
        <v>1.99236702509244</v>
      </c>
      <c r="W18" s="11" t="n">
        <v>2.01417524393724</v>
      </c>
      <c r="X18" s="11" t="n">
        <v>2.03438817528973</v>
      </c>
      <c r="Y18" s="11" t="n">
        <v>2.05289536746033</v>
      </c>
      <c r="Z18" s="11" t="n">
        <v>2.06963628937975</v>
      </c>
      <c r="AA18" s="11" t="n">
        <v>2.08460084436069</v>
      </c>
      <c r="AB18" s="11" t="n">
        <v>2.0978206026961</v>
      </c>
      <c r="AC18" s="11" t="n">
        <v>2.10934976684002</v>
      </c>
      <c r="AD18" s="11" t="n">
        <v>2.11925495357954</v>
      </c>
      <c r="AE18" s="11" t="n">
        <v>2.12761303223654</v>
      </c>
      <c r="AF18" s="11" t="n">
        <v>2.13450957125336</v>
      </c>
      <c r="AG18" s="11" t="n">
        <v>2.14003675904769</v>
      </c>
      <c r="AH18" s="11" t="n">
        <v>2.1442815594112</v>
      </c>
      <c r="AI18" s="11" t="n">
        <v>2.14732155450776</v>
      </c>
      <c r="AJ18" s="11" t="n">
        <v>2.14922862181675</v>
      </c>
      <c r="AK18" s="11" t="n">
        <v>2.15006914287612</v>
      </c>
      <c r="AL18" s="11" t="n">
        <v>2.149904530193</v>
      </c>
      <c r="AM18" s="11" t="n">
        <v>2.14879162938836</v>
      </c>
      <c r="AN18" s="11" t="n">
        <v>2.14678349431082</v>
      </c>
      <c r="AO18" s="11" t="n">
        <v>2.14393009949624</v>
      </c>
      <c r="AP18" s="11" t="n">
        <v>2.14027927372673</v>
      </c>
      <c r="AQ18" s="11" t="n">
        <v>2.13587783998285</v>
      </c>
      <c r="AR18" s="11" t="n">
        <v>2.13077206260029</v>
      </c>
      <c r="AS18" s="11" t="n">
        <v>2.12500822916407</v>
      </c>
      <c r="AT18" s="11" t="n">
        <v>2.11863274899272</v>
      </c>
      <c r="AU18" s="11" t="n">
        <v>2.11169197590706</v>
      </c>
      <c r="AV18" s="11" t="n">
        <v>2.10423210797364</v>
      </c>
      <c r="AW18" s="11" t="n">
        <v>2.09629903004849</v>
      </c>
      <c r="AX18" s="11" t="n">
        <v>2.08793826354882</v>
      </c>
      <c r="AY18" s="11" t="n">
        <v>2.07919469303899</v>
      </c>
      <c r="AZ18" s="11" t="n">
        <v>2.07011184401216</v>
      </c>
      <c r="BA18" s="11" t="n">
        <v>2.06073177180676</v>
      </c>
      <c r="BB18" s="11" t="n">
        <v>2.0510951222762</v>
      </c>
      <c r="BC18" s="11" t="n">
        <v>2.04124105597381</v>
      </c>
      <c r="BD18" s="11" t="n">
        <v>2.03120732530562</v>
      </c>
      <c r="BE18" s="11" t="n">
        <v>2.02103040351972</v>
      </c>
      <c r="BF18" s="11" t="n">
        <v>2.01074550858663</v>
      </c>
      <c r="BG18" s="11" t="n">
        <v>2.00038669654051</v>
      </c>
    </row>
    <row r="19" customFormat="false" ht="15" hidden="false" customHeight="false" outlineLevel="0" collapsed="false">
      <c r="A19" s="10" t="n">
        <v>-106</v>
      </c>
      <c r="B19" s="8" t="n">
        <v>44684</v>
      </c>
      <c r="C19" s="11" t="n">
        <v>1.6482933879197</v>
      </c>
      <c r="D19" s="11" t="n">
        <v>1.67048283965498</v>
      </c>
      <c r="E19" s="11" t="n">
        <v>1.68324004459876</v>
      </c>
      <c r="F19" s="11" t="n">
        <v>1.69295524588163</v>
      </c>
      <c r="G19" s="11" t="n">
        <v>1.70271614935703</v>
      </c>
      <c r="H19" s="11" t="n">
        <v>1.71392353062324</v>
      </c>
      <c r="I19" s="11" t="n">
        <v>1.72717038018265</v>
      </c>
      <c r="J19" s="11" t="n">
        <v>1.74266558335465</v>
      </c>
      <c r="K19" s="11" t="n">
        <v>1.76040492905207</v>
      </c>
      <c r="L19" s="11" t="n">
        <v>1.78025188477871</v>
      </c>
      <c r="M19" s="11" t="n">
        <v>1.80197711538223</v>
      </c>
      <c r="N19" s="11" t="n">
        <v>1.82528386007591</v>
      </c>
      <c r="O19" s="11" t="n">
        <v>1.84982924672481</v>
      </c>
      <c r="P19" s="11" t="n">
        <v>1.87523835871292</v>
      </c>
      <c r="Q19" s="11" t="n">
        <v>1.90111321255582</v>
      </c>
      <c r="R19" s="11" t="n">
        <v>1.92704722103545</v>
      </c>
      <c r="S19" s="11" t="n">
        <v>1.95264843120103</v>
      </c>
      <c r="T19" s="11" t="n">
        <v>1.97755999156241</v>
      </c>
      <c r="U19" s="11" t="n">
        <v>2.00146846567786</v>
      </c>
      <c r="V19" s="11" t="n">
        <v>2.02412573537752</v>
      </c>
      <c r="W19" s="11" t="n">
        <v>2.04534090500784</v>
      </c>
      <c r="X19" s="11" t="n">
        <v>2.06496887098554</v>
      </c>
      <c r="Y19" s="11" t="n">
        <v>2.08290500452566</v>
      </c>
      <c r="Z19" s="11" t="n">
        <v>2.0990943997533</v>
      </c>
      <c r="AA19" s="11" t="n">
        <v>2.11353219163583</v>
      </c>
      <c r="AB19" s="11" t="n">
        <v>2.12625450997097</v>
      </c>
      <c r="AC19" s="11" t="n">
        <v>2.13731911976616</v>
      </c>
      <c r="AD19" s="11" t="n">
        <v>2.14679526143246</v>
      </c>
      <c r="AE19" s="11" t="n">
        <v>2.15476163702008</v>
      </c>
      <c r="AF19" s="11" t="n">
        <v>2.16130497663665</v>
      </c>
      <c r="AG19" s="11" t="n">
        <v>2.16651802777336</v>
      </c>
      <c r="AH19" s="11" t="n">
        <v>2.17048760805388</v>
      </c>
      <c r="AI19" s="11" t="n">
        <v>2.17329058613701</v>
      </c>
      <c r="AJ19" s="11" t="n">
        <v>2.17499767472818</v>
      </c>
      <c r="AK19" s="11" t="n">
        <v>2.17567371558546</v>
      </c>
      <c r="AL19" s="11" t="n">
        <v>2.17537826702729</v>
      </c>
      <c r="AM19" s="11" t="n">
        <v>2.17416606524745</v>
      </c>
      <c r="AN19" s="11" t="n">
        <v>2.17208782239743</v>
      </c>
      <c r="AO19" s="11" t="n">
        <v>2.16919095546765</v>
      </c>
      <c r="AP19" s="11" t="n">
        <v>2.16552058627105</v>
      </c>
      <c r="AQ19" s="11" t="n">
        <v>2.16112075628616</v>
      </c>
      <c r="AR19" s="11" t="n">
        <v>2.15603493301769</v>
      </c>
      <c r="AS19" s="11" t="n">
        <v>2.15030670767619</v>
      </c>
      <c r="AT19" s="11" t="n">
        <v>2.14397994391221</v>
      </c>
      <c r="AU19" s="11" t="n">
        <v>2.13709866874651</v>
      </c>
      <c r="AV19" s="11" t="n">
        <v>2.12970699126811</v>
      </c>
      <c r="AW19" s="11" t="n">
        <v>2.12184897109675</v>
      </c>
      <c r="AX19" s="11" t="n">
        <v>2.11356857268108</v>
      </c>
      <c r="AY19" s="11" t="n">
        <v>2.10490938559799</v>
      </c>
      <c r="AZ19" s="11" t="n">
        <v>2.09591388540614</v>
      </c>
      <c r="BA19" s="11" t="n">
        <v>2.08662330402711</v>
      </c>
      <c r="BB19" s="11" t="n">
        <v>2.07707766375123</v>
      </c>
      <c r="BC19" s="11" t="n">
        <v>2.06731566773555</v>
      </c>
      <c r="BD19" s="11" t="n">
        <v>2.05737474072417</v>
      </c>
      <c r="BE19" s="11" t="n">
        <v>2.04729111511184</v>
      </c>
      <c r="BF19" s="11" t="n">
        <v>2.03709981827932</v>
      </c>
      <c r="BG19" s="11" t="n">
        <v>2.02683472483551</v>
      </c>
    </row>
    <row r="20" customFormat="false" ht="15" hidden="false" customHeight="false" outlineLevel="0" collapsed="false">
      <c r="A20" s="10" t="n">
        <v>-105</v>
      </c>
      <c r="B20" s="8" t="n">
        <v>44685</v>
      </c>
      <c r="C20" s="11" t="n">
        <v>1.66111167263124</v>
      </c>
      <c r="D20" s="11" t="n">
        <v>1.68235799772614</v>
      </c>
      <c r="E20" s="11" t="n">
        <v>1.6955190010049</v>
      </c>
      <c r="F20" s="11" t="n">
        <v>1.70640547998457</v>
      </c>
      <c r="G20" s="11" t="n">
        <v>1.71771393402045</v>
      </c>
      <c r="H20" s="11" t="n">
        <v>1.7306009586566</v>
      </c>
      <c r="I20" s="11" t="n">
        <v>1.74551093531732</v>
      </c>
      <c r="J20" s="11" t="n">
        <v>1.76256307082003</v>
      </c>
      <c r="K20" s="11" t="n">
        <v>1.78169868603128</v>
      </c>
      <c r="L20" s="11" t="n">
        <v>1.8027501064294</v>
      </c>
      <c r="M20" s="11" t="n">
        <v>1.82547405919935</v>
      </c>
      <c r="N20" s="11" t="n">
        <v>1.84957264736756</v>
      </c>
      <c r="O20" s="11" t="n">
        <v>1.87471112235109</v>
      </c>
      <c r="P20" s="11" t="n">
        <v>1.90052830349052</v>
      </c>
      <c r="Q20" s="11" t="n">
        <v>1.92664344262222</v>
      </c>
      <c r="R20" s="11" t="n">
        <v>1.95266910091389</v>
      </c>
      <c r="S20" s="11" t="n">
        <v>1.97823268826116</v>
      </c>
      <c r="T20" s="11" t="n">
        <v>2.0029965610044</v>
      </c>
      <c r="U20" s="11" t="n">
        <v>2.0266663557854</v>
      </c>
      <c r="V20" s="11" t="n">
        <v>2.04901169121048</v>
      </c>
      <c r="W20" s="11" t="n">
        <v>2.06985803549251</v>
      </c>
      <c r="X20" s="11" t="n">
        <v>2.08907555017732</v>
      </c>
      <c r="Y20" s="11" t="n">
        <v>2.10657385561158</v>
      </c>
      <c r="Z20" s="11" t="n">
        <v>2.12231063079157</v>
      </c>
      <c r="AA20" s="11" t="n">
        <v>2.13629172437884</v>
      </c>
      <c r="AB20" s="11" t="n">
        <v>2.14856231066589</v>
      </c>
      <c r="AC20" s="11" t="n">
        <v>2.15918739307725</v>
      </c>
      <c r="AD20" s="11" t="n">
        <v>2.16824180764009</v>
      </c>
      <c r="AE20" s="11" t="n">
        <v>2.17580846646185</v>
      </c>
      <c r="AF20" s="11" t="n">
        <v>2.18197713408169</v>
      </c>
      <c r="AG20" s="11" t="n">
        <v>2.18684255660781</v>
      </c>
      <c r="AH20" s="11" t="n">
        <v>2.1904924326069</v>
      </c>
      <c r="AI20" s="11" t="n">
        <v>2.19300352210681</v>
      </c>
      <c r="AJ20" s="11" t="n">
        <v>2.19444555706395</v>
      </c>
      <c r="AK20" s="11" t="n">
        <v>2.19488163509293</v>
      </c>
      <c r="AL20" s="11" t="n">
        <v>2.19436893673211</v>
      </c>
      <c r="AM20" s="11" t="n">
        <v>2.19295933182622</v>
      </c>
      <c r="AN20" s="11" t="n">
        <v>2.19070037937735</v>
      </c>
      <c r="AO20" s="11" t="n">
        <v>2.18763621111091</v>
      </c>
      <c r="AP20" s="11" t="n">
        <v>2.18380862997308</v>
      </c>
      <c r="AQ20" s="11" t="n">
        <v>2.17925843439903</v>
      </c>
      <c r="AR20" s="11" t="n">
        <v>2.17402595620438</v>
      </c>
      <c r="AS20" s="11" t="n">
        <v>2.16815180764179</v>
      </c>
      <c r="AT20" s="11" t="n">
        <v>2.16167705747958</v>
      </c>
      <c r="AU20" s="11" t="n">
        <v>2.1546431835884</v>
      </c>
      <c r="AV20" s="11" t="n">
        <v>2.14709201418892</v>
      </c>
      <c r="AW20" s="11" t="n">
        <v>2.13906564328735</v>
      </c>
      <c r="AX20" s="11" t="n">
        <v>2.13060641222005</v>
      </c>
      <c r="AY20" s="11" t="n">
        <v>2.12175667663323</v>
      </c>
      <c r="AZ20" s="11" t="n">
        <v>2.11255812250396</v>
      </c>
      <c r="BA20" s="11" t="n">
        <v>2.10305162317988</v>
      </c>
      <c r="BB20" s="11" t="n">
        <v>2.09327724749624</v>
      </c>
      <c r="BC20" s="11" t="n">
        <v>2.08327415163077</v>
      </c>
      <c r="BD20" s="11" t="n">
        <v>2.0730805667878</v>
      </c>
      <c r="BE20" s="11" t="n">
        <v>2.06273380206344</v>
      </c>
      <c r="BF20" s="11" t="n">
        <v>2.05227015160224</v>
      </c>
      <c r="BG20" s="11" t="n">
        <v>2.04172487075629</v>
      </c>
    </row>
    <row r="21" customFormat="false" ht="15" hidden="false" customHeight="false" outlineLevel="0" collapsed="false">
      <c r="A21" s="10" t="n">
        <v>-104</v>
      </c>
      <c r="B21" s="8" t="n">
        <v>44686</v>
      </c>
      <c r="C21" s="11" t="n">
        <v>1.5438801550376</v>
      </c>
      <c r="D21" s="11" t="n">
        <v>1.56979439151729</v>
      </c>
      <c r="E21" s="11" t="n">
        <v>1.58895052204019</v>
      </c>
      <c r="F21" s="11" t="n">
        <v>1.6066975007886</v>
      </c>
      <c r="G21" s="11" t="n">
        <v>1.62538421074968</v>
      </c>
      <c r="H21" s="11" t="n">
        <v>1.64591153121408</v>
      </c>
      <c r="I21" s="11" t="n">
        <v>1.66852967809438</v>
      </c>
      <c r="J21" s="11" t="n">
        <v>1.6932070969709</v>
      </c>
      <c r="K21" s="11" t="n">
        <v>1.7197695890284</v>
      </c>
      <c r="L21" s="11" t="n">
        <v>1.74796566556</v>
      </c>
      <c r="M21" s="11" t="n">
        <v>1.77749731645399</v>
      </c>
      <c r="N21" s="11" t="n">
        <v>1.80803661225822</v>
      </c>
      <c r="O21" s="11" t="n">
        <v>1.83923882349977</v>
      </c>
      <c r="P21" s="11" t="n">
        <v>1.87074603688006</v>
      </c>
      <c r="Q21" s="11" t="n">
        <v>1.90218959067498</v>
      </c>
      <c r="R21" s="11" t="n">
        <v>1.93319852090949</v>
      </c>
      <c r="S21" s="11" t="n">
        <v>1.96341864526424</v>
      </c>
      <c r="T21" s="11" t="n">
        <v>1.99253062010435</v>
      </c>
      <c r="U21" s="11" t="n">
        <v>2.02025783205369</v>
      </c>
      <c r="V21" s="11" t="n">
        <v>2.04638515535786</v>
      </c>
      <c r="W21" s="11" t="n">
        <v>2.07075087179548</v>
      </c>
      <c r="X21" s="11" t="n">
        <v>2.09323600229512</v>
      </c>
      <c r="Y21" s="11" t="n">
        <v>2.11375930201629</v>
      </c>
      <c r="Z21" s="11" t="n">
        <v>2.13228528866906</v>
      </c>
      <c r="AA21" s="11" t="n">
        <v>2.1488247537476</v>
      </c>
      <c r="AB21" s="11" t="n">
        <v>2.16342786965174</v>
      </c>
      <c r="AC21" s="11" t="n">
        <v>2.17616607892865</v>
      </c>
      <c r="AD21" s="11" t="n">
        <v>2.18712241849773</v>
      </c>
      <c r="AE21" s="11" t="n">
        <v>2.19638950991496</v>
      </c>
      <c r="AF21" s="11" t="n">
        <v>2.20406810715522</v>
      </c>
      <c r="AG21" s="11" t="n">
        <v>2.21026503865144</v>
      </c>
      <c r="AH21" s="11" t="n">
        <v>2.215081257536</v>
      </c>
      <c r="AI21" s="11" t="n">
        <v>2.21860794149065</v>
      </c>
      <c r="AJ21" s="11" t="n">
        <v>2.22092985370089</v>
      </c>
      <c r="AK21" s="11" t="n">
        <v>2.22212550128597</v>
      </c>
      <c r="AL21" s="11" t="n">
        <v>2.22226744088368</v>
      </c>
      <c r="AM21" s="11" t="n">
        <v>2.221422309116</v>
      </c>
      <c r="AN21" s="11" t="n">
        <v>2.21965149137533</v>
      </c>
      <c r="AO21" s="11" t="n">
        <v>2.21701182542318</v>
      </c>
      <c r="AP21" s="11" t="n">
        <v>2.21355668231537</v>
      </c>
      <c r="AQ21" s="11" t="n">
        <v>2.20933721263637</v>
      </c>
      <c r="AR21" s="11" t="n">
        <v>2.20440293089817</v>
      </c>
      <c r="AS21" s="11" t="n">
        <v>2.19880243689977</v>
      </c>
      <c r="AT21" s="11" t="n">
        <v>2.19258361666888</v>
      </c>
      <c r="AU21" s="11" t="n">
        <v>2.18579356424195</v>
      </c>
      <c r="AV21" s="11" t="n">
        <v>2.17847858397585</v>
      </c>
      <c r="AW21" s="11" t="n">
        <v>2.17068417344516</v>
      </c>
      <c r="AX21" s="11" t="n">
        <v>2.16245512568059</v>
      </c>
      <c r="AY21" s="11" t="n">
        <v>2.15383545466351</v>
      </c>
      <c r="AZ21" s="11" t="n">
        <v>2.14486785476778</v>
      </c>
      <c r="BA21" s="11" t="n">
        <v>2.13559363907207</v>
      </c>
      <c r="BB21" s="11" t="n">
        <v>2.12605284198651</v>
      </c>
      <c r="BC21" s="11" t="n">
        <v>2.11628427348384</v>
      </c>
      <c r="BD21" s="11" t="n">
        <v>2.10632557652682</v>
      </c>
      <c r="BE21" s="11" t="n">
        <v>2.09621325939583</v>
      </c>
      <c r="BF21" s="11" t="n">
        <v>2.08598261230818</v>
      </c>
      <c r="BG21" s="11" t="n">
        <v>2.07566771418659</v>
      </c>
    </row>
    <row r="22" customFormat="false" ht="15" hidden="false" customHeight="false" outlineLevel="0" collapsed="false">
      <c r="A22" s="10" t="n">
        <v>-103</v>
      </c>
      <c r="B22" s="8" t="n">
        <v>44687</v>
      </c>
      <c r="C22" s="11" t="n">
        <v>1.51855715315432</v>
      </c>
      <c r="D22" s="11" t="n">
        <v>1.54865358845682</v>
      </c>
      <c r="E22" s="11" t="n">
        <v>1.57337886151269</v>
      </c>
      <c r="F22" s="11" t="n">
        <v>1.5973281050782</v>
      </c>
      <c r="G22" s="11" t="n">
        <v>1.62246208657521</v>
      </c>
      <c r="H22" s="11" t="n">
        <v>1.64946047627421</v>
      </c>
      <c r="I22" s="11" t="n">
        <v>1.67843481283427</v>
      </c>
      <c r="J22" s="11" t="n">
        <v>1.70925961143192</v>
      </c>
      <c r="K22" s="11" t="n">
        <v>1.74169356882061</v>
      </c>
      <c r="L22" s="11" t="n">
        <v>1.77543762118109</v>
      </c>
      <c r="M22" s="11" t="n">
        <v>1.81016214253158</v>
      </c>
      <c r="N22" s="11" t="n">
        <v>1.84551928264395</v>
      </c>
      <c r="O22" s="11" t="n">
        <v>1.88115125312906</v>
      </c>
      <c r="P22" s="11" t="n">
        <v>1.9166941622844</v>
      </c>
      <c r="Q22" s="11" t="n">
        <v>1.95178060773438</v>
      </c>
      <c r="R22" s="11" t="n">
        <v>1.98604702549463</v>
      </c>
      <c r="S22" s="11" t="n">
        <v>2.0191546953497</v>
      </c>
      <c r="T22" s="11" t="n">
        <v>2.05080464202804</v>
      </c>
      <c r="U22" s="11" t="n">
        <v>2.08074541830466</v>
      </c>
      <c r="V22" s="11" t="n">
        <v>2.10878871120729</v>
      </c>
      <c r="W22" s="11" t="n">
        <v>2.13480024770489</v>
      </c>
      <c r="X22" s="11" t="n">
        <v>2.15868900002135</v>
      </c>
      <c r="Y22" s="11" t="n">
        <v>2.18040195836371</v>
      </c>
      <c r="Z22" s="11" t="n">
        <v>2.19993094583074</v>
      </c>
      <c r="AA22" s="11" t="n">
        <v>2.21731245977148</v>
      </c>
      <c r="AB22" s="11" t="n">
        <v>2.23262058583543</v>
      </c>
      <c r="AC22" s="11" t="n">
        <v>2.2459484233837</v>
      </c>
      <c r="AD22" s="11" t="n">
        <v>2.2573986749689</v>
      </c>
      <c r="AE22" s="11" t="n">
        <v>2.2670819575137</v>
      </c>
      <c r="AF22" s="11" t="n">
        <v>2.27511560316376</v>
      </c>
      <c r="AG22" s="11" t="n">
        <v>2.28162170919832</v>
      </c>
      <c r="AH22" s="11" t="n">
        <v>2.28671474701699</v>
      </c>
      <c r="AI22" s="11" t="n">
        <v>2.29049784166578</v>
      </c>
      <c r="AJ22" s="11" t="n">
        <v>2.29306613453996</v>
      </c>
      <c r="AK22" s="11" t="n">
        <v>2.29450704899556</v>
      </c>
      <c r="AL22" s="11" t="n">
        <v>2.29490057933339</v>
      </c>
      <c r="AM22" s="11" t="n">
        <v>2.29431921927688</v>
      </c>
      <c r="AN22" s="11" t="n">
        <v>2.29282866873629</v>
      </c>
      <c r="AO22" s="11" t="n">
        <v>2.29048861856114</v>
      </c>
      <c r="AP22" s="11" t="n">
        <v>2.28735396727907</v>
      </c>
      <c r="AQ22" s="11" t="n">
        <v>2.28347614978824</v>
      </c>
      <c r="AR22" s="11" t="n">
        <v>2.27890389232722</v>
      </c>
      <c r="AS22" s="11" t="n">
        <v>2.27368415756601</v>
      </c>
      <c r="AT22" s="11" t="n">
        <v>2.26786253562594</v>
      </c>
      <c r="AU22" s="11" t="n">
        <v>2.26148344261083</v>
      </c>
      <c r="AV22" s="11" t="n">
        <v>2.25459028077626</v>
      </c>
      <c r="AW22" s="11" t="n">
        <v>2.24722561929012</v>
      </c>
      <c r="AX22" s="11" t="n">
        <v>2.23943141779927</v>
      </c>
      <c r="AY22" s="11" t="n">
        <v>2.23124905321194</v>
      </c>
      <c r="AZ22" s="11" t="n">
        <v>2.22271884660971</v>
      </c>
      <c r="BA22" s="11" t="n">
        <v>2.21388000490871</v>
      </c>
      <c r="BB22" s="11" t="n">
        <v>2.20477072128043</v>
      </c>
      <c r="BC22" s="11" t="n">
        <v>2.19542826398669</v>
      </c>
      <c r="BD22" s="11" t="n">
        <v>2.18588899611171</v>
      </c>
      <c r="BE22" s="11" t="n">
        <v>2.17618833514771</v>
      </c>
      <c r="BF22" s="11" t="n">
        <v>2.1663605842456</v>
      </c>
      <c r="BG22" s="11" t="n">
        <v>2.15643888144468</v>
      </c>
    </row>
    <row r="23" customFormat="false" ht="15" hidden="false" customHeight="false" outlineLevel="0" collapsed="false">
      <c r="A23" s="10" t="n">
        <v>-102</v>
      </c>
      <c r="B23" s="8" t="n">
        <v>44690</v>
      </c>
      <c r="C23" s="11" t="n">
        <v>1.4019874583805</v>
      </c>
      <c r="D23" s="11" t="n">
        <v>1.43519445974888</v>
      </c>
      <c r="E23" s="11" t="n">
        <v>1.46430719903089</v>
      </c>
      <c r="F23" s="11" t="n">
        <v>1.49299154928554</v>
      </c>
      <c r="G23" s="11" t="n">
        <v>1.52289088597238</v>
      </c>
      <c r="H23" s="11" t="n">
        <v>1.55457876326092</v>
      </c>
      <c r="I23" s="11" t="n">
        <v>1.58813718273605</v>
      </c>
      <c r="J23" s="11" t="n">
        <v>1.62343560203725</v>
      </c>
      <c r="K23" s="11" t="n">
        <v>1.66023177998238</v>
      </c>
      <c r="L23" s="11" t="n">
        <v>1.69821969532856</v>
      </c>
      <c r="M23" s="11" t="n">
        <v>1.73705512299194</v>
      </c>
      <c r="N23" s="11" t="n">
        <v>1.77636960080661</v>
      </c>
      <c r="O23" s="11" t="n">
        <v>1.81578193634964</v>
      </c>
      <c r="P23" s="11" t="n">
        <v>1.8549058741622</v>
      </c>
      <c r="Q23" s="11" t="n">
        <v>1.89335469383621</v>
      </c>
      <c r="R23" s="11" t="n">
        <v>1.93075053381229</v>
      </c>
      <c r="S23" s="11" t="n">
        <v>1.96674592726237</v>
      </c>
      <c r="T23" s="11" t="n">
        <v>2.00103836587093</v>
      </c>
      <c r="U23" s="11" t="n">
        <v>2.03337808705173</v>
      </c>
      <c r="V23" s="11" t="n">
        <v>2.06358185555224</v>
      </c>
      <c r="W23" s="11" t="n">
        <v>2.0915229322449</v>
      </c>
      <c r="X23" s="11" t="n">
        <v>2.11711978837703</v>
      </c>
      <c r="Y23" s="11" t="n">
        <v>2.14033046615823</v>
      </c>
      <c r="Z23" s="11" t="n">
        <v>2.16115877317593</v>
      </c>
      <c r="AA23" s="11" t="n">
        <v>2.17965399722144</v>
      </c>
      <c r="AB23" s="11" t="n">
        <v>2.19590418420096</v>
      </c>
      <c r="AC23" s="11" t="n">
        <v>2.2100168568256</v>
      </c>
      <c r="AD23" s="11" t="n">
        <v>2.22210927342085</v>
      </c>
      <c r="AE23" s="11" t="n">
        <v>2.23230671511183</v>
      </c>
      <c r="AF23" s="11" t="n">
        <v>2.24074127024756</v>
      </c>
      <c r="AG23" s="11" t="n">
        <v>2.24754979277808</v>
      </c>
      <c r="AH23" s="11" t="n">
        <v>2.25286080008682</v>
      </c>
      <c r="AI23" s="11" t="n">
        <v>2.25679063462668</v>
      </c>
      <c r="AJ23" s="11" t="n">
        <v>2.25944683563479</v>
      </c>
      <c r="AK23" s="11" t="n">
        <v>2.26092838380844</v>
      </c>
      <c r="AL23" s="11" t="n">
        <v>2.26132588854192</v>
      </c>
      <c r="AM23" s="11" t="n">
        <v>2.26072132928177</v>
      </c>
      <c r="AN23" s="11" t="n">
        <v>2.25918871749608</v>
      </c>
      <c r="AO23" s="11" t="n">
        <v>2.25679489815594</v>
      </c>
      <c r="AP23" s="11" t="n">
        <v>2.25360080111266</v>
      </c>
      <c r="AQ23" s="11" t="n">
        <v>2.24966275244005</v>
      </c>
      <c r="AR23" s="11" t="n">
        <v>2.24503328780576</v>
      </c>
      <c r="AS23" s="11" t="n">
        <v>2.23976209224269</v>
      </c>
      <c r="AT23" s="11" t="n">
        <v>2.23389646610314</v>
      </c>
      <c r="AU23" s="11" t="n">
        <v>2.22748161744129</v>
      </c>
      <c r="AV23" s="11" t="n">
        <v>2.22056094301541</v>
      </c>
      <c r="AW23" s="11" t="n">
        <v>2.21317637888291</v>
      </c>
      <c r="AX23" s="11" t="n">
        <v>2.20536875336841</v>
      </c>
      <c r="AY23" s="11" t="n">
        <v>2.19717799341289</v>
      </c>
      <c r="AZ23" s="11" t="n">
        <v>2.18864288941929</v>
      </c>
      <c r="BA23" s="11" t="n">
        <v>2.17980110302499</v>
      </c>
      <c r="BB23" s="11" t="n">
        <v>2.17068933771207</v>
      </c>
      <c r="BC23" s="11" t="n">
        <v>2.16134360308423</v>
      </c>
      <c r="BD23" s="11" t="n">
        <v>2.1517992828449</v>
      </c>
      <c r="BE23" s="11" t="n">
        <v>2.14209109656319</v>
      </c>
      <c r="BF23" s="11" t="n">
        <v>2.13225290628053</v>
      </c>
      <c r="BG23" s="11" t="n">
        <v>2.12231766907185</v>
      </c>
    </row>
    <row r="24" customFormat="false" ht="15" hidden="false" customHeight="false" outlineLevel="0" collapsed="false">
      <c r="A24" s="10" t="n">
        <v>-101</v>
      </c>
      <c r="B24" s="8" t="n">
        <v>44691</v>
      </c>
      <c r="C24" s="11" t="n">
        <v>1.3346364776792</v>
      </c>
      <c r="D24" s="11" t="n">
        <v>1.36303202037294</v>
      </c>
      <c r="E24" s="11" t="n">
        <v>1.38818263501168</v>
      </c>
      <c r="F24" s="11" t="n">
        <v>1.41303174763954</v>
      </c>
      <c r="G24" s="11" t="n">
        <v>1.43908158212229</v>
      </c>
      <c r="H24" s="11" t="n">
        <v>1.46696647297229</v>
      </c>
      <c r="I24" s="11" t="n">
        <v>1.49688894512151</v>
      </c>
      <c r="J24" s="11" t="n">
        <v>1.52883754298932</v>
      </c>
      <c r="K24" s="11" t="n">
        <v>1.56266337255369</v>
      </c>
      <c r="L24" s="11" t="n">
        <v>1.59811733815108</v>
      </c>
      <c r="M24" s="11" t="n">
        <v>1.6348771889747</v>
      </c>
      <c r="N24" s="11" t="n">
        <v>1.67256683280222</v>
      </c>
      <c r="O24" s="11" t="n">
        <v>1.71077534697477</v>
      </c>
      <c r="P24" s="11" t="n">
        <v>1.74907287107722</v>
      </c>
      <c r="Q24" s="11" t="n">
        <v>1.78702038867819</v>
      </c>
      <c r="R24" s="11" t="n">
        <v>1.82418374296607</v>
      </c>
      <c r="S24" s="11" t="n">
        <v>1.86015874241653</v>
      </c>
      <c r="T24" s="11" t="n">
        <v>1.89458756649568</v>
      </c>
      <c r="U24" s="11" t="n">
        <v>1.92716872240607</v>
      </c>
      <c r="V24" s="11" t="n">
        <v>1.95767574537292</v>
      </c>
      <c r="W24" s="11" t="n">
        <v>1.9859462451912</v>
      </c>
      <c r="X24" s="11" t="n">
        <v>2.01186910928543</v>
      </c>
      <c r="Y24" s="11" t="n">
        <v>2.03537861104315</v>
      </c>
      <c r="Z24" s="11" t="n">
        <v>2.05646332811335</v>
      </c>
      <c r="AA24" s="11" t="n">
        <v>2.07516577375838</v>
      </c>
      <c r="AB24" s="11" t="n">
        <v>2.09157312462484</v>
      </c>
      <c r="AC24" s="11" t="n">
        <v>2.10579514521771</v>
      </c>
      <c r="AD24" s="11" t="n">
        <v>2.11795328587178</v>
      </c>
      <c r="AE24" s="11" t="n">
        <v>2.12817865089348</v>
      </c>
      <c r="AF24" s="11" t="n">
        <v>2.13661053583792</v>
      </c>
      <c r="AG24" s="11" t="n">
        <v>2.14339403830471</v>
      </c>
      <c r="AH24" s="11" t="n">
        <v>2.14866536235469</v>
      </c>
      <c r="AI24" s="11" t="n">
        <v>2.15254762915677</v>
      </c>
      <c r="AJ24" s="11" t="n">
        <v>2.15515454855255</v>
      </c>
      <c r="AK24" s="11" t="n">
        <v>2.15659065739651</v>
      </c>
      <c r="AL24" s="11" t="n">
        <v>2.1569515320258</v>
      </c>
      <c r="AM24" s="11" t="n">
        <v>2.15632353665357</v>
      </c>
      <c r="AN24" s="11" t="n">
        <v>2.15478448644481</v>
      </c>
      <c r="AO24" s="11" t="n">
        <v>2.15240446530516</v>
      </c>
      <c r="AP24" s="11" t="n">
        <v>2.14924709970637</v>
      </c>
      <c r="AQ24" s="11" t="n">
        <v>2.14537086609912</v>
      </c>
      <c r="AR24" s="11" t="n">
        <v>2.14082995004713</v>
      </c>
      <c r="AS24" s="11" t="n">
        <v>2.13567522390586</v>
      </c>
      <c r="AT24" s="11" t="n">
        <v>2.12995474251645</v>
      </c>
      <c r="AU24" s="11" t="n">
        <v>2.12371404612614</v>
      </c>
      <c r="AV24" s="11" t="n">
        <v>2.11699647438733</v>
      </c>
      <c r="AW24" s="11" t="n">
        <v>2.10984355436207</v>
      </c>
      <c r="AX24" s="11" t="n">
        <v>2.10229540678752</v>
      </c>
      <c r="AY24" s="11" t="n">
        <v>2.09439100563186</v>
      </c>
      <c r="AZ24" s="11" t="n">
        <v>2.08616796775617</v>
      </c>
      <c r="BA24" s="11" t="n">
        <v>2.07766258191045</v>
      </c>
      <c r="BB24" s="11" t="n">
        <v>2.0689099969373</v>
      </c>
      <c r="BC24" s="11" t="n">
        <v>2.05994449775271</v>
      </c>
      <c r="BD24" s="11" t="n">
        <v>2.05079957154</v>
      </c>
      <c r="BE24" s="11" t="n">
        <v>2.04150786106335</v>
      </c>
      <c r="BF24" s="11" t="n">
        <v>2.03210097038721</v>
      </c>
      <c r="BG24" s="11" t="n">
        <v>2.02260941321032</v>
      </c>
    </row>
    <row r="25" customFormat="false" ht="15" hidden="false" customHeight="false" outlineLevel="0" collapsed="false">
      <c r="A25" s="10" t="n">
        <v>-100</v>
      </c>
      <c r="B25" s="8" t="n">
        <v>44692</v>
      </c>
      <c r="C25" s="11" t="n">
        <v>1.33515497949646</v>
      </c>
      <c r="D25" s="11" t="n">
        <v>1.35915255413882</v>
      </c>
      <c r="E25" s="11" t="n">
        <v>1.38323428575527</v>
      </c>
      <c r="F25" s="11" t="n">
        <v>1.40882415983061</v>
      </c>
      <c r="G25" s="11" t="n">
        <v>1.43658517758201</v>
      </c>
      <c r="H25" s="11" t="n">
        <v>1.46666592785666</v>
      </c>
      <c r="I25" s="11" t="n">
        <v>1.49898245341902</v>
      </c>
      <c r="J25" s="11" t="n">
        <v>1.53335396581014</v>
      </c>
      <c r="K25" s="11" t="n">
        <v>1.5695346579414</v>
      </c>
      <c r="L25" s="11" t="n">
        <v>1.60722518005157</v>
      </c>
      <c r="M25" s="11" t="n">
        <v>1.6460835106712</v>
      </c>
      <c r="N25" s="11" t="n">
        <v>1.68573515751781</v>
      </c>
      <c r="O25" s="11" t="n">
        <v>1.72578593836067</v>
      </c>
      <c r="P25" s="11" t="n">
        <v>1.76582938281819</v>
      </c>
      <c r="Q25" s="11" t="n">
        <v>1.80545079150508</v>
      </c>
      <c r="R25" s="11" t="n">
        <v>1.84423693972424</v>
      </c>
      <c r="S25" s="11" t="n">
        <v>1.88179881277052</v>
      </c>
      <c r="T25" s="11" t="n">
        <v>1.91778723588484</v>
      </c>
      <c r="U25" s="11" t="n">
        <v>1.95190389055668</v>
      </c>
      <c r="V25" s="11" t="n">
        <v>1.98392255070519</v>
      </c>
      <c r="W25" s="11" t="n">
        <v>2.01367890773085</v>
      </c>
      <c r="X25" s="11" t="n">
        <v>2.04105820723101</v>
      </c>
      <c r="Y25" s="11" t="n">
        <v>2.06599005003051</v>
      </c>
      <c r="Z25" s="11" t="n">
        <v>2.0884588186425</v>
      </c>
      <c r="AA25" s="11" t="n">
        <v>2.10850348798596</v>
      </c>
      <c r="AB25" s="11" t="n">
        <v>2.12620762500923</v>
      </c>
      <c r="AC25" s="11" t="n">
        <v>2.14167760743801</v>
      </c>
      <c r="AD25" s="11" t="n">
        <v>2.15503199825344</v>
      </c>
      <c r="AE25" s="11" t="n">
        <v>2.16639944915165</v>
      </c>
      <c r="AF25" s="11" t="n">
        <v>2.17591717195049</v>
      </c>
      <c r="AG25" s="11" t="n">
        <v>2.18372848330795</v>
      </c>
      <c r="AH25" s="11" t="n">
        <v>2.18996821445259</v>
      </c>
      <c r="AI25" s="11" t="n">
        <v>2.19475880656534</v>
      </c>
      <c r="AJ25" s="11" t="n">
        <v>2.19821424442873</v>
      </c>
      <c r="AK25" s="11" t="n">
        <v>2.20044037864355</v>
      </c>
      <c r="AL25" s="11" t="n">
        <v>2.20153509631954</v>
      </c>
      <c r="AM25" s="11" t="n">
        <v>2.20158807696906</v>
      </c>
      <c r="AN25" s="11" t="n">
        <v>2.20068132456678</v>
      </c>
      <c r="AO25" s="11" t="n">
        <v>2.1988898569721</v>
      </c>
      <c r="AP25" s="11" t="n">
        <v>2.19628285319078</v>
      </c>
      <c r="AQ25" s="11" t="n">
        <v>2.19292482627194</v>
      </c>
      <c r="AR25" s="11" t="n">
        <v>2.18887632183509</v>
      </c>
      <c r="AS25" s="11" t="n">
        <v>2.18419461194484</v>
      </c>
      <c r="AT25" s="11" t="n">
        <v>2.17893401831107</v>
      </c>
      <c r="AU25" s="11" t="n">
        <v>2.17314597289485</v>
      </c>
      <c r="AV25" s="11" t="n">
        <v>2.16687924019025</v>
      </c>
      <c r="AW25" s="11" t="n">
        <v>2.16018018177749</v>
      </c>
      <c r="AX25" s="11" t="n">
        <v>2.15309315408883</v>
      </c>
      <c r="AY25" s="11" t="n">
        <v>2.145660741524</v>
      </c>
      <c r="AZ25" s="11" t="n">
        <v>2.13792345048235</v>
      </c>
      <c r="BA25" s="11" t="n">
        <v>2.12991976471768</v>
      </c>
      <c r="BB25" s="11" t="n">
        <v>2.12168634769073</v>
      </c>
      <c r="BC25" s="11" t="n">
        <v>2.1132582502714</v>
      </c>
      <c r="BD25" s="11" t="n">
        <v>2.1046689705705</v>
      </c>
      <c r="BE25" s="11" t="n">
        <v>2.0959504153846</v>
      </c>
      <c r="BF25" s="11" t="n">
        <v>2.08713271955115</v>
      </c>
      <c r="BG25" s="11" t="n">
        <v>2.0782442156476</v>
      </c>
    </row>
    <row r="26" customFormat="false" ht="15" hidden="false" customHeight="false" outlineLevel="0" collapsed="false">
      <c r="A26" s="10" t="n">
        <v>-99</v>
      </c>
      <c r="B26" s="8" t="n">
        <v>44693</v>
      </c>
      <c r="C26" s="11" t="n">
        <v>1.22325652373081</v>
      </c>
      <c r="D26" s="11" t="n">
        <v>1.24033645950517</v>
      </c>
      <c r="E26" s="11" t="n">
        <v>1.25848780420698</v>
      </c>
      <c r="F26" s="11" t="n">
        <v>1.2785276554563</v>
      </c>
      <c r="G26" s="11" t="n">
        <v>1.30099918779073</v>
      </c>
      <c r="H26" s="11" t="n">
        <v>1.32607489571394</v>
      </c>
      <c r="I26" s="11" t="n">
        <v>1.35374331806441</v>
      </c>
      <c r="J26" s="11" t="n">
        <v>1.38390344966375</v>
      </c>
      <c r="K26" s="11" t="n">
        <v>1.41637551085411</v>
      </c>
      <c r="L26" s="11" t="n">
        <v>1.45090064928181</v>
      </c>
      <c r="M26" s="11" t="n">
        <v>1.48715190919372</v>
      </c>
      <c r="N26" s="11" t="n">
        <v>1.52474803010346</v>
      </c>
      <c r="O26" s="11" t="n">
        <v>1.56327065940439</v>
      </c>
      <c r="P26" s="11" t="n">
        <v>1.60227602017056</v>
      </c>
      <c r="Q26" s="11" t="n">
        <v>1.64130239959946</v>
      </c>
      <c r="R26" s="11" t="n">
        <v>1.67988360722101</v>
      </c>
      <c r="S26" s="11" t="n">
        <v>1.71757564806423</v>
      </c>
      <c r="T26" s="11" t="n">
        <v>1.7539751176459</v>
      </c>
      <c r="U26" s="11" t="n">
        <v>1.78873199112402</v>
      </c>
      <c r="V26" s="11" t="n">
        <v>1.82157359990083</v>
      </c>
      <c r="W26" s="11" t="n">
        <v>1.85229379084086</v>
      </c>
      <c r="X26" s="11" t="n">
        <v>1.88073964720193</v>
      </c>
      <c r="Y26" s="11" t="n">
        <v>1.90680623402347</v>
      </c>
      <c r="Z26" s="11" t="n">
        <v>1.93044886807962</v>
      </c>
      <c r="AA26" s="11" t="n">
        <v>1.95168278054765</v>
      </c>
      <c r="AB26" s="11" t="n">
        <v>1.9705717335232</v>
      </c>
      <c r="AC26" s="11" t="n">
        <v>1.98720603358345</v>
      </c>
      <c r="AD26" s="11" t="n">
        <v>2.00169167183814</v>
      </c>
      <c r="AE26" s="11" t="n">
        <v>2.01414769500403</v>
      </c>
      <c r="AF26" s="11" t="n">
        <v>2.02470422728264</v>
      </c>
      <c r="AG26" s="11" t="n">
        <v>2.03349963567891</v>
      </c>
      <c r="AH26" s="11" t="n">
        <v>2.04066579115653</v>
      </c>
      <c r="AI26" s="11" t="n">
        <v>2.04632402638212</v>
      </c>
      <c r="AJ26" s="11" t="n">
        <v>2.05058851518048</v>
      </c>
      <c r="AK26" s="11" t="n">
        <v>2.05356632041545</v>
      </c>
      <c r="AL26" s="11" t="n">
        <v>2.05535725709718</v>
      </c>
      <c r="AM26" s="11" t="n">
        <v>2.05605332759175</v>
      </c>
      <c r="AN26" s="11" t="n">
        <v>2.05573917479339</v>
      </c>
      <c r="AO26" s="11" t="n">
        <v>2.05449273707516</v>
      </c>
      <c r="AP26" s="11" t="n">
        <v>2.05238637147862</v>
      </c>
      <c r="AQ26" s="11" t="n">
        <v>2.04948800241148</v>
      </c>
      <c r="AR26" s="11" t="n">
        <v>2.04586176144454</v>
      </c>
      <c r="AS26" s="11" t="n">
        <v>2.04156857769261</v>
      </c>
      <c r="AT26" s="11" t="n">
        <v>2.03666641331256</v>
      </c>
      <c r="AU26" s="11" t="n">
        <v>2.03121018427867</v>
      </c>
      <c r="AV26" s="11" t="n">
        <v>2.02525191474514</v>
      </c>
      <c r="AW26" s="11" t="n">
        <v>2.01884089397058</v>
      </c>
      <c r="AX26" s="11" t="n">
        <v>2.01202404419954</v>
      </c>
      <c r="AY26" s="11" t="n">
        <v>2.0048461494025</v>
      </c>
      <c r="AZ26" s="11" t="n">
        <v>1.99734957744223</v>
      </c>
      <c r="BA26" s="11" t="n">
        <v>1.9895743686078</v>
      </c>
      <c r="BB26" s="11" t="n">
        <v>1.98155848003379</v>
      </c>
      <c r="BC26" s="11" t="n">
        <v>1.97333805208884</v>
      </c>
      <c r="BD26" s="11" t="n">
        <v>1.96494749070016</v>
      </c>
      <c r="BE26" s="11" t="n">
        <v>1.95641943562915</v>
      </c>
      <c r="BF26" s="11" t="n">
        <v>1.94778456949294</v>
      </c>
      <c r="BG26" s="11" t="n">
        <v>1.9390716061496</v>
      </c>
    </row>
    <row r="27" customFormat="false" ht="15" hidden="false" customHeight="false" outlineLevel="0" collapsed="false">
      <c r="A27" s="10" t="n">
        <v>-98</v>
      </c>
      <c r="B27" s="8" t="n">
        <v>44694</v>
      </c>
      <c r="C27" s="11" t="n">
        <v>1.26030302985314</v>
      </c>
      <c r="D27" s="11" t="n">
        <v>1.27668216837294</v>
      </c>
      <c r="E27" s="11" t="n">
        <v>1.29476548202433</v>
      </c>
      <c r="F27" s="11" t="n">
        <v>1.31520531602819</v>
      </c>
      <c r="G27" s="11" t="n">
        <v>1.3383802172806</v>
      </c>
      <c r="H27" s="11" t="n">
        <v>1.36433049386886</v>
      </c>
      <c r="I27" s="11" t="n">
        <v>1.39294549870142</v>
      </c>
      <c r="J27" s="11" t="n">
        <v>1.42404992161699</v>
      </c>
      <c r="K27" s="11" t="n">
        <v>1.45741086211155</v>
      </c>
      <c r="L27" s="11" t="n">
        <v>1.49273326816497</v>
      </c>
      <c r="M27" s="11" t="n">
        <v>1.52966807248065</v>
      </c>
      <c r="N27" s="11" t="n">
        <v>1.56782387193915</v>
      </c>
      <c r="O27" s="11" t="n">
        <v>1.60678041492434</v>
      </c>
      <c r="P27" s="11" t="n">
        <v>1.64609637915437</v>
      </c>
      <c r="Q27" s="11" t="n">
        <v>1.68531491441437</v>
      </c>
      <c r="R27" s="11" t="n">
        <v>1.72397756294526</v>
      </c>
      <c r="S27" s="11" t="n">
        <v>1.76165021968139</v>
      </c>
      <c r="T27" s="11" t="n">
        <v>1.79794120340488</v>
      </c>
      <c r="U27" s="11" t="n">
        <v>1.83251335611238</v>
      </c>
      <c r="V27" s="11" t="n">
        <v>1.86510727087036</v>
      </c>
      <c r="W27" s="11" t="n">
        <v>1.89553009666263</v>
      </c>
      <c r="X27" s="11" t="n">
        <v>1.92364225405456</v>
      </c>
      <c r="Y27" s="11" t="n">
        <v>1.94935217004967</v>
      </c>
      <c r="Z27" s="11" t="n">
        <v>1.97262769048294</v>
      </c>
      <c r="AA27" s="11" t="n">
        <v>1.99349497483268</v>
      </c>
      <c r="AB27" s="11" t="n">
        <v>2.01202658083541</v>
      </c>
      <c r="AC27" s="11" t="n">
        <v>2.02831937765983</v>
      </c>
      <c r="AD27" s="11" t="n">
        <v>2.04248415865759</v>
      </c>
      <c r="AE27" s="11" t="n">
        <v>2.05464330244925</v>
      </c>
      <c r="AF27" s="11" t="n">
        <v>2.06492901758046</v>
      </c>
      <c r="AG27" s="11" t="n">
        <v>2.07348060044304</v>
      </c>
      <c r="AH27" s="11" t="n">
        <v>2.08042968305884</v>
      </c>
      <c r="AI27" s="11" t="n">
        <v>2.08589678088347</v>
      </c>
      <c r="AJ27" s="11" t="n">
        <v>2.08999467043454</v>
      </c>
      <c r="AK27" s="11" t="n">
        <v>2.09282851838269</v>
      </c>
      <c r="AL27" s="11" t="n">
        <v>2.09449582159138</v>
      </c>
      <c r="AM27" s="11" t="n">
        <v>2.09508595517635</v>
      </c>
      <c r="AN27" s="11" t="n">
        <v>2.09468065330556</v>
      </c>
      <c r="AO27" s="11" t="n">
        <v>2.09335468806933</v>
      </c>
      <c r="AP27" s="11" t="n">
        <v>2.09117706469377</v>
      </c>
      <c r="AQ27" s="11" t="n">
        <v>2.08821223222579</v>
      </c>
      <c r="AR27" s="11" t="n">
        <v>2.08452078510998</v>
      </c>
      <c r="AS27" s="11" t="n">
        <v>2.08016016254232</v>
      </c>
      <c r="AT27" s="11" t="n">
        <v>2.07518493280579</v>
      </c>
      <c r="AU27" s="11" t="n">
        <v>2.06964679069812</v>
      </c>
      <c r="AV27" s="11" t="n">
        <v>2.06359475738654</v>
      </c>
      <c r="AW27" s="11" t="n">
        <v>2.05707541907816</v>
      </c>
      <c r="AX27" s="11" t="n">
        <v>2.05013329851774</v>
      </c>
      <c r="AY27" s="11" t="n">
        <v>2.0428110946209</v>
      </c>
      <c r="AZ27" s="11" t="n">
        <v>2.03514950080437</v>
      </c>
      <c r="BA27" s="11" t="n">
        <v>2.02718729441198</v>
      </c>
      <c r="BB27" s="11" t="n">
        <v>2.0189615829412</v>
      </c>
      <c r="BC27" s="11" t="n">
        <v>2.01050812536955</v>
      </c>
      <c r="BD27" s="11" t="n">
        <v>2.0018614056013</v>
      </c>
      <c r="BE27" s="11" t="n">
        <v>1.99305457544883</v>
      </c>
      <c r="BF27" s="11" t="n">
        <v>1.98411921613886</v>
      </c>
      <c r="BG27" s="11" t="n">
        <v>1.97508529002186</v>
      </c>
    </row>
    <row r="28" customFormat="false" ht="15" hidden="false" customHeight="false" outlineLevel="0" collapsed="false">
      <c r="A28" s="10" t="n">
        <v>-97</v>
      </c>
      <c r="B28" s="8" t="n">
        <v>44697</v>
      </c>
      <c r="C28" s="11" t="n">
        <v>1.26086079484419</v>
      </c>
      <c r="D28" s="11" t="n">
        <v>1.27914301123853</v>
      </c>
      <c r="E28" s="11" t="n">
        <v>1.29752472259082</v>
      </c>
      <c r="F28" s="11" t="n">
        <v>1.31746226959598</v>
      </c>
      <c r="G28" s="11" t="n">
        <v>1.33974507789677</v>
      </c>
      <c r="H28" s="11" t="n">
        <v>1.36463925327404</v>
      </c>
      <c r="I28" s="11" t="n">
        <v>1.3921673464039</v>
      </c>
      <c r="J28" s="11" t="n">
        <v>1.42223350880729</v>
      </c>
      <c r="K28" s="11" t="n">
        <v>1.45464951064912</v>
      </c>
      <c r="L28" s="11" t="n">
        <v>1.4891409499165</v>
      </c>
      <c r="M28" s="11" t="n">
        <v>1.52536335965489</v>
      </c>
      <c r="N28" s="11" t="n">
        <v>1.56291964231605</v>
      </c>
      <c r="O28" s="11" t="n">
        <v>1.60137721280721</v>
      </c>
      <c r="P28" s="11" t="n">
        <v>1.6402779034115</v>
      </c>
      <c r="Q28" s="11" t="n">
        <v>1.67914511427363</v>
      </c>
      <c r="R28" s="11" t="n">
        <v>1.71749967720976</v>
      </c>
      <c r="S28" s="11" t="n">
        <v>1.75488804845006</v>
      </c>
      <c r="T28" s="11" t="n">
        <v>1.79090204111381</v>
      </c>
      <c r="U28" s="11" t="n">
        <v>1.82519156375105</v>
      </c>
      <c r="V28" s="11" t="n">
        <v>1.85748849427857</v>
      </c>
      <c r="W28" s="11" t="n">
        <v>1.88759473050565</v>
      </c>
      <c r="X28" s="11" t="n">
        <v>1.91536821514759</v>
      </c>
      <c r="Y28" s="11" t="n">
        <v>1.94071733137985</v>
      </c>
      <c r="Z28" s="11" t="n">
        <v>1.96361237455048</v>
      </c>
      <c r="AA28" s="11" t="n">
        <v>1.98408406758705</v>
      </c>
      <c r="AB28" s="11" t="n">
        <v>2.00221090062235</v>
      </c>
      <c r="AC28" s="11" t="n">
        <v>2.0180959788531</v>
      </c>
      <c r="AD28" s="11" t="n">
        <v>2.03185632008327</v>
      </c>
      <c r="AE28" s="11" t="n">
        <v>2.04362051490869</v>
      </c>
      <c r="AF28" s="11" t="n">
        <v>2.0535269732637</v>
      </c>
      <c r="AG28" s="11" t="n">
        <v>2.06172109154496</v>
      </c>
      <c r="AH28" s="11" t="n">
        <v>2.06833979112049</v>
      </c>
      <c r="AI28" s="11" t="n">
        <v>2.0735078923005</v>
      </c>
      <c r="AJ28" s="11" t="n">
        <v>2.07734112102213</v>
      </c>
      <c r="AK28" s="11" t="n">
        <v>2.07994613109839</v>
      </c>
      <c r="AL28" s="11" t="n">
        <v>2.08142040220459</v>
      </c>
      <c r="AM28" s="11" t="n">
        <v>2.08185169518372</v>
      </c>
      <c r="AN28" s="11" t="n">
        <v>2.0813187098168</v>
      </c>
      <c r="AO28" s="11" t="n">
        <v>2.07989195587924</v>
      </c>
      <c r="AP28" s="11" t="n">
        <v>2.07763520298839</v>
      </c>
      <c r="AQ28" s="11" t="n">
        <v>2.07460694819789</v>
      </c>
      <c r="AR28" s="11" t="n">
        <v>2.07086133703457</v>
      </c>
      <c r="AS28" s="11" t="n">
        <v>2.06644919988295</v>
      </c>
      <c r="AT28" s="11" t="n">
        <v>2.06141851278464</v>
      </c>
      <c r="AU28" s="11" t="n">
        <v>2.05581461263203</v>
      </c>
      <c r="AV28" s="11" t="n">
        <v>2.04968051126008</v>
      </c>
      <c r="AW28" s="11" t="n">
        <v>2.04305731690929</v>
      </c>
      <c r="AX28" s="11" t="n">
        <v>2.03598467229886</v>
      </c>
      <c r="AY28" s="11" t="n">
        <v>2.02850109725702</v>
      </c>
      <c r="AZ28" s="11" t="n">
        <v>2.02064396000718</v>
      </c>
      <c r="BA28" s="11" t="n">
        <v>2.01244954350388</v>
      </c>
      <c r="BB28" s="11" t="n">
        <v>2.0039532922165</v>
      </c>
      <c r="BC28" s="11" t="n">
        <v>1.99519024096202</v>
      </c>
      <c r="BD28" s="11" t="n">
        <v>1.98619507973606</v>
      </c>
      <c r="BE28" s="11" t="n">
        <v>1.9770020554212</v>
      </c>
      <c r="BF28" s="11" t="n">
        <v>1.96764466458555</v>
      </c>
      <c r="BG28" s="11" t="n">
        <v>1.95815554894264</v>
      </c>
    </row>
    <row r="29" customFormat="false" ht="15" hidden="false" customHeight="false" outlineLevel="0" collapsed="false">
      <c r="A29" s="10" t="n">
        <v>-96</v>
      </c>
      <c r="B29" s="8" t="n">
        <v>44698</v>
      </c>
      <c r="C29" s="11" t="n">
        <v>1.45560928570582</v>
      </c>
      <c r="D29" s="11" t="n">
        <v>1.47388207445954</v>
      </c>
      <c r="E29" s="11" t="n">
        <v>1.48980677174345</v>
      </c>
      <c r="F29" s="11" t="n">
        <v>1.50623095702485</v>
      </c>
      <c r="G29" s="11" t="n">
        <v>1.52445769875387</v>
      </c>
      <c r="H29" s="11" t="n">
        <v>1.54497767508582</v>
      </c>
      <c r="I29" s="11" t="n">
        <v>1.56794505376197</v>
      </c>
      <c r="J29" s="11" t="n">
        <v>1.59336739571253</v>
      </c>
      <c r="K29" s="11" t="n">
        <v>1.62114951592426</v>
      </c>
      <c r="L29" s="11" t="n">
        <v>1.65110060669976</v>
      </c>
      <c r="M29" s="11" t="n">
        <v>1.68294160261253</v>
      </c>
      <c r="N29" s="11" t="n">
        <v>1.71631970768663</v>
      </c>
      <c r="O29" s="11" t="n">
        <v>1.75082800804553</v>
      </c>
      <c r="P29" s="11" t="n">
        <v>1.78601974590366</v>
      </c>
      <c r="Q29" s="11" t="n">
        <v>1.82141943509361</v>
      </c>
      <c r="R29" s="11" t="n">
        <v>1.85654227225477</v>
      </c>
      <c r="S29" s="11" t="n">
        <v>1.89092592635717</v>
      </c>
      <c r="T29" s="11" t="n">
        <v>1.92415308838282</v>
      </c>
      <c r="U29" s="11" t="n">
        <v>1.95586502135311</v>
      </c>
      <c r="V29" s="11" t="n">
        <v>1.98578516091186</v>
      </c>
      <c r="W29" s="11" t="n">
        <v>2.01370701553741</v>
      </c>
      <c r="X29" s="11" t="n">
        <v>2.03948018212799</v>
      </c>
      <c r="Y29" s="11" t="n">
        <v>2.06300473598564</v>
      </c>
      <c r="Z29" s="11" t="n">
        <v>2.08424242696922</v>
      </c>
      <c r="AA29" s="11" t="n">
        <v>2.10321480437333</v>
      </c>
      <c r="AB29" s="11" t="n">
        <v>2.11999015970215</v>
      </c>
      <c r="AC29" s="11" t="n">
        <v>2.13466074015065</v>
      </c>
      <c r="AD29" s="11" t="n">
        <v>2.14733237866928</v>
      </c>
      <c r="AE29" s="11" t="n">
        <v>2.15812221462909</v>
      </c>
      <c r="AF29" s="11" t="n">
        <v>2.1671569807277</v>
      </c>
      <c r="AG29" s="11" t="n">
        <v>2.17457022566398</v>
      </c>
      <c r="AH29" s="11" t="n">
        <v>2.18048738842872</v>
      </c>
      <c r="AI29" s="11" t="n">
        <v>2.185022493433</v>
      </c>
      <c r="AJ29" s="11" t="n">
        <v>2.18828113050075</v>
      </c>
      <c r="AK29" s="11" t="n">
        <v>2.19036051216358</v>
      </c>
      <c r="AL29" s="11" t="n">
        <v>2.19134946115524</v>
      </c>
      <c r="AM29" s="11" t="n">
        <v>2.19132802950356</v>
      </c>
      <c r="AN29" s="11" t="n">
        <v>2.19036816650548</v>
      </c>
      <c r="AO29" s="11" t="n">
        <v>2.18853454318843</v>
      </c>
      <c r="AP29" s="11" t="n">
        <v>2.18588582727464</v>
      </c>
      <c r="AQ29" s="11" t="n">
        <v>2.18247595924885</v>
      </c>
      <c r="AR29" s="11" t="n">
        <v>2.17835495973544</v>
      </c>
      <c r="AS29" s="11" t="n">
        <v>2.17356982619907</v>
      </c>
      <c r="AT29" s="11" t="n">
        <v>2.16816496773795</v>
      </c>
      <c r="AU29" s="11" t="n">
        <v>2.16218246568667</v>
      </c>
      <c r="AV29" s="11" t="n">
        <v>2.15566238984189</v>
      </c>
      <c r="AW29" s="11" t="n">
        <v>2.14864322366936</v>
      </c>
      <c r="AX29" s="11" t="n">
        <v>2.14116224987587</v>
      </c>
      <c r="AY29" s="11" t="n">
        <v>2.1332558870721</v>
      </c>
      <c r="AZ29" s="11" t="n">
        <v>2.12495978585266</v>
      </c>
      <c r="BA29" s="11" t="n">
        <v>2.11630890036788</v>
      </c>
      <c r="BB29" s="11" t="n">
        <v>2.10733775205617</v>
      </c>
      <c r="BC29" s="11" t="n">
        <v>2.09808094444063</v>
      </c>
      <c r="BD29" s="11" t="n">
        <v>2.08857326214312</v>
      </c>
      <c r="BE29" s="11" t="n">
        <v>2.07884959825969</v>
      </c>
      <c r="BF29" s="11" t="n">
        <v>2.06894465363661</v>
      </c>
      <c r="BG29" s="11" t="n">
        <v>2.05889282455571</v>
      </c>
    </row>
    <row r="30" customFormat="false" ht="15" hidden="false" customHeight="false" outlineLevel="0" collapsed="false">
      <c r="A30" s="10" t="n">
        <v>-95</v>
      </c>
      <c r="B30" s="8" t="n">
        <v>44699</v>
      </c>
      <c r="C30" s="11" t="n">
        <v>1.46848916115815</v>
      </c>
      <c r="D30" s="11" t="n">
        <v>1.4865730184658</v>
      </c>
      <c r="E30" s="11" t="n">
        <v>1.5012954727607</v>
      </c>
      <c r="F30" s="11" t="n">
        <v>1.51594485452756</v>
      </c>
      <c r="G30" s="11" t="n">
        <v>1.5320149473163</v>
      </c>
      <c r="H30" s="11" t="n">
        <v>1.55009263028803</v>
      </c>
      <c r="I30" s="11" t="n">
        <v>1.57039326328877</v>
      </c>
      <c r="J30" s="11" t="n">
        <v>1.59297889145197</v>
      </c>
      <c r="K30" s="11" t="n">
        <v>1.61781589810816</v>
      </c>
      <c r="L30" s="11" t="n">
        <v>1.64478813086604</v>
      </c>
      <c r="M30" s="11" t="n">
        <v>1.6736986371743</v>
      </c>
      <c r="N30" s="11" t="n">
        <v>1.70427762724002</v>
      </c>
      <c r="O30" s="11" t="n">
        <v>1.73619539159059</v>
      </c>
      <c r="P30" s="11" t="n">
        <v>1.76907037404598</v>
      </c>
      <c r="Q30" s="11" t="n">
        <v>1.80247827412994</v>
      </c>
      <c r="R30" s="11" t="n">
        <v>1.83596901402498</v>
      </c>
      <c r="S30" s="11" t="n">
        <v>1.86909745419109</v>
      </c>
      <c r="T30" s="11" t="n">
        <v>1.90144589667167</v>
      </c>
      <c r="U30" s="11" t="n">
        <v>1.93263974444335</v>
      </c>
      <c r="V30" s="11" t="n">
        <v>1.96237667095648</v>
      </c>
      <c r="W30" s="11" t="n">
        <v>1.99041690260893</v>
      </c>
      <c r="X30" s="11" t="n">
        <v>2.0165707447893</v>
      </c>
      <c r="Y30" s="11" t="n">
        <v>2.04069500835829</v>
      </c>
      <c r="Z30" s="11" t="n">
        <v>2.06270812150114</v>
      </c>
      <c r="AA30" s="11" t="n">
        <v>2.08258963716848</v>
      </c>
      <c r="AB30" s="11" t="n">
        <v>2.10036790863295</v>
      </c>
      <c r="AC30" s="11" t="n">
        <v>2.1160996910795</v>
      </c>
      <c r="AD30" s="11" t="n">
        <v>2.1298602540962</v>
      </c>
      <c r="AE30" s="11" t="n">
        <v>2.14174036414268</v>
      </c>
      <c r="AF30" s="11" t="n">
        <v>2.15184393653922</v>
      </c>
      <c r="AG30" s="11" t="n">
        <v>2.16028487137241</v>
      </c>
      <c r="AH30" s="11" t="n">
        <v>2.16717329322919</v>
      </c>
      <c r="AI30" s="11" t="n">
        <v>2.17261218491071</v>
      </c>
      <c r="AJ30" s="11" t="n">
        <v>2.17669928153182</v>
      </c>
      <c r="AK30" s="11" t="n">
        <v>2.17952669196573</v>
      </c>
      <c r="AL30" s="11" t="n">
        <v>2.18118036675334</v>
      </c>
      <c r="AM30" s="11" t="n">
        <v>2.1817392140254</v>
      </c>
      <c r="AN30" s="11" t="n">
        <v>2.18127536861986</v>
      </c>
      <c r="AO30" s="11" t="n">
        <v>2.17985473297893</v>
      </c>
      <c r="AP30" s="11" t="n">
        <v>2.17753806615675</v>
      </c>
      <c r="AQ30" s="11" t="n">
        <v>2.17438207987077</v>
      </c>
      <c r="AR30" s="11" t="n">
        <v>2.17044016004697</v>
      </c>
      <c r="AS30" s="11" t="n">
        <v>2.16576319581363</v>
      </c>
      <c r="AT30" s="11" t="n">
        <v>2.16039989959055</v>
      </c>
      <c r="AU30" s="11" t="n">
        <v>2.1543968909769</v>
      </c>
      <c r="AV30" s="11" t="n">
        <v>2.14779889849838</v>
      </c>
      <c r="AW30" s="11" t="n">
        <v>2.14064902197012</v>
      </c>
      <c r="AX30" s="11" t="n">
        <v>2.13298906383267</v>
      </c>
      <c r="AY30" s="11" t="n">
        <v>2.1248598498523</v>
      </c>
      <c r="AZ30" s="11" t="n">
        <v>2.11630132835332</v>
      </c>
      <c r="BA30" s="11" t="n">
        <v>2.10735265114107</v>
      </c>
      <c r="BB30" s="11" t="n">
        <v>2.09805244791472</v>
      </c>
      <c r="BC30" s="11" t="n">
        <v>2.08843934676685</v>
      </c>
      <c r="BD30" s="11" t="n">
        <v>2.07855207600003</v>
      </c>
      <c r="BE30" s="11" t="n">
        <v>2.06842939222686</v>
      </c>
      <c r="BF30" s="11" t="n">
        <v>2.05810976372501</v>
      </c>
      <c r="BG30" s="11" t="n">
        <v>2.04763125251887</v>
      </c>
    </row>
    <row r="31" customFormat="false" ht="15" hidden="false" customHeight="false" outlineLevel="0" collapsed="false">
      <c r="A31" s="10" t="n">
        <v>-94</v>
      </c>
      <c r="B31" s="8" t="n">
        <v>44700</v>
      </c>
      <c r="C31" s="11" t="n">
        <v>1.50215893027114</v>
      </c>
      <c r="D31" s="11" t="n">
        <v>1.51641521546139</v>
      </c>
      <c r="E31" s="11" t="n">
        <v>1.52697442521909</v>
      </c>
      <c r="F31" s="11" t="n">
        <v>1.53771592211062</v>
      </c>
      <c r="G31" s="11" t="n">
        <v>1.55036209940453</v>
      </c>
      <c r="H31" s="11" t="n">
        <v>1.56555552435126</v>
      </c>
      <c r="I31" s="11" t="n">
        <v>1.58348057697224</v>
      </c>
      <c r="J31" s="11" t="n">
        <v>1.60413116942362</v>
      </c>
      <c r="K31" s="11" t="n">
        <v>1.62739449708878</v>
      </c>
      <c r="L31" s="11" t="n">
        <v>1.65308048845385</v>
      </c>
      <c r="M31" s="11" t="n">
        <v>1.68093052921498</v>
      </c>
      <c r="N31" s="11" t="n">
        <v>1.71062761097748</v>
      </c>
      <c r="O31" s="11" t="n">
        <v>1.74180704362806</v>
      </c>
      <c r="P31" s="11" t="n">
        <v>1.7740616937644</v>
      </c>
      <c r="Q31" s="11" t="n">
        <v>1.80694881790685</v>
      </c>
      <c r="R31" s="11" t="n">
        <v>1.84000569471862</v>
      </c>
      <c r="S31" s="11" t="n">
        <v>1.87277854153358</v>
      </c>
      <c r="T31" s="11" t="n">
        <v>1.90484353545813</v>
      </c>
      <c r="U31" s="11" t="n">
        <v>1.93582115260662</v>
      </c>
      <c r="V31" s="11" t="n">
        <v>1.96540378804993</v>
      </c>
      <c r="W31" s="11" t="n">
        <v>1.99334586599315</v>
      </c>
      <c r="X31" s="11" t="n">
        <v>2.01945147181194</v>
      </c>
      <c r="Y31" s="11" t="n">
        <v>2.04357082235966</v>
      </c>
      <c r="Z31" s="11" t="n">
        <v>2.06561499793544</v>
      </c>
      <c r="AA31" s="11" t="n">
        <v>2.08555548024706</v>
      </c>
      <c r="AB31" s="11" t="n">
        <v>2.10341254741656</v>
      </c>
      <c r="AC31" s="11" t="n">
        <v>2.11923564908052</v>
      </c>
      <c r="AD31" s="11" t="n">
        <v>2.13309373226054</v>
      </c>
      <c r="AE31" s="11" t="n">
        <v>2.14507208097046</v>
      </c>
      <c r="AF31" s="11" t="n">
        <v>2.15526984091458</v>
      </c>
      <c r="AG31" s="11" t="n">
        <v>2.16379677427632</v>
      </c>
      <c r="AH31" s="11" t="n">
        <v>2.17075989042875</v>
      </c>
      <c r="AI31" s="11" t="n">
        <v>2.17626024669202</v>
      </c>
      <c r="AJ31" s="11" t="n">
        <v>2.18039461683875</v>
      </c>
      <c r="AK31" s="11" t="n">
        <v>2.18325502637898</v>
      </c>
      <c r="AL31" s="11" t="n">
        <v>2.18492809415247</v>
      </c>
      <c r="AM31" s="11" t="n">
        <v>2.18549405238442</v>
      </c>
      <c r="AN31" s="11" t="n">
        <v>2.18502693732567</v>
      </c>
      <c r="AO31" s="11" t="n">
        <v>2.18359506485401</v>
      </c>
      <c r="AP31" s="11" t="n">
        <v>2.18126207110311</v>
      </c>
      <c r="AQ31" s="11" t="n">
        <v>2.17808796339075</v>
      </c>
      <c r="AR31" s="11" t="n">
        <v>2.17412977254284</v>
      </c>
      <c r="AS31" s="11" t="n">
        <v>2.1694422856246</v>
      </c>
      <c r="AT31" s="11" t="n">
        <v>2.1640782751401</v>
      </c>
      <c r="AU31" s="11" t="n">
        <v>2.1580884543571</v>
      </c>
      <c r="AV31" s="11" t="n">
        <v>2.15152159489748</v>
      </c>
      <c r="AW31" s="11" t="n">
        <v>2.14442465342221</v>
      </c>
      <c r="AX31" s="11" t="n">
        <v>2.13684303037352</v>
      </c>
      <c r="AY31" s="11" t="n">
        <v>2.12882075390694</v>
      </c>
      <c r="AZ31" s="11" t="n">
        <v>2.12040039770416</v>
      </c>
      <c r="BA31" s="11" t="n">
        <v>2.11162316270125</v>
      </c>
      <c r="BB31" s="11" t="n">
        <v>2.10252912209259</v>
      </c>
      <c r="BC31" s="11" t="n">
        <v>2.09315759899764</v>
      </c>
      <c r="BD31" s="11" t="n">
        <v>2.08354725380435</v>
      </c>
      <c r="BE31" s="11" t="n">
        <v>2.07373603745675</v>
      </c>
      <c r="BF31" s="11" t="n">
        <v>2.06376092672807</v>
      </c>
      <c r="BG31" s="11" t="n">
        <v>2.05365785209378</v>
      </c>
    </row>
    <row r="32" customFormat="false" ht="15" hidden="false" customHeight="false" outlineLevel="0" collapsed="false">
      <c r="A32" s="10" t="n">
        <v>-93</v>
      </c>
      <c r="B32" s="8" t="n">
        <v>44701</v>
      </c>
      <c r="C32" s="11" t="n">
        <v>1.51569352979109</v>
      </c>
      <c r="D32" s="11" t="n">
        <v>1.52907893056885</v>
      </c>
      <c r="E32" s="11" t="n">
        <v>1.53957261300078</v>
      </c>
      <c r="F32" s="11" t="n">
        <v>1.55077879427384</v>
      </c>
      <c r="G32" s="11" t="n">
        <v>1.56426289273394</v>
      </c>
      <c r="H32" s="11" t="n">
        <v>1.58056027210269</v>
      </c>
      <c r="I32" s="11" t="n">
        <v>1.59976746980214</v>
      </c>
      <c r="J32" s="11" t="n">
        <v>1.62180398398318</v>
      </c>
      <c r="K32" s="11" t="n">
        <v>1.64649034621629</v>
      </c>
      <c r="L32" s="11" t="n">
        <v>1.67358039955029</v>
      </c>
      <c r="M32" s="11" t="n">
        <v>1.70277214702401</v>
      </c>
      <c r="N32" s="11" t="n">
        <v>1.73371798370388</v>
      </c>
      <c r="O32" s="11" t="n">
        <v>1.76603369808963</v>
      </c>
      <c r="P32" s="11" t="n">
        <v>1.79930202836821</v>
      </c>
      <c r="Q32" s="11" t="n">
        <v>1.83307757359671</v>
      </c>
      <c r="R32" s="11" t="n">
        <v>1.86690172716229</v>
      </c>
      <c r="S32" s="11" t="n">
        <v>1.90032954741841</v>
      </c>
      <c r="T32" s="11" t="n">
        <v>1.9329492730252</v>
      </c>
      <c r="U32" s="11" t="n">
        <v>1.96439543309718</v>
      </c>
      <c r="V32" s="11" t="n">
        <v>1.9943741418761</v>
      </c>
      <c r="W32" s="11" t="n">
        <v>2.02265280721797</v>
      </c>
      <c r="X32" s="11" t="n">
        <v>2.04904791323831</v>
      </c>
      <c r="Y32" s="11" t="n">
        <v>2.07342142985768</v>
      </c>
      <c r="Z32" s="11" t="n">
        <v>2.09569412414777</v>
      </c>
      <c r="AA32" s="11" t="n">
        <v>2.11584475509869</v>
      </c>
      <c r="AB32" s="11" t="n">
        <v>2.13389920939969</v>
      </c>
      <c r="AC32" s="11" t="n">
        <v>2.14991103104906</v>
      </c>
      <c r="AD32" s="11" t="n">
        <v>2.16395207395184</v>
      </c>
      <c r="AE32" s="11" t="n">
        <v>2.17610953703571</v>
      </c>
      <c r="AF32" s="11" t="n">
        <v>2.18648363924756</v>
      </c>
      <c r="AG32" s="11" t="n">
        <v>2.19518440566416</v>
      </c>
      <c r="AH32" s="11" t="n">
        <v>2.20231821409552</v>
      </c>
      <c r="AI32" s="11" t="n">
        <v>2.20798503762316</v>
      </c>
      <c r="AJ32" s="11" t="n">
        <v>2.21228015303635</v>
      </c>
      <c r="AK32" s="11" t="n">
        <v>2.21529376818303</v>
      </c>
      <c r="AL32" s="11" t="n">
        <v>2.21711045355037</v>
      </c>
      <c r="AM32" s="11" t="n">
        <v>2.21780831748284</v>
      </c>
      <c r="AN32" s="11" t="n">
        <v>2.21745933486622</v>
      </c>
      <c r="AO32" s="11" t="n">
        <v>2.21612991096421</v>
      </c>
      <c r="AP32" s="11" t="n">
        <v>2.21388203333582</v>
      </c>
      <c r="AQ32" s="11" t="n">
        <v>2.21077443202433</v>
      </c>
      <c r="AR32" s="11" t="n">
        <v>2.20686326212532</v>
      </c>
      <c r="AS32" s="11" t="n">
        <v>2.20220290251572</v>
      </c>
      <c r="AT32" s="11" t="n">
        <v>2.19684614893009</v>
      </c>
      <c r="AU32" s="11" t="n">
        <v>2.19084411484208</v>
      </c>
      <c r="AV32" s="11" t="n">
        <v>2.18424629583976</v>
      </c>
      <c r="AW32" s="11" t="n">
        <v>2.17710062869834</v>
      </c>
      <c r="AX32" s="11" t="n">
        <v>2.16945369582729</v>
      </c>
      <c r="AY32" s="11" t="n">
        <v>2.16135083438946</v>
      </c>
      <c r="AZ32" s="11" t="n">
        <v>2.1528359910126</v>
      </c>
      <c r="BA32" s="11" t="n">
        <v>2.14395178871787</v>
      </c>
      <c r="BB32" s="11" t="n">
        <v>2.13473975165417</v>
      </c>
      <c r="BC32" s="11" t="n">
        <v>2.12524063445749</v>
      </c>
      <c r="BD32" s="11" t="n">
        <v>2.1154944964543</v>
      </c>
      <c r="BE32" s="11" t="n">
        <v>2.10554065393224</v>
      </c>
      <c r="BF32" s="11" t="n">
        <v>2.09541739781304</v>
      </c>
      <c r="BG32" s="11" t="n">
        <v>2.08516193238586</v>
      </c>
    </row>
    <row r="33" customFormat="false" ht="15" hidden="false" customHeight="false" outlineLevel="0" collapsed="false">
      <c r="A33" s="10" t="n">
        <v>-92</v>
      </c>
      <c r="B33" s="8" t="n">
        <v>44704</v>
      </c>
      <c r="C33" s="11" t="n">
        <v>1.58795342680949</v>
      </c>
      <c r="D33" s="11" t="n">
        <v>1.60212100846217</v>
      </c>
      <c r="E33" s="11" t="n">
        <v>1.61324386535428</v>
      </c>
      <c r="F33" s="11" t="n">
        <v>1.6252646465962</v>
      </c>
      <c r="G33" s="11" t="n">
        <v>1.63981938239995</v>
      </c>
      <c r="H33" s="11" t="n">
        <v>1.65741335942197</v>
      </c>
      <c r="I33" s="11" t="n">
        <v>1.67807206644341</v>
      </c>
      <c r="J33" s="11" t="n">
        <v>1.70163264475986</v>
      </c>
      <c r="K33" s="11" t="n">
        <v>1.72783357660924</v>
      </c>
      <c r="L33" s="11" t="n">
        <v>1.7563534893116</v>
      </c>
      <c r="M33" s="11" t="n">
        <v>1.78682603053814</v>
      </c>
      <c r="N33" s="11" t="n">
        <v>1.81885194743046</v>
      </c>
      <c r="O33" s="11" t="n">
        <v>1.85200915166744</v>
      </c>
      <c r="P33" s="11" t="n">
        <v>1.88585713715503</v>
      </c>
      <c r="Q33" s="11" t="n">
        <v>1.91994161981273</v>
      </c>
      <c r="R33" s="11" t="n">
        <v>1.95380875447762</v>
      </c>
      <c r="S33" s="11" t="n">
        <v>1.98702891816327</v>
      </c>
      <c r="T33" s="11" t="n">
        <v>2.01921428374099</v>
      </c>
      <c r="U33" s="11" t="n">
        <v>2.05002904319323</v>
      </c>
      <c r="V33" s="11" t="n">
        <v>2.07921082598611</v>
      </c>
      <c r="W33" s="11" t="n">
        <v>2.10655961656461</v>
      </c>
      <c r="X33" s="11" t="n">
        <v>2.13192532172075</v>
      </c>
      <c r="Y33" s="11" t="n">
        <v>2.15520338504998</v>
      </c>
      <c r="Z33" s="11" t="n">
        <v>2.17634548727966</v>
      </c>
      <c r="AA33" s="11" t="n">
        <v>2.19535801567006</v>
      </c>
      <c r="AB33" s="11" t="n">
        <v>2.21229112367941</v>
      </c>
      <c r="AC33" s="11" t="n">
        <v>2.22721809735841</v>
      </c>
      <c r="AD33" s="11" t="n">
        <v>2.24022612694227</v>
      </c>
      <c r="AE33" s="11" t="n">
        <v>2.25141402032313</v>
      </c>
      <c r="AF33" s="11" t="n">
        <v>2.260890442799</v>
      </c>
      <c r="AG33" s="11" t="n">
        <v>2.26877105034253</v>
      </c>
      <c r="AH33" s="11" t="n">
        <v>2.27516458561156</v>
      </c>
      <c r="AI33" s="11" t="n">
        <v>2.28017056276605</v>
      </c>
      <c r="AJ33" s="11" t="n">
        <v>2.28388178557687</v>
      </c>
      <c r="AK33" s="11" t="n">
        <v>2.28638436600449</v>
      </c>
      <c r="AL33" s="11" t="n">
        <v>2.28775759824482</v>
      </c>
      <c r="AM33" s="11" t="n">
        <v>2.28807360809151</v>
      </c>
      <c r="AN33" s="11" t="n">
        <v>2.28739798213693</v>
      </c>
      <c r="AO33" s="11" t="n">
        <v>2.28579051617334</v>
      </c>
      <c r="AP33" s="11" t="n">
        <v>2.2833065297017</v>
      </c>
      <c r="AQ33" s="11" t="n">
        <v>2.27999818870404</v>
      </c>
      <c r="AR33" s="11" t="n">
        <v>2.27591526473358</v>
      </c>
      <c r="AS33" s="11" t="n">
        <v>2.27110606062192</v>
      </c>
      <c r="AT33" s="11" t="n">
        <v>2.26561766166247</v>
      </c>
      <c r="AU33" s="11" t="n">
        <v>2.2594959322012</v>
      </c>
      <c r="AV33" s="11" t="n">
        <v>2.25278559872461</v>
      </c>
      <c r="AW33" s="11" t="n">
        <v>2.24553034442907</v>
      </c>
      <c r="AX33" s="11" t="n">
        <v>2.23777299737806</v>
      </c>
      <c r="AY33" s="11" t="n">
        <v>2.22955563479777</v>
      </c>
      <c r="AZ33" s="11" t="n">
        <v>2.22091946031093</v>
      </c>
      <c r="BA33" s="11" t="n">
        <v>2.21190484009967</v>
      </c>
      <c r="BB33" s="11" t="n">
        <v>2.20255150549278</v>
      </c>
      <c r="BC33" s="11" t="n">
        <v>2.19289888760631</v>
      </c>
      <c r="BD33" s="11" t="n">
        <v>2.18298617716854</v>
      </c>
      <c r="BE33" s="11" t="n">
        <v>2.17285226075181</v>
      </c>
      <c r="BF33" s="11" t="n">
        <v>2.16253541851162</v>
      </c>
      <c r="BG33" s="11" t="n">
        <v>2.15207323870944</v>
      </c>
    </row>
    <row r="34" customFormat="false" ht="15" hidden="false" customHeight="false" outlineLevel="0" collapsed="false">
      <c r="A34" s="10" t="n">
        <v>-91</v>
      </c>
      <c r="B34" s="8" t="n">
        <v>44705</v>
      </c>
      <c r="C34" s="11" t="n">
        <v>1.44338117675964</v>
      </c>
      <c r="D34" s="11" t="n">
        <v>1.45833104908232</v>
      </c>
      <c r="E34" s="11" t="n">
        <v>1.47150536863286</v>
      </c>
      <c r="F34" s="11" t="n">
        <v>1.48608803159783</v>
      </c>
      <c r="G34" s="11" t="n">
        <v>1.50338551130746</v>
      </c>
      <c r="H34" s="11" t="n">
        <v>1.52374281542305</v>
      </c>
      <c r="I34" s="11" t="n">
        <v>1.5471061346216</v>
      </c>
      <c r="J34" s="11" t="n">
        <v>1.57327638286474</v>
      </c>
      <c r="K34" s="11" t="n">
        <v>1.60198055777713</v>
      </c>
      <c r="L34" s="11" t="n">
        <v>1.63290076447665</v>
      </c>
      <c r="M34" s="11" t="n">
        <v>1.66568242616784</v>
      </c>
      <c r="N34" s="11" t="n">
        <v>1.69994139292471</v>
      </c>
      <c r="O34" s="11" t="n">
        <v>1.73527091273552</v>
      </c>
      <c r="P34" s="11" t="n">
        <v>1.7712433311359</v>
      </c>
      <c r="Q34" s="11" t="n">
        <v>1.80741371827626</v>
      </c>
      <c r="R34" s="11" t="n">
        <v>1.84333326215714</v>
      </c>
      <c r="S34" s="11" t="n">
        <v>1.87857261452081</v>
      </c>
      <c r="T34" s="11" t="n">
        <v>1.91274012397631</v>
      </c>
      <c r="U34" s="11" t="n">
        <v>1.94549330747572</v>
      </c>
      <c r="V34" s="11" t="n">
        <v>1.97656151631953</v>
      </c>
      <c r="W34" s="11" t="n">
        <v>2.00573520377498</v>
      </c>
      <c r="X34" s="11" t="n">
        <v>2.03285374750406</v>
      </c>
      <c r="Y34" s="11" t="n">
        <v>2.05780164333111</v>
      </c>
      <c r="Z34" s="11" t="n">
        <v>2.0805204410701</v>
      </c>
      <c r="AA34" s="11" t="n">
        <v>2.10100765557875</v>
      </c>
      <c r="AB34" s="11" t="n">
        <v>2.11930635677878</v>
      </c>
      <c r="AC34" s="11" t="n">
        <v>2.13548546815275</v>
      </c>
      <c r="AD34" s="11" t="n">
        <v>2.14963060647532</v>
      </c>
      <c r="AE34" s="11" t="n">
        <v>2.16184137261309</v>
      </c>
      <c r="AF34" s="11" t="n">
        <v>2.17222923272285</v>
      </c>
      <c r="AG34" s="11" t="n">
        <v>2.18091438153661</v>
      </c>
      <c r="AH34" s="11" t="n">
        <v>2.18801203371182</v>
      </c>
      <c r="AI34" s="11" t="n">
        <v>2.19362987078944</v>
      </c>
      <c r="AJ34" s="11" t="n">
        <v>2.19786969567809</v>
      </c>
      <c r="AK34" s="11" t="n">
        <v>2.20082713805305</v>
      </c>
      <c r="AL34" s="11" t="n">
        <v>2.20259112047408</v>
      </c>
      <c r="AM34" s="11" t="n">
        <v>2.2032430746798</v>
      </c>
      <c r="AN34" s="11" t="n">
        <v>2.20285741183201</v>
      </c>
      <c r="AO34" s="11" t="n">
        <v>2.20150222235144</v>
      </c>
      <c r="AP34" s="11" t="n">
        <v>2.19924065152186</v>
      </c>
      <c r="AQ34" s="11" t="n">
        <v>2.19613227302217</v>
      </c>
      <c r="AR34" s="11" t="n">
        <v>2.19223390060396</v>
      </c>
      <c r="AS34" s="11" t="n">
        <v>2.18760056031247</v>
      </c>
      <c r="AT34" s="11" t="n">
        <v>2.18228570091183</v>
      </c>
      <c r="AU34" s="11" t="n">
        <v>2.17634106565271</v>
      </c>
      <c r="AV34" s="11" t="n">
        <v>2.16981672683548</v>
      </c>
      <c r="AW34" s="11" t="n">
        <v>2.1627610864827</v>
      </c>
      <c r="AX34" s="11" t="n">
        <v>2.15522106165146</v>
      </c>
      <c r="AY34" s="11" t="n">
        <v>2.14724215713002</v>
      </c>
      <c r="AZ34" s="11" t="n">
        <v>2.13886827678227</v>
      </c>
      <c r="BA34" s="11" t="n">
        <v>2.13014179852751</v>
      </c>
      <c r="BB34" s="11" t="n">
        <v>2.12110380090047</v>
      </c>
      <c r="BC34" s="11" t="n">
        <v>2.11179436724142</v>
      </c>
      <c r="BD34" s="11" t="n">
        <v>2.10225265103163</v>
      </c>
      <c r="BE34" s="11" t="n">
        <v>2.09251682302983</v>
      </c>
      <c r="BF34" s="11" t="n">
        <v>2.08262377912963</v>
      </c>
      <c r="BG34" s="11" t="n">
        <v>2.07260907641908</v>
      </c>
    </row>
    <row r="35" customFormat="false" ht="15" hidden="false" customHeight="false" outlineLevel="0" collapsed="false">
      <c r="A35" s="10" t="n">
        <v>-90</v>
      </c>
      <c r="B35" s="8" t="n">
        <v>44706</v>
      </c>
      <c r="C35" s="11" t="n">
        <v>1.44572942653966</v>
      </c>
      <c r="D35" s="11" t="n">
        <v>1.46169884520512</v>
      </c>
      <c r="E35" s="11" t="n">
        <v>1.47686556382651</v>
      </c>
      <c r="F35" s="11" t="n">
        <v>1.49408117387268</v>
      </c>
      <c r="G35" s="11" t="n">
        <v>1.51441838774508</v>
      </c>
      <c r="H35" s="11" t="n">
        <v>1.5380582731657</v>
      </c>
      <c r="I35" s="11" t="n">
        <v>1.56482636016914</v>
      </c>
      <c r="J35" s="11" t="n">
        <v>1.59443367561942</v>
      </c>
      <c r="K35" s="11" t="n">
        <v>1.62654070370296</v>
      </c>
      <c r="L35" s="11" t="n">
        <v>1.6607810505527</v>
      </c>
      <c r="M35" s="11" t="n">
        <v>1.69676333337547</v>
      </c>
      <c r="N35" s="11" t="n">
        <v>1.73407233008375</v>
      </c>
      <c r="O35" s="11" t="n">
        <v>1.77227336023803</v>
      </c>
      <c r="P35" s="11" t="n">
        <v>1.81091494129984</v>
      </c>
      <c r="Q35" s="11" t="n">
        <v>1.84953332530897</v>
      </c>
      <c r="R35" s="11" t="n">
        <v>1.88766719533741</v>
      </c>
      <c r="S35" s="11" t="n">
        <v>1.92488091507022</v>
      </c>
      <c r="T35" s="11" t="n">
        <v>1.96078329508189</v>
      </c>
      <c r="U35" s="11" t="n">
        <v>1.99503882623699</v>
      </c>
      <c r="V35" s="11" t="n">
        <v>2.02738831452681</v>
      </c>
      <c r="W35" s="11" t="n">
        <v>2.05763703823241</v>
      </c>
      <c r="X35" s="11" t="n">
        <v>2.085641896307</v>
      </c>
      <c r="Y35" s="11" t="n">
        <v>2.11130687596196</v>
      </c>
      <c r="Z35" s="11" t="n">
        <v>2.13459361992428</v>
      </c>
      <c r="AA35" s="11" t="n">
        <v>2.15551976321361</v>
      </c>
      <c r="AB35" s="11" t="n">
        <v>2.17414815196449</v>
      </c>
      <c r="AC35" s="11" t="n">
        <v>2.19056602120284</v>
      </c>
      <c r="AD35" s="11" t="n">
        <v>2.20487567704612</v>
      </c>
      <c r="AE35" s="11" t="n">
        <v>2.21719203581406</v>
      </c>
      <c r="AF35" s="11" t="n">
        <v>2.22764071339195</v>
      </c>
      <c r="AG35" s="11" t="n">
        <v>2.23635493440717</v>
      </c>
      <c r="AH35" s="11" t="n">
        <v>2.24346109550109</v>
      </c>
      <c r="AI35" s="11" t="n">
        <v>2.24907634337932</v>
      </c>
      <c r="AJ35" s="11" t="n">
        <v>2.25331054072462</v>
      </c>
      <c r="AK35" s="11" t="n">
        <v>2.25626612740874</v>
      </c>
      <c r="AL35" s="11" t="n">
        <v>2.25803770062198</v>
      </c>
      <c r="AM35" s="11" t="n">
        <v>2.25871133659162</v>
      </c>
      <c r="AN35" s="11" t="n">
        <v>2.25836519009768</v>
      </c>
      <c r="AO35" s="11" t="n">
        <v>2.2570703091618</v>
      </c>
      <c r="AP35" s="11" t="n">
        <v>2.25489211949344</v>
      </c>
      <c r="AQ35" s="11" t="n">
        <v>2.2518918856097</v>
      </c>
      <c r="AR35" s="11" t="n">
        <v>2.24812756304993</v>
      </c>
      <c r="AS35" s="11" t="n">
        <v>2.24365476934859</v>
      </c>
      <c r="AT35" s="11" t="n">
        <v>2.23852701745945</v>
      </c>
      <c r="AU35" s="11" t="n">
        <v>2.23279560299013</v>
      </c>
      <c r="AV35" s="11" t="n">
        <v>2.22650968077967</v>
      </c>
      <c r="AW35" s="11" t="n">
        <v>2.21971630981321</v>
      </c>
      <c r="AX35" s="11" t="n">
        <v>2.21246067988282</v>
      </c>
      <c r="AY35" s="11" t="n">
        <v>2.20478624967205</v>
      </c>
      <c r="AZ35" s="11" t="n">
        <v>2.19673465601329</v>
      </c>
      <c r="BA35" s="11" t="n">
        <v>2.18834582652745</v>
      </c>
      <c r="BB35" s="11" t="n">
        <v>2.17965825378359</v>
      </c>
      <c r="BC35" s="11" t="n">
        <v>2.17070937585701</v>
      </c>
      <c r="BD35" s="11" t="n">
        <v>2.16153566279956</v>
      </c>
      <c r="BE35" s="11" t="n">
        <v>2.15217256990983</v>
      </c>
      <c r="BF35" s="11" t="n">
        <v>2.14265425287526</v>
      </c>
      <c r="BG35" s="11" t="n">
        <v>2.1330135260214</v>
      </c>
    </row>
    <row r="36" customFormat="false" ht="15" hidden="false" customHeight="false" outlineLevel="0" collapsed="false">
      <c r="A36" s="10" t="n">
        <v>-89</v>
      </c>
      <c r="B36" s="8" t="n">
        <v>44707</v>
      </c>
      <c r="C36" s="11" t="n">
        <v>1.47547786206075</v>
      </c>
      <c r="D36" s="11" t="n">
        <v>1.49386772981322</v>
      </c>
      <c r="E36" s="11" t="n">
        <v>1.51206774466358</v>
      </c>
      <c r="F36" s="11" t="n">
        <v>1.53276446976361</v>
      </c>
      <c r="G36" s="11" t="n">
        <v>1.55679405969778</v>
      </c>
      <c r="H36" s="11" t="n">
        <v>1.5841449344883</v>
      </c>
      <c r="I36" s="11" t="n">
        <v>1.61450527801044</v>
      </c>
      <c r="J36" s="11" t="n">
        <v>1.64749325994445</v>
      </c>
      <c r="K36" s="11" t="n">
        <v>1.68271033649623</v>
      </c>
      <c r="L36" s="11" t="n">
        <v>1.71975838076841</v>
      </c>
      <c r="M36" s="11" t="n">
        <v>1.75823705565522</v>
      </c>
      <c r="N36" s="11" t="n">
        <v>1.79774017161395</v>
      </c>
      <c r="O36" s="11" t="n">
        <v>1.83785427397384</v>
      </c>
      <c r="P36" s="11" t="n">
        <v>1.87815577880565</v>
      </c>
      <c r="Q36" s="11" t="n">
        <v>1.91821197022853</v>
      </c>
      <c r="R36" s="11" t="n">
        <v>1.95759198887046</v>
      </c>
      <c r="S36" s="11" t="n">
        <v>1.99588921876576</v>
      </c>
      <c r="T36" s="11" t="n">
        <v>2.03273800258985</v>
      </c>
      <c r="U36" s="11" t="n">
        <v>2.06782496749045</v>
      </c>
      <c r="V36" s="11" t="n">
        <v>2.1009089970574</v>
      </c>
      <c r="W36" s="11" t="n">
        <v>2.13180998444459</v>
      </c>
      <c r="X36" s="11" t="n">
        <v>2.1603966736105</v>
      </c>
      <c r="Y36" s="11" t="n">
        <v>2.18658249768275</v>
      </c>
      <c r="Z36" s="11" t="n">
        <v>2.21033576454869</v>
      </c>
      <c r="AA36" s="11" t="n">
        <v>2.23167784693011</v>
      </c>
      <c r="AB36" s="11" t="n">
        <v>2.25067269044382</v>
      </c>
      <c r="AC36" s="11" t="n">
        <v>2.26740770129392</v>
      </c>
      <c r="AD36" s="11" t="n">
        <v>2.281985182504</v>
      </c>
      <c r="AE36" s="11" t="n">
        <v>2.29451991460846</v>
      </c>
      <c r="AF36" s="11" t="n">
        <v>2.30513726512052</v>
      </c>
      <c r="AG36" s="11" t="n">
        <v>2.3139702042124</v>
      </c>
      <c r="AH36" s="11" t="n">
        <v>2.32114590725675</v>
      </c>
      <c r="AI36" s="11" t="n">
        <v>2.32678361152876</v>
      </c>
      <c r="AJ36" s="11" t="n">
        <v>2.33099635689397</v>
      </c>
      <c r="AK36" s="11" t="n">
        <v>2.3338908019239</v>
      </c>
      <c r="AL36" s="11" t="n">
        <v>2.33556669558597</v>
      </c>
      <c r="AM36" s="11" t="n">
        <v>2.33611611589746</v>
      </c>
      <c r="AN36" s="11" t="n">
        <v>2.33562389282477</v>
      </c>
      <c r="AO36" s="11" t="n">
        <v>2.33416827922526</v>
      </c>
      <c r="AP36" s="11" t="n">
        <v>2.3318222158859</v>
      </c>
      <c r="AQ36" s="11" t="n">
        <v>2.32865455687589</v>
      </c>
      <c r="AR36" s="11" t="n">
        <v>2.32473074416028</v>
      </c>
      <c r="AS36" s="11" t="n">
        <v>2.32011347840238</v>
      </c>
      <c r="AT36" s="11" t="n">
        <v>2.31486279775229</v>
      </c>
      <c r="AU36" s="11" t="n">
        <v>2.30903575417769</v>
      </c>
      <c r="AV36" s="11" t="n">
        <v>2.30268641423201</v>
      </c>
      <c r="AW36" s="11" t="n">
        <v>2.29586576506005</v>
      </c>
      <c r="AX36" s="11" t="n">
        <v>2.28862192598048</v>
      </c>
      <c r="AY36" s="11" t="n">
        <v>2.28100027476503</v>
      </c>
      <c r="AZ36" s="11" t="n">
        <v>2.27304336497991</v>
      </c>
      <c r="BA36" s="11" t="n">
        <v>2.26479111375775</v>
      </c>
      <c r="BB36" s="11" t="n">
        <v>2.25628112283104</v>
      </c>
      <c r="BC36" s="11" t="n">
        <v>2.24754905601669</v>
      </c>
      <c r="BD36" s="11" t="n">
        <v>2.23862880034401</v>
      </c>
      <c r="BE36" s="11" t="n">
        <v>2.22955251854772</v>
      </c>
      <c r="BF36" s="11" t="n">
        <v>2.22035049032752</v>
      </c>
      <c r="BG36" s="11" t="n">
        <v>2.21105117144703</v>
      </c>
    </row>
    <row r="37" customFormat="false" ht="15" hidden="false" customHeight="false" outlineLevel="0" collapsed="false">
      <c r="A37" s="10" t="n">
        <v>-88</v>
      </c>
      <c r="B37" s="8" t="n">
        <v>44708</v>
      </c>
      <c r="C37" s="11" t="n">
        <v>1.46455185202492</v>
      </c>
      <c r="D37" s="11" t="n">
        <v>1.48008051113878</v>
      </c>
      <c r="E37" s="11" t="n">
        <v>1.49460696401238</v>
      </c>
      <c r="F37" s="11" t="n">
        <v>1.51119791362654</v>
      </c>
      <c r="G37" s="11" t="n">
        <v>1.53100873755555</v>
      </c>
      <c r="H37" s="11" t="n">
        <v>1.5542557555553</v>
      </c>
      <c r="I37" s="11" t="n">
        <v>1.58078113704305</v>
      </c>
      <c r="J37" s="11" t="n">
        <v>1.61030030808495</v>
      </c>
      <c r="K37" s="11" t="n">
        <v>1.6424728947006</v>
      </c>
      <c r="L37" s="11" t="n">
        <v>1.67692640352378</v>
      </c>
      <c r="M37" s="11" t="n">
        <v>1.71326135388435</v>
      </c>
      <c r="N37" s="11" t="n">
        <v>1.75105432543884</v>
      </c>
      <c r="O37" s="11" t="n">
        <v>1.78986289169537</v>
      </c>
      <c r="P37" s="11" t="n">
        <v>1.82922864605928</v>
      </c>
      <c r="Q37" s="11" t="n">
        <v>1.868680305162</v>
      </c>
      <c r="R37" s="11" t="n">
        <v>1.90774547554734</v>
      </c>
      <c r="S37" s="11" t="n">
        <v>1.94597652828362</v>
      </c>
      <c r="T37" s="11" t="n">
        <v>1.98296606091683</v>
      </c>
      <c r="U37" s="11" t="n">
        <v>2.01836137386817</v>
      </c>
      <c r="V37" s="11" t="n">
        <v>2.05188550772571</v>
      </c>
      <c r="W37" s="11" t="n">
        <v>2.08332516112029</v>
      </c>
      <c r="X37" s="11" t="n">
        <v>2.11251801943538</v>
      </c>
      <c r="Y37" s="11" t="n">
        <v>2.13934926473667</v>
      </c>
      <c r="Z37" s="11" t="n">
        <v>2.163763928971</v>
      </c>
      <c r="AA37" s="11" t="n">
        <v>2.18576481392159</v>
      </c>
      <c r="AB37" s="11" t="n">
        <v>2.20540102647512</v>
      </c>
      <c r="AC37" s="11" t="n">
        <v>2.22274871819428</v>
      </c>
      <c r="AD37" s="11" t="n">
        <v>2.23790236702701</v>
      </c>
      <c r="AE37" s="11" t="n">
        <v>2.25097183880766</v>
      </c>
      <c r="AF37" s="11" t="n">
        <v>2.26208005575907</v>
      </c>
      <c r="AG37" s="11" t="n">
        <v>2.27135952924623</v>
      </c>
      <c r="AH37" s="11" t="n">
        <v>2.27893856675409</v>
      </c>
      <c r="AI37" s="11" t="n">
        <v>2.28493919569605</v>
      </c>
      <c r="AJ37" s="11" t="n">
        <v>2.28947835577469</v>
      </c>
      <c r="AK37" s="11" t="n">
        <v>2.29266751959567</v>
      </c>
      <c r="AL37" s="11" t="n">
        <v>2.29461191215215</v>
      </c>
      <c r="AM37" s="11" t="n">
        <v>2.29540956732867</v>
      </c>
      <c r="AN37" s="11" t="n">
        <v>2.29515159364508</v>
      </c>
      <c r="AO37" s="11" t="n">
        <v>2.29392274734408</v>
      </c>
      <c r="AP37" s="11" t="n">
        <v>2.29180257862063</v>
      </c>
      <c r="AQ37" s="11" t="n">
        <v>2.28886651042814</v>
      </c>
      <c r="AR37" s="11" t="n">
        <v>2.28518644054237</v>
      </c>
      <c r="AS37" s="11" t="n">
        <v>2.28083129109881</v>
      </c>
      <c r="AT37" s="11" t="n">
        <v>2.27586697008479</v>
      </c>
      <c r="AU37" s="11" t="n">
        <v>2.27035588452273</v>
      </c>
      <c r="AV37" s="11" t="n">
        <v>2.26435686831152</v>
      </c>
      <c r="AW37" s="11" t="n">
        <v>2.25792496059381</v>
      </c>
      <c r="AX37" s="11" t="n">
        <v>2.25111158681202</v>
      </c>
      <c r="AY37" s="11" t="n">
        <v>2.24396458420108</v>
      </c>
      <c r="AZ37" s="11" t="n">
        <v>2.23652800192478</v>
      </c>
      <c r="BA37" s="11" t="n">
        <v>2.2288423404079</v>
      </c>
      <c r="BB37" s="11" t="n">
        <v>2.2209448822853</v>
      </c>
      <c r="BC37" s="11" t="n">
        <v>2.21286999288994</v>
      </c>
      <c r="BD37" s="11" t="n">
        <v>2.20464931828496</v>
      </c>
      <c r="BE37" s="11" t="n">
        <v>2.19631190856176</v>
      </c>
      <c r="BF37" s="11" t="n">
        <v>2.18788416427904</v>
      </c>
      <c r="BG37" s="11" t="n">
        <v>2.17939000572638</v>
      </c>
    </row>
    <row r="38" customFormat="false" ht="15" hidden="false" customHeight="false" outlineLevel="0" collapsed="false">
      <c r="A38" s="10" t="n">
        <v>-87</v>
      </c>
      <c r="B38" s="8" t="n">
        <v>44711</v>
      </c>
      <c r="C38" s="11" t="n">
        <v>1.50162899172607</v>
      </c>
      <c r="D38" s="11" t="n">
        <v>1.51538217620711</v>
      </c>
      <c r="E38" s="11" t="n">
        <v>1.52881819996052</v>
      </c>
      <c r="F38" s="11" t="n">
        <v>1.54512640355193</v>
      </c>
      <c r="G38" s="11" t="n">
        <v>1.56542856290037</v>
      </c>
      <c r="H38" s="11" t="n">
        <v>1.58982336325417</v>
      </c>
      <c r="I38" s="11" t="n">
        <v>1.61799797123996</v>
      </c>
      <c r="J38" s="11" t="n">
        <v>1.64950776665059</v>
      </c>
      <c r="K38" s="11" t="n">
        <v>1.68386287356198</v>
      </c>
      <c r="L38" s="11" t="n">
        <v>1.72056113444337</v>
      </c>
      <c r="M38" s="11" t="n">
        <v>1.7590962705829</v>
      </c>
      <c r="N38" s="11" t="n">
        <v>1.79896130828655</v>
      </c>
      <c r="O38" s="11" t="n">
        <v>1.83965205069726</v>
      </c>
      <c r="P38" s="11" t="n">
        <v>1.88066885138828</v>
      </c>
      <c r="Q38" s="11" t="n">
        <v>1.92151724561313</v>
      </c>
      <c r="R38" s="11" t="n">
        <v>1.96171798893223</v>
      </c>
      <c r="S38" s="11" t="n">
        <v>2.00082995378541</v>
      </c>
      <c r="T38" s="11" t="n">
        <v>2.03846315394982</v>
      </c>
      <c r="U38" s="11" t="n">
        <v>2.07428979783637</v>
      </c>
      <c r="V38" s="11" t="n">
        <v>2.10805978832757</v>
      </c>
      <c r="W38" s="11" t="n">
        <v>2.13958775584512</v>
      </c>
      <c r="X38" s="11" t="n">
        <v>2.16874016352321</v>
      </c>
      <c r="Y38" s="11" t="n">
        <v>2.19543064539135</v>
      </c>
      <c r="Z38" s="11" t="n">
        <v>2.21962904196278</v>
      </c>
      <c r="AA38" s="11" t="n">
        <v>2.24135863769116</v>
      </c>
      <c r="AB38" s="11" t="n">
        <v>2.26068518699321</v>
      </c>
      <c r="AC38" s="11" t="n">
        <v>2.27769817339009</v>
      </c>
      <c r="AD38" s="11" t="n">
        <v>2.29250259952746</v>
      </c>
      <c r="AE38" s="11" t="n">
        <v>2.30521648685947</v>
      </c>
      <c r="AF38" s="11" t="n">
        <v>2.31596890310206</v>
      </c>
      <c r="AG38" s="11" t="n">
        <v>2.32489682797644</v>
      </c>
      <c r="AH38" s="11" t="n">
        <v>2.33213188969231</v>
      </c>
      <c r="AI38" s="11" t="n">
        <v>2.33779850114657</v>
      </c>
      <c r="AJ38" s="11" t="n">
        <v>2.34201522079201</v>
      </c>
      <c r="AK38" s="11" t="n">
        <v>2.34489452086652</v>
      </c>
      <c r="AL38" s="11" t="n">
        <v>2.34654212101032</v>
      </c>
      <c r="AM38" s="11" t="n">
        <v>2.34705615620196</v>
      </c>
      <c r="AN38" s="11" t="n">
        <v>2.34652755836047</v>
      </c>
      <c r="AO38" s="11" t="n">
        <v>2.34504070223129</v>
      </c>
      <c r="AP38" s="11" t="n">
        <v>2.34267455162142</v>
      </c>
      <c r="AQ38" s="11" t="n">
        <v>2.33950373026314</v>
      </c>
      <c r="AR38" s="11" t="n">
        <v>2.33559909766451</v>
      </c>
      <c r="AS38" s="11" t="n">
        <v>2.33102823322573</v>
      </c>
      <c r="AT38" s="11" t="n">
        <v>2.3258554287885</v>
      </c>
      <c r="AU38" s="11" t="n">
        <v>2.32014126751593</v>
      </c>
      <c r="AV38" s="11" t="n">
        <v>2.31394261366423</v>
      </c>
      <c r="AW38" s="11" t="n">
        <v>2.30731248071123</v>
      </c>
      <c r="AX38" s="11" t="n">
        <v>2.3003002617146</v>
      </c>
      <c r="AY38" s="11" t="n">
        <v>2.29295184563481</v>
      </c>
      <c r="AZ38" s="11" t="n">
        <v>2.28530953509233</v>
      </c>
      <c r="BA38" s="11" t="n">
        <v>2.27741229442379</v>
      </c>
      <c r="BB38" s="11" t="n">
        <v>2.26929611897888</v>
      </c>
      <c r="BC38" s="11" t="n">
        <v>2.26099443174244</v>
      </c>
      <c r="BD38" s="11" t="n">
        <v>2.25253830167143</v>
      </c>
      <c r="BE38" s="11" t="n">
        <v>2.24395656661823</v>
      </c>
      <c r="BF38" s="11" t="n">
        <v>2.23527576232615</v>
      </c>
      <c r="BG38" s="11" t="n">
        <v>2.22652027003876</v>
      </c>
    </row>
    <row r="39" customFormat="false" ht="15" hidden="false" customHeight="false" outlineLevel="0" collapsed="false">
      <c r="A39" s="10" t="n">
        <v>-86</v>
      </c>
      <c r="B39" s="8" t="n">
        <v>44712</v>
      </c>
      <c r="C39" s="11" t="n">
        <v>1.62065892666102</v>
      </c>
      <c r="D39" s="11" t="n">
        <v>1.63137361186895</v>
      </c>
      <c r="E39" s="11" t="n">
        <v>1.64036871118997</v>
      </c>
      <c r="F39" s="11" t="n">
        <v>1.65248299974967</v>
      </c>
      <c r="G39" s="11" t="n">
        <v>1.66959931512941</v>
      </c>
      <c r="H39" s="11" t="n">
        <v>1.69209510127143</v>
      </c>
      <c r="I39" s="11" t="n">
        <v>1.7196692935006</v>
      </c>
      <c r="J39" s="11" t="n">
        <v>1.75175405653117</v>
      </c>
      <c r="K39" s="11" t="n">
        <v>1.7876721631273</v>
      </c>
      <c r="L39" s="11" t="n">
        <v>1.82670907680605</v>
      </c>
      <c r="M39" s="11" t="n">
        <v>1.86814744225143</v>
      </c>
      <c r="N39" s="11" t="n">
        <v>1.91128676754656</v>
      </c>
      <c r="O39" s="11" t="n">
        <v>1.95545575073026</v>
      </c>
      <c r="P39" s="11" t="n">
        <v>2.00001910838691</v>
      </c>
      <c r="Q39" s="11" t="n">
        <v>2.04437730928487</v>
      </c>
      <c r="R39" s="11" t="n">
        <v>2.08797611815363</v>
      </c>
      <c r="S39" s="11" t="n">
        <v>2.13032461777152</v>
      </c>
      <c r="T39" s="11" t="n">
        <v>2.17100287546722</v>
      </c>
      <c r="U39" s="11" t="n">
        <v>2.20966808815051</v>
      </c>
      <c r="V39" s="11" t="n">
        <v>2.24606381023336</v>
      </c>
      <c r="W39" s="11" t="n">
        <v>2.28000476403895</v>
      </c>
      <c r="X39" s="11" t="n">
        <v>2.31136265340743</v>
      </c>
      <c r="Y39" s="11" t="n">
        <v>2.34005997306335</v>
      </c>
      <c r="Z39" s="11" t="n">
        <v>2.36607637382294</v>
      </c>
      <c r="AA39" s="11" t="n">
        <v>2.38944513535331</v>
      </c>
      <c r="AB39" s="11" t="n">
        <v>2.41024239706734</v>
      </c>
      <c r="AC39" s="11" t="n">
        <v>2.42856806838107</v>
      </c>
      <c r="AD39" s="11" t="n">
        <v>2.44453753394506</v>
      </c>
      <c r="AE39" s="11" t="n">
        <v>2.45827916093607</v>
      </c>
      <c r="AF39" s="11" t="n">
        <v>2.46993233200764</v>
      </c>
      <c r="AG39" s="11" t="n">
        <v>2.47964424921637</v>
      </c>
      <c r="AH39" s="11" t="n">
        <v>2.48755633934748</v>
      </c>
      <c r="AI39" s="11" t="n">
        <v>2.49380236785431</v>
      </c>
      <c r="AJ39" s="11" t="n">
        <v>2.49850977040111</v>
      </c>
      <c r="AK39" s="11" t="n">
        <v>2.50179944723708</v>
      </c>
      <c r="AL39" s="11" t="n">
        <v>2.50378504893579</v>
      </c>
      <c r="AM39" s="11" t="n">
        <v>2.50457210778477</v>
      </c>
      <c r="AN39" s="11" t="n">
        <v>2.50425848240575</v>
      </c>
      <c r="AO39" s="11" t="n">
        <v>2.50293506561237</v>
      </c>
      <c r="AP39" s="11" t="n">
        <v>2.50068696358483</v>
      </c>
      <c r="AQ39" s="11" t="n">
        <v>2.49759458544428</v>
      </c>
      <c r="AR39" s="11" t="n">
        <v>2.49373421071627</v>
      </c>
      <c r="AS39" s="11" t="n">
        <v>2.48917842325143</v>
      </c>
      <c r="AT39" s="11" t="n">
        <v>2.48399609154351</v>
      </c>
      <c r="AU39" s="11" t="n">
        <v>2.47825192501055</v>
      </c>
      <c r="AV39" s="11" t="n">
        <v>2.47200647839152</v>
      </c>
      <c r="AW39" s="11" t="n">
        <v>2.46531602585028</v>
      </c>
      <c r="AX39" s="11" t="n">
        <v>2.45823281401262</v>
      </c>
      <c r="AY39" s="11" t="n">
        <v>2.45080522611546</v>
      </c>
      <c r="AZ39" s="11" t="n">
        <v>2.44307778212519</v>
      </c>
      <c r="BA39" s="11" t="n">
        <v>2.43509142489936</v>
      </c>
      <c r="BB39" s="11" t="n">
        <v>2.42688394095591</v>
      </c>
      <c r="BC39" s="11" t="n">
        <v>2.41849043163222</v>
      </c>
      <c r="BD39" s="11" t="n">
        <v>2.40994355197474</v>
      </c>
      <c r="BE39" s="11" t="n">
        <v>2.40127363462726</v>
      </c>
      <c r="BF39" s="11" t="n">
        <v>2.3925085897103</v>
      </c>
      <c r="BG39" s="11" t="n">
        <v>2.38367403352693</v>
      </c>
    </row>
    <row r="40" customFormat="false" ht="15" hidden="false" customHeight="false" outlineLevel="0" collapsed="false">
      <c r="A40" s="10" t="n">
        <v>-85</v>
      </c>
      <c r="B40" s="8" t="n">
        <v>44713</v>
      </c>
      <c r="C40" s="11" t="n">
        <v>1.68311883995435</v>
      </c>
      <c r="D40" s="11" t="n">
        <v>1.69359511155813</v>
      </c>
      <c r="E40" s="11" t="n">
        <v>1.7005769270767</v>
      </c>
      <c r="F40" s="11" t="n">
        <v>1.70964123465246</v>
      </c>
      <c r="G40" s="11" t="n">
        <v>1.72312632736666</v>
      </c>
      <c r="H40" s="11" t="n">
        <v>1.7416980950025</v>
      </c>
      <c r="I40" s="11" t="n">
        <v>1.76525513940461</v>
      </c>
      <c r="J40" s="11" t="n">
        <v>1.7933683376136</v>
      </c>
      <c r="K40" s="11" t="n">
        <v>1.82545706645296</v>
      </c>
      <c r="L40" s="11" t="n">
        <v>1.8608702529414</v>
      </c>
      <c r="M40" s="11" t="n">
        <v>1.89892607431798</v>
      </c>
      <c r="N40" s="11" t="n">
        <v>1.93893733408049</v>
      </c>
      <c r="O40" s="11" t="n">
        <v>1.9802296137712</v>
      </c>
      <c r="P40" s="11" t="n">
        <v>2.02215248004744</v>
      </c>
      <c r="Q40" s="11" t="n">
        <v>2.06408273848085</v>
      </c>
      <c r="R40" s="11" t="n">
        <v>2.10543955381212</v>
      </c>
      <c r="S40" s="11" t="n">
        <v>2.14570505350347</v>
      </c>
      <c r="T40" s="11" t="n">
        <v>2.18443461795563</v>
      </c>
      <c r="U40" s="11" t="n">
        <v>2.22126524041316</v>
      </c>
      <c r="V40" s="11" t="n">
        <v>2.2559254198787</v>
      </c>
      <c r="W40" s="11" t="n">
        <v>2.28821884711373</v>
      </c>
      <c r="X40" s="11" t="n">
        <v>2.31800943089203</v>
      </c>
      <c r="Y40" s="11" t="n">
        <v>2.34521521699514</v>
      </c>
      <c r="Z40" s="11" t="n">
        <v>2.36981540091844</v>
      </c>
      <c r="AA40" s="11" t="n">
        <v>2.39184547314598</v>
      </c>
      <c r="AB40" s="11" t="n">
        <v>2.41138404881694</v>
      </c>
      <c r="AC40" s="11" t="n">
        <v>2.4285327441324</v>
      </c>
      <c r="AD40" s="11" t="n">
        <v>2.44340805418465</v>
      </c>
      <c r="AE40" s="11" t="n">
        <v>2.45613896414159</v>
      </c>
      <c r="AF40" s="11" t="n">
        <v>2.46686505681098</v>
      </c>
      <c r="AG40" s="11" t="n">
        <v>2.47573316968388</v>
      </c>
      <c r="AH40" s="11" t="n">
        <v>2.48288332600488</v>
      </c>
      <c r="AI40" s="11" t="n">
        <v>2.48844716149024</v>
      </c>
      <c r="AJ40" s="11" t="n">
        <v>2.49254935570484</v>
      </c>
      <c r="AK40" s="11" t="n">
        <v>2.49530760498214</v>
      </c>
      <c r="AL40" s="11" t="n">
        <v>2.49683200303582</v>
      </c>
      <c r="AM40" s="11" t="n">
        <v>2.4972243615203</v>
      </c>
      <c r="AN40" s="11" t="n">
        <v>2.49657878588162</v>
      </c>
      <c r="AO40" s="11" t="n">
        <v>2.49498245251425</v>
      </c>
      <c r="AP40" s="11" t="n">
        <v>2.4925167625643</v>
      </c>
      <c r="AQ40" s="11" t="n">
        <v>2.48925837768724</v>
      </c>
      <c r="AR40" s="11" t="n">
        <v>2.48527976461934</v>
      </c>
      <c r="AS40" s="11" t="n">
        <v>2.480649601496</v>
      </c>
      <c r="AT40" s="11" t="n">
        <v>2.4754328021297</v>
      </c>
      <c r="AU40" s="11" t="n">
        <v>2.46969020236476</v>
      </c>
      <c r="AV40" s="11" t="n">
        <v>2.46347861202401</v>
      </c>
      <c r="AW40" s="11" t="n">
        <v>2.45685075253167</v>
      </c>
      <c r="AX40" s="11" t="n">
        <v>2.4498555693886</v>
      </c>
      <c r="AY40" s="11" t="n">
        <v>2.44253842718583</v>
      </c>
      <c r="AZ40" s="11" t="n">
        <v>2.43494109926684</v>
      </c>
      <c r="BA40" s="11" t="n">
        <v>2.42710203631892</v>
      </c>
      <c r="BB40" s="11" t="n">
        <v>2.41905677687468</v>
      </c>
      <c r="BC40" s="11" t="n">
        <v>2.4108384095932</v>
      </c>
      <c r="BD40" s="11" t="n">
        <v>2.40247779556103</v>
      </c>
      <c r="BE40" s="11" t="n">
        <v>2.3940036798541</v>
      </c>
      <c r="BF40" s="11" t="n">
        <v>2.38544259212549</v>
      </c>
      <c r="BG40" s="11" t="n">
        <v>2.37681896280948</v>
      </c>
    </row>
    <row r="41" customFormat="false" ht="15" hidden="false" customHeight="false" outlineLevel="0" collapsed="false">
      <c r="A41" s="10" t="n">
        <v>-84</v>
      </c>
      <c r="B41" s="8" t="n">
        <v>44718</v>
      </c>
      <c r="C41" s="11" t="n">
        <v>1.81261886318401</v>
      </c>
      <c r="D41" s="11" t="n">
        <v>1.82455462958931</v>
      </c>
      <c r="E41" s="11" t="n">
        <v>1.83138026759899</v>
      </c>
      <c r="F41" s="11" t="n">
        <v>1.83950866714315</v>
      </c>
      <c r="G41" s="11" t="n">
        <v>1.85165433493944</v>
      </c>
      <c r="H41" s="11" t="n">
        <v>1.86866769427553</v>
      </c>
      <c r="I41" s="11" t="n">
        <v>1.89054851067279</v>
      </c>
      <c r="J41" s="11" t="n">
        <v>1.91692741537976</v>
      </c>
      <c r="K41" s="11" t="n">
        <v>1.94725971915141</v>
      </c>
      <c r="L41" s="11" t="n">
        <v>1.98091633755294</v>
      </c>
      <c r="M41" s="11" t="n">
        <v>2.01722773624157</v>
      </c>
      <c r="N41" s="11" t="n">
        <v>2.05551273205539</v>
      </c>
      <c r="O41" s="11" t="n">
        <v>2.09509863915923</v>
      </c>
      <c r="P41" s="11" t="n">
        <v>2.13533418299589</v>
      </c>
      <c r="Q41" s="11" t="n">
        <v>2.17559397369624</v>
      </c>
      <c r="R41" s="11" t="n">
        <v>2.21529518814644</v>
      </c>
      <c r="S41" s="11" t="n">
        <v>2.25391974723075</v>
      </c>
      <c r="T41" s="11" t="n">
        <v>2.29102622236523</v>
      </c>
      <c r="U41" s="11" t="n">
        <v>2.32625778525086</v>
      </c>
      <c r="V41" s="11" t="n">
        <v>2.359350302896</v>
      </c>
      <c r="W41" s="11" t="n">
        <v>2.3901156033096</v>
      </c>
      <c r="X41" s="11" t="n">
        <v>2.41842634531107</v>
      </c>
      <c r="Y41" s="11" t="n">
        <v>2.44420942784453</v>
      </c>
      <c r="Z41" s="11" t="n">
        <v>2.46745155938611</v>
      </c>
      <c r="AA41" s="11" t="n">
        <v>2.48819378336234</v>
      </c>
      <c r="AB41" s="11" t="n">
        <v>2.50651799780839</v>
      </c>
      <c r="AC41" s="11" t="n">
        <v>2.52252715402414</v>
      </c>
      <c r="AD41" s="11" t="n">
        <v>2.53633752649491</v>
      </c>
      <c r="AE41" s="11" t="n">
        <v>2.5480765701323</v>
      </c>
      <c r="AF41" s="11" t="n">
        <v>2.5578812262702</v>
      </c>
      <c r="AG41" s="11" t="n">
        <v>2.56589475551055</v>
      </c>
      <c r="AH41" s="11" t="n">
        <v>2.5722531021159</v>
      </c>
      <c r="AI41" s="11" t="n">
        <v>2.57708355907689</v>
      </c>
      <c r="AJ41" s="11" t="n">
        <v>2.58050637912708</v>
      </c>
      <c r="AK41" s="11" t="n">
        <v>2.58263486838672</v>
      </c>
      <c r="AL41" s="11" t="n">
        <v>2.58357495026744</v>
      </c>
      <c r="AM41" s="11" t="n">
        <v>2.58342468487311</v>
      </c>
      <c r="AN41" s="11" t="n">
        <v>2.58227490047344</v>
      </c>
      <c r="AO41" s="11" t="n">
        <v>2.58020996581039</v>
      </c>
      <c r="AP41" s="11" t="n">
        <v>2.5773088772052</v>
      </c>
      <c r="AQ41" s="11" t="n">
        <v>2.573646227334</v>
      </c>
      <c r="AR41" s="11" t="n">
        <v>2.56929267422915</v>
      </c>
      <c r="AS41" s="11" t="n">
        <v>2.56431525484948</v>
      </c>
      <c r="AT41" s="11" t="n">
        <v>2.5587773824982</v>
      </c>
      <c r="AU41" s="11" t="n">
        <v>2.55273853246556</v>
      </c>
      <c r="AV41" s="11" t="n">
        <v>2.54625427916112</v>
      </c>
      <c r="AW41" s="11" t="n">
        <v>2.5393762149362</v>
      </c>
      <c r="AX41" s="11" t="n">
        <v>2.53215223697643</v>
      </c>
      <c r="AY41" s="11" t="n">
        <v>2.52462670778084</v>
      </c>
      <c r="AZ41" s="11" t="n">
        <v>2.51684042365597</v>
      </c>
      <c r="BA41" s="11" t="n">
        <v>2.50883087841881</v>
      </c>
      <c r="BB41" s="11" t="n">
        <v>2.5006326524195</v>
      </c>
      <c r="BC41" s="11" t="n">
        <v>2.49227783675964</v>
      </c>
      <c r="BD41" s="11" t="n">
        <v>2.48379626263045</v>
      </c>
      <c r="BE41" s="11" t="n">
        <v>2.47521563507559</v>
      </c>
      <c r="BF41" s="11" t="n">
        <v>2.46656147859591</v>
      </c>
      <c r="BG41" s="11" t="n">
        <v>2.45785727133978</v>
      </c>
    </row>
    <row r="42" customFormat="false" ht="15" hidden="false" customHeight="false" outlineLevel="0" collapsed="false">
      <c r="A42" s="10" t="n">
        <v>-83</v>
      </c>
      <c r="B42" s="8" t="n">
        <v>44719</v>
      </c>
      <c r="C42" s="11" t="n">
        <v>1.76833414396082</v>
      </c>
      <c r="D42" s="11" t="n">
        <v>1.78448103748583</v>
      </c>
      <c r="E42" s="11" t="n">
        <v>1.79407697579691</v>
      </c>
      <c r="F42" s="11" t="n">
        <v>1.80378817443</v>
      </c>
      <c r="G42" s="11" t="n">
        <v>1.81658379035368</v>
      </c>
      <c r="H42" s="11" t="n">
        <v>1.833537220711</v>
      </c>
      <c r="I42" s="11" t="n">
        <v>1.854843851889</v>
      </c>
      <c r="J42" s="11" t="n">
        <v>1.88029404815049</v>
      </c>
      <c r="K42" s="11" t="n">
        <v>1.90946344440674</v>
      </c>
      <c r="L42" s="11" t="n">
        <v>1.94180688533798</v>
      </c>
      <c r="M42" s="11" t="n">
        <v>1.97671022244096</v>
      </c>
      <c r="N42" s="11" t="n">
        <v>2.01352723943404</v>
      </c>
      <c r="O42" s="11" t="n">
        <v>2.05160592234149</v>
      </c>
      <c r="P42" s="11" t="n">
        <v>2.09030616017109</v>
      </c>
      <c r="Q42" s="11" t="n">
        <v>2.12900760228892</v>
      </c>
      <c r="R42" s="11" t="n">
        <v>2.16712962825106</v>
      </c>
      <c r="S42" s="11" t="n">
        <v>2.20415617526268</v>
      </c>
      <c r="T42" s="11" t="n">
        <v>2.23964964751344</v>
      </c>
      <c r="U42" s="11" t="n">
        <v>2.27325944315898</v>
      </c>
      <c r="V42" s="11" t="n">
        <v>2.30472990462419</v>
      </c>
      <c r="W42" s="11" t="n">
        <v>2.33388310744294</v>
      </c>
      <c r="X42" s="11" t="n">
        <v>2.36060337630094</v>
      </c>
      <c r="Y42" s="11" t="n">
        <v>2.38483031054717</v>
      </c>
      <c r="Z42" s="11" t="n">
        <v>2.40656362681179</v>
      </c>
      <c r="AA42" s="11" t="n">
        <v>2.42585731728891</v>
      </c>
      <c r="AB42" s="11" t="n">
        <v>2.442805467684</v>
      </c>
      <c r="AC42" s="11" t="n">
        <v>2.45752095089388</v>
      </c>
      <c r="AD42" s="11" t="n">
        <v>2.47012758768171</v>
      </c>
      <c r="AE42" s="11" t="n">
        <v>2.48075837038698</v>
      </c>
      <c r="AF42" s="11" t="n">
        <v>2.48955407329279</v>
      </c>
      <c r="AG42" s="11" t="n">
        <v>2.49666013057599</v>
      </c>
      <c r="AH42" s="11" t="n">
        <v>2.50221201889154</v>
      </c>
      <c r="AI42" s="11" t="n">
        <v>2.50633421625807</v>
      </c>
      <c r="AJ42" s="11" t="n">
        <v>2.50914223916298</v>
      </c>
      <c r="AK42" s="11" t="n">
        <v>2.51074297433981</v>
      </c>
      <c r="AL42" s="11" t="n">
        <v>2.51123462994707</v>
      </c>
      <c r="AM42" s="11" t="n">
        <v>2.51070665762841</v>
      </c>
      <c r="AN42" s="11" t="n">
        <v>2.50924079157302</v>
      </c>
      <c r="AO42" s="11" t="n">
        <v>2.50691206690039</v>
      </c>
      <c r="AP42" s="11" t="n">
        <v>2.50379018926889</v>
      </c>
      <c r="AQ42" s="11" t="n">
        <v>2.49994075807233</v>
      </c>
      <c r="AR42" s="11" t="n">
        <v>2.49542587133906</v>
      </c>
      <c r="AS42" s="11" t="n">
        <v>2.4903046562488</v>
      </c>
      <c r="AT42" s="11" t="n">
        <v>2.48463334737771</v>
      </c>
      <c r="AU42" s="11" t="n">
        <v>2.47846509078362</v>
      </c>
      <c r="AV42" s="11" t="n">
        <v>2.47184998865997</v>
      </c>
      <c r="AW42" s="11" t="n">
        <v>2.46483505244461</v>
      </c>
      <c r="AX42" s="11" t="n">
        <v>2.45746446338847</v>
      </c>
      <c r="AY42" s="11" t="n">
        <v>2.44977969238732</v>
      </c>
      <c r="AZ42" s="11" t="n">
        <v>2.44181941040265</v>
      </c>
      <c r="BA42" s="11" t="n">
        <v>2.43361968558288</v>
      </c>
      <c r="BB42" s="11" t="n">
        <v>2.42521431690572</v>
      </c>
      <c r="BC42" s="11" t="n">
        <v>2.41663521206698</v>
      </c>
      <c r="BD42" s="11" t="n">
        <v>2.40791254363839</v>
      </c>
      <c r="BE42" s="11" t="n">
        <v>2.39907480631601</v>
      </c>
      <c r="BF42" s="11" t="n">
        <v>2.39014868012031</v>
      </c>
      <c r="BG42" s="11" t="n">
        <v>2.38115908746068</v>
      </c>
    </row>
    <row r="43" customFormat="false" ht="15" hidden="false" customHeight="false" outlineLevel="0" collapsed="false">
      <c r="A43" s="10" t="n">
        <v>-82</v>
      </c>
      <c r="B43" s="8" t="n">
        <v>44720</v>
      </c>
      <c r="C43" s="11" t="n">
        <v>1.802783836828</v>
      </c>
      <c r="D43" s="11" t="n">
        <v>1.8213818094254</v>
      </c>
      <c r="E43" s="11" t="n">
        <v>1.83263890167074</v>
      </c>
      <c r="F43" s="11" t="n">
        <v>1.84334646792718</v>
      </c>
      <c r="G43" s="11" t="n">
        <v>1.85663936125628</v>
      </c>
      <c r="H43" s="11" t="n">
        <v>1.87372739692208</v>
      </c>
      <c r="I43" s="11" t="n">
        <v>1.89491587229841</v>
      </c>
      <c r="J43" s="11" t="n">
        <v>1.92008184531741</v>
      </c>
      <c r="K43" s="11" t="n">
        <v>1.94886734426429</v>
      </c>
      <c r="L43" s="11" t="n">
        <v>1.98077768035981</v>
      </c>
      <c r="M43" s="11" t="n">
        <v>2.01523681791223</v>
      </c>
      <c r="N43" s="11" t="n">
        <v>2.05162719380097</v>
      </c>
      <c r="O43" s="11" t="n">
        <v>2.08931796130344</v>
      </c>
      <c r="P43" s="11" t="n">
        <v>2.12768372468613</v>
      </c>
      <c r="Q43" s="11" t="n">
        <v>2.1661135693248</v>
      </c>
      <c r="R43" s="11" t="n">
        <v>2.20403166590396</v>
      </c>
      <c r="S43" s="11" t="n">
        <v>2.24092268715658</v>
      </c>
      <c r="T43" s="11" t="n">
        <v>2.27634609657134</v>
      </c>
      <c r="U43" s="11" t="n">
        <v>2.30994566050572</v>
      </c>
      <c r="V43" s="11" t="n">
        <v>2.34145900106689</v>
      </c>
      <c r="W43" s="11" t="n">
        <v>2.37070068533609</v>
      </c>
      <c r="X43" s="11" t="n">
        <v>2.39754690529882</v>
      </c>
      <c r="Y43" s="11" t="n">
        <v>2.42192894915471</v>
      </c>
      <c r="Z43" s="11" t="n">
        <v>2.44383886169792</v>
      </c>
      <c r="AA43" s="11" t="n">
        <v>2.46332382140746</v>
      </c>
      <c r="AB43" s="11" t="n">
        <v>2.4804720666035</v>
      </c>
      <c r="AC43" s="11" t="n">
        <v>2.49539162806522</v>
      </c>
      <c r="AD43" s="11" t="n">
        <v>2.50820243583027</v>
      </c>
      <c r="AE43" s="11" t="n">
        <v>2.51903439765349</v>
      </c>
      <c r="AF43" s="11" t="n">
        <v>2.52802588723157</v>
      </c>
      <c r="AG43" s="11" t="n">
        <v>2.53532048307605</v>
      </c>
      <c r="AH43" s="11" t="n">
        <v>2.54105228009797</v>
      </c>
      <c r="AI43" s="11" t="n">
        <v>2.54534495076158</v>
      </c>
      <c r="AJ43" s="11" t="n">
        <v>2.5483136847925</v>
      </c>
      <c r="AK43" s="11" t="n">
        <v>2.55006545884886</v>
      </c>
      <c r="AL43" s="11" t="n">
        <v>2.55069888564247</v>
      </c>
      <c r="AM43" s="11" t="n">
        <v>2.55030404364605</v>
      </c>
      <c r="AN43" s="11" t="n">
        <v>2.54896338909555</v>
      </c>
      <c r="AO43" s="11" t="n">
        <v>2.5467527022392</v>
      </c>
      <c r="AP43" s="11" t="n">
        <v>2.54374241370096</v>
      </c>
      <c r="AQ43" s="11" t="n">
        <v>2.53999878361542</v>
      </c>
      <c r="AR43" s="11" t="n">
        <v>2.5355845115842</v>
      </c>
      <c r="AS43" s="11" t="n">
        <v>2.53055927753606</v>
      </c>
      <c r="AT43" s="11" t="n">
        <v>2.52497983106503</v>
      </c>
      <c r="AU43" s="11" t="n">
        <v>2.5188998154907</v>
      </c>
      <c r="AV43" s="11" t="n">
        <v>2.51236982256991</v>
      </c>
      <c r="AW43" s="11" t="n">
        <v>2.50543735926978</v>
      </c>
      <c r="AX43" s="11" t="n">
        <v>2.49814712003917</v>
      </c>
      <c r="AY43" s="11" t="n">
        <v>2.49054110461267</v>
      </c>
      <c r="AZ43" s="11" t="n">
        <v>2.48265851543122</v>
      </c>
      <c r="BA43" s="11" t="n">
        <v>2.47453595286861</v>
      </c>
      <c r="BB43" s="11" t="n">
        <v>2.46620773923399</v>
      </c>
      <c r="BC43" s="11" t="n">
        <v>2.4577062757992</v>
      </c>
      <c r="BD43" s="11" t="n">
        <v>2.44906217357336</v>
      </c>
      <c r="BE43" s="11" t="n">
        <v>2.4403042881312</v>
      </c>
      <c r="BF43" s="11" t="n">
        <v>2.43145957395374</v>
      </c>
      <c r="BG43" s="11" t="n">
        <v>2.42255313481117</v>
      </c>
    </row>
    <row r="44" customFormat="false" ht="15" hidden="false" customHeight="false" outlineLevel="0" collapsed="false">
      <c r="A44" s="10" t="n">
        <v>-81</v>
      </c>
      <c r="B44" s="8" t="n">
        <v>44721</v>
      </c>
      <c r="C44" s="11" t="n">
        <v>1.88733109308713</v>
      </c>
      <c r="D44" s="11" t="n">
        <v>1.90865747928434</v>
      </c>
      <c r="E44" s="11" t="n">
        <v>1.92144264628042</v>
      </c>
      <c r="F44" s="11" t="n">
        <v>1.93303361036669</v>
      </c>
      <c r="G44" s="11" t="n">
        <v>1.94678339198681</v>
      </c>
      <c r="H44" s="11" t="n">
        <v>1.96400466300906</v>
      </c>
      <c r="I44" s="11" t="n">
        <v>1.98505915963058</v>
      </c>
      <c r="J44" s="11" t="n">
        <v>2.00985779690085</v>
      </c>
      <c r="K44" s="11" t="n">
        <v>2.03806034402701</v>
      </c>
      <c r="L44" s="11" t="n">
        <v>2.06917995712651</v>
      </c>
      <c r="M44" s="11" t="n">
        <v>2.10264307597016</v>
      </c>
      <c r="N44" s="11" t="n">
        <v>2.13783260749191</v>
      </c>
      <c r="O44" s="11" t="n">
        <v>2.17411857385153</v>
      </c>
      <c r="P44" s="11" t="n">
        <v>2.21087958344496</v>
      </c>
      <c r="Q44" s="11" t="n">
        <v>2.2475131130584</v>
      </c>
      <c r="R44" s="11" t="n">
        <v>2.28345800390331</v>
      </c>
      <c r="S44" s="11" t="n">
        <v>2.31822029190799</v>
      </c>
      <c r="T44" s="11" t="n">
        <v>2.35138823718872</v>
      </c>
      <c r="U44" s="11" t="n">
        <v>2.38263935780188</v>
      </c>
      <c r="V44" s="11" t="n">
        <v>2.41174532625923</v>
      </c>
      <c r="W44" s="11" t="n">
        <v>2.43855458810047</v>
      </c>
      <c r="X44" s="11" t="n">
        <v>2.46297706313096</v>
      </c>
      <c r="Y44" s="11" t="n">
        <v>2.48497650122595</v>
      </c>
      <c r="Z44" s="11" t="n">
        <v>2.50457280512008</v>
      </c>
      <c r="AA44" s="11" t="n">
        <v>2.52183588020115</v>
      </c>
      <c r="AB44" s="11" t="n">
        <v>2.53687176262673</v>
      </c>
      <c r="AC44" s="11" t="n">
        <v>2.54980106368576</v>
      </c>
      <c r="AD44" s="11" t="n">
        <v>2.56075163645025</v>
      </c>
      <c r="AE44" s="11" t="n">
        <v>2.56985738024029</v>
      </c>
      <c r="AF44" s="11" t="n">
        <v>2.57725732452586</v>
      </c>
      <c r="AG44" s="11" t="n">
        <v>2.5830927737932</v>
      </c>
      <c r="AH44" s="11" t="n">
        <v>2.58749275625885</v>
      </c>
      <c r="AI44" s="11" t="n">
        <v>2.59057373443119</v>
      </c>
      <c r="AJ44" s="11" t="n">
        <v>2.59244212899487</v>
      </c>
      <c r="AK44" s="11" t="n">
        <v>2.59319490357863</v>
      </c>
      <c r="AL44" s="11" t="n">
        <v>2.59291984955558</v>
      </c>
      <c r="AM44" s="11" t="n">
        <v>2.59169584316445</v>
      </c>
      <c r="AN44" s="11" t="n">
        <v>2.58959403424366</v>
      </c>
      <c r="AO44" s="11" t="n">
        <v>2.58667893064321</v>
      </c>
      <c r="AP44" s="11" t="n">
        <v>2.58300981498398</v>
      </c>
      <c r="AQ44" s="11" t="n">
        <v>2.57864199646726</v>
      </c>
      <c r="AR44" s="11" t="n">
        <v>2.57362746426351</v>
      </c>
      <c r="AS44" s="11" t="n">
        <v>2.56801550694335</v>
      </c>
      <c r="AT44" s="11" t="n">
        <v>2.56185292024482</v>
      </c>
      <c r="AU44" s="11" t="n">
        <v>2.55518403588315</v>
      </c>
      <c r="AV44" s="11" t="n">
        <v>2.54805087235339</v>
      </c>
      <c r="AW44" s="11" t="n">
        <v>2.54049326097686</v>
      </c>
      <c r="AX44" s="11" t="n">
        <v>2.53254912812674</v>
      </c>
      <c r="AY44" s="11" t="n">
        <v>2.52425470593578</v>
      </c>
      <c r="AZ44" s="11" t="n">
        <v>2.51564458105175</v>
      </c>
      <c r="BA44" s="11" t="n">
        <v>2.50675183225053</v>
      </c>
      <c r="BB44" s="11" t="n">
        <v>2.49760835979481</v>
      </c>
      <c r="BC44" s="11" t="n">
        <v>2.48824533576856</v>
      </c>
      <c r="BD44" s="11" t="n">
        <v>2.47869332488041</v>
      </c>
      <c r="BE44" s="11" t="n">
        <v>2.46898228961324</v>
      </c>
      <c r="BF44" s="11" t="n">
        <v>2.4591414129384</v>
      </c>
      <c r="BG44" s="11" t="n">
        <v>2.44919909638651</v>
      </c>
    </row>
    <row r="45" customFormat="false" ht="15" hidden="false" customHeight="false" outlineLevel="0" collapsed="false">
      <c r="A45" s="10" t="n">
        <v>-80</v>
      </c>
      <c r="B45" s="8" t="n">
        <v>44722</v>
      </c>
      <c r="C45" s="11" t="n">
        <v>2.06757770714226</v>
      </c>
      <c r="D45" s="11" t="n">
        <v>2.08944462697972</v>
      </c>
      <c r="E45" s="11" t="n">
        <v>2.0998046557365</v>
      </c>
      <c r="F45" s="11" t="n">
        <v>2.10736069477763</v>
      </c>
      <c r="G45" s="11" t="n">
        <v>2.11602780726225</v>
      </c>
      <c r="H45" s="11" t="n">
        <v>2.12743187718908</v>
      </c>
      <c r="I45" s="11" t="n">
        <v>2.1421602689027</v>
      </c>
      <c r="J45" s="11" t="n">
        <v>2.16031354583058</v>
      </c>
      <c r="K45" s="11" t="n">
        <v>2.18171288923644</v>
      </c>
      <c r="L45" s="11" t="n">
        <v>2.20601182842914</v>
      </c>
      <c r="M45" s="11" t="n">
        <v>2.23275839904115</v>
      </c>
      <c r="N45" s="11" t="n">
        <v>2.26143770170717</v>
      </c>
      <c r="O45" s="11" t="n">
        <v>2.29150111489342</v>
      </c>
      <c r="P45" s="11" t="n">
        <v>2.32238675561399</v>
      </c>
      <c r="Q45" s="11" t="n">
        <v>2.35353136213937</v>
      </c>
      <c r="R45" s="11" t="n">
        <v>2.38439425083435</v>
      </c>
      <c r="S45" s="11" t="n">
        <v>2.41448651086511</v>
      </c>
      <c r="T45" s="11" t="n">
        <v>2.44338854216447</v>
      </c>
      <c r="U45" s="11" t="n">
        <v>2.47076076325345</v>
      </c>
      <c r="V45" s="11" t="n">
        <v>2.49635341557692</v>
      </c>
      <c r="W45" s="11" t="n">
        <v>2.5199902792816</v>
      </c>
      <c r="X45" s="11" t="n">
        <v>2.54155404235933</v>
      </c>
      <c r="Y45" s="11" t="n">
        <v>2.56098021552539</v>
      </c>
      <c r="Z45" s="11" t="n">
        <v>2.5782621998421</v>
      </c>
      <c r="AA45" s="11" t="n">
        <v>2.59344543397724</v>
      </c>
      <c r="AB45" s="11" t="n">
        <v>2.60661314635043</v>
      </c>
      <c r="AC45" s="11" t="n">
        <v>2.61786516423846</v>
      </c>
      <c r="AD45" s="11" t="n">
        <v>2.62731064160729</v>
      </c>
      <c r="AE45" s="11" t="n">
        <v>2.63506654813702</v>
      </c>
      <c r="AF45" s="11" t="n">
        <v>2.6412564850227</v>
      </c>
      <c r="AG45" s="11" t="n">
        <v>2.64600754751061</v>
      </c>
      <c r="AH45" s="11" t="n">
        <v>2.649435975066</v>
      </c>
      <c r="AI45" s="11" t="n">
        <v>2.65164704792307</v>
      </c>
      <c r="AJ45" s="11" t="n">
        <v>2.65273715517998</v>
      </c>
      <c r="AK45" s="11" t="n">
        <v>2.65279422049639</v>
      </c>
      <c r="AL45" s="11" t="n">
        <v>2.65189787695709</v>
      </c>
      <c r="AM45" s="11" t="n">
        <v>2.65011966300788</v>
      </c>
      <c r="AN45" s="11" t="n">
        <v>2.64752411497686</v>
      </c>
      <c r="AO45" s="11" t="n">
        <v>2.64416975752181</v>
      </c>
      <c r="AP45" s="11" t="n">
        <v>2.64011040077314</v>
      </c>
      <c r="AQ45" s="11" t="n">
        <v>2.63539626739095</v>
      </c>
      <c r="AR45" s="11" t="n">
        <v>2.6300746165104</v>
      </c>
      <c r="AS45" s="11" t="n">
        <v>2.62419035531642</v>
      </c>
      <c r="AT45" s="11" t="n">
        <v>2.61778628309024</v>
      </c>
      <c r="AU45" s="11" t="n">
        <v>2.61090321072344</v>
      </c>
      <c r="AV45" s="11" t="n">
        <v>2.60358012153273</v>
      </c>
      <c r="AW45" s="11" t="n">
        <v>2.59585431818056</v>
      </c>
      <c r="AX45" s="11" t="n">
        <v>2.58776168437155</v>
      </c>
      <c r="AY45" s="11" t="n">
        <v>2.57933683143293</v>
      </c>
      <c r="AZ45" s="11" t="n">
        <v>2.57061306217686</v>
      </c>
      <c r="BA45" s="11" t="n">
        <v>2.56162246866416</v>
      </c>
      <c r="BB45" s="11" t="n">
        <v>2.55239618433334</v>
      </c>
      <c r="BC45" s="11" t="n">
        <v>2.54296471371981</v>
      </c>
      <c r="BD45" s="11" t="n">
        <v>2.5333580064982</v>
      </c>
      <c r="BE45" s="11" t="n">
        <v>2.52360544240011</v>
      </c>
      <c r="BF45" s="11" t="n">
        <v>2.51373566638668</v>
      </c>
      <c r="BG45" s="11" t="n">
        <v>2.50377656990164</v>
      </c>
    </row>
    <row r="46" customFormat="false" ht="15" hidden="false" customHeight="false" outlineLevel="0" collapsed="false">
      <c r="A46" s="10" t="n">
        <v>-79</v>
      </c>
      <c r="B46" s="8" t="n">
        <v>44725</v>
      </c>
      <c r="C46" s="11" t="n">
        <v>2.14016200041773</v>
      </c>
      <c r="D46" s="11" t="n">
        <v>2.16289342058015</v>
      </c>
      <c r="E46" s="11" t="n">
        <v>2.17463861818615</v>
      </c>
      <c r="F46" s="11" t="n">
        <v>2.18370529050222</v>
      </c>
      <c r="G46" s="11" t="n">
        <v>2.19385554876866</v>
      </c>
      <c r="H46" s="11" t="n">
        <v>2.20661509895391</v>
      </c>
      <c r="I46" s="11" t="n">
        <v>2.22248968611346</v>
      </c>
      <c r="J46" s="11" t="n">
        <v>2.24152123151193</v>
      </c>
      <c r="K46" s="11" t="n">
        <v>2.26349858599099</v>
      </c>
      <c r="L46" s="11" t="n">
        <v>2.2880696223585</v>
      </c>
      <c r="M46" s="11" t="n">
        <v>2.31479966535698</v>
      </c>
      <c r="N46" s="11" t="n">
        <v>2.34320843580005</v>
      </c>
      <c r="O46" s="11" t="n">
        <v>2.37279256081512</v>
      </c>
      <c r="P46" s="11" t="n">
        <v>2.40303884581187</v>
      </c>
      <c r="Q46" s="11" t="n">
        <v>2.43343283007682</v>
      </c>
      <c r="R46" s="11" t="n">
        <v>2.4634788892741</v>
      </c>
      <c r="S46" s="11" t="n">
        <v>2.4927265459906</v>
      </c>
      <c r="T46" s="11" t="n">
        <v>2.52078693943085</v>
      </c>
      <c r="U46" s="11" t="n">
        <v>2.54734317356741</v>
      </c>
      <c r="V46" s="11" t="n">
        <v>2.57216078227271</v>
      </c>
      <c r="W46" s="11" t="n">
        <v>2.59507287202111</v>
      </c>
      <c r="X46" s="11" t="n">
        <v>2.61596668614737</v>
      </c>
      <c r="Y46" s="11" t="n">
        <v>2.63477840717599</v>
      </c>
      <c r="Z46" s="11" t="n">
        <v>2.65149868562404</v>
      </c>
      <c r="AA46" s="11" t="n">
        <v>2.66616758336611</v>
      </c>
      <c r="AB46" s="11" t="n">
        <v>2.67886168028217</v>
      </c>
      <c r="AC46" s="11" t="n">
        <v>2.68967432591301</v>
      </c>
      <c r="AD46" s="11" t="n">
        <v>2.6987087413093</v>
      </c>
      <c r="AE46" s="11" t="n">
        <v>2.70607642918297</v>
      </c>
      <c r="AF46" s="11" t="n">
        <v>2.71189591910996</v>
      </c>
      <c r="AG46" s="11" t="n">
        <v>2.71628966962542</v>
      </c>
      <c r="AH46" s="11" t="n">
        <v>2.71937052377464</v>
      </c>
      <c r="AI46" s="11" t="n">
        <v>2.72124159982016</v>
      </c>
      <c r="AJ46" s="11" t="n">
        <v>2.72199799176222</v>
      </c>
      <c r="AK46" s="11" t="n">
        <v>2.7217270779393</v>
      </c>
      <c r="AL46" s="11" t="n">
        <v>2.72050853108016</v>
      </c>
      <c r="AM46" s="11" t="n">
        <v>2.71841436932465</v>
      </c>
      <c r="AN46" s="11" t="n">
        <v>2.71550990386669</v>
      </c>
      <c r="AO46" s="11" t="n">
        <v>2.71185463606427</v>
      </c>
      <c r="AP46" s="11" t="n">
        <v>2.70750342867617</v>
      </c>
      <c r="AQ46" s="11" t="n">
        <v>2.70250751816639</v>
      </c>
      <c r="AR46" s="11" t="n">
        <v>2.69691509206753</v>
      </c>
      <c r="AS46" s="11" t="n">
        <v>2.69077183798971</v>
      </c>
      <c r="AT46" s="11" t="n">
        <v>2.68412118420399</v>
      </c>
      <c r="AU46" s="11" t="n">
        <v>2.67700442575041</v>
      </c>
      <c r="AV46" s="11" t="n">
        <v>2.66946090063883</v>
      </c>
      <c r="AW46" s="11" t="n">
        <v>2.6615281550796</v>
      </c>
      <c r="AX46" s="11" t="n">
        <v>2.6532422269081</v>
      </c>
      <c r="AY46" s="11" t="n">
        <v>2.64463781965344</v>
      </c>
      <c r="AZ46" s="11" t="n">
        <v>2.6357482929787</v>
      </c>
      <c r="BA46" s="11" t="n">
        <v>2.62660576741839</v>
      </c>
      <c r="BB46" s="11" t="n">
        <v>2.61724137154209</v>
      </c>
      <c r="BC46" s="11" t="n">
        <v>2.60768555643787</v>
      </c>
      <c r="BD46" s="11" t="n">
        <v>2.5979681457022</v>
      </c>
      <c r="BE46" s="11" t="n">
        <v>2.58811829877323</v>
      </c>
      <c r="BF46" s="11" t="n">
        <v>2.57816433378685</v>
      </c>
      <c r="BG46" s="11" t="n">
        <v>2.56813368068344</v>
      </c>
    </row>
    <row r="47" customFormat="false" ht="15" hidden="false" customHeight="false" outlineLevel="0" collapsed="false">
      <c r="A47" s="10" t="n">
        <v>-78</v>
      </c>
      <c r="B47" s="8" t="n">
        <v>44726</v>
      </c>
      <c r="C47" s="11" t="n">
        <v>2.13804435493346</v>
      </c>
      <c r="D47" s="11" t="n">
        <v>2.15763503086739</v>
      </c>
      <c r="E47" s="11" t="n">
        <v>2.16861748949491</v>
      </c>
      <c r="F47" s="11" t="n">
        <v>2.17878797781854</v>
      </c>
      <c r="G47" s="11" t="n">
        <v>2.19149450761056</v>
      </c>
      <c r="H47" s="11" t="n">
        <v>2.20789677557293</v>
      </c>
      <c r="I47" s="11" t="n">
        <v>2.22817652670291</v>
      </c>
      <c r="J47" s="11" t="n">
        <v>2.25210144145927</v>
      </c>
      <c r="K47" s="11" t="n">
        <v>2.27923700931099</v>
      </c>
      <c r="L47" s="11" t="n">
        <v>2.30905593898828</v>
      </c>
      <c r="M47" s="11" t="n">
        <v>2.34098976802576</v>
      </c>
      <c r="N47" s="11" t="n">
        <v>2.37445945205452</v>
      </c>
      <c r="O47" s="11" t="n">
        <v>2.40889168932999</v>
      </c>
      <c r="P47" s="11" t="n">
        <v>2.44372613278883</v>
      </c>
      <c r="Q47" s="11" t="n">
        <v>2.47841970500131</v>
      </c>
      <c r="R47" s="11" t="n">
        <v>2.51246300506332</v>
      </c>
      <c r="S47" s="11" t="n">
        <v>2.5454010773151</v>
      </c>
      <c r="T47" s="11" t="n">
        <v>2.57684643813867</v>
      </c>
      <c r="U47" s="11" t="n">
        <v>2.60648721378172</v>
      </c>
      <c r="V47" s="11" t="n">
        <v>2.63409660822608</v>
      </c>
      <c r="W47" s="11" t="n">
        <v>2.65951745441088</v>
      </c>
      <c r="X47" s="11" t="n">
        <v>2.68264836976506</v>
      </c>
      <c r="Y47" s="11" t="n">
        <v>2.70343825245692</v>
      </c>
      <c r="Z47" s="11" t="n">
        <v>2.72189143011133</v>
      </c>
      <c r="AA47" s="11" t="n">
        <v>2.73806285590169</v>
      </c>
      <c r="AB47" s="11" t="n">
        <v>2.75204554528028</v>
      </c>
      <c r="AC47" s="11" t="n">
        <v>2.76394985911803</v>
      </c>
      <c r="AD47" s="11" t="n">
        <v>2.77389630195019</v>
      </c>
      <c r="AE47" s="11" t="n">
        <v>2.78201388882998</v>
      </c>
      <c r="AF47" s="11" t="n">
        <v>2.78843885585579</v>
      </c>
      <c r="AG47" s="11" t="n">
        <v>2.79331132445356</v>
      </c>
      <c r="AH47" s="11" t="n">
        <v>2.7967607032224</v>
      </c>
      <c r="AI47" s="11" t="n">
        <v>2.79890565705816</v>
      </c>
      <c r="AJ47" s="11" t="n">
        <v>2.79985575934543</v>
      </c>
      <c r="AK47" s="11" t="n">
        <v>2.79971181271627</v>
      </c>
      <c r="AL47" s="11" t="n">
        <v>2.79856574842862</v>
      </c>
      <c r="AM47" s="11" t="n">
        <v>2.79650056947087</v>
      </c>
      <c r="AN47" s="11" t="n">
        <v>2.79359126330251</v>
      </c>
      <c r="AO47" s="11" t="n">
        <v>2.78990575583604</v>
      </c>
      <c r="AP47" s="11" t="n">
        <v>2.78550617533061</v>
      </c>
      <c r="AQ47" s="11" t="n">
        <v>2.78044994276108</v>
      </c>
      <c r="AR47" s="11" t="n">
        <v>2.77479044702219</v>
      </c>
      <c r="AS47" s="11" t="n">
        <v>2.76857766898902</v>
      </c>
      <c r="AT47" s="11" t="n">
        <v>2.76185848536722</v>
      </c>
      <c r="AU47" s="11" t="n">
        <v>2.75467683786244</v>
      </c>
      <c r="AV47" s="11" t="n">
        <v>2.74707399282741</v>
      </c>
      <c r="AW47" s="11" t="n">
        <v>2.73908879949782</v>
      </c>
      <c r="AX47" s="11" t="n">
        <v>2.73075807274723</v>
      </c>
      <c r="AY47" s="11" t="n">
        <v>2.72211687650539</v>
      </c>
      <c r="AZ47" s="11" t="n">
        <v>2.7131986039068</v>
      </c>
      <c r="BA47" s="11" t="n">
        <v>2.70403512231125</v>
      </c>
      <c r="BB47" s="11" t="n">
        <v>2.69465708024685</v>
      </c>
      <c r="BC47" s="11" t="n">
        <v>2.6850942970926</v>
      </c>
      <c r="BD47" s="11" t="n">
        <v>2.6753758429639</v>
      </c>
      <c r="BE47" s="11" t="n">
        <v>2.66553001774973</v>
      </c>
      <c r="BF47" s="11" t="n">
        <v>2.65558417171112</v>
      </c>
      <c r="BG47" s="11" t="n">
        <v>2.64556467248678</v>
      </c>
    </row>
    <row r="48" customFormat="false" ht="15" hidden="false" customHeight="false" outlineLevel="0" collapsed="false">
      <c r="A48" s="10" t="n">
        <v>-77</v>
      </c>
      <c r="B48" s="8" t="n">
        <v>44727</v>
      </c>
      <c r="C48" s="11" t="n">
        <v>1.98536154393556</v>
      </c>
      <c r="D48" s="11" t="n">
        <v>1.99622992684698</v>
      </c>
      <c r="E48" s="11" t="n">
        <v>2.0048907560023</v>
      </c>
      <c r="F48" s="11" t="n">
        <v>2.01645802513383</v>
      </c>
      <c r="G48" s="11" t="n">
        <v>2.03283165886254</v>
      </c>
      <c r="H48" s="11" t="n">
        <v>2.05429179322271</v>
      </c>
      <c r="I48" s="11" t="n">
        <v>2.08043874977608</v>
      </c>
      <c r="J48" s="11" t="n">
        <v>2.11063808486763</v>
      </c>
      <c r="K48" s="11" t="n">
        <v>2.14417452705917</v>
      </c>
      <c r="L48" s="11" t="n">
        <v>2.18033115079684</v>
      </c>
      <c r="M48" s="11" t="n">
        <v>2.21842005286511</v>
      </c>
      <c r="N48" s="11" t="n">
        <v>2.25779483933949</v>
      </c>
      <c r="O48" s="11" t="n">
        <v>2.29784859447954</v>
      </c>
      <c r="P48" s="11" t="n">
        <v>2.3380047030571</v>
      </c>
      <c r="Q48" s="11" t="n">
        <v>2.37771217573727</v>
      </c>
      <c r="R48" s="11" t="n">
        <v>2.41645547768379</v>
      </c>
      <c r="S48" s="11" t="n">
        <v>2.4537746847555</v>
      </c>
      <c r="T48" s="11" t="n">
        <v>2.48927961461185</v>
      </c>
      <c r="U48" s="11" t="n">
        <v>2.52265936875914</v>
      </c>
      <c r="V48" s="11" t="n">
        <v>2.55369163752341</v>
      </c>
      <c r="W48" s="11" t="n">
        <v>2.58222651618729</v>
      </c>
      <c r="X48" s="11" t="n">
        <v>2.60817210952269</v>
      </c>
      <c r="Y48" s="11" t="n">
        <v>2.63148871090345</v>
      </c>
      <c r="Z48" s="11" t="n">
        <v>2.65219372327167</v>
      </c>
      <c r="AA48" s="11" t="n">
        <v>2.67035661243127</v>
      </c>
      <c r="AB48" s="11" t="n">
        <v>2.6860859949387</v>
      </c>
      <c r="AC48" s="11" t="n">
        <v>2.69950833314272</v>
      </c>
      <c r="AD48" s="11" t="n">
        <v>2.71076058237805</v>
      </c>
      <c r="AE48" s="11" t="n">
        <v>2.71998850407486</v>
      </c>
      <c r="AF48" s="11" t="n">
        <v>2.72734533150085</v>
      </c>
      <c r="AG48" s="11" t="n">
        <v>2.7329882515037</v>
      </c>
      <c r="AH48" s="11" t="n">
        <v>2.73706315306301</v>
      </c>
      <c r="AI48" s="11" t="n">
        <v>2.73970463053404</v>
      </c>
      <c r="AJ48" s="11" t="n">
        <v>2.74103749878367</v>
      </c>
      <c r="AK48" s="11" t="n">
        <v>2.74117709396608</v>
      </c>
      <c r="AL48" s="11" t="n">
        <v>2.74022898032005</v>
      </c>
      <c r="AM48" s="11" t="n">
        <v>2.73828873492272</v>
      </c>
      <c r="AN48" s="11" t="n">
        <v>2.73544286708298</v>
      </c>
      <c r="AO48" s="11" t="n">
        <v>2.73176983609988</v>
      </c>
      <c r="AP48" s="11" t="n">
        <v>2.7273413550121</v>
      </c>
      <c r="AQ48" s="11" t="n">
        <v>2.72222351044853</v>
      </c>
      <c r="AR48" s="11" t="n">
        <v>2.7164774421328</v>
      </c>
      <c r="AS48" s="11" t="n">
        <v>2.71015991408596</v>
      </c>
      <c r="AT48" s="11" t="n">
        <v>2.70332364559082</v>
      </c>
      <c r="AU48" s="11" t="n">
        <v>2.69601749608135</v>
      </c>
      <c r="AV48" s="11" t="n">
        <v>2.68828679094732</v>
      </c>
      <c r="AW48" s="11" t="n">
        <v>2.68017364067312</v>
      </c>
      <c r="AX48" s="11" t="n">
        <v>2.67171740913777</v>
      </c>
      <c r="AY48" s="11" t="n">
        <v>2.66295511002698</v>
      </c>
      <c r="AZ48" s="11" t="n">
        <v>2.65392160356295</v>
      </c>
      <c r="BA48" s="11" t="n">
        <v>2.64464979910344</v>
      </c>
      <c r="BB48" s="11" t="n">
        <v>2.63517106049571</v>
      </c>
      <c r="BC48" s="11" t="n">
        <v>2.62551572178203</v>
      </c>
      <c r="BD48" s="11" t="n">
        <v>2.6157132046894</v>
      </c>
      <c r="BE48" s="11" t="n">
        <v>2.6057920115232</v>
      </c>
      <c r="BF48" s="11" t="n">
        <v>2.59577953788649</v>
      </c>
      <c r="BG48" s="11" t="n">
        <v>2.58570205004501</v>
      </c>
    </row>
    <row r="49" customFormat="false" ht="15" hidden="false" customHeight="false" outlineLevel="0" collapsed="false">
      <c r="A49" s="10" t="n">
        <v>-76</v>
      </c>
      <c r="B49" s="8" t="n">
        <v>44728</v>
      </c>
      <c r="C49" s="11" t="n">
        <v>2.14539244314246</v>
      </c>
      <c r="D49" s="11" t="n">
        <v>2.15108332395464</v>
      </c>
      <c r="E49" s="11" t="n">
        <v>2.15266181012386</v>
      </c>
      <c r="F49" s="11" t="n">
        <v>2.1565708289849</v>
      </c>
      <c r="G49" s="11" t="n">
        <v>2.16510158485898</v>
      </c>
      <c r="H49" s="11" t="n">
        <v>2.17872238778864</v>
      </c>
      <c r="I49" s="11" t="n">
        <v>2.19717052382844</v>
      </c>
      <c r="J49" s="11" t="n">
        <v>2.21991779069523</v>
      </c>
      <c r="K49" s="11" t="n">
        <v>2.24632829296432</v>
      </c>
      <c r="L49" s="11" t="n">
        <v>2.27573824214905</v>
      </c>
      <c r="M49" s="11" t="n">
        <v>2.30749128790126</v>
      </c>
      <c r="N49" s="11" t="n">
        <v>2.34095361333799</v>
      </c>
      <c r="O49" s="11" t="n">
        <v>2.37551710571194</v>
      </c>
      <c r="P49" s="11" t="n">
        <v>2.41059925189071</v>
      </c>
      <c r="Q49" s="11" t="n">
        <v>2.44564207854208</v>
      </c>
      <c r="R49" s="11" t="n">
        <v>2.48012341173586</v>
      </c>
      <c r="S49" s="11" t="n">
        <v>2.51357654097799</v>
      </c>
      <c r="T49" s="11" t="n">
        <v>2.54560108551303</v>
      </c>
      <c r="U49" s="11" t="n">
        <v>2.57587271814202</v>
      </c>
      <c r="V49" s="11" t="n">
        <v>2.60415309869128</v>
      </c>
      <c r="W49" s="11" t="n">
        <v>2.63027419163473</v>
      </c>
      <c r="X49" s="11" t="n">
        <v>2.65412430094958</v>
      </c>
      <c r="Y49" s="11" t="n">
        <v>2.67564303947724</v>
      </c>
      <c r="Z49" s="11" t="n">
        <v>2.69482749200176</v>
      </c>
      <c r="AA49" s="11" t="n">
        <v>2.71172728406</v>
      </c>
      <c r="AB49" s="11" t="n">
        <v>2.72643136431419</v>
      </c>
      <c r="AC49" s="11" t="n">
        <v>2.73904663459205</v>
      </c>
      <c r="AD49" s="11" t="n">
        <v>2.74969063517861</v>
      </c>
      <c r="AE49" s="11" t="n">
        <v>2.75848983733913</v>
      </c>
      <c r="AF49" s="11" t="n">
        <v>2.76557829013803</v>
      </c>
      <c r="AG49" s="11" t="n">
        <v>2.77109408633468</v>
      </c>
      <c r="AH49" s="11" t="n">
        <v>2.77516435473876</v>
      </c>
      <c r="AI49" s="11" t="n">
        <v>2.7779054029979</v>
      </c>
      <c r="AJ49" s="11" t="n">
        <v>2.77942431008255</v>
      </c>
      <c r="AK49" s="11" t="n">
        <v>2.7798192560569</v>
      </c>
      <c r="AL49" s="11" t="n">
        <v>2.77917942100672</v>
      </c>
      <c r="AM49" s="11" t="n">
        <v>2.77758498515243</v>
      </c>
      <c r="AN49" s="11" t="n">
        <v>2.77510820794985</v>
      </c>
      <c r="AO49" s="11" t="n">
        <v>2.77181447081712</v>
      </c>
      <c r="AP49" s="11" t="n">
        <v>2.76776368284389</v>
      </c>
      <c r="AQ49" s="11" t="n">
        <v>2.76301147733282</v>
      </c>
      <c r="AR49" s="11" t="n">
        <v>2.75760991527586</v>
      </c>
      <c r="AS49" s="11" t="n">
        <v>2.75160816000117</v>
      </c>
      <c r="AT49" s="11" t="n">
        <v>2.74505273676307</v>
      </c>
      <c r="AU49" s="11" t="n">
        <v>2.73798764701437</v>
      </c>
      <c r="AV49" s="11" t="n">
        <v>2.73045457541353</v>
      </c>
      <c r="AW49" s="11" t="n">
        <v>2.7224930935371</v>
      </c>
      <c r="AX49" s="11" t="n">
        <v>2.71414100208534</v>
      </c>
      <c r="AY49" s="11" t="n">
        <v>2.7054345965246</v>
      </c>
      <c r="AZ49" s="11" t="n">
        <v>2.69640875494715</v>
      </c>
      <c r="BA49" s="11" t="n">
        <v>2.68709706747908</v>
      </c>
      <c r="BB49" s="11" t="n">
        <v>2.67753216268184</v>
      </c>
      <c r="BC49" s="11" t="n">
        <v>2.66774613690272</v>
      </c>
      <c r="BD49" s="11" t="n">
        <v>2.65777063443855</v>
      </c>
      <c r="BE49" s="11" t="n">
        <v>2.64763681549559</v>
      </c>
      <c r="BF49" s="11" t="n">
        <v>2.63737514569544</v>
      </c>
      <c r="BG49" s="11" t="n">
        <v>2.62701535335762</v>
      </c>
    </row>
    <row r="50" customFormat="false" ht="15" hidden="false" customHeight="false" outlineLevel="0" collapsed="false">
      <c r="A50" s="10" t="n">
        <v>-75</v>
      </c>
      <c r="B50" s="8" t="n">
        <v>44729</v>
      </c>
      <c r="C50" s="11" t="n">
        <v>2.23435345453447</v>
      </c>
      <c r="D50" s="11" t="n">
        <v>2.23424838207859</v>
      </c>
      <c r="E50" s="11" t="n">
        <v>2.22719545846395</v>
      </c>
      <c r="F50" s="11" t="n">
        <v>2.2208929116574</v>
      </c>
      <c r="G50" s="11" t="n">
        <v>2.21856385987462</v>
      </c>
      <c r="H50" s="11" t="n">
        <v>2.22131615912283</v>
      </c>
      <c r="I50" s="11" t="n">
        <v>2.22931703820868</v>
      </c>
      <c r="J50" s="11" t="n">
        <v>2.24232459421137</v>
      </c>
      <c r="K50" s="11" t="n">
        <v>2.25989152090047</v>
      </c>
      <c r="L50" s="11" t="n">
        <v>2.28146409303117</v>
      </c>
      <c r="M50" s="11" t="n">
        <v>2.30643528756593</v>
      </c>
      <c r="N50" s="11" t="n">
        <v>2.3341734989579</v>
      </c>
      <c r="O50" s="11" t="n">
        <v>2.36403851319514</v>
      </c>
      <c r="P50" s="11" t="n">
        <v>2.39539154265741</v>
      </c>
      <c r="Q50" s="11" t="n">
        <v>2.42759968432478</v>
      </c>
      <c r="R50" s="11" t="n">
        <v>2.4600519396496</v>
      </c>
      <c r="S50" s="11" t="n">
        <v>2.49218668226999</v>
      </c>
      <c r="T50" s="11" t="n">
        <v>2.52350481575739</v>
      </c>
      <c r="U50" s="11" t="n">
        <v>2.55358572394823</v>
      </c>
      <c r="V50" s="11" t="n">
        <v>2.58210159217012</v>
      </c>
      <c r="W50" s="11" t="n">
        <v>2.60880057892697</v>
      </c>
      <c r="X50" s="11" t="n">
        <v>2.63349176839721</v>
      </c>
      <c r="Y50" s="11" t="n">
        <v>2.65604164186712</v>
      </c>
      <c r="Z50" s="11" t="n">
        <v>2.67638472806196</v>
      </c>
      <c r="AA50" s="11" t="n">
        <v>2.69451831292562</v>
      </c>
      <c r="AB50" s="11" t="n">
        <v>2.71048781430338</v>
      </c>
      <c r="AC50" s="11" t="n">
        <v>2.72436502338692</v>
      </c>
      <c r="AD50" s="11" t="n">
        <v>2.73623989992911</v>
      </c>
      <c r="AE50" s="11" t="n">
        <v>2.74621769698461</v>
      </c>
      <c r="AF50" s="11" t="n">
        <v>2.75441664373031</v>
      </c>
      <c r="AG50" s="11" t="n">
        <v>2.76096352465853</v>
      </c>
      <c r="AH50" s="11" t="n">
        <v>2.76597825048774</v>
      </c>
      <c r="AI50" s="11" t="n">
        <v>2.76957359333459</v>
      </c>
      <c r="AJ50" s="11" t="n">
        <v>2.77185578321278</v>
      </c>
      <c r="AK50" s="11" t="n">
        <v>2.77292437026506</v>
      </c>
      <c r="AL50" s="11" t="n">
        <v>2.77287154759589</v>
      </c>
      <c r="AM50" s="11" t="n">
        <v>2.77178168090146</v>
      </c>
      <c r="AN50" s="11" t="n">
        <v>2.76973200825901</v>
      </c>
      <c r="AO50" s="11" t="n">
        <v>2.76679345976813</v>
      </c>
      <c r="AP50" s="11" t="n">
        <v>2.76303184601831</v>
      </c>
      <c r="AQ50" s="11" t="n">
        <v>2.75850885850745</v>
      </c>
      <c r="AR50" s="11" t="n">
        <v>2.75328266394921</v>
      </c>
      <c r="AS50" s="11" t="n">
        <v>2.74740843943597</v>
      </c>
      <c r="AT50" s="11" t="n">
        <v>2.74093853187459</v>
      </c>
      <c r="AU50" s="11" t="n">
        <v>2.73392245717159</v>
      </c>
      <c r="AV50" s="11" t="n">
        <v>2.72640706572389</v>
      </c>
      <c r="AW50" s="11" t="n">
        <v>2.7184366871042</v>
      </c>
      <c r="AX50" s="11" t="n">
        <v>2.71005345074521</v>
      </c>
      <c r="AY50" s="11" t="n">
        <v>2.70129754294356</v>
      </c>
      <c r="AZ50" s="11" t="n">
        <v>2.69220732756641</v>
      </c>
      <c r="BA50" s="11" t="n">
        <v>2.68281951383651</v>
      </c>
      <c r="BB50" s="11" t="n">
        <v>2.67316952796035</v>
      </c>
      <c r="BC50" s="11" t="n">
        <v>2.66329197565285</v>
      </c>
      <c r="BD50" s="11" t="n">
        <v>2.65322072523819</v>
      </c>
      <c r="BE50" s="11" t="n">
        <v>2.64298887638554</v>
      </c>
      <c r="BF50" s="11" t="n">
        <v>2.63262855400515</v>
      </c>
      <c r="BG50" s="11" t="n">
        <v>2.62217086382172</v>
      </c>
    </row>
    <row r="51" customFormat="false" ht="15" hidden="false" customHeight="false" outlineLevel="0" collapsed="false">
      <c r="A51" s="10" t="n">
        <v>-74</v>
      </c>
      <c r="B51" s="8" t="n">
        <v>44732</v>
      </c>
      <c r="C51" s="11" t="n">
        <v>2.32376783442525</v>
      </c>
      <c r="D51" s="11" t="n">
        <v>2.32523204215903</v>
      </c>
      <c r="E51" s="11" t="n">
        <v>2.31884519447072</v>
      </c>
      <c r="F51" s="11" t="n">
        <v>2.3130018523129</v>
      </c>
      <c r="G51" s="11" t="n">
        <v>2.31108845008208</v>
      </c>
      <c r="H51" s="11" t="n">
        <v>2.31424863369238</v>
      </c>
      <c r="I51" s="11" t="n">
        <v>2.3226610243079</v>
      </c>
      <c r="J51" s="11" t="n">
        <v>2.33609494886062</v>
      </c>
      <c r="K51" s="11" t="n">
        <v>2.35412016880551</v>
      </c>
      <c r="L51" s="11" t="n">
        <v>2.37620487262946</v>
      </c>
      <c r="M51" s="11" t="n">
        <v>2.40176477923133</v>
      </c>
      <c r="N51" s="11" t="n">
        <v>2.43018884965904</v>
      </c>
      <c r="O51" s="11" t="n">
        <v>2.4608528576749</v>
      </c>
      <c r="P51" s="11" t="n">
        <v>2.49312715661176</v>
      </c>
      <c r="Q51" s="11" t="n">
        <v>2.52638112752856</v>
      </c>
      <c r="R51" s="11" t="n">
        <v>2.5599993164641</v>
      </c>
      <c r="S51" s="11" t="n">
        <v>2.59340985073319</v>
      </c>
      <c r="T51" s="11" t="n">
        <v>2.62609859795302</v>
      </c>
      <c r="U51" s="11" t="n">
        <v>2.65762704268448</v>
      </c>
      <c r="V51" s="11" t="n">
        <v>2.68764789528595</v>
      </c>
      <c r="W51" s="11" t="n">
        <v>2.71588860143086</v>
      </c>
      <c r="X51" s="11" t="n">
        <v>2.74213655931818</v>
      </c>
      <c r="Y51" s="11" t="n">
        <v>2.76623648208026</v>
      </c>
      <c r="Z51" s="11" t="n">
        <v>2.78810262554845</v>
      </c>
      <c r="AA51" s="11" t="n">
        <v>2.8077140824523</v>
      </c>
      <c r="AB51" s="11" t="n">
        <v>2.8251008829984</v>
      </c>
      <c r="AC51" s="11" t="n">
        <v>2.84032283961032</v>
      </c>
      <c r="AD51" s="11" t="n">
        <v>2.85346110614597</v>
      </c>
      <c r="AE51" s="11" t="n">
        <v>2.86461481094731</v>
      </c>
      <c r="AF51" s="11" t="n">
        <v>2.87389833341448</v>
      </c>
      <c r="AG51" s="11" t="n">
        <v>2.88143657138275</v>
      </c>
      <c r="AH51" s="11" t="n">
        <v>2.88734963024689</v>
      </c>
      <c r="AI51" s="11" t="n">
        <v>2.8917523881349</v>
      </c>
      <c r="AJ51" s="11" t="n">
        <v>2.89475468374063</v>
      </c>
      <c r="AK51" s="11" t="n">
        <v>2.89646095622156</v>
      </c>
      <c r="AL51" s="11" t="n">
        <v>2.89696926911827</v>
      </c>
      <c r="AM51" s="11" t="n">
        <v>2.89637059620358</v>
      </c>
      <c r="AN51" s="11" t="n">
        <v>2.89474933889268</v>
      </c>
      <c r="AO51" s="11" t="n">
        <v>2.89218402830817</v>
      </c>
      <c r="AP51" s="11" t="n">
        <v>2.88874837242088</v>
      </c>
      <c r="AQ51" s="11" t="n">
        <v>2.88451213340929</v>
      </c>
      <c r="AR51" s="11" t="n">
        <v>2.87954159320285</v>
      </c>
      <c r="AS51" s="11" t="n">
        <v>2.87389991982279</v>
      </c>
      <c r="AT51" s="11" t="n">
        <v>2.86764720434008</v>
      </c>
      <c r="AU51" s="11" t="n">
        <v>2.86084031127266</v>
      </c>
      <c r="AV51" s="11" t="n">
        <v>2.85353294628617</v>
      </c>
      <c r="AW51" s="11" t="n">
        <v>2.84577565198273</v>
      </c>
      <c r="AX51" s="11" t="n">
        <v>2.83761608205342</v>
      </c>
      <c r="AY51" s="11" t="n">
        <v>2.82909913934174</v>
      </c>
      <c r="AZ51" s="11" t="n">
        <v>2.82026698219087</v>
      </c>
      <c r="BA51" s="11" t="n">
        <v>2.81115924414983</v>
      </c>
      <c r="BB51" s="11" t="n">
        <v>2.80181338076463</v>
      </c>
      <c r="BC51" s="11" t="n">
        <v>2.79226504094828</v>
      </c>
      <c r="BD51" s="11" t="n">
        <v>2.78254817851574</v>
      </c>
      <c r="BE51" s="11" t="n">
        <v>2.77269507465427</v>
      </c>
      <c r="BF51" s="11" t="n">
        <v>2.76273619992061</v>
      </c>
      <c r="BG51" s="11" t="n">
        <v>2.75270024005897</v>
      </c>
    </row>
    <row r="52" customFormat="false" ht="15" hidden="false" customHeight="false" outlineLevel="0" collapsed="false">
      <c r="A52" s="10" t="n">
        <v>-73</v>
      </c>
      <c r="B52" s="8" t="n">
        <v>44733</v>
      </c>
      <c r="C52" s="11" t="n">
        <v>2.33172109080117</v>
      </c>
      <c r="D52" s="11" t="n">
        <v>2.33326579426902</v>
      </c>
      <c r="E52" s="11" t="n">
        <v>2.32811721553263</v>
      </c>
      <c r="F52" s="11" t="n">
        <v>2.32430885222076</v>
      </c>
      <c r="G52" s="11" t="n">
        <v>2.3249482259121</v>
      </c>
      <c r="H52" s="11" t="n">
        <v>2.33097827017915</v>
      </c>
      <c r="I52" s="11" t="n">
        <v>2.34243199974092</v>
      </c>
      <c r="J52" s="11" t="n">
        <v>2.35897260413391</v>
      </c>
      <c r="K52" s="11" t="n">
        <v>2.38009436314483</v>
      </c>
      <c r="L52" s="11" t="n">
        <v>2.40521321830599</v>
      </c>
      <c r="M52" s="11" t="n">
        <v>2.43370752370858</v>
      </c>
      <c r="N52" s="11" t="n">
        <v>2.46493898852631</v>
      </c>
      <c r="O52" s="11" t="n">
        <v>2.49826381008937</v>
      </c>
      <c r="P52" s="11" t="n">
        <v>2.53303902464769</v>
      </c>
      <c r="Q52" s="11" t="n">
        <v>2.56862582521374</v>
      </c>
      <c r="R52" s="11" t="n">
        <v>2.6044052156498</v>
      </c>
      <c r="S52" s="11" t="n">
        <v>2.63980514477918</v>
      </c>
      <c r="T52" s="11" t="n">
        <v>2.67431364485098</v>
      </c>
      <c r="U52" s="11" t="n">
        <v>2.70749643995607</v>
      </c>
      <c r="V52" s="11" t="n">
        <v>2.73901160134396</v>
      </c>
      <c r="W52" s="11" t="n">
        <v>2.76859273512543</v>
      </c>
      <c r="X52" s="11" t="n">
        <v>2.79603404635446</v>
      </c>
      <c r="Y52" s="11" t="n">
        <v>2.82118769370714</v>
      </c>
      <c r="Z52" s="11" t="n">
        <v>2.84397591134003</v>
      </c>
      <c r="AA52" s="11" t="n">
        <v>2.86438609093096</v>
      </c>
      <c r="AB52" s="11" t="n">
        <v>2.88245671229317</v>
      </c>
      <c r="AC52" s="11" t="n">
        <v>2.89825623569862</v>
      </c>
      <c r="AD52" s="11" t="n">
        <v>2.91187470126318</v>
      </c>
      <c r="AE52" s="11" t="n">
        <v>2.92342032651827</v>
      </c>
      <c r="AF52" s="11" t="n">
        <v>2.93301675222826</v>
      </c>
      <c r="AG52" s="11" t="n">
        <v>2.94079823158279</v>
      </c>
      <c r="AH52" s="11" t="n">
        <v>2.94689427773016</v>
      </c>
      <c r="AI52" s="11" t="n">
        <v>2.95142936821707</v>
      </c>
      <c r="AJ52" s="11" t="n">
        <v>2.95452315248214</v>
      </c>
      <c r="AK52" s="11" t="n">
        <v>2.95629008545268</v>
      </c>
      <c r="AL52" s="11" t="n">
        <v>2.95683839405743</v>
      </c>
      <c r="AM52" s="11" t="n">
        <v>2.95626931671867</v>
      </c>
      <c r="AN52" s="11" t="n">
        <v>2.95467752863686</v>
      </c>
      <c r="AO52" s="11" t="n">
        <v>2.95215179480328</v>
      </c>
      <c r="AP52" s="11" t="n">
        <v>2.94877593202204</v>
      </c>
      <c r="AQ52" s="11" t="n">
        <v>2.94462961188528</v>
      </c>
      <c r="AR52" s="11" t="n">
        <v>2.93978871101296</v>
      </c>
      <c r="AS52" s="11" t="n">
        <v>2.93432550733292</v>
      </c>
      <c r="AT52" s="11" t="n">
        <v>2.9283086082913</v>
      </c>
      <c r="AU52" s="11" t="n">
        <v>2.92180266262029</v>
      </c>
      <c r="AV52" s="11" t="n">
        <v>2.91486836230103</v>
      </c>
      <c r="AW52" s="11" t="n">
        <v>2.90756232742715</v>
      </c>
      <c r="AX52" s="11" t="n">
        <v>2.89993737318401</v>
      </c>
      <c r="AY52" s="11" t="n">
        <v>2.89204253448467</v>
      </c>
      <c r="AZ52" s="11" t="n">
        <v>2.88392294042979</v>
      </c>
      <c r="BA52" s="11" t="n">
        <v>2.87562010104</v>
      </c>
      <c r="BB52" s="11" t="n">
        <v>2.86717221611886</v>
      </c>
      <c r="BC52" s="11" t="n">
        <v>2.85861442410341</v>
      </c>
      <c r="BD52" s="11" t="n">
        <v>2.84997891725411</v>
      </c>
      <c r="BE52" s="11" t="n">
        <v>2.84129499834552</v>
      </c>
      <c r="BF52" s="11" t="n">
        <v>2.83258899188025</v>
      </c>
      <c r="BG52" s="11" t="n">
        <v>2.82388431341017</v>
      </c>
    </row>
    <row r="53" customFormat="false" ht="15" hidden="false" customHeight="false" outlineLevel="0" collapsed="false">
      <c r="A53" s="10" t="n">
        <v>-72</v>
      </c>
      <c r="B53" s="8" t="n">
        <v>44734</v>
      </c>
      <c r="C53" s="11" t="n">
        <v>2.15326564783173</v>
      </c>
      <c r="D53" s="11" t="n">
        <v>2.15220635080587</v>
      </c>
      <c r="E53" s="11" t="n">
        <v>2.14615280470618</v>
      </c>
      <c r="F53" s="11" t="n">
        <v>2.14221676356946</v>
      </c>
      <c r="G53" s="11" t="n">
        <v>2.14309924579361</v>
      </c>
      <c r="H53" s="11" t="n">
        <v>2.14958556480496</v>
      </c>
      <c r="I53" s="11" t="n">
        <v>2.16166659676372</v>
      </c>
      <c r="J53" s="11" t="n">
        <v>2.17900666519421</v>
      </c>
      <c r="K53" s="11" t="n">
        <v>2.20111272383779</v>
      </c>
      <c r="L53" s="11" t="n">
        <v>2.22740793441102</v>
      </c>
      <c r="M53" s="11" t="n">
        <v>2.25726616676494</v>
      </c>
      <c r="N53" s="11" t="n">
        <v>2.29003201751091</v>
      </c>
      <c r="O53" s="11" t="n">
        <v>2.32503418900579</v>
      </c>
      <c r="P53" s="11" t="n">
        <v>2.36159542151156</v>
      </c>
      <c r="Q53" s="11" t="n">
        <v>2.39903863983674</v>
      </c>
      <c r="R53" s="11" t="n">
        <v>2.43670631588436</v>
      </c>
      <c r="S53" s="11" t="n">
        <v>2.47399008491152</v>
      </c>
      <c r="T53" s="11" t="n">
        <v>2.51034474020234</v>
      </c>
      <c r="U53" s="11" t="n">
        <v>2.54530750727465</v>
      </c>
      <c r="V53" s="11" t="n">
        <v>2.5785136561165</v>
      </c>
      <c r="W53" s="11" t="n">
        <v>2.6096786099232</v>
      </c>
      <c r="X53" s="11" t="n">
        <v>2.63858210789445</v>
      </c>
      <c r="Y53" s="11" t="n">
        <v>2.66506575135455</v>
      </c>
      <c r="Z53" s="11" t="n">
        <v>2.68904640037922</v>
      </c>
      <c r="AA53" s="11" t="n">
        <v>2.71051110030123</v>
      </c>
      <c r="AB53" s="11" t="n">
        <v>2.72950217371551</v>
      </c>
      <c r="AC53" s="11" t="n">
        <v>2.74609451119995</v>
      </c>
      <c r="AD53" s="11" t="n">
        <v>2.76038653425768</v>
      </c>
      <c r="AE53" s="11" t="n">
        <v>2.77249648732788</v>
      </c>
      <c r="AF53" s="11" t="n">
        <v>2.78255943426542</v>
      </c>
      <c r="AG53" s="11" t="n">
        <v>2.79072195607857</v>
      </c>
      <c r="AH53" s="11" t="n">
        <v>2.79712536725459</v>
      </c>
      <c r="AI53" s="11" t="n">
        <v>2.80190538548557</v>
      </c>
      <c r="AJ53" s="11" t="n">
        <v>2.80519211948835</v>
      </c>
      <c r="AK53" s="11" t="n">
        <v>2.80710963864155</v>
      </c>
      <c r="AL53" s="11" t="n">
        <v>2.80777468645449</v>
      </c>
      <c r="AM53" s="11" t="n">
        <v>2.80729573179115</v>
      </c>
      <c r="AN53" s="11" t="n">
        <v>2.80577338115924</v>
      </c>
      <c r="AO53" s="11" t="n">
        <v>2.80330112284151</v>
      </c>
      <c r="AP53" s="11" t="n">
        <v>2.79996650463919</v>
      </c>
      <c r="AQ53" s="11" t="n">
        <v>2.79585211823908</v>
      </c>
      <c r="AR53" s="11" t="n">
        <v>2.79103612615916</v>
      </c>
      <c r="AS53" s="11" t="n">
        <v>2.78559265126777</v>
      </c>
      <c r="AT53" s="11" t="n">
        <v>2.77959176584678</v>
      </c>
      <c r="AU53" s="11" t="n">
        <v>2.77309924204726</v>
      </c>
      <c r="AV53" s="11" t="n">
        <v>2.76617658927603</v>
      </c>
      <c r="AW53" s="11" t="n">
        <v>2.75888097361017</v>
      </c>
      <c r="AX53" s="11" t="n">
        <v>2.75126550669024</v>
      </c>
      <c r="AY53" s="11" t="n">
        <v>2.74337929402009</v>
      </c>
      <c r="AZ53" s="11" t="n">
        <v>2.73526734396808</v>
      </c>
      <c r="BA53" s="11" t="n">
        <v>2.72697087682539</v>
      </c>
      <c r="BB53" s="11" t="n">
        <v>2.71852767998099</v>
      </c>
      <c r="BC53" s="11" t="n">
        <v>2.70997241628766</v>
      </c>
      <c r="BD53" s="11" t="n">
        <v>2.70133676038166</v>
      </c>
      <c r="BE53" s="11" t="n">
        <v>2.69264946491353</v>
      </c>
      <c r="BF53" s="11" t="n">
        <v>2.68393626690982</v>
      </c>
      <c r="BG53" s="11" t="n">
        <v>2.67521997687285</v>
      </c>
    </row>
    <row r="54" customFormat="false" ht="15" hidden="false" customHeight="false" outlineLevel="0" collapsed="false">
      <c r="A54" s="10" t="n">
        <v>-71</v>
      </c>
      <c r="B54" s="8" t="n">
        <v>44735</v>
      </c>
      <c r="C54" s="11" t="n">
        <v>1.9481309898707</v>
      </c>
      <c r="D54" s="11" t="n">
        <v>1.9429951313626</v>
      </c>
      <c r="E54" s="11" t="n">
        <v>1.93580530904008</v>
      </c>
      <c r="F54" s="11" t="n">
        <v>1.93241602543519</v>
      </c>
      <c r="G54" s="11" t="n">
        <v>1.93488281021659</v>
      </c>
      <c r="H54" s="11" t="n">
        <v>1.94362839739827</v>
      </c>
      <c r="I54" s="11" t="n">
        <v>1.95842168404959</v>
      </c>
      <c r="J54" s="11" t="n">
        <v>1.9787785208297</v>
      </c>
      <c r="K54" s="11" t="n">
        <v>2.00409964520063</v>
      </c>
      <c r="L54" s="11" t="n">
        <v>2.03372902930453</v>
      </c>
      <c r="M54" s="11" t="n">
        <v>2.06697681315504</v>
      </c>
      <c r="N54" s="11" t="n">
        <v>2.10313437862388</v>
      </c>
      <c r="O54" s="11" t="n">
        <v>2.14148581684993</v>
      </c>
      <c r="P54" s="11" t="n">
        <v>2.18131624280654</v>
      </c>
      <c r="Q54" s="11" t="n">
        <v>2.22191663053613</v>
      </c>
      <c r="R54" s="11" t="n">
        <v>2.26260289097716</v>
      </c>
      <c r="S54" s="11" t="n">
        <v>2.30274462231904</v>
      </c>
      <c r="T54" s="11" t="n">
        <v>2.34177797999928</v>
      </c>
      <c r="U54" s="11" t="n">
        <v>2.37922564759363</v>
      </c>
      <c r="V54" s="11" t="n">
        <v>2.41471280497522</v>
      </c>
      <c r="W54" s="11" t="n">
        <v>2.44794835897509</v>
      </c>
      <c r="X54" s="11" t="n">
        <v>2.47870841165199</v>
      </c>
      <c r="Y54" s="11" t="n">
        <v>2.50683399931794</v>
      </c>
      <c r="Z54" s="11" t="n">
        <v>2.53224546942118</v>
      </c>
      <c r="AA54" s="11" t="n">
        <v>2.55493723456687</v>
      </c>
      <c r="AB54" s="11" t="n">
        <v>2.57496199372759</v>
      </c>
      <c r="AC54" s="11" t="n">
        <v>2.5924064056886</v>
      </c>
      <c r="AD54" s="11" t="n">
        <v>2.60738156452279</v>
      </c>
      <c r="AE54" s="11" t="n">
        <v>2.62001914935021</v>
      </c>
      <c r="AF54" s="11" t="n">
        <v>2.6304683053231</v>
      </c>
      <c r="AG54" s="11" t="n">
        <v>2.6388899478917</v>
      </c>
      <c r="AH54" s="11" t="n">
        <v>2.64543864233986</v>
      </c>
      <c r="AI54" s="11" t="n">
        <v>2.65026248567396</v>
      </c>
      <c r="AJ54" s="11" t="n">
        <v>2.65350323925918</v>
      </c>
      <c r="AK54" s="11" t="n">
        <v>2.65529593920424</v>
      </c>
      <c r="AL54" s="11" t="n">
        <v>2.65576753406107</v>
      </c>
      <c r="AM54" s="11" t="n">
        <v>2.65503590092635</v>
      </c>
      <c r="AN54" s="11" t="n">
        <v>2.65321029848566</v>
      </c>
      <c r="AO54" s="11" t="n">
        <v>2.65039217630708</v>
      </c>
      <c r="AP54" s="11" t="n">
        <v>2.6466763979507</v>
      </c>
      <c r="AQ54" s="11" t="n">
        <v>2.64215226149743</v>
      </c>
      <c r="AR54" s="11" t="n">
        <v>2.63690401862376</v>
      </c>
      <c r="AS54" s="11" t="n">
        <v>2.63101122164765</v>
      </c>
      <c r="AT54" s="11" t="n">
        <v>2.62454871443749</v>
      </c>
      <c r="AU54" s="11" t="n">
        <v>2.61758637828058</v>
      </c>
      <c r="AV54" s="11" t="n">
        <v>2.61018919893383</v>
      </c>
      <c r="AW54" s="11" t="n">
        <v>2.60241720496499</v>
      </c>
      <c r="AX54" s="11" t="n">
        <v>2.59432578036017</v>
      </c>
      <c r="AY54" s="11" t="n">
        <v>2.58596569946491</v>
      </c>
      <c r="AZ54" s="11" t="n">
        <v>2.57738302843736</v>
      </c>
      <c r="BA54" s="11" t="n">
        <v>2.56861948319207</v>
      </c>
      <c r="BB54" s="11" t="n">
        <v>2.55971284905301</v>
      </c>
      <c r="BC54" s="11" t="n">
        <v>2.55069736759922</v>
      </c>
      <c r="BD54" s="11" t="n">
        <v>2.54160404464533</v>
      </c>
      <c r="BE54" s="11" t="n">
        <v>2.53246088131531</v>
      </c>
      <c r="BF54" s="11" t="n">
        <v>2.52329293383055</v>
      </c>
      <c r="BG54" s="11" t="n">
        <v>2.51412254368141</v>
      </c>
    </row>
    <row r="55" customFormat="false" ht="15" hidden="false" customHeight="false" outlineLevel="0" collapsed="false">
      <c r="A55" s="10" t="n">
        <v>-70</v>
      </c>
      <c r="B55" s="8" t="n">
        <v>44736</v>
      </c>
      <c r="C55" s="11" t="n">
        <v>1.96556382491771</v>
      </c>
      <c r="D55" s="11" t="n">
        <v>1.95937528585443</v>
      </c>
      <c r="E55" s="11" t="n">
        <v>1.95189579495748</v>
      </c>
      <c r="F55" s="11" t="n">
        <v>1.94832855339298</v>
      </c>
      <c r="G55" s="11" t="n">
        <v>1.95052627677722</v>
      </c>
      <c r="H55" s="11" t="n">
        <v>1.95888393262746</v>
      </c>
      <c r="I55" s="11" t="n">
        <v>1.97320924870693</v>
      </c>
      <c r="J55" s="11" t="n">
        <v>1.99306787181398</v>
      </c>
      <c r="K55" s="11" t="n">
        <v>2.01790306572098</v>
      </c>
      <c r="L55" s="11" t="n">
        <v>2.04708991913157</v>
      </c>
      <c r="M55" s="11" t="n">
        <v>2.07995524131803</v>
      </c>
      <c r="N55" s="11" t="n">
        <v>2.11579621684189</v>
      </c>
      <c r="O55" s="11" t="n">
        <v>2.15389492790159</v>
      </c>
      <c r="P55" s="11" t="n">
        <v>2.19352784495934</v>
      </c>
      <c r="Q55" s="11" t="n">
        <v>2.2339721223196</v>
      </c>
      <c r="R55" s="11" t="n">
        <v>2.27452613888625</v>
      </c>
      <c r="S55" s="11" t="n">
        <v>2.3145399198125</v>
      </c>
      <c r="T55" s="11" t="n">
        <v>2.35342825678383</v>
      </c>
      <c r="U55" s="11" t="n">
        <v>2.39069449631425</v>
      </c>
      <c r="V55" s="11" t="n">
        <v>2.4259500682197</v>
      </c>
      <c r="W55" s="11" t="n">
        <v>2.45889472455909</v>
      </c>
      <c r="X55" s="11" t="n">
        <v>2.48929914071259</v>
      </c>
      <c r="Y55" s="11" t="n">
        <v>2.51700352147147</v>
      </c>
      <c r="Z55" s="11" t="n">
        <v>2.54193389919665</v>
      </c>
      <c r="AA55" s="11" t="n">
        <v>2.5640953646246</v>
      </c>
      <c r="AB55" s="11" t="n">
        <v>2.58355318182384</v>
      </c>
      <c r="AC55" s="11" t="n">
        <v>2.60040620546663</v>
      </c>
      <c r="AD55" s="11" t="n">
        <v>2.61477712719327</v>
      </c>
      <c r="AE55" s="11" t="n">
        <v>2.62680872033867</v>
      </c>
      <c r="AF55" s="11" t="n">
        <v>2.6366607970742</v>
      </c>
      <c r="AG55" s="11" t="n">
        <v>2.64450408357347</v>
      </c>
      <c r="AH55" s="11" t="n">
        <v>2.6505005438005</v>
      </c>
      <c r="AI55" s="11" t="n">
        <v>2.6548037055972</v>
      </c>
      <c r="AJ55" s="11" t="n">
        <v>2.65755895168522</v>
      </c>
      <c r="AK55" s="11" t="n">
        <v>2.65890331768791</v>
      </c>
      <c r="AL55" s="11" t="n">
        <v>2.65896423265293</v>
      </c>
      <c r="AM55" s="11" t="n">
        <v>2.65785870598698</v>
      </c>
      <c r="AN55" s="11" t="n">
        <v>2.65569397674815</v>
      </c>
      <c r="AO55" s="11" t="n">
        <v>2.6525684870216</v>
      </c>
      <c r="AP55" s="11" t="n">
        <v>2.64857325355708</v>
      </c>
      <c r="AQ55" s="11" t="n">
        <v>2.64379300459272</v>
      </c>
      <c r="AR55" s="11" t="n">
        <v>2.63830685324453</v>
      </c>
      <c r="AS55" s="11" t="n">
        <v>2.63218882195214</v>
      </c>
      <c r="AT55" s="11" t="n">
        <v>2.62550799786989</v>
      </c>
      <c r="AU55" s="11" t="n">
        <v>2.61832848718981</v>
      </c>
      <c r="AV55" s="11" t="n">
        <v>2.61070963546596</v>
      </c>
      <c r="AW55" s="11" t="n">
        <v>2.60270617001506</v>
      </c>
      <c r="AX55" s="11" t="n">
        <v>2.59436857412659</v>
      </c>
      <c r="AY55" s="11" t="n">
        <v>2.58574327903384</v>
      </c>
      <c r="AZ55" s="11" t="n">
        <v>2.57687275263882</v>
      </c>
      <c r="BA55" s="11" t="n">
        <v>2.56779583302442</v>
      </c>
      <c r="BB55" s="11" t="n">
        <v>2.55854822043799</v>
      </c>
      <c r="BC55" s="11" t="n">
        <v>2.54916299891367</v>
      </c>
      <c r="BD55" s="11" t="n">
        <v>2.53967093597488</v>
      </c>
      <c r="BE55" s="11" t="n">
        <v>2.53010066147958</v>
      </c>
      <c r="BF55" s="11" t="n">
        <v>2.52047861718407</v>
      </c>
      <c r="BG55" s="11" t="n">
        <v>2.51082920433407</v>
      </c>
    </row>
    <row r="56" customFormat="false" ht="15" hidden="false" customHeight="false" outlineLevel="0" collapsed="false">
      <c r="A56" s="10" t="n">
        <v>-69</v>
      </c>
      <c r="B56" s="8" t="n">
        <v>44739</v>
      </c>
      <c r="C56" s="11" t="n">
        <v>2.03541273223887</v>
      </c>
      <c r="D56" s="11" t="n">
        <v>2.03018581789554</v>
      </c>
      <c r="E56" s="11" t="n">
        <v>2.02366519528314</v>
      </c>
      <c r="F56" s="11" t="n">
        <v>2.02120654063937</v>
      </c>
      <c r="G56" s="11" t="n">
        <v>2.02464045724337</v>
      </c>
      <c r="H56" s="11" t="n">
        <v>2.03430174953929</v>
      </c>
      <c r="I56" s="11" t="n">
        <v>2.04994181725243</v>
      </c>
      <c r="J56" s="11" t="n">
        <v>2.07108578762006</v>
      </c>
      <c r="K56" s="11" t="n">
        <v>2.09714981738531</v>
      </c>
      <c r="L56" s="11" t="n">
        <v>2.12749238622565</v>
      </c>
      <c r="M56" s="11" t="n">
        <v>2.16142838202917</v>
      </c>
      <c r="N56" s="11" t="n">
        <v>2.19824540185544</v>
      </c>
      <c r="O56" s="11" t="n">
        <v>2.23721824253194</v>
      </c>
      <c r="P56" s="11" t="n">
        <v>2.27761906262754</v>
      </c>
      <c r="Q56" s="11" t="n">
        <v>2.31872373602807</v>
      </c>
      <c r="R56" s="11" t="n">
        <v>2.35983260106536</v>
      </c>
      <c r="S56" s="11" t="n">
        <v>2.40030015267011</v>
      </c>
      <c r="T56" s="11" t="n">
        <v>2.4395474529322</v>
      </c>
      <c r="U56" s="11" t="n">
        <v>2.47708601256152</v>
      </c>
      <c r="V56" s="11" t="n">
        <v>2.51253737137539</v>
      </c>
      <c r="W56" s="11" t="n">
        <v>2.54561292115081</v>
      </c>
      <c r="X56" s="11" t="n">
        <v>2.57609620860142</v>
      </c>
      <c r="Y56" s="11" t="n">
        <v>2.60384134608975</v>
      </c>
      <c r="Z56" s="11" t="n">
        <v>2.62878884607274</v>
      </c>
      <c r="AA56" s="11" t="n">
        <v>2.65095831710673</v>
      </c>
      <c r="AB56" s="11" t="n">
        <v>2.67042846123419</v>
      </c>
      <c r="AC56" s="11" t="n">
        <v>2.68730913188381</v>
      </c>
      <c r="AD56" s="11" t="n">
        <v>2.7017316547272</v>
      </c>
      <c r="AE56" s="11" t="n">
        <v>2.7138454409219</v>
      </c>
      <c r="AF56" s="11" t="n">
        <v>2.72381524664441</v>
      </c>
      <c r="AG56" s="11" t="n">
        <v>2.7318149985163</v>
      </c>
      <c r="AH56" s="11" t="n">
        <v>2.73800718052559</v>
      </c>
      <c r="AI56" s="11" t="n">
        <v>2.74254364936638</v>
      </c>
      <c r="AJ56" s="11" t="n">
        <v>2.7455664412272</v>
      </c>
      <c r="AK56" s="11" t="n">
        <v>2.74720784152427</v>
      </c>
      <c r="AL56" s="11" t="n">
        <v>2.74758947844474</v>
      </c>
      <c r="AM56" s="11" t="n">
        <v>2.74682186344577</v>
      </c>
      <c r="AN56" s="11" t="n">
        <v>2.7450054071303</v>
      </c>
      <c r="AO56" s="11" t="n">
        <v>2.74223159305613</v>
      </c>
      <c r="AP56" s="11" t="n">
        <v>2.7385846470239</v>
      </c>
      <c r="AQ56" s="11" t="n">
        <v>2.73414288912404</v>
      </c>
      <c r="AR56" s="11" t="n">
        <v>2.72897953789513</v>
      </c>
      <c r="AS56" s="11" t="n">
        <v>2.72316340568877</v>
      </c>
      <c r="AT56" s="11" t="n">
        <v>2.71675908764433</v>
      </c>
      <c r="AU56" s="11" t="n">
        <v>2.70982695787189</v>
      </c>
      <c r="AV56" s="11" t="n">
        <v>2.70242338434672</v>
      </c>
      <c r="AW56" s="11" t="n">
        <v>2.69460088913837</v>
      </c>
      <c r="AX56" s="11" t="n">
        <v>2.68640848935689</v>
      </c>
      <c r="AY56" s="11" t="n">
        <v>2.6778918563793</v>
      </c>
      <c r="AZ56" s="11" t="n">
        <v>2.66909336629195</v>
      </c>
      <c r="BA56" s="11" t="n">
        <v>2.66005237652514</v>
      </c>
      <c r="BB56" s="11" t="n">
        <v>2.65080567031215</v>
      </c>
      <c r="BC56" s="11" t="n">
        <v>2.6413879333573</v>
      </c>
      <c r="BD56" s="11" t="n">
        <v>2.63183197813968</v>
      </c>
      <c r="BE56" s="11" t="n">
        <v>2.62216884190877</v>
      </c>
      <c r="BF56" s="11" t="n">
        <v>2.61242762967014</v>
      </c>
      <c r="BG56" s="11" t="n">
        <v>2.60263560613189</v>
      </c>
    </row>
    <row r="57" customFormat="false" ht="15" hidden="false" customHeight="false" outlineLevel="0" collapsed="false">
      <c r="A57" s="10" t="n">
        <v>-68</v>
      </c>
      <c r="B57" s="8" t="n">
        <v>44740</v>
      </c>
      <c r="C57" s="11" t="n">
        <v>2.14940062579604</v>
      </c>
      <c r="D57" s="11" t="n">
        <v>2.14437279167051</v>
      </c>
      <c r="E57" s="11" t="n">
        <v>2.13647385010999</v>
      </c>
      <c r="F57" s="11" t="n">
        <v>2.13197806342963</v>
      </c>
      <c r="G57" s="11" t="n">
        <v>2.13303652893153</v>
      </c>
      <c r="H57" s="11" t="n">
        <v>2.14013748961349</v>
      </c>
      <c r="I57" s="11" t="n">
        <v>2.153135931608</v>
      </c>
      <c r="J57" s="11" t="n">
        <v>2.17164541605195</v>
      </c>
      <c r="K57" s="11" t="n">
        <v>2.19516302544652</v>
      </c>
      <c r="L57" s="11" t="n">
        <v>2.22312162345514</v>
      </c>
      <c r="M57" s="11" t="n">
        <v>2.25489520010306</v>
      </c>
      <c r="N57" s="11" t="n">
        <v>2.28981057982191</v>
      </c>
      <c r="O57" s="11" t="n">
        <v>2.32716239420582</v>
      </c>
      <c r="P57" s="11" t="n">
        <v>2.36622577520488</v>
      </c>
      <c r="Q57" s="11" t="n">
        <v>2.4062659493841</v>
      </c>
      <c r="R57" s="11" t="n">
        <v>2.44656198539591</v>
      </c>
      <c r="S57" s="11" t="n">
        <v>2.48643997971529</v>
      </c>
      <c r="T57" s="11" t="n">
        <v>2.52528643599864</v>
      </c>
      <c r="U57" s="11" t="n">
        <v>2.56257586907058</v>
      </c>
      <c r="V57" s="11" t="n">
        <v>2.59789489794475</v>
      </c>
      <c r="W57" s="11" t="n">
        <v>2.63092188472931</v>
      </c>
      <c r="X57" s="11" t="n">
        <v>2.66140890768593</v>
      </c>
      <c r="Y57" s="11" t="n">
        <v>2.68918167945538</v>
      </c>
      <c r="Z57" s="11" t="n">
        <v>2.71415862943353</v>
      </c>
      <c r="AA57" s="11" t="n">
        <v>2.73634287842384</v>
      </c>
      <c r="AB57" s="11" t="n">
        <v>2.7558006905923</v>
      </c>
      <c r="AC57" s="11" t="n">
        <v>2.77263322771216</v>
      </c>
      <c r="AD57" s="11" t="n">
        <v>2.78696644655596</v>
      </c>
      <c r="AE57" s="11" t="n">
        <v>2.79894719539984</v>
      </c>
      <c r="AF57" s="11" t="n">
        <v>2.80874004833971</v>
      </c>
      <c r="AG57" s="11" t="n">
        <v>2.81652072758581</v>
      </c>
      <c r="AH57" s="11" t="n">
        <v>2.82245526316802</v>
      </c>
      <c r="AI57" s="11" t="n">
        <v>2.82670043929343</v>
      </c>
      <c r="AJ57" s="11" t="n">
        <v>2.82940390233025</v>
      </c>
      <c r="AK57" s="11" t="n">
        <v>2.83070398910464</v>
      </c>
      <c r="AL57" s="11" t="n">
        <v>2.83072840345311</v>
      </c>
      <c r="AM57" s="11" t="n">
        <v>2.82959343150863</v>
      </c>
      <c r="AN57" s="11" t="n">
        <v>2.827404745113</v>
      </c>
      <c r="AO57" s="11" t="n">
        <v>2.82425850367097</v>
      </c>
      <c r="AP57" s="11" t="n">
        <v>2.82024285224473</v>
      </c>
      <c r="AQ57" s="11" t="n">
        <v>2.81543915755009</v>
      </c>
      <c r="AR57" s="11" t="n">
        <v>2.80992282399541</v>
      </c>
      <c r="AS57" s="11" t="n">
        <v>2.8037639833273</v>
      </c>
      <c r="AT57" s="11" t="n">
        <v>2.79702778799823</v>
      </c>
      <c r="AU57" s="11" t="n">
        <v>2.78977453232175</v>
      </c>
      <c r="AV57" s="11" t="n">
        <v>2.7820599958937</v>
      </c>
      <c r="AW57" s="11" t="n">
        <v>2.7739357486374</v>
      </c>
      <c r="AX57" s="11" t="n">
        <v>2.76544956829071</v>
      </c>
      <c r="AY57" s="11" t="n">
        <v>2.75664573813423</v>
      </c>
      <c r="AZ57" s="11" t="n">
        <v>2.74756524677961</v>
      </c>
      <c r="BA57" s="11" t="n">
        <v>2.73824608801902</v>
      </c>
      <c r="BB57" s="11" t="n">
        <v>2.72872377509047</v>
      </c>
      <c r="BC57" s="11" t="n">
        <v>2.71903191237332</v>
      </c>
      <c r="BD57" s="11" t="n">
        <v>2.70920244560309</v>
      </c>
      <c r="BE57" s="11" t="n">
        <v>2.69926576852723</v>
      </c>
      <c r="BF57" s="11" t="n">
        <v>2.68925056939126</v>
      </c>
      <c r="BG57" s="11" t="n">
        <v>2.67918391454005</v>
      </c>
    </row>
    <row r="58" customFormat="false" ht="15" hidden="false" customHeight="false" outlineLevel="0" collapsed="false">
      <c r="A58" s="10" t="n">
        <v>-67</v>
      </c>
      <c r="B58" s="8" t="n">
        <v>44741</v>
      </c>
      <c r="C58" s="11" t="n">
        <v>2.06904088078037</v>
      </c>
      <c r="D58" s="11" t="n">
        <v>2.06398780810725</v>
      </c>
      <c r="E58" s="11" t="n">
        <v>2.05603223055923</v>
      </c>
      <c r="F58" s="11" t="n">
        <v>2.05108140910929</v>
      </c>
      <c r="G58" s="11" t="n">
        <v>2.0512522978093</v>
      </c>
      <c r="H58" s="11" t="n">
        <v>2.05711069653894</v>
      </c>
      <c r="I58" s="11" t="n">
        <v>2.0686259323899</v>
      </c>
      <c r="J58" s="11" t="n">
        <v>2.08553895355988</v>
      </c>
      <c r="K58" s="11" t="n">
        <v>2.10747502956332</v>
      </c>
      <c r="L58" s="11" t="n">
        <v>2.13398813581369</v>
      </c>
      <c r="M58" s="11" t="n">
        <v>2.16455337086821</v>
      </c>
      <c r="N58" s="11" t="n">
        <v>2.19857336099594</v>
      </c>
      <c r="O58" s="11" t="n">
        <v>2.23539582189863</v>
      </c>
      <c r="P58" s="11" t="n">
        <v>2.27432887888267</v>
      </c>
      <c r="Q58" s="11" t="n">
        <v>2.31465370461945</v>
      </c>
      <c r="R58" s="11" t="n">
        <v>2.35564934209526</v>
      </c>
      <c r="S58" s="11" t="n">
        <v>2.396627092828</v>
      </c>
      <c r="T58" s="11" t="n">
        <v>2.43694371561127</v>
      </c>
      <c r="U58" s="11" t="n">
        <v>2.47603232066657</v>
      </c>
      <c r="V58" s="11" t="n">
        <v>2.51343110217987</v>
      </c>
      <c r="W58" s="11" t="n">
        <v>2.5487645559929</v>
      </c>
      <c r="X58" s="11" t="n">
        <v>2.58172659239559</v>
      </c>
      <c r="Y58" s="11" t="n">
        <v>2.61208312871976</v>
      </c>
      <c r="Z58" s="11" t="n">
        <v>2.63969535229898</v>
      </c>
      <c r="AA58" s="11" t="n">
        <v>2.66451301060745</v>
      </c>
      <c r="AB58" s="11" t="n">
        <v>2.68655488157895</v>
      </c>
      <c r="AC58" s="11" t="n">
        <v>2.70588312499583</v>
      </c>
      <c r="AD58" s="11" t="n">
        <v>2.72259270959578</v>
      </c>
      <c r="AE58" s="11" t="n">
        <v>2.73680626421558</v>
      </c>
      <c r="AF58" s="11" t="n">
        <v>2.74866988652338</v>
      </c>
      <c r="AG58" s="11" t="n">
        <v>2.75834604145239</v>
      </c>
      <c r="AH58" s="11" t="n">
        <v>2.7659938725288</v>
      </c>
      <c r="AI58" s="11" t="n">
        <v>2.77176882269036</v>
      </c>
      <c r="AJ58" s="11" t="n">
        <v>2.77582161204437</v>
      </c>
      <c r="AK58" s="11" t="n">
        <v>2.77829740950966</v>
      </c>
      <c r="AL58" s="11" t="n">
        <v>2.77933347404747</v>
      </c>
      <c r="AM58" s="11" t="n">
        <v>2.77905745980731</v>
      </c>
      <c r="AN58" s="11" t="n">
        <v>2.77758731689795</v>
      </c>
      <c r="AO58" s="11" t="n">
        <v>2.77503194789275</v>
      </c>
      <c r="AP58" s="11" t="n">
        <v>2.77149230017086</v>
      </c>
      <c r="AQ58" s="11" t="n">
        <v>2.76706230731373</v>
      </c>
      <c r="AR58" s="11" t="n">
        <v>2.76182956911976</v>
      </c>
      <c r="AS58" s="11" t="n">
        <v>2.7558758742144</v>
      </c>
      <c r="AT58" s="11" t="n">
        <v>2.74927734296873</v>
      </c>
      <c r="AU58" s="11" t="n">
        <v>2.74210436591479</v>
      </c>
      <c r="AV58" s="11" t="n">
        <v>2.73442190484309</v>
      </c>
      <c r="AW58" s="11" t="n">
        <v>2.72628973235634</v>
      </c>
      <c r="AX58" s="11" t="n">
        <v>2.71776284868063</v>
      </c>
      <c r="AY58" s="11" t="n">
        <v>2.70889179129703</v>
      </c>
      <c r="AZ58" s="11" t="n">
        <v>2.69972289062903</v>
      </c>
      <c r="BA58" s="11" t="n">
        <v>2.69029865078175</v>
      </c>
      <c r="BB58" s="11" t="n">
        <v>2.68065834317856</v>
      </c>
      <c r="BC58" s="11" t="n">
        <v>2.67083864939596</v>
      </c>
      <c r="BD58" s="11" t="n">
        <v>2.66087399347939</v>
      </c>
      <c r="BE58" s="11" t="n">
        <v>2.65079672000761</v>
      </c>
      <c r="BF58" s="11" t="n">
        <v>2.64063699824746</v>
      </c>
      <c r="BG58" s="11" t="n">
        <v>2.63042298194189</v>
      </c>
    </row>
    <row r="59" customFormat="false" ht="15" hidden="false" customHeight="false" outlineLevel="0" collapsed="false">
      <c r="A59" s="10" t="n">
        <v>-66</v>
      </c>
      <c r="B59" s="8" t="n">
        <v>44742</v>
      </c>
      <c r="C59" s="11" t="n">
        <v>1.91159096571664</v>
      </c>
      <c r="D59" s="11" t="n">
        <v>1.90780907572281</v>
      </c>
      <c r="E59" s="11" t="n">
        <v>1.90286109194496</v>
      </c>
      <c r="F59" s="11" t="n">
        <v>1.90180625971598</v>
      </c>
      <c r="G59" s="11" t="n">
        <v>1.90632238940804</v>
      </c>
      <c r="H59" s="11" t="n">
        <v>1.91670325865375</v>
      </c>
      <c r="I59" s="11" t="n">
        <v>1.93273717160225</v>
      </c>
      <c r="J59" s="11" t="n">
        <v>1.95404501658176</v>
      </c>
      <c r="K59" s="11" t="n">
        <v>1.98017274240398</v>
      </c>
      <c r="L59" s="11" t="n">
        <v>2.01062730417251</v>
      </c>
      <c r="M59" s="11" t="n">
        <v>2.04486366779388</v>
      </c>
      <c r="N59" s="11" t="n">
        <v>2.08228589583519</v>
      </c>
      <c r="O59" s="11" t="n">
        <v>2.1222596950316</v>
      </c>
      <c r="P59" s="11" t="n">
        <v>2.16412185836507</v>
      </c>
      <c r="Q59" s="11" t="n">
        <v>2.20718881364555</v>
      </c>
      <c r="R59" s="11" t="n">
        <v>2.25077697369573</v>
      </c>
      <c r="S59" s="11" t="n">
        <v>2.29423324245088</v>
      </c>
      <c r="T59" s="11" t="n">
        <v>2.3369463876034</v>
      </c>
      <c r="U59" s="11" t="n">
        <v>2.37837565156534</v>
      </c>
      <c r="V59" s="11" t="n">
        <v>2.41807723838467</v>
      </c>
      <c r="W59" s="11" t="n">
        <v>2.45568693455351</v>
      </c>
      <c r="X59" s="11" t="n">
        <v>2.49090456145454</v>
      </c>
      <c r="Y59" s="11" t="n">
        <v>2.52349703496345</v>
      </c>
      <c r="Z59" s="11" t="n">
        <v>2.55332087716052</v>
      </c>
      <c r="AA59" s="11" t="n">
        <v>2.5803172672596</v>
      </c>
      <c r="AB59" s="11" t="n">
        <v>2.60449535203349</v>
      </c>
      <c r="AC59" s="11" t="n">
        <v>2.6259080043161</v>
      </c>
      <c r="AD59" s="11" t="n">
        <v>2.64464147870661</v>
      </c>
      <c r="AE59" s="11" t="n">
        <v>2.66081017584248</v>
      </c>
      <c r="AF59" s="11" t="n">
        <v>2.67455237744443</v>
      </c>
      <c r="AG59" s="11" t="n">
        <v>2.68602319756797</v>
      </c>
      <c r="AH59" s="11" t="n">
        <v>2.69537564877519</v>
      </c>
      <c r="AI59" s="11" t="n">
        <v>2.70276028757538</v>
      </c>
      <c r="AJ59" s="11" t="n">
        <v>2.70832427370957</v>
      </c>
      <c r="AK59" s="11" t="n">
        <v>2.71221047576065</v>
      </c>
      <c r="AL59" s="11" t="n">
        <v>2.71455491721475</v>
      </c>
      <c r="AM59" s="11" t="n">
        <v>2.71548496667454</v>
      </c>
      <c r="AN59" s="11" t="n">
        <v>2.71511920958314</v>
      </c>
      <c r="AO59" s="11" t="n">
        <v>2.71356803857868</v>
      </c>
      <c r="AP59" s="11" t="n">
        <v>2.71093464365663</v>
      </c>
      <c r="AQ59" s="11" t="n">
        <v>2.70731585433504</v>
      </c>
      <c r="AR59" s="11" t="n">
        <v>2.70280258074921</v>
      </c>
      <c r="AS59" s="11" t="n">
        <v>2.69748005957316</v>
      </c>
      <c r="AT59" s="11" t="n">
        <v>2.69142782389309</v>
      </c>
      <c r="AU59" s="11" t="n">
        <v>2.68471947344875</v>
      </c>
      <c r="AV59" s="11" t="n">
        <v>2.67742296235874</v>
      </c>
      <c r="AW59" s="11" t="n">
        <v>2.66960085664723</v>
      </c>
      <c r="AX59" s="11" t="n">
        <v>2.66131086323277</v>
      </c>
      <c r="AY59" s="11" t="n">
        <v>2.6526063519546</v>
      </c>
      <c r="AZ59" s="11" t="n">
        <v>2.64353678883437</v>
      </c>
      <c r="BA59" s="11" t="n">
        <v>2.63414812150213</v>
      </c>
      <c r="BB59" s="11" t="n">
        <v>2.62448347372633</v>
      </c>
      <c r="BC59" s="11" t="n">
        <v>2.61458391852219</v>
      </c>
      <c r="BD59" s="11" t="n">
        <v>2.60448870928721</v>
      </c>
      <c r="BE59" s="11" t="n">
        <v>2.59423531524305</v>
      </c>
      <c r="BF59" s="11" t="n">
        <v>2.58385911348158</v>
      </c>
      <c r="BG59" s="11" t="n">
        <v>2.57339343285758</v>
      </c>
    </row>
    <row r="60" customFormat="false" ht="15" hidden="false" customHeight="false" outlineLevel="0" collapsed="false">
      <c r="A60" s="10" t="n">
        <v>-65</v>
      </c>
      <c r="B60" s="8" t="n">
        <v>44743</v>
      </c>
      <c r="C60" s="11" t="n">
        <v>1.68636591388658</v>
      </c>
      <c r="D60" s="11" t="n">
        <v>1.68194460491198</v>
      </c>
      <c r="E60" s="11" t="n">
        <v>1.67921248950148</v>
      </c>
      <c r="F60" s="11" t="n">
        <v>1.68173735774624</v>
      </c>
      <c r="G60" s="11" t="n">
        <v>1.69052157804042</v>
      </c>
      <c r="H60" s="11" t="n">
        <v>1.70548137329171</v>
      </c>
      <c r="I60" s="11" t="n">
        <v>1.7261538663474</v>
      </c>
      <c r="J60" s="11" t="n">
        <v>1.75198674745569</v>
      </c>
      <c r="K60" s="11" t="n">
        <v>1.78241314368689</v>
      </c>
      <c r="L60" s="11" t="n">
        <v>1.81687238739628</v>
      </c>
      <c r="M60" s="11" t="n">
        <v>1.85479154180899</v>
      </c>
      <c r="N60" s="11" t="n">
        <v>1.89557543997796</v>
      </c>
      <c r="O60" s="11" t="n">
        <v>1.93860769663215</v>
      </c>
      <c r="P60" s="11" t="n">
        <v>1.98325022489976</v>
      </c>
      <c r="Q60" s="11" t="n">
        <v>2.02884747862435</v>
      </c>
      <c r="R60" s="11" t="n">
        <v>2.07474255356997</v>
      </c>
      <c r="S60" s="11" t="n">
        <v>2.12030568269692</v>
      </c>
      <c r="T60" s="11" t="n">
        <v>2.16494359948586</v>
      </c>
      <c r="U60" s="11" t="n">
        <v>2.20812978181463</v>
      </c>
      <c r="V60" s="11" t="n">
        <v>2.24943251513611</v>
      </c>
      <c r="W60" s="11" t="n">
        <v>2.28849787759586</v>
      </c>
      <c r="X60" s="11" t="n">
        <v>2.32503459663114</v>
      </c>
      <c r="Y60" s="11" t="n">
        <v>2.35881807536135</v>
      </c>
      <c r="Z60" s="11" t="n">
        <v>2.38971326870612</v>
      </c>
      <c r="AA60" s="11" t="n">
        <v>2.41766964274778</v>
      </c>
      <c r="AB60" s="11" t="n">
        <v>2.44270451325993</v>
      </c>
      <c r="AC60" s="11" t="n">
        <v>2.46487907265254</v>
      </c>
      <c r="AD60" s="11" t="n">
        <v>2.48428821008218</v>
      </c>
      <c r="AE60" s="11" t="n">
        <v>2.50105522992285</v>
      </c>
      <c r="AF60" s="11" t="n">
        <v>2.51532754572524</v>
      </c>
      <c r="AG60" s="11" t="n">
        <v>2.52726945886369</v>
      </c>
      <c r="AH60" s="11" t="n">
        <v>2.53704336208862</v>
      </c>
      <c r="AI60" s="11" t="n">
        <v>2.54480934290408</v>
      </c>
      <c r="AJ60" s="11" t="n">
        <v>2.55072385668864</v>
      </c>
      <c r="AK60" s="11" t="n">
        <v>2.55493878507712</v>
      </c>
      <c r="AL60" s="11" t="n">
        <v>2.55759855707678</v>
      </c>
      <c r="AM60" s="11" t="n">
        <v>2.5588382303162</v>
      </c>
      <c r="AN60" s="11" t="n">
        <v>2.55878349716351</v>
      </c>
      <c r="AO60" s="11" t="n">
        <v>2.55755139786596</v>
      </c>
      <c r="AP60" s="11" t="n">
        <v>2.55525148020216</v>
      </c>
      <c r="AQ60" s="11" t="n">
        <v>2.55198676100287</v>
      </c>
      <c r="AR60" s="11" t="n">
        <v>2.54785421162009</v>
      </c>
      <c r="AS60" s="11" t="n">
        <v>2.54294504401118</v>
      </c>
      <c r="AT60" s="11" t="n">
        <v>2.53734451313312</v>
      </c>
      <c r="AU60" s="11" t="n">
        <v>2.53113148754497</v>
      </c>
      <c r="AV60" s="11" t="n">
        <v>2.52437862207863</v>
      </c>
      <c r="AW60" s="11" t="n">
        <v>2.51715247082864</v>
      </c>
      <c r="AX60" s="11" t="n">
        <v>2.50951397226713</v>
      </c>
      <c r="AY60" s="11" t="n">
        <v>2.50151883140639</v>
      </c>
      <c r="AZ60" s="11" t="n">
        <v>2.49321783463777</v>
      </c>
      <c r="BA60" s="11" t="n">
        <v>2.48465729962067</v>
      </c>
      <c r="BB60" s="11" t="n">
        <v>2.47587977445699</v>
      </c>
      <c r="BC60" s="11" t="n">
        <v>2.46692475872892</v>
      </c>
      <c r="BD60" s="11" t="n">
        <v>2.45782893982621</v>
      </c>
      <c r="BE60" s="11" t="n">
        <v>2.44862624254753</v>
      </c>
      <c r="BF60" s="11" t="n">
        <v>2.43934751720337</v>
      </c>
      <c r="BG60" s="11" t="n">
        <v>2.43002063377513</v>
      </c>
    </row>
    <row r="61" customFormat="false" ht="15" hidden="false" customHeight="false" outlineLevel="0" collapsed="false">
      <c r="A61" s="10" t="n">
        <v>-64</v>
      </c>
      <c r="B61" s="8" t="n">
        <v>44746</v>
      </c>
      <c r="C61" s="11" t="n">
        <v>1.84674858514065</v>
      </c>
      <c r="D61" s="11" t="n">
        <v>1.83970081861228</v>
      </c>
      <c r="E61" s="11" t="n">
        <v>1.83396984518729</v>
      </c>
      <c r="F61" s="11" t="n">
        <v>1.833547984404</v>
      </c>
      <c r="G61" s="11" t="n">
        <v>1.83949487411125</v>
      </c>
      <c r="H61" s="11" t="n">
        <v>1.85173228108877</v>
      </c>
      <c r="I61" s="11" t="n">
        <v>1.86981372659933</v>
      </c>
      <c r="J61" s="11" t="n">
        <v>1.89321509969262</v>
      </c>
      <c r="K61" s="11" t="n">
        <v>1.92140214135482</v>
      </c>
      <c r="L61" s="11" t="n">
        <v>1.95384204039887</v>
      </c>
      <c r="M61" s="11" t="n">
        <v>1.98998381543487</v>
      </c>
      <c r="N61" s="11" t="n">
        <v>2.02924676543861</v>
      </c>
      <c r="O61" s="11" t="n">
        <v>2.07102228151474</v>
      </c>
      <c r="P61" s="11" t="n">
        <v>2.11467336558225</v>
      </c>
      <c r="Q61" s="11" t="n">
        <v>2.15953956520834</v>
      </c>
      <c r="R61" s="11" t="n">
        <v>2.20495279665392</v>
      </c>
      <c r="S61" s="11" t="n">
        <v>2.25026709157839</v>
      </c>
      <c r="T61" s="11" t="n">
        <v>2.29486837842706</v>
      </c>
      <c r="U61" s="11" t="n">
        <v>2.33820596085852</v>
      </c>
      <c r="V61" s="11" t="n">
        <v>2.37982234489402</v>
      </c>
      <c r="W61" s="11" t="n">
        <v>2.41933658640773</v>
      </c>
      <c r="X61" s="11" t="n">
        <v>2.45642942724618</v>
      </c>
      <c r="Y61" s="11" t="n">
        <v>2.49084829543521</v>
      </c>
      <c r="Z61" s="11" t="n">
        <v>2.52243144096703</v>
      </c>
      <c r="AA61" s="11" t="n">
        <v>2.55110264822241</v>
      </c>
      <c r="AB61" s="11" t="n">
        <v>2.57685504675565</v>
      </c>
      <c r="AC61" s="11" t="n">
        <v>2.59972916376237</v>
      </c>
      <c r="AD61" s="11" t="n">
        <v>2.6198027578778</v>
      </c>
      <c r="AE61" s="11" t="n">
        <v>2.63718498901272</v>
      </c>
      <c r="AF61" s="11" t="n">
        <v>2.65201165983585</v>
      </c>
      <c r="AG61" s="11" t="n">
        <v>2.66443796069878</v>
      </c>
      <c r="AH61" s="11" t="n">
        <v>2.6746211012677</v>
      </c>
      <c r="AI61" s="11" t="n">
        <v>2.68271941623038</v>
      </c>
      <c r="AJ61" s="11" t="n">
        <v>2.68889043679367</v>
      </c>
      <c r="AK61" s="11" t="n">
        <v>2.69328960081927</v>
      </c>
      <c r="AL61" s="11" t="n">
        <v>2.69606693929567</v>
      </c>
      <c r="AM61" s="11" t="n">
        <v>2.69736476547321</v>
      </c>
      <c r="AN61" s="11" t="n">
        <v>2.69731717227983</v>
      </c>
      <c r="AO61" s="11" t="n">
        <v>2.69605042106203</v>
      </c>
      <c r="AP61" s="11" t="n">
        <v>2.6936835227425</v>
      </c>
      <c r="AQ61" s="11" t="n">
        <v>2.69032878826372</v>
      </c>
      <c r="AR61" s="11" t="n">
        <v>2.68609201094256</v>
      </c>
      <c r="AS61" s="11" t="n">
        <v>2.68107241221332</v>
      </c>
      <c r="AT61" s="11" t="n">
        <v>2.67536236264843</v>
      </c>
      <c r="AU61" s="11" t="n">
        <v>2.66904689570513</v>
      </c>
      <c r="AV61" s="11" t="n">
        <v>2.66220389679112</v>
      </c>
      <c r="AW61" s="11" t="n">
        <v>2.65490421735827</v>
      </c>
      <c r="AX61" s="11" t="n">
        <v>2.64721219479899</v>
      </c>
      <c r="AY61" s="11" t="n">
        <v>2.63918606418217</v>
      </c>
      <c r="AZ61" s="11" t="n">
        <v>2.6308783238336</v>
      </c>
      <c r="BA61" s="11" t="n">
        <v>2.62233625654129</v>
      </c>
      <c r="BB61" s="11" t="n">
        <v>2.61360267392916</v>
      </c>
      <c r="BC61" s="11" t="n">
        <v>2.60471666613737</v>
      </c>
      <c r="BD61" s="11" t="n">
        <v>2.59571390029857</v>
      </c>
      <c r="BE61" s="11" t="n">
        <v>2.58662673660975</v>
      </c>
      <c r="BF61" s="11" t="n">
        <v>2.57748399718272</v>
      </c>
      <c r="BG61" s="11" t="n">
        <v>2.56831110425276</v>
      </c>
    </row>
    <row r="62" customFormat="false" ht="15" hidden="false" customHeight="false" outlineLevel="0" collapsed="false">
      <c r="A62" s="10" t="n">
        <v>-63</v>
      </c>
      <c r="B62" s="8" t="n">
        <v>44747</v>
      </c>
      <c r="C62" s="11" t="n">
        <v>1.73745159280913</v>
      </c>
      <c r="D62" s="11" t="n">
        <v>1.72308001915154</v>
      </c>
      <c r="E62" s="11" t="n">
        <v>1.71332827069418</v>
      </c>
      <c r="F62" s="11" t="n">
        <v>1.71069247541403</v>
      </c>
      <c r="G62" s="11" t="n">
        <v>1.7153753972037</v>
      </c>
      <c r="H62" s="11" t="n">
        <v>1.726833393048</v>
      </c>
      <c r="I62" s="11" t="n">
        <v>1.7443839661115</v>
      </c>
      <c r="J62" s="11" t="n">
        <v>1.76739499428759</v>
      </c>
      <c r="K62" s="11" t="n">
        <v>1.7952970806332</v>
      </c>
      <c r="L62" s="11" t="n">
        <v>1.82756110225156</v>
      </c>
      <c r="M62" s="11" t="n">
        <v>1.86366130408878</v>
      </c>
      <c r="N62" s="11" t="n">
        <v>1.90305051083894</v>
      </c>
      <c r="O62" s="11" t="n">
        <v>1.94515330078757</v>
      </c>
      <c r="P62" s="11" t="n">
        <v>1.98935848328414</v>
      </c>
      <c r="Q62" s="11" t="n">
        <v>2.03502210412591</v>
      </c>
      <c r="R62" s="11" t="n">
        <v>2.08148047344796</v>
      </c>
      <c r="S62" s="11" t="n">
        <v>2.12808075099075</v>
      </c>
      <c r="T62" s="11" t="n">
        <v>2.17419117954112</v>
      </c>
      <c r="U62" s="11" t="n">
        <v>2.21923571202388</v>
      </c>
      <c r="V62" s="11" t="n">
        <v>2.26272736747519</v>
      </c>
      <c r="W62" s="11" t="n">
        <v>2.30425251798629</v>
      </c>
      <c r="X62" s="11" t="n">
        <v>2.3434567135287</v>
      </c>
      <c r="Y62" s="11" t="n">
        <v>2.38005158944671</v>
      </c>
      <c r="Z62" s="11" t="n">
        <v>2.41384169936606</v>
      </c>
      <c r="AA62" s="11" t="n">
        <v>2.44471923154923</v>
      </c>
      <c r="AB62" s="11" t="n">
        <v>2.47264831981321</v>
      </c>
      <c r="AC62" s="11" t="n">
        <v>2.4976450519281</v>
      </c>
      <c r="AD62" s="11" t="n">
        <v>2.51976715678434</v>
      </c>
      <c r="AE62" s="11" t="n">
        <v>2.5391074886272</v>
      </c>
      <c r="AF62" s="11" t="n">
        <v>2.55578870424575</v>
      </c>
      <c r="AG62" s="11" t="n">
        <v>2.56995586043406</v>
      </c>
      <c r="AH62" s="11" t="n">
        <v>2.58176027053264</v>
      </c>
      <c r="AI62" s="11" t="n">
        <v>2.59135807044837</v>
      </c>
      <c r="AJ62" s="11" t="n">
        <v>2.59890762828679</v>
      </c>
      <c r="AK62" s="11" t="n">
        <v>2.60456783302085</v>
      </c>
      <c r="AL62" s="11" t="n">
        <v>2.60849409922471</v>
      </c>
      <c r="AM62" s="11" t="n">
        <v>2.61083551891126</v>
      </c>
      <c r="AN62" s="11" t="n">
        <v>2.61173391202926</v>
      </c>
      <c r="AO62" s="11" t="n">
        <v>2.61132395289065</v>
      </c>
      <c r="AP62" s="11" t="n">
        <v>2.60973334387316</v>
      </c>
      <c r="AQ62" s="11" t="n">
        <v>2.60708307248207</v>
      </c>
      <c r="AR62" s="11" t="n">
        <v>2.60348725477518</v>
      </c>
      <c r="AS62" s="11" t="n">
        <v>2.59905269455692</v>
      </c>
      <c r="AT62" s="11" t="n">
        <v>2.59387839049804</v>
      </c>
      <c r="AU62" s="11" t="n">
        <v>2.58805483889811</v>
      </c>
      <c r="AV62" s="11" t="n">
        <v>2.58166419642099</v>
      </c>
      <c r="AW62" s="11" t="n">
        <v>2.5747803612356</v>
      </c>
      <c r="AX62" s="11" t="n">
        <v>2.56746958369561</v>
      </c>
      <c r="AY62" s="11" t="n">
        <v>2.55979117873057</v>
      </c>
      <c r="AZ62" s="11" t="n">
        <v>2.55179823627227</v>
      </c>
      <c r="BA62" s="11" t="n">
        <v>2.54353824138008</v>
      </c>
      <c r="BB62" s="11" t="n">
        <v>2.5350541720503</v>
      </c>
      <c r="BC62" s="11" t="n">
        <v>2.5263856670901</v>
      </c>
      <c r="BD62" s="11" t="n">
        <v>2.51756935004656</v>
      </c>
      <c r="BE62" s="11" t="n">
        <v>2.50863885978904</v>
      </c>
      <c r="BF62" s="11" t="n">
        <v>2.49962436769362</v>
      </c>
      <c r="BG62" s="11" t="n">
        <v>2.49055260796841</v>
      </c>
    </row>
    <row r="63" customFormat="false" ht="15" hidden="false" customHeight="false" outlineLevel="0" collapsed="false">
      <c r="A63" s="10" t="n">
        <v>-62</v>
      </c>
      <c r="B63" s="8" t="n">
        <v>44748</v>
      </c>
      <c r="C63" s="11" t="n">
        <v>1.7681939176521</v>
      </c>
      <c r="D63" s="11" t="n">
        <v>1.74047416074422</v>
      </c>
      <c r="E63" s="11" t="n">
        <v>1.72118981647042</v>
      </c>
      <c r="F63" s="11" t="n">
        <v>1.71239879609056</v>
      </c>
      <c r="G63" s="11" t="n">
        <v>1.71351458968177</v>
      </c>
      <c r="H63" s="11" t="n">
        <v>1.72328194169231</v>
      </c>
      <c r="I63" s="11" t="n">
        <v>1.74045505616489</v>
      </c>
      <c r="J63" s="11" t="n">
        <v>1.76397880958102</v>
      </c>
      <c r="K63" s="11" t="n">
        <v>1.79297203341549</v>
      </c>
      <c r="L63" s="11" t="n">
        <v>1.82668277500766</v>
      </c>
      <c r="M63" s="11" t="n">
        <v>1.86442711810672</v>
      </c>
      <c r="N63" s="11" t="n">
        <v>1.90554858851401</v>
      </c>
      <c r="O63" s="11" t="n">
        <v>1.94939847372687</v>
      </c>
      <c r="P63" s="11" t="n">
        <v>1.99531918669934</v>
      </c>
      <c r="Q63" s="11" t="n">
        <v>2.04264001520871</v>
      </c>
      <c r="R63" s="11" t="n">
        <v>2.09068449573207</v>
      </c>
      <c r="S63" s="11" t="n">
        <v>2.1387970566125</v>
      </c>
      <c r="T63" s="11" t="n">
        <v>2.18634953599099</v>
      </c>
      <c r="U63" s="11" t="n">
        <v>2.23277326412776</v>
      </c>
      <c r="V63" s="11" t="n">
        <v>2.27758994939417</v>
      </c>
      <c r="W63" s="11" t="n">
        <v>2.32039553927208</v>
      </c>
      <c r="X63" s="11" t="n">
        <v>2.36084586565114</v>
      </c>
      <c r="Y63" s="11" t="n">
        <v>2.39866290677525</v>
      </c>
      <c r="Z63" s="11" t="n">
        <v>2.43366002874601</v>
      </c>
      <c r="AA63" s="11" t="n">
        <v>2.46573586923152</v>
      </c>
      <c r="AB63" s="11" t="n">
        <v>2.4948581233728</v>
      </c>
      <c r="AC63" s="11" t="n">
        <v>2.52104392089682</v>
      </c>
      <c r="AD63" s="11" t="n">
        <v>2.54434994795202</v>
      </c>
      <c r="AE63" s="11" t="n">
        <v>2.56486625763212</v>
      </c>
      <c r="AF63" s="11" t="n">
        <v>2.58271121346273</v>
      </c>
      <c r="AG63" s="11" t="n">
        <v>2.59802428886205</v>
      </c>
      <c r="AH63" s="11" t="n">
        <v>2.61095034022382</v>
      </c>
      <c r="AI63" s="11" t="n">
        <v>2.62163867366483</v>
      </c>
      <c r="AJ63" s="11" t="n">
        <v>2.63024090189276</v>
      </c>
      <c r="AK63" s="11" t="n">
        <v>2.63690936371165</v>
      </c>
      <c r="AL63" s="11" t="n">
        <v>2.64179339422443</v>
      </c>
      <c r="AM63" s="11" t="n">
        <v>2.64503680698556</v>
      </c>
      <c r="AN63" s="11" t="n">
        <v>2.64677743975077</v>
      </c>
      <c r="AO63" s="11" t="n">
        <v>2.64714741645696</v>
      </c>
      <c r="AP63" s="11" t="n">
        <v>2.64627347943142</v>
      </c>
      <c r="AQ63" s="11" t="n">
        <v>2.64427729988098</v>
      </c>
      <c r="AR63" s="11" t="n">
        <v>2.64127506234263</v>
      </c>
      <c r="AS63" s="11" t="n">
        <v>2.6373767603686</v>
      </c>
      <c r="AT63" s="11" t="n">
        <v>2.63268542207154</v>
      </c>
      <c r="AU63" s="11" t="n">
        <v>2.62729613734557</v>
      </c>
      <c r="AV63" s="11" t="n">
        <v>2.62129598693215</v>
      </c>
      <c r="AW63" s="11" t="n">
        <v>2.61476385967438</v>
      </c>
      <c r="AX63" s="11" t="n">
        <v>2.60777088839277</v>
      </c>
      <c r="AY63" s="11" t="n">
        <v>2.6003808629287</v>
      </c>
      <c r="AZ63" s="11" t="n">
        <v>2.59265069774039</v>
      </c>
      <c r="BA63" s="11" t="n">
        <v>2.58463107354011</v>
      </c>
      <c r="BB63" s="11" t="n">
        <v>2.57636750936634</v>
      </c>
      <c r="BC63" s="11" t="n">
        <v>2.56790148227906</v>
      </c>
      <c r="BD63" s="11" t="n">
        <v>2.55927087694439</v>
      </c>
      <c r="BE63" s="11" t="n">
        <v>2.55051013577065</v>
      </c>
      <c r="BF63" s="11" t="n">
        <v>2.54164986851911</v>
      </c>
      <c r="BG63" s="11" t="n">
        <v>2.53271701399284</v>
      </c>
    </row>
    <row r="64" customFormat="false" ht="15" hidden="false" customHeight="false" outlineLevel="0" collapsed="false">
      <c r="A64" s="10" t="n">
        <v>-61</v>
      </c>
      <c r="B64" s="8" t="n">
        <v>44749</v>
      </c>
      <c r="C64" s="11" t="n">
        <v>1.84334694939338</v>
      </c>
      <c r="D64" s="11" t="n">
        <v>1.80774512242896</v>
      </c>
      <c r="E64" s="11" t="n">
        <v>1.78267679512707</v>
      </c>
      <c r="F64" s="11" t="n">
        <v>1.76938287676493</v>
      </c>
      <c r="G64" s="11" t="n">
        <v>1.76672017019637</v>
      </c>
      <c r="H64" s="11" t="n">
        <v>1.7731102707623</v>
      </c>
      <c r="I64" s="11" t="n">
        <v>1.78714309104973</v>
      </c>
      <c r="J64" s="11" t="n">
        <v>1.80769082451482</v>
      </c>
      <c r="K64" s="11" t="n">
        <v>1.8338479123131</v>
      </c>
      <c r="L64" s="11" t="n">
        <v>1.86486078690662</v>
      </c>
      <c r="M64" s="11" t="n">
        <v>1.90005356629152</v>
      </c>
      <c r="N64" s="11" t="n">
        <v>1.93877949345517</v>
      </c>
      <c r="O64" s="11" t="n">
        <v>1.98039580707667</v>
      </c>
      <c r="P64" s="11" t="n">
        <v>2.02424394974901</v>
      </c>
      <c r="Q64" s="11" t="n">
        <v>2.06964426674482</v>
      </c>
      <c r="R64" s="11" t="n">
        <v>2.11590363029214</v>
      </c>
      <c r="S64" s="11" t="n">
        <v>2.16234645208869</v>
      </c>
      <c r="T64" s="11" t="n">
        <v>2.20832253946008</v>
      </c>
      <c r="U64" s="11" t="n">
        <v>2.25324257639696</v>
      </c>
      <c r="V64" s="11" t="n">
        <v>2.29661088979356</v>
      </c>
      <c r="W64" s="11" t="n">
        <v>2.33800870677088</v>
      </c>
      <c r="X64" s="11" t="n">
        <v>2.37707931455206</v>
      </c>
      <c r="Y64" s="11" t="n">
        <v>2.41353514177047</v>
      </c>
      <c r="Z64" s="11" t="n">
        <v>2.44718449833949</v>
      </c>
      <c r="AA64" s="11" t="n">
        <v>2.47792393245359</v>
      </c>
      <c r="AB64" s="11" t="n">
        <v>2.50572005709447</v>
      </c>
      <c r="AC64" s="11" t="n">
        <v>2.53058968084652</v>
      </c>
      <c r="AD64" s="11" t="n">
        <v>2.55258985839846</v>
      </c>
      <c r="AE64" s="11" t="n">
        <v>2.57181159393692</v>
      </c>
      <c r="AF64" s="11" t="n">
        <v>2.58837469622498</v>
      </c>
      <c r="AG64" s="11" t="n">
        <v>2.60242048942995</v>
      </c>
      <c r="AH64" s="11" t="n">
        <v>2.61409628527837</v>
      </c>
      <c r="AI64" s="11" t="n">
        <v>2.6235547333529</v>
      </c>
      <c r="AJ64" s="11" t="n">
        <v>2.63095185591022</v>
      </c>
      <c r="AK64" s="11" t="n">
        <v>2.63644542056177</v>
      </c>
      <c r="AL64" s="11" t="n">
        <v>2.64019121241612</v>
      </c>
      <c r="AM64" s="11" t="n">
        <v>2.64234044654579</v>
      </c>
      <c r="AN64" s="11" t="n">
        <v>2.64303895850987</v>
      </c>
      <c r="AO64" s="11" t="n">
        <v>2.64242722264599</v>
      </c>
      <c r="AP64" s="11" t="n">
        <v>2.64064009497588</v>
      </c>
      <c r="AQ64" s="11" t="n">
        <v>2.63780672893768</v>
      </c>
      <c r="AR64" s="11" t="n">
        <v>2.63404982925415</v>
      </c>
      <c r="AS64" s="11" t="n">
        <v>2.62948458799079</v>
      </c>
      <c r="AT64" s="11" t="n">
        <v>2.62421791481955</v>
      </c>
      <c r="AU64" s="11" t="n">
        <v>2.61834751296488</v>
      </c>
      <c r="AV64" s="11" t="n">
        <v>2.61196189096796</v>
      </c>
      <c r="AW64" s="11" t="n">
        <v>2.60514024861078</v>
      </c>
      <c r="AX64" s="11" t="n">
        <v>2.59795297179877</v>
      </c>
      <c r="AY64" s="11" t="n">
        <v>2.5904620563648</v>
      </c>
      <c r="AZ64" s="11" t="n">
        <v>2.58272159797062</v>
      </c>
      <c r="BA64" s="11" t="n">
        <v>2.57477851770706</v>
      </c>
      <c r="BB64" s="11" t="n">
        <v>2.56667367624061</v>
      </c>
      <c r="BC64" s="11" t="n">
        <v>2.5584430232042</v>
      </c>
      <c r="BD64" s="11" t="n">
        <v>2.5501182124304</v>
      </c>
      <c r="BE64" s="11" t="n">
        <v>2.54172693414804</v>
      </c>
      <c r="BF64" s="11" t="n">
        <v>2.53329278258043</v>
      </c>
      <c r="BG64" s="11" t="n">
        <v>2.52483560301779</v>
      </c>
    </row>
    <row r="65" customFormat="false" ht="15" hidden="false" customHeight="false" outlineLevel="0" collapsed="false">
      <c r="A65" s="10" t="n">
        <v>-60</v>
      </c>
      <c r="B65" s="8" t="n">
        <v>44750</v>
      </c>
      <c r="C65" s="11" t="n">
        <v>1.94729638160834</v>
      </c>
      <c r="D65" s="11" t="n">
        <v>1.91377674545649</v>
      </c>
      <c r="E65" s="11" t="n">
        <v>1.89006356399761</v>
      </c>
      <c r="F65" s="11" t="n">
        <v>1.87778471360205</v>
      </c>
      <c r="G65" s="11" t="n">
        <v>1.87593899832413</v>
      </c>
      <c r="H65" s="11" t="n">
        <v>1.88300874890408</v>
      </c>
      <c r="I65" s="11" t="n">
        <v>1.89761430923208</v>
      </c>
      <c r="J65" s="11" t="n">
        <v>1.91864152938496</v>
      </c>
      <c r="K65" s="11" t="n">
        <v>1.94518992231244</v>
      </c>
      <c r="L65" s="11" t="n">
        <v>1.97650570549649</v>
      </c>
      <c r="M65" s="11" t="n">
        <v>2.01190940486118</v>
      </c>
      <c r="N65" s="11" t="n">
        <v>2.0507516309335</v>
      </c>
      <c r="O65" s="11" t="n">
        <v>2.09238912411939</v>
      </c>
      <c r="P65" s="11" t="n">
        <v>2.13616571750042</v>
      </c>
      <c r="Q65" s="11" t="n">
        <v>2.18140639395621</v>
      </c>
      <c r="R65" s="11" t="n">
        <v>2.22742506723626</v>
      </c>
      <c r="S65" s="11" t="n">
        <v>2.27355620053084</v>
      </c>
      <c r="T65" s="11" t="n">
        <v>2.31916315757802</v>
      </c>
      <c r="U65" s="11" t="n">
        <v>2.36367255003914</v>
      </c>
      <c r="V65" s="11" t="n">
        <v>2.40660200514791</v>
      </c>
      <c r="W65" s="11" t="n">
        <v>2.44754354630678</v>
      </c>
      <c r="X65" s="11" t="n">
        <v>2.4861492763713</v>
      </c>
      <c r="Y65" s="11" t="n">
        <v>2.52213831737233</v>
      </c>
      <c r="Z65" s="11" t="n">
        <v>2.55532149136434</v>
      </c>
      <c r="AA65" s="11" t="n">
        <v>2.58559371748173</v>
      </c>
      <c r="AB65" s="11" t="n">
        <v>2.61291733332153</v>
      </c>
      <c r="AC65" s="11" t="n">
        <v>2.63730422172628</v>
      </c>
      <c r="AD65" s="11" t="n">
        <v>2.65880636890432</v>
      </c>
      <c r="AE65" s="11" t="n">
        <v>2.67750959277312</v>
      </c>
      <c r="AF65" s="11" t="n">
        <v>2.69352841548783</v>
      </c>
      <c r="AG65" s="11" t="n">
        <v>2.70699898252583</v>
      </c>
      <c r="AH65" s="11" t="n">
        <v>2.71806508165986</v>
      </c>
      <c r="AI65" s="11" t="n">
        <v>2.72687771565852</v>
      </c>
      <c r="AJ65" s="11" t="n">
        <v>2.73359304247348</v>
      </c>
      <c r="AK65" s="11" t="n">
        <v>2.73837062203179</v>
      </c>
      <c r="AL65" s="11" t="n">
        <v>2.74136961366247</v>
      </c>
      <c r="AM65" s="11" t="n">
        <v>2.74274613064965</v>
      </c>
      <c r="AN65" s="11" t="n">
        <v>2.7426521482944</v>
      </c>
      <c r="AO65" s="11" t="n">
        <v>2.74123528480975</v>
      </c>
      <c r="AP65" s="11" t="n">
        <v>2.73863802522399</v>
      </c>
      <c r="AQ65" s="11" t="n">
        <v>2.73499728878562</v>
      </c>
      <c r="AR65" s="11" t="n">
        <v>2.73044325788428</v>
      </c>
      <c r="AS65" s="11" t="n">
        <v>2.72509791152939</v>
      </c>
      <c r="AT65" s="11" t="n">
        <v>2.71907414819094</v>
      </c>
      <c r="AU65" s="11" t="n">
        <v>2.71247482419259</v>
      </c>
      <c r="AV65" s="11" t="n">
        <v>2.70539274731752</v>
      </c>
      <c r="AW65" s="11" t="n">
        <v>2.69791054299446</v>
      </c>
      <c r="AX65" s="11" t="n">
        <v>2.69010119928962</v>
      </c>
      <c r="AY65" s="11" t="n">
        <v>2.68202849532244</v>
      </c>
      <c r="AZ65" s="11" t="n">
        <v>2.67374750017249</v>
      </c>
      <c r="BA65" s="11" t="n">
        <v>2.66530536728875</v>
      </c>
      <c r="BB65" s="11" t="n">
        <v>2.65674249547771</v>
      </c>
      <c r="BC65" s="11" t="n">
        <v>2.64809370418614</v>
      </c>
      <c r="BD65" s="11" t="n">
        <v>2.63938896769234</v>
      </c>
      <c r="BE65" s="11" t="n">
        <v>2.63065386926749</v>
      </c>
      <c r="BF65" s="11" t="n">
        <v>2.62190963827919</v>
      </c>
      <c r="BG65" s="11" t="n">
        <v>2.61317362033196</v>
      </c>
    </row>
    <row r="66" customFormat="false" ht="15" hidden="false" customHeight="false" outlineLevel="0" collapsed="false">
      <c r="A66" s="10" t="n">
        <v>-59</v>
      </c>
      <c r="B66" s="8" t="n">
        <v>44753</v>
      </c>
      <c r="C66" s="11" t="n">
        <v>1.90478745610225</v>
      </c>
      <c r="D66" s="11" t="n">
        <v>1.86847815167967</v>
      </c>
      <c r="E66" s="11" t="n">
        <v>1.84294652849845</v>
      </c>
      <c r="F66" s="11" t="n">
        <v>1.8294527244149</v>
      </c>
      <c r="G66" s="11" t="n">
        <v>1.82681445837274</v>
      </c>
      <c r="H66" s="11" t="n">
        <v>1.83340782260804</v>
      </c>
      <c r="I66" s="11" t="n">
        <v>1.84778776657493</v>
      </c>
      <c r="J66" s="11" t="n">
        <v>1.86880158601071</v>
      </c>
      <c r="K66" s="11" t="n">
        <v>1.89553010591016</v>
      </c>
      <c r="L66" s="11" t="n">
        <v>1.92721627612609</v>
      </c>
      <c r="M66" s="11" t="n">
        <v>1.9631869676774</v>
      </c>
      <c r="N66" s="11" t="n">
        <v>2.0028044411387</v>
      </c>
      <c r="O66" s="11" t="n">
        <v>2.04543727152856</v>
      </c>
      <c r="P66" s="11" t="n">
        <v>2.0904366272991</v>
      </c>
      <c r="Q66" s="11" t="n">
        <v>2.13712906309454</v>
      </c>
      <c r="R66" s="11" t="n">
        <v>2.18482210614397</v>
      </c>
      <c r="S66" s="11" t="n">
        <v>2.23283516899318</v>
      </c>
      <c r="T66" s="11" t="n">
        <v>2.2805076017716</v>
      </c>
      <c r="U66" s="11" t="n">
        <v>2.32723554275539</v>
      </c>
      <c r="V66" s="11" t="n">
        <v>2.37250161218732</v>
      </c>
      <c r="W66" s="11" t="n">
        <v>2.41585922484288</v>
      </c>
      <c r="X66" s="11" t="n">
        <v>2.45691904699474</v>
      </c>
      <c r="Y66" s="11" t="n">
        <v>2.49535778240268</v>
      </c>
      <c r="Z66" s="11" t="n">
        <v>2.53094518544315</v>
      </c>
      <c r="AA66" s="11" t="n">
        <v>2.56353692820908</v>
      </c>
      <c r="AB66" s="11" t="n">
        <v>2.59305960868142</v>
      </c>
      <c r="AC66" s="11" t="n">
        <v>2.61949560576573</v>
      </c>
      <c r="AD66" s="11" t="n">
        <v>2.64287334033537</v>
      </c>
      <c r="AE66" s="11" t="n">
        <v>2.66326007849811</v>
      </c>
      <c r="AF66" s="11" t="n">
        <v>2.6807560446069</v>
      </c>
      <c r="AG66" s="11" t="n">
        <v>2.69548723507217</v>
      </c>
      <c r="AH66" s="11" t="n">
        <v>2.70759319002705</v>
      </c>
      <c r="AI66" s="11" t="n">
        <v>2.71722579356219</v>
      </c>
      <c r="AJ66" s="11" t="n">
        <v>2.72454628302787</v>
      </c>
      <c r="AK66" s="11" t="n">
        <v>2.72972288889417</v>
      </c>
      <c r="AL66" s="11" t="n">
        <v>2.73292613931129</v>
      </c>
      <c r="AM66" s="11" t="n">
        <v>2.73432563062203</v>
      </c>
      <c r="AN66" s="11" t="n">
        <v>2.73408876247472</v>
      </c>
      <c r="AO66" s="11" t="n">
        <v>2.73238031208822</v>
      </c>
      <c r="AP66" s="11" t="n">
        <v>2.72936133591594</v>
      </c>
      <c r="AQ66" s="11" t="n">
        <v>2.72518847417335</v>
      </c>
      <c r="AR66" s="11" t="n">
        <v>2.72001227752027</v>
      </c>
      <c r="AS66" s="11" t="n">
        <v>2.7139752319088</v>
      </c>
      <c r="AT66" s="11" t="n">
        <v>2.70721054520924</v>
      </c>
      <c r="AU66" s="11" t="n">
        <v>2.69984087306523</v>
      </c>
      <c r="AV66" s="11" t="n">
        <v>2.69197806367886</v>
      </c>
      <c r="AW66" s="11" t="n">
        <v>2.68372273485003</v>
      </c>
      <c r="AX66" s="11" t="n">
        <v>2.67516470783888</v>
      </c>
      <c r="AY66" s="11" t="n">
        <v>2.66638291700208</v>
      </c>
      <c r="AZ66" s="11" t="n">
        <v>2.65744542351052</v>
      </c>
      <c r="BA66" s="11" t="n">
        <v>2.64841031141874</v>
      </c>
      <c r="BB66" s="11" t="n">
        <v>2.63932664540591</v>
      </c>
      <c r="BC66" s="11" t="n">
        <v>2.63023536651005</v>
      </c>
      <c r="BD66" s="11" t="n">
        <v>2.62117021221448</v>
      </c>
      <c r="BE66" s="11" t="n">
        <v>2.61215841229736</v>
      </c>
      <c r="BF66" s="11" t="n">
        <v>2.60322100809535</v>
      </c>
      <c r="BG66" s="11" t="n">
        <v>2.59437354844644</v>
      </c>
    </row>
    <row r="67" customFormat="false" ht="15" hidden="false" customHeight="false" outlineLevel="0" collapsed="false">
      <c r="A67" s="10" t="n">
        <v>-58</v>
      </c>
      <c r="B67" s="8" t="n">
        <v>44754</v>
      </c>
      <c r="C67" s="11" t="n">
        <v>1.81883904370379</v>
      </c>
      <c r="D67" s="11" t="n">
        <v>1.77845094504275</v>
      </c>
      <c r="E67" s="11" t="n">
        <v>1.75085401410716</v>
      </c>
      <c r="F67" s="11" t="n">
        <v>1.73610447793775</v>
      </c>
      <c r="G67" s="11" t="n">
        <v>1.73253634532999</v>
      </c>
      <c r="H67" s="11" t="n">
        <v>1.73835942740664</v>
      </c>
      <c r="I67" s="11" t="n">
        <v>1.7521120043384</v>
      </c>
      <c r="J67" s="11" t="n">
        <v>1.77268483922694</v>
      </c>
      <c r="K67" s="11" t="n">
        <v>1.79922369210553</v>
      </c>
      <c r="L67" s="11" t="n">
        <v>1.83103877124103</v>
      </c>
      <c r="M67" s="11" t="n">
        <v>1.86751612104345</v>
      </c>
      <c r="N67" s="11" t="n">
        <v>1.90806488511575</v>
      </c>
      <c r="O67" s="11" t="n">
        <v>1.95208561805452</v>
      </c>
      <c r="P67" s="11" t="n">
        <v>1.99894385629976</v>
      </c>
      <c r="Q67" s="11" t="n">
        <v>2.04796382170687</v>
      </c>
      <c r="R67" s="11" t="n">
        <v>2.09843265255549</v>
      </c>
      <c r="S67" s="11" t="n">
        <v>2.14963266290053</v>
      </c>
      <c r="T67" s="11" t="n">
        <v>2.20084927126912</v>
      </c>
      <c r="U67" s="11" t="n">
        <v>2.2514149917676</v>
      </c>
      <c r="V67" s="11" t="n">
        <v>2.30074555523321</v>
      </c>
      <c r="W67" s="11" t="n">
        <v>2.34832510099769</v>
      </c>
      <c r="X67" s="11" t="n">
        <v>2.39369322745377</v>
      </c>
      <c r="Y67" s="11" t="n">
        <v>2.4364573434165</v>
      </c>
      <c r="Z67" s="11" t="n">
        <v>2.47632526404655</v>
      </c>
      <c r="AA67" s="11" t="n">
        <v>2.51309923098243</v>
      </c>
      <c r="AB67" s="11" t="n">
        <v>2.54666204378099</v>
      </c>
      <c r="AC67" s="11" t="n">
        <v>2.57696240288789</v>
      </c>
      <c r="AD67" s="11" t="n">
        <v>2.60400394321058</v>
      </c>
      <c r="AE67" s="11" t="n">
        <v>2.62783664945418</v>
      </c>
      <c r="AF67" s="11" t="n">
        <v>2.64854983193137</v>
      </c>
      <c r="AG67" s="11" t="n">
        <v>2.6662640374219</v>
      </c>
      <c r="AH67" s="11" t="n">
        <v>2.68111842703894</v>
      </c>
      <c r="AI67" s="11" t="n">
        <v>2.69326892063893</v>
      </c>
      <c r="AJ67" s="11" t="n">
        <v>2.70288432160434</v>
      </c>
      <c r="AK67" s="11" t="n">
        <v>2.71014335345407</v>
      </c>
      <c r="AL67" s="11" t="n">
        <v>2.71522903113568</v>
      </c>
      <c r="AM67" s="11" t="n">
        <v>2.71832470125023</v>
      </c>
      <c r="AN67" s="11" t="n">
        <v>2.71961214140751</v>
      </c>
      <c r="AO67" s="11" t="n">
        <v>2.71927087902578</v>
      </c>
      <c r="AP67" s="11" t="n">
        <v>2.71747702633737</v>
      </c>
      <c r="AQ67" s="11" t="n">
        <v>2.71440254504857</v>
      </c>
      <c r="AR67" s="11" t="n">
        <v>2.71021354117367</v>
      </c>
      <c r="AS67" s="11" t="n">
        <v>2.70506827379795</v>
      </c>
      <c r="AT67" s="11" t="n">
        <v>2.69911571436367</v>
      </c>
      <c r="AU67" s="11" t="n">
        <v>2.69249403148721</v>
      </c>
      <c r="AV67" s="11" t="n">
        <v>2.68533014891883</v>
      </c>
      <c r="AW67" s="11" t="n">
        <v>2.6777391308065</v>
      </c>
      <c r="AX67" s="11" t="n">
        <v>2.66982461874132</v>
      </c>
      <c r="AY67" s="11" t="n">
        <v>2.66167839737939</v>
      </c>
      <c r="AZ67" s="11" t="n">
        <v>2.65338003335809</v>
      </c>
      <c r="BA67" s="11" t="n">
        <v>2.64499782228813</v>
      </c>
      <c r="BB67" s="11" t="n">
        <v>2.63658953616531</v>
      </c>
      <c r="BC67" s="11" t="n">
        <v>2.62820303078904</v>
      </c>
      <c r="BD67" s="11" t="n">
        <v>2.61987709950428</v>
      </c>
      <c r="BE67" s="11" t="n">
        <v>2.61164216771529</v>
      </c>
      <c r="BF67" s="11" t="n">
        <v>2.6035206286992</v>
      </c>
      <c r="BG67" s="11" t="n">
        <v>2.59552764720126</v>
      </c>
    </row>
    <row r="68" customFormat="false" ht="15" hidden="false" customHeight="false" outlineLevel="0" collapsed="false">
      <c r="A68" s="10" t="n">
        <v>-57</v>
      </c>
      <c r="B68" s="8" t="n">
        <v>44755</v>
      </c>
      <c r="C68" s="11" t="n">
        <v>1.83660631504935</v>
      </c>
      <c r="D68" s="11" t="n">
        <v>1.79403771348838</v>
      </c>
      <c r="E68" s="11" t="n">
        <v>1.76468108714232</v>
      </c>
      <c r="F68" s="11" t="n">
        <v>1.74831805643292</v>
      </c>
      <c r="G68" s="11" t="n">
        <v>1.74317436018811</v>
      </c>
      <c r="H68" s="11" t="n">
        <v>1.74741646891329</v>
      </c>
      <c r="I68" s="11" t="n">
        <v>1.75956932857947</v>
      </c>
      <c r="J68" s="11" t="n">
        <v>1.77851996259356</v>
      </c>
      <c r="K68" s="11" t="n">
        <v>1.80341254429229</v>
      </c>
      <c r="L68" s="11" t="n">
        <v>1.83355488048382</v>
      </c>
      <c r="M68" s="11" t="n">
        <v>1.86832722177993</v>
      </c>
      <c r="N68" s="11" t="n">
        <v>1.90712991444425</v>
      </c>
      <c r="O68" s="11" t="n">
        <v>1.9493527680068</v>
      </c>
      <c r="P68" s="11" t="n">
        <v>1.99435060832952</v>
      </c>
      <c r="Q68" s="11" t="n">
        <v>2.04143800795175</v>
      </c>
      <c r="R68" s="11" t="n">
        <v>2.08989491630212</v>
      </c>
      <c r="S68" s="11" t="n">
        <v>2.13899967428505</v>
      </c>
      <c r="T68" s="11" t="n">
        <v>2.18803681921061</v>
      </c>
      <c r="U68" s="11" t="n">
        <v>2.23634323440479</v>
      </c>
      <c r="V68" s="11" t="n">
        <v>2.28334472095966</v>
      </c>
      <c r="W68" s="11" t="n">
        <v>2.32854003349287</v>
      </c>
      <c r="X68" s="11" t="n">
        <v>2.37148706197241</v>
      </c>
      <c r="Y68" s="11" t="n">
        <v>2.4118152090841</v>
      </c>
      <c r="Z68" s="11" t="n">
        <v>2.44925807476034</v>
      </c>
      <c r="AA68" s="11" t="n">
        <v>2.48364532360484</v>
      </c>
      <c r="AB68" s="11" t="n">
        <v>2.51488550276975</v>
      </c>
      <c r="AC68" s="11" t="n">
        <v>2.54294921063215</v>
      </c>
      <c r="AD68" s="11" t="n">
        <v>2.56785829926214</v>
      </c>
      <c r="AE68" s="11" t="n">
        <v>2.58967786347188</v>
      </c>
      <c r="AF68" s="11" t="n">
        <v>2.60850968692904</v>
      </c>
      <c r="AG68" s="11" t="n">
        <v>2.62448412539386</v>
      </c>
      <c r="AH68" s="11" t="n">
        <v>2.6377464122287</v>
      </c>
      <c r="AI68" s="11" t="n">
        <v>2.64845531295668</v>
      </c>
      <c r="AJ68" s="11" t="n">
        <v>2.65677959115752</v>
      </c>
      <c r="AK68" s="11" t="n">
        <v>2.66289539795395</v>
      </c>
      <c r="AL68" s="11" t="n">
        <v>2.66698113679234</v>
      </c>
      <c r="AM68" s="11" t="n">
        <v>2.66921395537171</v>
      </c>
      <c r="AN68" s="11" t="n">
        <v>2.669768243775</v>
      </c>
      <c r="AO68" s="11" t="n">
        <v>2.66881521370326</v>
      </c>
      <c r="AP68" s="11" t="n">
        <v>2.66652210775391</v>
      </c>
      <c r="AQ68" s="11" t="n">
        <v>2.66305173087749</v>
      </c>
      <c r="AR68" s="11" t="n">
        <v>2.6585609986372</v>
      </c>
      <c r="AS68" s="11" t="n">
        <v>2.65319923236565</v>
      </c>
      <c r="AT68" s="11" t="n">
        <v>2.6471068775729</v>
      </c>
      <c r="AU68" s="11" t="n">
        <v>2.6404141577531</v>
      </c>
      <c r="AV68" s="11" t="n">
        <v>2.63324067329869</v>
      </c>
      <c r="AW68" s="11" t="n">
        <v>2.62569484573566</v>
      </c>
      <c r="AX68" s="11" t="n">
        <v>2.61787435034785</v>
      </c>
      <c r="AY68" s="11" t="n">
        <v>2.60986557902173</v>
      </c>
      <c r="AZ68" s="11" t="n">
        <v>2.60174315649123</v>
      </c>
      <c r="BA68" s="11" t="n">
        <v>2.59357083516018</v>
      </c>
      <c r="BB68" s="11" t="n">
        <v>2.58540213932695</v>
      </c>
      <c r="BC68" s="11" t="n">
        <v>2.57728086827693</v>
      </c>
      <c r="BD68" s="11" t="n">
        <v>2.56924191203074</v>
      </c>
      <c r="BE68" s="11" t="n">
        <v>2.56131193272352</v>
      </c>
      <c r="BF68" s="11" t="n">
        <v>2.55350972743113</v>
      </c>
      <c r="BG68" s="11" t="n">
        <v>2.54584702261829</v>
      </c>
    </row>
    <row r="69" customFormat="false" ht="15" hidden="false" customHeight="false" outlineLevel="0" collapsed="false">
      <c r="A69" s="10" t="n">
        <v>-56</v>
      </c>
      <c r="B69" s="8" t="n">
        <v>44756</v>
      </c>
      <c r="C69" s="11" t="n">
        <v>1.96458118262557</v>
      </c>
      <c r="D69" s="11" t="n">
        <v>1.912402433141</v>
      </c>
      <c r="E69" s="11" t="n">
        <v>1.87233614949591</v>
      </c>
      <c r="F69" s="11" t="n">
        <v>1.84534537758627</v>
      </c>
      <c r="G69" s="11" t="n">
        <v>1.83016958894193</v>
      </c>
      <c r="H69" s="11" t="n">
        <v>1.82517769089286</v>
      </c>
      <c r="I69" s="11" t="n">
        <v>1.82895557529453</v>
      </c>
      <c r="J69" s="11" t="n">
        <v>1.84038532521777</v>
      </c>
      <c r="K69" s="11" t="n">
        <v>1.85857478474768</v>
      </c>
      <c r="L69" s="11" t="n">
        <v>1.88278140083699</v>
      </c>
      <c r="M69" s="11" t="n">
        <v>1.91232757468586</v>
      </c>
      <c r="N69" s="11" t="n">
        <v>1.9465550375666</v>
      </c>
      <c r="O69" s="11" t="n">
        <v>1.98479737608881</v>
      </c>
      <c r="P69" s="11" t="n">
        <v>2.02635759609037</v>
      </c>
      <c r="Q69" s="11" t="n">
        <v>2.07050285644535</v>
      </c>
      <c r="R69" s="11" t="n">
        <v>2.11646919845126</v>
      </c>
      <c r="S69" s="11" t="n">
        <v>2.16349314334517</v>
      </c>
      <c r="T69" s="11" t="n">
        <v>2.21081874198965</v>
      </c>
      <c r="U69" s="11" t="n">
        <v>2.25774327668519</v>
      </c>
      <c r="V69" s="11" t="n">
        <v>2.30365250320404</v>
      </c>
      <c r="W69" s="11" t="n">
        <v>2.34800466768081</v>
      </c>
      <c r="X69" s="11" t="n">
        <v>2.39031682095304</v>
      </c>
      <c r="Y69" s="11" t="n">
        <v>2.43017794228568</v>
      </c>
      <c r="Z69" s="11" t="n">
        <v>2.4672822811745</v>
      </c>
      <c r="AA69" s="11" t="n">
        <v>2.50142089059465</v>
      </c>
      <c r="AB69" s="11" t="n">
        <v>2.53246610011515</v>
      </c>
      <c r="AC69" s="11" t="n">
        <v>2.56035826222702</v>
      </c>
      <c r="AD69" s="11" t="n">
        <v>2.58509481516631</v>
      </c>
      <c r="AE69" s="11" t="n">
        <v>2.60672136337177</v>
      </c>
      <c r="AF69" s="11" t="n">
        <v>2.62532437804687</v>
      </c>
      <c r="AG69" s="11" t="n">
        <v>2.64102328488161</v>
      </c>
      <c r="AH69" s="11" t="n">
        <v>2.65395926726414</v>
      </c>
      <c r="AI69" s="11" t="n">
        <v>2.66429215937067</v>
      </c>
      <c r="AJ69" s="11" t="n">
        <v>2.67219513496956</v>
      </c>
      <c r="AK69" s="11" t="n">
        <v>2.67785141439756</v>
      </c>
      <c r="AL69" s="11" t="n">
        <v>2.68144808812069</v>
      </c>
      <c r="AM69" s="11" t="n">
        <v>2.68317173001979</v>
      </c>
      <c r="AN69" s="11" t="n">
        <v>2.68320594154448</v>
      </c>
      <c r="AO69" s="11" t="n">
        <v>2.68173054293583</v>
      </c>
      <c r="AP69" s="11" t="n">
        <v>2.67892019252478</v>
      </c>
      <c r="AQ69" s="11" t="n">
        <v>2.67494361620132</v>
      </c>
      <c r="AR69" s="11" t="n">
        <v>2.66996222647833</v>
      </c>
      <c r="AS69" s="11" t="n">
        <v>2.66412852069061</v>
      </c>
      <c r="AT69" s="11" t="n">
        <v>2.6575850605965</v>
      </c>
      <c r="AU69" s="11" t="n">
        <v>2.65046341447203</v>
      </c>
      <c r="AV69" s="11" t="n">
        <v>2.64288398167371</v>
      </c>
      <c r="AW69" s="11" t="n">
        <v>2.63495568601505</v>
      </c>
      <c r="AX69" s="11" t="n">
        <v>2.62677656984663</v>
      </c>
      <c r="AY69" s="11" t="n">
        <v>2.61843334072704</v>
      </c>
      <c r="AZ69" s="11" t="n">
        <v>2.61000090908132</v>
      </c>
      <c r="BA69" s="11" t="n">
        <v>2.60154328909161</v>
      </c>
      <c r="BB69" s="11" t="n">
        <v>2.59311424180946</v>
      </c>
      <c r="BC69" s="11" t="n">
        <v>2.58475777925073</v>
      </c>
      <c r="BD69" s="11" t="n">
        <v>2.57650896768557</v>
      </c>
      <c r="BE69" s="11" t="n">
        <v>2.56839459809193</v>
      </c>
      <c r="BF69" s="11" t="n">
        <v>2.56043354251851</v>
      </c>
      <c r="BG69" s="11" t="n">
        <v>2.55263752192497</v>
      </c>
    </row>
    <row r="70" customFormat="false" ht="15" hidden="false" customHeight="false" outlineLevel="0" collapsed="false">
      <c r="A70" s="10" t="n">
        <v>-55</v>
      </c>
      <c r="B70" s="8" t="n">
        <v>44757</v>
      </c>
      <c r="C70" s="11" t="n">
        <v>1.94474338404729</v>
      </c>
      <c r="D70" s="11" t="n">
        <v>1.89080429428025</v>
      </c>
      <c r="E70" s="11" t="n">
        <v>1.84998892925617</v>
      </c>
      <c r="F70" s="11" t="n">
        <v>1.82295296459481</v>
      </c>
      <c r="G70" s="11" t="n">
        <v>1.80827125494539</v>
      </c>
      <c r="H70" s="11" t="n">
        <v>1.8042115551127</v>
      </c>
      <c r="I70" s="11" t="n">
        <v>1.80929093176118</v>
      </c>
      <c r="J70" s="11" t="n">
        <v>1.82234542602482</v>
      </c>
      <c r="K70" s="11" t="n">
        <v>1.84244834105845</v>
      </c>
      <c r="L70" s="11" t="n">
        <v>1.86883635584875</v>
      </c>
      <c r="M70" s="11" t="n">
        <v>1.90082050591424</v>
      </c>
      <c r="N70" s="11" t="n">
        <v>1.93773645012165</v>
      </c>
      <c r="O70" s="11" t="n">
        <v>1.97891357070517</v>
      </c>
      <c r="P70" s="11" t="n">
        <v>2.02364609058015</v>
      </c>
      <c r="Q70" s="11" t="n">
        <v>2.07118560645909</v>
      </c>
      <c r="R70" s="11" t="n">
        <v>2.12074404558094</v>
      </c>
      <c r="S70" s="11" t="n">
        <v>2.17152484435008</v>
      </c>
      <c r="T70" s="11" t="n">
        <v>2.22272863116307</v>
      </c>
      <c r="U70" s="11" t="n">
        <v>2.27360465094095</v>
      </c>
      <c r="V70" s="11" t="n">
        <v>2.32348926585004</v>
      </c>
      <c r="W70" s="11" t="n">
        <v>2.37179023059927</v>
      </c>
      <c r="X70" s="11" t="n">
        <v>2.41797339287359</v>
      </c>
      <c r="Y70" s="11" t="n">
        <v>2.46157911144643</v>
      </c>
      <c r="Z70" s="11" t="n">
        <v>2.50225926458855</v>
      </c>
      <c r="AA70" s="11" t="n">
        <v>2.53976812520701</v>
      </c>
      <c r="AB70" s="11" t="n">
        <v>2.5739475574433</v>
      </c>
      <c r="AC70" s="11" t="n">
        <v>2.60471592937791</v>
      </c>
      <c r="AD70" s="11" t="n">
        <v>2.63205643464296</v>
      </c>
      <c r="AE70" s="11" t="n">
        <v>2.65600696514339</v>
      </c>
      <c r="AF70" s="11" t="n">
        <v>2.67665182170969</v>
      </c>
      <c r="AG70" s="11" t="n">
        <v>2.69411332067057</v>
      </c>
      <c r="AH70" s="11" t="n">
        <v>2.7085416430289</v>
      </c>
      <c r="AI70" s="11" t="n">
        <v>2.72011075666737</v>
      </c>
      <c r="AJ70" s="11" t="n">
        <v>2.72901158569516</v>
      </c>
      <c r="AK70" s="11" t="n">
        <v>2.73544797877995</v>
      </c>
      <c r="AL70" s="11" t="n">
        <v>2.73962934693882</v>
      </c>
      <c r="AM70" s="11" t="n">
        <v>2.74176542892466</v>
      </c>
      <c r="AN70" s="11" t="n">
        <v>2.74206303836711</v>
      </c>
      <c r="AO70" s="11" t="n">
        <v>2.7407249138531</v>
      </c>
      <c r="AP70" s="11" t="n">
        <v>2.73794768968559</v>
      </c>
      <c r="AQ70" s="11" t="n">
        <v>2.73392079012938</v>
      </c>
      <c r="AR70" s="11" t="n">
        <v>2.72882469822522</v>
      </c>
      <c r="AS70" s="11" t="n">
        <v>2.72282905847821</v>
      </c>
      <c r="AT70" s="11" t="n">
        <v>2.71609158619181</v>
      </c>
      <c r="AU70" s="11" t="n">
        <v>2.70875700112718</v>
      </c>
      <c r="AV70" s="11" t="n">
        <v>2.70095686411443</v>
      </c>
      <c r="AW70" s="11" t="n">
        <v>2.69280930396153</v>
      </c>
      <c r="AX70" s="11" t="n">
        <v>2.68441987417181</v>
      </c>
      <c r="AY70" s="11" t="n">
        <v>2.67588134424729</v>
      </c>
      <c r="AZ70" s="11" t="n">
        <v>2.66727345155625</v>
      </c>
      <c r="BA70" s="11" t="n">
        <v>2.65866393830695</v>
      </c>
      <c r="BB70" s="11" t="n">
        <v>2.65010939768397</v>
      </c>
      <c r="BC70" s="11" t="n">
        <v>2.64165599407523</v>
      </c>
      <c r="BD70" s="11" t="n">
        <v>2.63334036901128</v>
      </c>
      <c r="BE70" s="11" t="n">
        <v>2.62519037762776</v>
      </c>
      <c r="BF70" s="11" t="n">
        <v>2.61722550296784</v>
      </c>
      <c r="BG70" s="11" t="n">
        <v>2.60945773112072</v>
      </c>
    </row>
    <row r="71" customFormat="false" ht="15" hidden="false" customHeight="false" outlineLevel="0" collapsed="false">
      <c r="A71" s="10" t="n">
        <v>-54</v>
      </c>
      <c r="B71" s="8" t="n">
        <v>44760</v>
      </c>
      <c r="C71" s="11" t="n">
        <v>2.00738718512084</v>
      </c>
      <c r="D71" s="11" t="n">
        <v>1.95434745511683</v>
      </c>
      <c r="E71" s="11" t="n">
        <v>1.91332829877548</v>
      </c>
      <c r="F71" s="11" t="n">
        <v>1.88578014613088</v>
      </c>
      <c r="G71" s="11" t="n">
        <v>1.87058966774592</v>
      </c>
      <c r="H71" s="11" t="n">
        <v>1.86613903848325</v>
      </c>
      <c r="I71" s="11" t="n">
        <v>1.87097441183698</v>
      </c>
      <c r="J71" s="11" t="n">
        <v>1.8839240849557</v>
      </c>
      <c r="K71" s="11" t="n">
        <v>1.90403399203708</v>
      </c>
      <c r="L71" s="11" t="n">
        <v>1.93050527645178</v>
      </c>
      <c r="M71" s="11" t="n">
        <v>1.96260957971671</v>
      </c>
      <c r="N71" s="11" t="n">
        <v>1.99964135114373</v>
      </c>
      <c r="O71" s="11" t="n">
        <v>2.04089024780297</v>
      </c>
      <c r="P71" s="11" t="n">
        <v>2.08561537678431</v>
      </c>
      <c r="Q71" s="11" t="n">
        <v>2.13303900393885</v>
      </c>
      <c r="R71" s="11" t="n">
        <v>2.18235206733539</v>
      </c>
      <c r="S71" s="11" t="n">
        <v>2.23274561169788</v>
      </c>
      <c r="T71" s="11" t="n">
        <v>2.2834159204728</v>
      </c>
      <c r="U71" s="11" t="n">
        <v>2.33361581822897</v>
      </c>
      <c r="V71" s="11" t="n">
        <v>2.38269192907234</v>
      </c>
      <c r="W71" s="11" t="n">
        <v>2.43006753319823</v>
      </c>
      <c r="X71" s="11" t="n">
        <v>2.47522823802917</v>
      </c>
      <c r="Y71" s="11" t="n">
        <v>2.51773764659649</v>
      </c>
      <c r="Z71" s="11" t="n">
        <v>2.55727317798621</v>
      </c>
      <c r="AA71" s="11" t="n">
        <v>2.59361556977865</v>
      </c>
      <c r="AB71" s="11" t="n">
        <v>2.62663186368853</v>
      </c>
      <c r="AC71" s="11" t="n">
        <v>2.65626214719881</v>
      </c>
      <c r="AD71" s="11" t="n">
        <v>2.68250798420505</v>
      </c>
      <c r="AE71" s="11" t="n">
        <v>2.70542280984454</v>
      </c>
      <c r="AF71" s="11" t="n">
        <v>2.72510406872228</v>
      </c>
      <c r="AG71" s="11" t="n">
        <v>2.74168464936772</v>
      </c>
      <c r="AH71" s="11" t="n">
        <v>2.75532129649927</v>
      </c>
      <c r="AI71" s="11" t="n">
        <v>2.76619110892223</v>
      </c>
      <c r="AJ71" s="11" t="n">
        <v>2.77448520968081</v>
      </c>
      <c r="AK71" s="11" t="n">
        <v>2.78040509383077</v>
      </c>
      <c r="AL71" s="11" t="n">
        <v>2.78415571865644</v>
      </c>
      <c r="AM71" s="11" t="n">
        <v>2.78594053321866</v>
      </c>
      <c r="AN71" s="11" t="n">
        <v>2.78595809653339</v>
      </c>
      <c r="AO71" s="11" t="n">
        <v>2.78440106116988</v>
      </c>
      <c r="AP71" s="11" t="n">
        <v>2.78145449277679</v>
      </c>
      <c r="AQ71" s="11" t="n">
        <v>2.77729507348309</v>
      </c>
      <c r="AR71" s="11" t="n">
        <v>2.77208997209187</v>
      </c>
      <c r="AS71" s="11" t="n">
        <v>2.7659955732552</v>
      </c>
      <c r="AT71" s="11" t="n">
        <v>2.75915677323009</v>
      </c>
      <c r="AU71" s="11" t="n">
        <v>2.75170628396721</v>
      </c>
      <c r="AV71" s="11" t="n">
        <v>2.74376470747007</v>
      </c>
      <c r="AW71" s="11" t="n">
        <v>2.73544053347481</v>
      </c>
      <c r="AX71" s="11" t="n">
        <v>2.72683104342039</v>
      </c>
      <c r="AY71" s="11" t="n">
        <v>2.7180222695516</v>
      </c>
      <c r="AZ71" s="11" t="n">
        <v>2.70908886830751</v>
      </c>
      <c r="BA71" s="11" t="n">
        <v>2.70009504574759</v>
      </c>
      <c r="BB71" s="11" t="n">
        <v>2.69109543004745</v>
      </c>
      <c r="BC71" s="11" t="n">
        <v>2.68213584703097</v>
      </c>
      <c r="BD71" s="11" t="n">
        <v>2.67325413159337</v>
      </c>
      <c r="BE71" s="11" t="n">
        <v>2.66448074015394</v>
      </c>
      <c r="BF71" s="11" t="n">
        <v>2.65583901826449</v>
      </c>
      <c r="BG71" s="11" t="n">
        <v>2.64734596687568</v>
      </c>
    </row>
    <row r="72" customFormat="false" ht="15" hidden="false" customHeight="false" outlineLevel="0" collapsed="false">
      <c r="A72" s="10" t="n">
        <v>-53</v>
      </c>
      <c r="B72" s="8" t="n">
        <v>44761</v>
      </c>
      <c r="C72" s="11" t="n">
        <v>2.07678637081563</v>
      </c>
      <c r="D72" s="11" t="n">
        <v>2.02146539089982</v>
      </c>
      <c r="E72" s="11" t="n">
        <v>1.97713955208919</v>
      </c>
      <c r="F72" s="11" t="n">
        <v>1.9460595919845</v>
      </c>
      <c r="G72" s="11" t="n">
        <v>1.92740020498977</v>
      </c>
      <c r="H72" s="11" t="n">
        <v>1.91967036190333</v>
      </c>
      <c r="I72" s="11" t="n">
        <v>1.92148839106589</v>
      </c>
      <c r="J72" s="11" t="n">
        <v>1.93173948889655</v>
      </c>
      <c r="K72" s="11" t="n">
        <v>1.94951983603906</v>
      </c>
      <c r="L72" s="11" t="n">
        <v>1.97407445893423</v>
      </c>
      <c r="M72" s="11" t="n">
        <v>2.00470468038855</v>
      </c>
      <c r="N72" s="11" t="n">
        <v>2.04071622764733</v>
      </c>
      <c r="O72" s="11" t="n">
        <v>2.08139475927479</v>
      </c>
      <c r="P72" s="11" t="n">
        <v>2.12598183061022</v>
      </c>
      <c r="Q72" s="11" t="n">
        <v>2.17367093236088</v>
      </c>
      <c r="R72" s="11" t="n">
        <v>2.22361448104179</v>
      </c>
      <c r="S72" s="11" t="n">
        <v>2.27495691328582</v>
      </c>
      <c r="T72" s="11" t="n">
        <v>2.32683899063052</v>
      </c>
      <c r="U72" s="11" t="n">
        <v>2.37845573390609</v>
      </c>
      <c r="V72" s="11" t="n">
        <v>2.42909894497595</v>
      </c>
      <c r="W72" s="11" t="n">
        <v>2.4781396271286</v>
      </c>
      <c r="X72" s="11" t="n">
        <v>2.5250132887084</v>
      </c>
      <c r="Y72" s="11" t="n">
        <v>2.56923843825366</v>
      </c>
      <c r="Z72" s="11" t="n">
        <v>2.61045670869249</v>
      </c>
      <c r="AA72" s="11" t="n">
        <v>2.64842164706979</v>
      </c>
      <c r="AB72" s="11" t="n">
        <v>2.68298018496289</v>
      </c>
      <c r="AC72" s="11" t="n">
        <v>2.7140579439348</v>
      </c>
      <c r="AD72" s="11" t="n">
        <v>2.74164670231641</v>
      </c>
      <c r="AE72" s="11" t="n">
        <v>2.76579405857647</v>
      </c>
      <c r="AF72" s="11" t="n">
        <v>2.78659497063419</v>
      </c>
      <c r="AG72" s="11" t="n">
        <v>2.80418239205374</v>
      </c>
      <c r="AH72" s="11" t="n">
        <v>2.81871419256058</v>
      </c>
      <c r="AI72" s="11" t="n">
        <v>2.83036914634989</v>
      </c>
      <c r="AJ72" s="11" t="n">
        <v>2.83934028736294</v>
      </c>
      <c r="AK72" s="11" t="n">
        <v>2.84583119235378</v>
      </c>
      <c r="AL72" s="11" t="n">
        <v>2.85004918434769</v>
      </c>
      <c r="AM72" s="11" t="n">
        <v>2.85220042851754</v>
      </c>
      <c r="AN72" s="11" t="n">
        <v>2.85248648025874</v>
      </c>
      <c r="AO72" s="11" t="n">
        <v>2.85110321542002</v>
      </c>
      <c r="AP72" s="11" t="n">
        <v>2.84823901971361</v>
      </c>
      <c r="AQ72" s="11" t="n">
        <v>2.84407392368844</v>
      </c>
      <c r="AR72" s="11" t="n">
        <v>2.83877838528565</v>
      </c>
      <c r="AS72" s="11" t="n">
        <v>2.83251195814603</v>
      </c>
      <c r="AT72" s="11" t="n">
        <v>2.8254225891314</v>
      </c>
      <c r="AU72" s="11" t="n">
        <v>2.81764594827979</v>
      </c>
      <c r="AV72" s="11" t="n">
        <v>2.80930554249382</v>
      </c>
      <c r="AW72" s="11" t="n">
        <v>2.80051276298971</v>
      </c>
      <c r="AX72" s="11" t="n">
        <v>2.7913677972983</v>
      </c>
      <c r="AY72" s="11" t="n">
        <v>2.78195967853765</v>
      </c>
      <c r="AZ72" s="11" t="n">
        <v>2.77236626540257</v>
      </c>
      <c r="BA72" s="11" t="n">
        <v>2.76265516819402</v>
      </c>
      <c r="BB72" s="11" t="n">
        <v>2.75288467675888</v>
      </c>
      <c r="BC72" s="11" t="n">
        <v>2.74310460447733</v>
      </c>
      <c r="BD72" s="11" t="n">
        <v>2.73335713125733</v>
      </c>
      <c r="BE72" s="11" t="n">
        <v>2.72367742880435</v>
      </c>
      <c r="BF72" s="11" t="n">
        <v>2.71409394504353</v>
      </c>
      <c r="BG72" s="11" t="n">
        <v>2.70462919871828</v>
      </c>
    </row>
    <row r="73" customFormat="false" ht="15" hidden="false" customHeight="false" outlineLevel="0" collapsed="false">
      <c r="A73" s="10" t="n">
        <v>-52</v>
      </c>
      <c r="B73" s="8" t="n">
        <v>44762</v>
      </c>
      <c r="C73" s="11" t="n">
        <v>2.09295530399153</v>
      </c>
      <c r="D73" s="11" t="n">
        <v>2.03555835036945</v>
      </c>
      <c r="E73" s="11" t="n">
        <v>1.98717845528755</v>
      </c>
      <c r="F73" s="11" t="n">
        <v>1.95076277736994</v>
      </c>
      <c r="G73" s="11" t="n">
        <v>1.92594090327446</v>
      </c>
      <c r="H73" s="11" t="n">
        <v>1.91158092940986</v>
      </c>
      <c r="I73" s="11" t="n">
        <v>1.90660381661834</v>
      </c>
      <c r="J73" s="11" t="n">
        <v>1.91014878733077</v>
      </c>
      <c r="K73" s="11" t="n">
        <v>1.92152156614555</v>
      </c>
      <c r="L73" s="11" t="n">
        <v>1.9401296426849</v>
      </c>
      <c r="M73" s="11" t="n">
        <v>1.96539484053878</v>
      </c>
      <c r="N73" s="11" t="n">
        <v>1.99670251125813</v>
      </c>
      <c r="O73" s="11" t="n">
        <v>2.03338376330365</v>
      </c>
      <c r="P73" s="11" t="n">
        <v>2.07469297764927</v>
      </c>
      <c r="Q73" s="11" t="n">
        <v>2.11980777277714</v>
      </c>
      <c r="R73" s="11" t="n">
        <v>2.16783939846291</v>
      </c>
      <c r="S73" s="11" t="n">
        <v>2.21787310186793</v>
      </c>
      <c r="T73" s="11" t="n">
        <v>2.26897514223565</v>
      </c>
      <c r="U73" s="11" t="n">
        <v>2.32026142404557</v>
      </c>
      <c r="V73" s="11" t="n">
        <v>2.37094760993176</v>
      </c>
      <c r="W73" s="11" t="n">
        <v>2.42033117929307</v>
      </c>
      <c r="X73" s="11" t="n">
        <v>2.46777639398438</v>
      </c>
      <c r="Y73" s="11" t="n">
        <v>2.51273661117889</v>
      </c>
      <c r="Z73" s="11" t="n">
        <v>2.55480014182815</v>
      </c>
      <c r="AA73" s="11" t="n">
        <v>2.5936778158332</v>
      </c>
      <c r="AB73" s="11" t="n">
        <v>2.62918248944866</v>
      </c>
      <c r="AC73" s="11" t="n">
        <v>2.66121315474185</v>
      </c>
      <c r="AD73" s="11" t="n">
        <v>2.68974125484622</v>
      </c>
      <c r="AE73" s="11" t="n">
        <v>2.71479936393213</v>
      </c>
      <c r="AF73" s="11" t="n">
        <v>2.7364719212137</v>
      </c>
      <c r="AG73" s="11" t="n">
        <v>2.75488495639678</v>
      </c>
      <c r="AH73" s="11" t="n">
        <v>2.77019180038165</v>
      </c>
      <c r="AI73" s="11" t="n">
        <v>2.78256852732791</v>
      </c>
      <c r="AJ73" s="11" t="n">
        <v>2.79220653237896</v>
      </c>
      <c r="AK73" s="11" t="n">
        <v>2.7993085319855</v>
      </c>
      <c r="AL73" s="11" t="n">
        <v>2.80408148888873</v>
      </c>
      <c r="AM73" s="11" t="n">
        <v>2.80673160058334</v>
      </c>
      <c r="AN73" s="11" t="n">
        <v>2.80746092221456</v>
      </c>
      <c r="AO73" s="11" t="n">
        <v>2.80646629619188</v>
      </c>
      <c r="AP73" s="11" t="n">
        <v>2.80393750326981</v>
      </c>
      <c r="AQ73" s="11" t="n">
        <v>2.80005637067669</v>
      </c>
      <c r="AR73" s="11" t="n">
        <v>2.79499547792958</v>
      </c>
      <c r="AS73" s="11" t="n">
        <v>2.78891677318047</v>
      </c>
      <c r="AT73" s="11" t="n">
        <v>2.78197079429559</v>
      </c>
      <c r="AU73" s="11" t="n">
        <v>2.7742959417934</v>
      </c>
      <c r="AV73" s="11" t="n">
        <v>2.76601854509017</v>
      </c>
      <c r="AW73" s="11" t="n">
        <v>2.75725287438923</v>
      </c>
      <c r="AX73" s="11" t="n">
        <v>2.74810203500122</v>
      </c>
      <c r="AY73" s="11" t="n">
        <v>2.73865792842291</v>
      </c>
      <c r="AZ73" s="11" t="n">
        <v>2.72900116110806</v>
      </c>
      <c r="BA73" s="11" t="n">
        <v>2.71920196800071</v>
      </c>
      <c r="BB73" s="11" t="n">
        <v>2.70932105368443</v>
      </c>
      <c r="BC73" s="11" t="n">
        <v>2.69941034770076</v>
      </c>
      <c r="BD73" s="11" t="n">
        <v>2.68951386342065</v>
      </c>
      <c r="BE73" s="11" t="n">
        <v>2.67966836514207</v>
      </c>
      <c r="BF73" s="11" t="n">
        <v>2.66990374126408</v>
      </c>
      <c r="BG73" s="11" t="n">
        <v>2.6602438796022</v>
      </c>
    </row>
    <row r="74" customFormat="false" ht="15" hidden="false" customHeight="false" outlineLevel="0" collapsed="false">
      <c r="A74" s="10" t="n">
        <v>-51</v>
      </c>
      <c r="B74" s="8" t="n">
        <v>44763</v>
      </c>
      <c r="C74" s="11" t="n">
        <v>2.00288094369847</v>
      </c>
      <c r="D74" s="11" t="n">
        <v>1.94781748345429</v>
      </c>
      <c r="E74" s="11" t="n">
        <v>1.90208487645446</v>
      </c>
      <c r="F74" s="11" t="n">
        <v>1.86802608050017</v>
      </c>
      <c r="G74" s="11" t="n">
        <v>1.84492360394985</v>
      </c>
      <c r="H74" s="11" t="n">
        <v>1.83152907710619</v>
      </c>
      <c r="I74" s="11" t="n">
        <v>1.82677040517926</v>
      </c>
      <c r="J74" s="11" t="n">
        <v>1.82984281094682</v>
      </c>
      <c r="K74" s="11" t="n">
        <v>1.84012544835641</v>
      </c>
      <c r="L74" s="11" t="n">
        <v>1.85709903381909</v>
      </c>
      <c r="M74" s="11" t="n">
        <v>1.88026013410619</v>
      </c>
      <c r="N74" s="11" t="n">
        <v>1.9090674412847</v>
      </c>
      <c r="O74" s="11" t="n">
        <v>1.94292077401942</v>
      </c>
      <c r="P74" s="11" t="n">
        <v>1.9811379397671</v>
      </c>
      <c r="Q74" s="11" t="n">
        <v>2.02295531863917</v>
      </c>
      <c r="R74" s="11" t="n">
        <v>2.06753938477532</v>
      </c>
      <c r="S74" s="11" t="n">
        <v>2.11402889562163</v>
      </c>
      <c r="T74" s="11" t="n">
        <v>2.16154380266194</v>
      </c>
      <c r="U74" s="11" t="n">
        <v>2.20925198596619</v>
      </c>
      <c r="V74" s="11" t="n">
        <v>2.25641672179812</v>
      </c>
      <c r="W74" s="11" t="n">
        <v>2.30237945316472</v>
      </c>
      <c r="X74" s="11" t="n">
        <v>2.34654545541944</v>
      </c>
      <c r="Y74" s="11" t="n">
        <v>2.38840521268468</v>
      </c>
      <c r="Z74" s="11" t="n">
        <v>2.42757758577529</v>
      </c>
      <c r="AA74" s="11" t="n">
        <v>2.4637973894663</v>
      </c>
      <c r="AB74" s="11" t="n">
        <v>2.49689473499364</v>
      </c>
      <c r="AC74" s="11" t="n">
        <v>2.52677861216785</v>
      </c>
      <c r="AD74" s="11" t="n">
        <v>2.55342407658196</v>
      </c>
      <c r="AE74" s="11" t="n">
        <v>2.57686192664956</v>
      </c>
      <c r="AF74" s="11" t="n">
        <v>2.59717025328236</v>
      </c>
      <c r="AG74" s="11" t="n">
        <v>2.61446457656931</v>
      </c>
      <c r="AH74" s="11" t="n">
        <v>2.62888348522985</v>
      </c>
      <c r="AI74" s="11" t="n">
        <v>2.64058487455192</v>
      </c>
      <c r="AJ74" s="11" t="n">
        <v>2.6497391263569</v>
      </c>
      <c r="AK74" s="11" t="n">
        <v>2.65652555118995</v>
      </c>
      <c r="AL74" s="11" t="n">
        <v>2.66112594799902</v>
      </c>
      <c r="AM74" s="11" t="n">
        <v>2.66372021992304</v>
      </c>
      <c r="AN74" s="11" t="n">
        <v>2.66448372516723</v>
      </c>
      <c r="AO74" s="11" t="n">
        <v>2.66358656008143</v>
      </c>
      <c r="AP74" s="11" t="n">
        <v>2.66119230171098</v>
      </c>
      <c r="AQ74" s="11" t="n">
        <v>2.65745746727637</v>
      </c>
      <c r="AR74" s="11" t="n">
        <v>2.65253060311994</v>
      </c>
      <c r="AS74" s="11" t="n">
        <v>2.64655130650267</v>
      </c>
      <c r="AT74" s="11" t="n">
        <v>2.63964968285342</v>
      </c>
      <c r="AU74" s="11" t="n">
        <v>2.63194585322983</v>
      </c>
      <c r="AV74" s="11" t="n">
        <v>2.62355016645493</v>
      </c>
      <c r="AW74" s="11" t="n">
        <v>2.61456340967734</v>
      </c>
      <c r="AX74" s="11" t="n">
        <v>2.60507771513145</v>
      </c>
      <c r="AY74" s="11" t="n">
        <v>2.59517661728275</v>
      </c>
      <c r="AZ74" s="11" t="n">
        <v>2.58493496439887</v>
      </c>
      <c r="BA74" s="11" t="n">
        <v>2.57441963603637</v>
      </c>
      <c r="BB74" s="11" t="n">
        <v>2.56369028999843</v>
      </c>
      <c r="BC74" s="11" t="n">
        <v>2.55280005909099</v>
      </c>
      <c r="BD74" s="11" t="n">
        <v>2.5417962937698</v>
      </c>
      <c r="BE74" s="11" t="n">
        <v>2.53072109332722</v>
      </c>
      <c r="BF74" s="11" t="n">
        <v>2.51961154228793</v>
      </c>
      <c r="BG74" s="11" t="n">
        <v>2.50850049651954</v>
      </c>
    </row>
    <row r="75" customFormat="false" ht="15" hidden="false" customHeight="false" outlineLevel="0" collapsed="false">
      <c r="A75" s="10" t="n">
        <v>-50</v>
      </c>
      <c r="B75" s="8" t="n">
        <v>44764</v>
      </c>
      <c r="C75" s="11" t="n">
        <v>1.86563774347215</v>
      </c>
      <c r="D75" s="11" t="n">
        <v>1.81139585450831</v>
      </c>
      <c r="E75" s="11" t="n">
        <v>1.76783176974823</v>
      </c>
      <c r="F75" s="11" t="n">
        <v>1.73673466769206</v>
      </c>
      <c r="G75" s="11" t="n">
        <v>1.7170519394442</v>
      </c>
      <c r="H75" s="11" t="n">
        <v>1.70731126451944</v>
      </c>
      <c r="I75" s="11" t="n">
        <v>1.70627360645968</v>
      </c>
      <c r="J75" s="11" t="n">
        <v>1.71301026355758</v>
      </c>
      <c r="K75" s="11" t="n">
        <v>1.72681657956488</v>
      </c>
      <c r="L75" s="11" t="n">
        <v>1.74711355385127</v>
      </c>
      <c r="M75" s="11" t="n">
        <v>1.77336414798174</v>
      </c>
      <c r="N75" s="11" t="n">
        <v>1.80501299974689</v>
      </c>
      <c r="O75" s="11" t="n">
        <v>1.84146067217889</v>
      </c>
      <c r="P75" s="11" t="n">
        <v>1.88203755127033</v>
      </c>
      <c r="Q75" s="11" t="n">
        <v>1.92600221592675</v>
      </c>
      <c r="R75" s="11" t="n">
        <v>1.97254996190914</v>
      </c>
      <c r="S75" s="11" t="n">
        <v>2.02085203879569</v>
      </c>
      <c r="T75" s="11" t="n">
        <v>2.07006259887829</v>
      </c>
      <c r="U75" s="11" t="n">
        <v>2.11938224549154</v>
      </c>
      <c r="V75" s="11" t="n">
        <v>2.16810133677221</v>
      </c>
      <c r="W75" s="11" t="n">
        <v>2.21558358319619</v>
      </c>
      <c r="X75" s="11" t="n">
        <v>2.26125271621439</v>
      </c>
      <c r="Y75" s="11" t="n">
        <v>2.30461356775435</v>
      </c>
      <c r="Z75" s="11" t="n">
        <v>2.34529221431688</v>
      </c>
      <c r="AA75" s="11" t="n">
        <v>2.38302437094053</v>
      </c>
      <c r="AB75" s="11" t="n">
        <v>2.4176370711694</v>
      </c>
      <c r="AC75" s="11" t="n">
        <v>2.44903392373811</v>
      </c>
      <c r="AD75" s="11" t="n">
        <v>2.47718284032466</v>
      </c>
      <c r="AE75" s="11" t="n">
        <v>2.50210598834607</v>
      </c>
      <c r="AF75" s="11" t="n">
        <v>2.52387156548197</v>
      </c>
      <c r="AG75" s="11" t="n">
        <v>2.54258447463815</v>
      </c>
      <c r="AH75" s="11" t="n">
        <v>2.55837329335054</v>
      </c>
      <c r="AI75" s="11" t="n">
        <v>2.57138622601158</v>
      </c>
      <c r="AJ75" s="11" t="n">
        <v>2.5817850287049</v>
      </c>
      <c r="AK75" s="11" t="n">
        <v>2.58974154776024</v>
      </c>
      <c r="AL75" s="11" t="n">
        <v>2.59543134754169</v>
      </c>
      <c r="AM75" s="11" t="n">
        <v>2.59902947854577</v>
      </c>
      <c r="AN75" s="11" t="n">
        <v>2.60070798121487</v>
      </c>
      <c r="AO75" s="11" t="n">
        <v>2.60063516512466</v>
      </c>
      <c r="AP75" s="11" t="n">
        <v>2.59897449816627</v>
      </c>
      <c r="AQ75" s="11" t="n">
        <v>2.59588410341213</v>
      </c>
      <c r="AR75" s="11" t="n">
        <v>2.59151570657862</v>
      </c>
      <c r="AS75" s="11" t="n">
        <v>2.58601356283286</v>
      </c>
      <c r="AT75" s="11" t="n">
        <v>2.57951357792727</v>
      </c>
      <c r="AU75" s="11" t="n">
        <v>2.57214252834418</v>
      </c>
      <c r="AV75" s="11" t="n">
        <v>2.56401802293797</v>
      </c>
      <c r="AW75" s="11" t="n">
        <v>2.55524848747451</v>
      </c>
      <c r="AX75" s="11" t="n">
        <v>2.54593390907155</v>
      </c>
      <c r="AY75" s="11" t="n">
        <v>2.5361656191248</v>
      </c>
      <c r="AZ75" s="11" t="n">
        <v>2.52602604042271</v>
      </c>
      <c r="BA75" s="11" t="n">
        <v>2.51558940292733</v>
      </c>
      <c r="BB75" s="11" t="n">
        <v>2.50492238336937</v>
      </c>
      <c r="BC75" s="11" t="n">
        <v>2.49408468158196</v>
      </c>
      <c r="BD75" s="11" t="n">
        <v>2.48312969269733</v>
      </c>
      <c r="BE75" s="11" t="n">
        <v>2.47210497333788</v>
      </c>
      <c r="BF75" s="11" t="n">
        <v>2.46105237891547</v>
      </c>
      <c r="BG75" s="11" t="n">
        <v>2.45000884287163</v>
      </c>
    </row>
    <row r="76" customFormat="false" ht="15" hidden="false" customHeight="false" outlineLevel="0" collapsed="false">
      <c r="A76" s="10" t="n">
        <v>-49</v>
      </c>
      <c r="B76" s="8" t="n">
        <v>44767</v>
      </c>
      <c r="C76" s="11" t="n">
        <v>1.85514804804673</v>
      </c>
      <c r="D76" s="11" t="n">
        <v>1.80247048724818</v>
      </c>
      <c r="E76" s="11" t="n">
        <v>1.76114298214166</v>
      </c>
      <c r="F76" s="11" t="n">
        <v>1.73205311879842</v>
      </c>
      <c r="G76" s="11" t="n">
        <v>1.7139801070926</v>
      </c>
      <c r="H76" s="11" t="n">
        <v>1.70547229895816</v>
      </c>
      <c r="I76" s="11" t="n">
        <v>1.70535593562882</v>
      </c>
      <c r="J76" s="11" t="n">
        <v>1.71276952102589</v>
      </c>
      <c r="K76" s="11" t="n">
        <v>1.72706854187743</v>
      </c>
      <c r="L76" s="11" t="n">
        <v>1.74772815744659</v>
      </c>
      <c r="M76" s="11" t="n">
        <v>1.77426294410248</v>
      </c>
      <c r="N76" s="11" t="n">
        <v>1.80616997980159</v>
      </c>
      <c r="O76" s="11" t="n">
        <v>1.84290193084581</v>
      </c>
      <c r="P76" s="11" t="n">
        <v>1.88383996520129</v>
      </c>
      <c r="Q76" s="11" t="n">
        <v>1.9282918710951</v>
      </c>
      <c r="R76" s="11" t="n">
        <v>1.9754987910959</v>
      </c>
      <c r="S76" s="11" t="n">
        <v>2.02467228152711</v>
      </c>
      <c r="T76" s="11" t="n">
        <v>2.07500190939643</v>
      </c>
      <c r="U76" s="11" t="n">
        <v>2.12571310777722</v>
      </c>
      <c r="V76" s="11" t="n">
        <v>2.17610645041345</v>
      </c>
      <c r="W76" s="11" t="n">
        <v>2.2255439823834</v>
      </c>
      <c r="X76" s="11" t="n">
        <v>2.27343818904634</v>
      </c>
      <c r="Y76" s="11" t="n">
        <v>2.31927245344977</v>
      </c>
      <c r="Z76" s="11" t="n">
        <v>2.36263844875797</v>
      </c>
      <c r="AA76" s="11" t="n">
        <v>2.4032276145839</v>
      </c>
      <c r="AB76" s="11" t="n">
        <v>2.44081898651466</v>
      </c>
      <c r="AC76" s="11" t="n">
        <v>2.47526978768592</v>
      </c>
      <c r="AD76" s="11" t="n">
        <v>2.50650368507369</v>
      </c>
      <c r="AE76" s="11" t="n">
        <v>2.53450040898733</v>
      </c>
      <c r="AF76" s="11" t="n">
        <v>2.55928725618648</v>
      </c>
      <c r="AG76" s="11" t="n">
        <v>2.58093094099693</v>
      </c>
      <c r="AH76" s="11" t="n">
        <v>2.59952869480575</v>
      </c>
      <c r="AI76" s="11" t="n">
        <v>2.61520316625637</v>
      </c>
      <c r="AJ76" s="11" t="n">
        <v>2.62809603246128</v>
      </c>
      <c r="AK76" s="11" t="n">
        <v>2.63836399386175</v>
      </c>
      <c r="AL76" s="11" t="n">
        <v>2.64617183719808</v>
      </c>
      <c r="AM76" s="11" t="n">
        <v>2.65168787100715</v>
      </c>
      <c r="AN76" s="11" t="n">
        <v>2.65508139578847</v>
      </c>
      <c r="AO76" s="11" t="n">
        <v>2.65652174540703</v>
      </c>
      <c r="AP76" s="11" t="n">
        <v>2.65617721125872</v>
      </c>
      <c r="AQ76" s="11" t="n">
        <v>2.65421440229899</v>
      </c>
      <c r="AR76" s="11" t="n">
        <v>2.65079690984858</v>
      </c>
      <c r="AS76" s="11" t="n">
        <v>2.64608396464318</v>
      </c>
      <c r="AT76" s="11" t="n">
        <v>2.64022887099744</v>
      </c>
      <c r="AU76" s="11" t="n">
        <v>2.63337757404855</v>
      </c>
      <c r="AV76" s="11" t="n">
        <v>2.62566794217259</v>
      </c>
      <c r="AW76" s="11" t="n">
        <v>2.61722909810143</v>
      </c>
      <c r="AX76" s="11" t="n">
        <v>2.60818186806831</v>
      </c>
      <c r="AY76" s="11" t="n">
        <v>2.59863787615233</v>
      </c>
      <c r="AZ76" s="11" t="n">
        <v>2.58869875902807</v>
      </c>
      <c r="BA76" s="11" t="n">
        <v>2.57845688288456</v>
      </c>
      <c r="BB76" s="11" t="n">
        <v>2.56799553846143</v>
      </c>
      <c r="BC76" s="11" t="n">
        <v>2.55738904462727</v>
      </c>
      <c r="BD76" s="11" t="n">
        <v>2.5467032635617</v>
      </c>
      <c r="BE76" s="11" t="n">
        <v>2.53599600295418</v>
      </c>
      <c r="BF76" s="11" t="n">
        <v>2.52531706400931</v>
      </c>
      <c r="BG76" s="11" t="n">
        <v>2.51470899770919</v>
      </c>
    </row>
    <row r="77" customFormat="false" ht="15" hidden="false" customHeight="false" outlineLevel="0" collapsed="false">
      <c r="A77" s="10" t="n">
        <v>-48</v>
      </c>
      <c r="B77" s="8" t="n">
        <v>44768</v>
      </c>
      <c r="C77" s="11" t="n">
        <v>1.83144894880481</v>
      </c>
      <c r="D77" s="11" t="n">
        <v>1.7798732791829</v>
      </c>
      <c r="E77" s="11" t="n">
        <v>1.73889393668057</v>
      </c>
      <c r="F77" s="11" t="n">
        <v>1.70948391077797</v>
      </c>
      <c r="G77" s="11" t="n">
        <v>1.69060303095343</v>
      </c>
      <c r="H77" s="11" t="n">
        <v>1.68095971278155</v>
      </c>
      <c r="I77" s="11" t="n">
        <v>1.67950521439674</v>
      </c>
      <c r="J77" s="11" t="n">
        <v>1.68546994338016</v>
      </c>
      <c r="K77" s="11" t="n">
        <v>1.69827517830527</v>
      </c>
      <c r="L77" s="11" t="n">
        <v>1.71744069270699</v>
      </c>
      <c r="M77" s="11" t="n">
        <v>1.74250903352802</v>
      </c>
      <c r="N77" s="11" t="n">
        <v>1.7729951956494</v>
      </c>
      <c r="O77" s="11" t="n">
        <v>1.80836429564953</v>
      </c>
      <c r="P77" s="11" t="n">
        <v>1.84800864767486</v>
      </c>
      <c r="Q77" s="11" t="n">
        <v>1.89124767313566</v>
      </c>
      <c r="R77" s="11" t="n">
        <v>1.93733551969102</v>
      </c>
      <c r="S77" s="11" t="n">
        <v>1.98549796051071</v>
      </c>
      <c r="T77" s="11" t="n">
        <v>2.03494032924761</v>
      </c>
      <c r="U77" s="11" t="n">
        <v>2.08490278488075</v>
      </c>
      <c r="V77" s="11" t="n">
        <v>2.13469721363235</v>
      </c>
      <c r="W77" s="11" t="n">
        <v>2.18369412286436</v>
      </c>
      <c r="X77" s="11" t="n">
        <v>2.23131215201868</v>
      </c>
      <c r="Y77" s="11" t="n">
        <v>2.27703771843802</v>
      </c>
      <c r="Z77" s="11" t="n">
        <v>2.32046027223471</v>
      </c>
      <c r="AA77" s="11" t="n">
        <v>2.36126364427694</v>
      </c>
      <c r="AB77" s="11" t="n">
        <v>2.3992149963072</v>
      </c>
      <c r="AC77" s="11" t="n">
        <v>2.43415726202801</v>
      </c>
      <c r="AD77" s="11" t="n">
        <v>2.46599798612827</v>
      </c>
      <c r="AE77" s="11" t="n">
        <v>2.49469923034484</v>
      </c>
      <c r="AF77" s="11" t="n">
        <v>2.52026931215115</v>
      </c>
      <c r="AG77" s="11" t="n">
        <v>2.54275549441952</v>
      </c>
      <c r="AH77" s="11" t="n">
        <v>2.56223696519412</v>
      </c>
      <c r="AI77" s="11" t="n">
        <v>2.57881938058443</v>
      </c>
      <c r="AJ77" s="11" t="n">
        <v>2.59262895254627</v>
      </c>
      <c r="AK77" s="11" t="n">
        <v>2.60380844490813</v>
      </c>
      <c r="AL77" s="11" t="n">
        <v>2.61251033316923</v>
      </c>
      <c r="AM77" s="11" t="n">
        <v>2.61889230922686</v>
      </c>
      <c r="AN77" s="11" t="n">
        <v>2.62311479132805</v>
      </c>
      <c r="AO77" s="11" t="n">
        <v>2.62533991935686</v>
      </c>
      <c r="AP77" s="11" t="n">
        <v>2.62573072048886</v>
      </c>
      <c r="AQ77" s="11" t="n">
        <v>2.62445052670398</v>
      </c>
      <c r="AR77" s="11" t="n">
        <v>2.62166162882928</v>
      </c>
      <c r="AS77" s="11" t="n">
        <v>2.61752392192713</v>
      </c>
      <c r="AT77" s="11" t="n">
        <v>2.61219303835027</v>
      </c>
      <c r="AU77" s="11" t="n">
        <v>2.60581863528836</v>
      </c>
      <c r="AV77" s="11" t="n">
        <v>2.59854337895992</v>
      </c>
      <c r="AW77" s="11" t="n">
        <v>2.59050199802521</v>
      </c>
      <c r="AX77" s="11" t="n">
        <v>2.58182151768143</v>
      </c>
      <c r="AY77" s="11" t="n">
        <v>2.57261993510255</v>
      </c>
      <c r="AZ77" s="11" t="n">
        <v>2.56300512806712</v>
      </c>
      <c r="BA77" s="11" t="n">
        <v>2.55307553728457</v>
      </c>
      <c r="BB77" s="11" t="n">
        <v>2.54292012262047</v>
      </c>
      <c r="BC77" s="11" t="n">
        <v>2.53261823404634</v>
      </c>
      <c r="BD77" s="11" t="n">
        <v>2.52224006682083</v>
      </c>
      <c r="BE77" s="11" t="n">
        <v>2.51184703572082</v>
      </c>
      <c r="BF77" s="11" t="n">
        <v>2.50149177793785</v>
      </c>
      <c r="BG77" s="11" t="n">
        <v>2.49121890072028</v>
      </c>
    </row>
    <row r="78" customFormat="false" ht="15" hidden="false" customHeight="false" outlineLevel="0" collapsed="false">
      <c r="A78" s="10" t="n">
        <v>-47</v>
      </c>
      <c r="B78" s="8" t="n">
        <v>44769</v>
      </c>
      <c r="C78" s="11" t="n">
        <v>1.86104164984213</v>
      </c>
      <c r="D78" s="11" t="n">
        <v>1.81984991816101</v>
      </c>
      <c r="E78" s="11" t="n">
        <v>1.78355310413655</v>
      </c>
      <c r="F78" s="11" t="n">
        <v>1.75553091995209</v>
      </c>
      <c r="G78" s="11" t="n">
        <v>1.73620959948762</v>
      </c>
      <c r="H78" s="11" t="n">
        <v>1.72517470172913</v>
      </c>
      <c r="I78" s="11" t="n">
        <v>1.721910351989</v>
      </c>
      <c r="J78" s="11" t="n">
        <v>1.72597303335826</v>
      </c>
      <c r="K78" s="11" t="n">
        <v>1.73698099588587</v>
      </c>
      <c r="L78" s="11" t="n">
        <v>1.75456574031229</v>
      </c>
      <c r="M78" s="11" t="n">
        <v>1.77832446914726</v>
      </c>
      <c r="N78" s="11" t="n">
        <v>1.80778947279841</v>
      </c>
      <c r="O78" s="11" t="n">
        <v>1.8424189737525</v>
      </c>
      <c r="P78" s="11" t="n">
        <v>1.88158560104692</v>
      </c>
      <c r="Q78" s="11" t="n">
        <v>1.92458288781003</v>
      </c>
      <c r="R78" s="11" t="n">
        <v>1.9706384947153</v>
      </c>
      <c r="S78" s="11" t="n">
        <v>2.01895285763156</v>
      </c>
      <c r="T78" s="11" t="n">
        <v>2.06870800629973</v>
      </c>
      <c r="U78" s="11" t="n">
        <v>2.11912349373249</v>
      </c>
      <c r="V78" s="11" t="n">
        <v>2.16949241531454</v>
      </c>
      <c r="W78" s="11" t="n">
        <v>2.21916787107261</v>
      </c>
      <c r="X78" s="11" t="n">
        <v>2.26755223900218</v>
      </c>
      <c r="Y78" s="11" t="n">
        <v>2.31411692675841</v>
      </c>
      <c r="Z78" s="11" t="n">
        <v>2.35843727926954</v>
      </c>
      <c r="AA78" s="11" t="n">
        <v>2.40018275496339</v>
      </c>
      <c r="AB78" s="11" t="n">
        <v>2.4391056504182</v>
      </c>
      <c r="AC78" s="11" t="n">
        <v>2.47503459869712</v>
      </c>
      <c r="AD78" s="11" t="n">
        <v>2.50786348350159</v>
      </c>
      <c r="AE78" s="11" t="n">
        <v>2.53754124540122</v>
      </c>
      <c r="AF78" s="11" t="n">
        <v>2.56406353998544</v>
      </c>
      <c r="AG78" s="11" t="n">
        <v>2.58746590916714</v>
      </c>
      <c r="AH78" s="11" t="n">
        <v>2.60781814444001</v>
      </c>
      <c r="AI78" s="11" t="n">
        <v>2.62521840726817</v>
      </c>
      <c r="AJ78" s="11" t="n">
        <v>2.63978758016543</v>
      </c>
      <c r="AK78" s="11" t="n">
        <v>2.65166511587573</v>
      </c>
      <c r="AL78" s="11" t="n">
        <v>2.66100204271748</v>
      </c>
      <c r="AM78" s="11" t="n">
        <v>2.66795630966194</v>
      </c>
      <c r="AN78" s="11" t="n">
        <v>2.67269006311986</v>
      </c>
      <c r="AO78" s="11" t="n">
        <v>2.67536845481548</v>
      </c>
      <c r="AP78" s="11" t="n">
        <v>2.67615861505712</v>
      </c>
      <c r="AQ78" s="11" t="n">
        <v>2.67522891748752</v>
      </c>
      <c r="AR78" s="11" t="n">
        <v>2.67274745942888</v>
      </c>
      <c r="AS78" s="11" t="n">
        <v>2.66888055542764</v>
      </c>
      <c r="AT78" s="11" t="n">
        <v>2.6637906519084</v>
      </c>
      <c r="AU78" s="11" t="n">
        <v>2.65763443136528</v>
      </c>
      <c r="AV78" s="11" t="n">
        <v>2.65056159945031</v>
      </c>
      <c r="AW78" s="11" t="n">
        <v>2.64271374108419</v>
      </c>
      <c r="AX78" s="11" t="n">
        <v>2.63422437817056</v>
      </c>
      <c r="AY78" s="11" t="n">
        <v>2.62521743209318</v>
      </c>
      <c r="AZ78" s="11" t="n">
        <v>2.61580605322068</v>
      </c>
      <c r="BA78" s="11" t="n">
        <v>2.60609334369009</v>
      </c>
      <c r="BB78" s="11" t="n">
        <v>2.59617225879835</v>
      </c>
      <c r="BC78" s="11" t="n">
        <v>2.58612542526236</v>
      </c>
      <c r="BD78" s="11" t="n">
        <v>2.57602559104548</v>
      </c>
      <c r="BE78" s="11" t="n">
        <v>2.56593601613498</v>
      </c>
      <c r="BF78" s="11" t="n">
        <v>2.55591049986004</v>
      </c>
      <c r="BG78" s="11" t="n">
        <v>2.54599412513413</v>
      </c>
    </row>
    <row r="79" customFormat="false" ht="15" hidden="false" customHeight="false" outlineLevel="0" collapsed="false">
      <c r="A79" s="10" t="n">
        <v>-46</v>
      </c>
      <c r="B79" s="8" t="n">
        <v>44770</v>
      </c>
      <c r="C79" s="11" t="n">
        <v>1.70137800248414</v>
      </c>
      <c r="D79" s="11" t="n">
        <v>1.66929786374933</v>
      </c>
      <c r="E79" s="11" t="n">
        <v>1.63949080786312</v>
      </c>
      <c r="F79" s="11" t="n">
        <v>1.61636759537449</v>
      </c>
      <c r="G79" s="11" t="n">
        <v>1.6011250174439</v>
      </c>
      <c r="H79" s="11" t="n">
        <v>1.59382095890074</v>
      </c>
      <c r="I79" s="11" t="n">
        <v>1.59419487285155</v>
      </c>
      <c r="J79" s="11" t="n">
        <v>1.60191340159248</v>
      </c>
      <c r="K79" s="11" t="n">
        <v>1.61660907130309</v>
      </c>
      <c r="L79" s="11" t="n">
        <v>1.63786434397601</v>
      </c>
      <c r="M79" s="11" t="n">
        <v>1.66518901595885</v>
      </c>
      <c r="N79" s="11" t="n">
        <v>1.69801471188238</v>
      </c>
      <c r="O79" s="11" t="n">
        <v>1.73570430857061</v>
      </c>
      <c r="P79" s="11" t="n">
        <v>1.77755580447256</v>
      </c>
      <c r="Q79" s="11" t="n">
        <v>1.82281253828649</v>
      </c>
      <c r="R79" s="11" t="n">
        <v>1.87068045008892</v>
      </c>
      <c r="S79" s="11" t="n">
        <v>1.92036280383881</v>
      </c>
      <c r="T79" s="11" t="n">
        <v>1.97106633727019</v>
      </c>
      <c r="U79" s="11" t="n">
        <v>2.02204994209964</v>
      </c>
      <c r="V79" s="11" t="n">
        <v>2.07265396070169</v>
      </c>
      <c r="W79" s="11" t="n">
        <v>2.12228481910377</v>
      </c>
      <c r="X79" s="11" t="n">
        <v>2.17040299574486</v>
      </c>
      <c r="Y79" s="11" t="n">
        <v>2.21653928600355</v>
      </c>
      <c r="Z79" s="11" t="n">
        <v>2.26032481454781</v>
      </c>
      <c r="AA79" s="11" t="n">
        <v>2.30148139955725</v>
      </c>
      <c r="AB79" s="11" t="n">
        <v>2.33980839352185</v>
      </c>
      <c r="AC79" s="11" t="n">
        <v>2.37517211955711</v>
      </c>
      <c r="AD79" s="11" t="n">
        <v>2.40749544578308</v>
      </c>
      <c r="AE79" s="11" t="n">
        <v>2.43674895063419</v>
      </c>
      <c r="AF79" s="11" t="n">
        <v>2.46294369127528</v>
      </c>
      <c r="AG79" s="11" t="n">
        <v>2.48612415722535</v>
      </c>
      <c r="AH79" s="11" t="n">
        <v>2.50636017034618</v>
      </c>
      <c r="AI79" s="11" t="n">
        <v>2.52374335843918</v>
      </c>
      <c r="AJ79" s="11" t="n">
        <v>2.53838382884996</v>
      </c>
      <c r="AK79" s="11" t="n">
        <v>2.55040694864072</v>
      </c>
      <c r="AL79" s="11" t="n">
        <v>2.55994778652208</v>
      </c>
      <c r="AM79" s="11" t="n">
        <v>2.56714752769096</v>
      </c>
      <c r="AN79" s="11" t="n">
        <v>2.57215159575093</v>
      </c>
      <c r="AO79" s="11" t="n">
        <v>2.57510880504131</v>
      </c>
      <c r="AP79" s="11" t="n">
        <v>2.57617091612841</v>
      </c>
      <c r="AQ79" s="11" t="n">
        <v>2.57549216958129</v>
      </c>
      <c r="AR79" s="11" t="n">
        <v>2.57322788590699</v>
      </c>
      <c r="AS79" s="11" t="n">
        <v>2.5695330772876</v>
      </c>
      <c r="AT79" s="11" t="n">
        <v>2.56456041690243</v>
      </c>
      <c r="AU79" s="11" t="n">
        <v>2.55845840836218</v>
      </c>
      <c r="AV79" s="11" t="n">
        <v>2.55137020824687</v>
      </c>
      <c r="AW79" s="11" t="n">
        <v>2.5434325531209</v>
      </c>
      <c r="AX79" s="11" t="n">
        <v>2.53477579481591</v>
      </c>
      <c r="AY79" s="11" t="n">
        <v>2.52552235493369</v>
      </c>
      <c r="AZ79" s="11" t="n">
        <v>2.51578550745229</v>
      </c>
      <c r="BA79" s="11" t="n">
        <v>2.50566996892593</v>
      </c>
      <c r="BB79" s="11" t="n">
        <v>2.49527173949768</v>
      </c>
      <c r="BC79" s="11" t="n">
        <v>2.48467786140853</v>
      </c>
      <c r="BD79" s="11" t="n">
        <v>2.47396665464807</v>
      </c>
      <c r="BE79" s="11" t="n">
        <v>2.46320788468558</v>
      </c>
      <c r="BF79" s="11" t="n">
        <v>2.45246250568962</v>
      </c>
      <c r="BG79" s="11" t="n">
        <v>2.44178319300683</v>
      </c>
    </row>
    <row r="80" customFormat="false" ht="15" hidden="false" customHeight="false" outlineLevel="0" collapsed="false">
      <c r="A80" s="10" t="n">
        <v>-45</v>
      </c>
      <c r="B80" s="8" t="n">
        <v>44771</v>
      </c>
      <c r="C80" s="11" t="n">
        <v>1.72597540098423</v>
      </c>
      <c r="D80" s="11" t="n">
        <v>1.68582192218436</v>
      </c>
      <c r="E80" s="11" t="n">
        <v>1.65262950322946</v>
      </c>
      <c r="F80" s="11" t="n">
        <v>1.62865210294741</v>
      </c>
      <c r="G80" s="11" t="n">
        <v>1.61378265601048</v>
      </c>
      <c r="H80" s="11" t="n">
        <v>1.60734577173925</v>
      </c>
      <c r="I80" s="11" t="n">
        <v>1.60868527984571</v>
      </c>
      <c r="J80" s="11" t="n">
        <v>1.6172481804536</v>
      </c>
      <c r="K80" s="11" t="n">
        <v>1.63254151851747</v>
      </c>
      <c r="L80" s="11" t="n">
        <v>1.6540750944205</v>
      </c>
      <c r="M80" s="11" t="n">
        <v>1.68131174002773</v>
      </c>
      <c r="N80" s="11" t="n">
        <v>1.7136551547406</v>
      </c>
      <c r="O80" s="11" t="n">
        <v>1.75045435215073</v>
      </c>
      <c r="P80" s="11" t="n">
        <v>1.79100938209424</v>
      </c>
      <c r="Q80" s="11" t="n">
        <v>1.83458074672381</v>
      </c>
      <c r="R80" s="11" t="n">
        <v>1.8804079090886</v>
      </c>
      <c r="S80" s="11" t="n">
        <v>1.92774199473016</v>
      </c>
      <c r="T80" s="11" t="n">
        <v>1.97585206706204</v>
      </c>
      <c r="U80" s="11" t="n">
        <v>2.02406751034634</v>
      </c>
      <c r="V80" s="11" t="n">
        <v>2.07179974697876</v>
      </c>
      <c r="W80" s="11" t="n">
        <v>2.11852642538199</v>
      </c>
      <c r="X80" s="11" t="n">
        <v>2.1637792854179</v>
      </c>
      <c r="Y80" s="11" t="n">
        <v>2.20715731051595</v>
      </c>
      <c r="Z80" s="11" t="n">
        <v>2.24835099476706</v>
      </c>
      <c r="AA80" s="11" t="n">
        <v>2.28713310140512</v>
      </c>
      <c r="AB80" s="11" t="n">
        <v>2.32334408052353</v>
      </c>
      <c r="AC80" s="11" t="n">
        <v>2.35687825999842</v>
      </c>
      <c r="AD80" s="11" t="n">
        <v>2.38767473312717</v>
      </c>
      <c r="AE80" s="11" t="n">
        <v>2.4157103636192</v>
      </c>
      <c r="AF80" s="11" t="n">
        <v>2.44099405531998</v>
      </c>
      <c r="AG80" s="11" t="n">
        <v>2.46355967092682</v>
      </c>
      <c r="AH80" s="11" t="n">
        <v>2.48345623383363</v>
      </c>
      <c r="AI80" s="11" t="n">
        <v>2.50074763186341</v>
      </c>
      <c r="AJ80" s="11" t="n">
        <v>2.51551141299665</v>
      </c>
      <c r="AK80" s="11" t="n">
        <v>2.52783657785564</v>
      </c>
      <c r="AL80" s="11" t="n">
        <v>2.53781990333115</v>
      </c>
      <c r="AM80" s="11" t="n">
        <v>2.54556379874283</v>
      </c>
      <c r="AN80" s="11" t="n">
        <v>2.55117562756446</v>
      </c>
      <c r="AO80" s="11" t="n">
        <v>2.55476737138893</v>
      </c>
      <c r="AP80" s="11" t="n">
        <v>2.55645633390472</v>
      </c>
      <c r="AQ80" s="11" t="n">
        <v>2.55636518428476</v>
      </c>
      <c r="AR80" s="11" t="n">
        <v>2.55462107833413</v>
      </c>
      <c r="AS80" s="11" t="n">
        <v>2.55135473718059</v>
      </c>
      <c r="AT80" s="11" t="n">
        <v>2.54669852363067</v>
      </c>
      <c r="AU80" s="11" t="n">
        <v>2.54078471729685</v>
      </c>
      <c r="AV80" s="11" t="n">
        <v>2.53374429575244</v>
      </c>
      <c r="AW80" s="11" t="n">
        <v>2.52570587098402</v>
      </c>
      <c r="AX80" s="11" t="n">
        <v>2.51679545942302</v>
      </c>
      <c r="AY80" s="11" t="n">
        <v>2.50713464649933</v>
      </c>
      <c r="AZ80" s="11" t="n">
        <v>2.49683912789638</v>
      </c>
      <c r="BA80" s="11" t="n">
        <v>2.48601900465438</v>
      </c>
      <c r="BB80" s="11" t="n">
        <v>2.47477830599909</v>
      </c>
      <c r="BC80" s="11" t="n">
        <v>2.46321445365766</v>
      </c>
      <c r="BD80" s="11" t="n">
        <v>2.45141807722952</v>
      </c>
      <c r="BE80" s="11" t="n">
        <v>2.43947281941035</v>
      </c>
      <c r="BF80" s="11" t="n">
        <v>2.42745470408218</v>
      </c>
      <c r="BG80" s="11" t="n">
        <v>2.41543225201811</v>
      </c>
    </row>
    <row r="81" customFormat="false" ht="15" hidden="false" customHeight="false" outlineLevel="0" collapsed="false">
      <c r="A81" s="10" t="n">
        <v>-44</v>
      </c>
      <c r="B81" s="8" t="n">
        <v>44774</v>
      </c>
      <c r="C81" s="11" t="n">
        <v>1.67222222810208</v>
      </c>
      <c r="D81" s="11" t="n">
        <v>1.62505098110972</v>
      </c>
      <c r="E81" s="11" t="n">
        <v>1.58877901067642</v>
      </c>
      <c r="F81" s="11" t="n">
        <v>1.56359851515724</v>
      </c>
      <c r="G81" s="11" t="n">
        <v>1.54838370033461</v>
      </c>
      <c r="H81" s="11" t="n">
        <v>1.54194998306485</v>
      </c>
      <c r="I81" s="11" t="n">
        <v>1.54338078482835</v>
      </c>
      <c r="J81" s="11" t="n">
        <v>1.55197561188002</v>
      </c>
      <c r="K81" s="11" t="n">
        <v>1.56714485085926</v>
      </c>
      <c r="L81" s="11" t="n">
        <v>1.58832810762812</v>
      </c>
      <c r="M81" s="11" t="n">
        <v>1.61493837695644</v>
      </c>
      <c r="N81" s="11" t="n">
        <v>1.64634753217309</v>
      </c>
      <c r="O81" s="11" t="n">
        <v>1.68188679683963</v>
      </c>
      <c r="P81" s="11" t="n">
        <v>1.72085048964807</v>
      </c>
      <c r="Q81" s="11" t="n">
        <v>1.76250334803065</v>
      </c>
      <c r="R81" s="11" t="n">
        <v>1.80609863022536</v>
      </c>
      <c r="S81" s="11" t="n">
        <v>1.85090999025599</v>
      </c>
      <c r="T81" s="11" t="n">
        <v>1.89623752784943</v>
      </c>
      <c r="U81" s="11" t="n">
        <v>1.94144795568872</v>
      </c>
      <c r="V81" s="11" t="n">
        <v>1.98599354854954</v>
      </c>
      <c r="W81" s="11" t="n">
        <v>2.02939551586818</v>
      </c>
      <c r="X81" s="11" t="n">
        <v>2.07123129955814</v>
      </c>
      <c r="Y81" s="11" t="n">
        <v>2.11114632661895</v>
      </c>
      <c r="Z81" s="11" t="n">
        <v>2.14887618612159</v>
      </c>
      <c r="AA81" s="11" t="n">
        <v>2.18423710144583</v>
      </c>
      <c r="AB81" s="11" t="n">
        <v>2.21710918235207</v>
      </c>
      <c r="AC81" s="11" t="n">
        <v>2.24741957724867</v>
      </c>
      <c r="AD81" s="11" t="n">
        <v>2.27513389282892</v>
      </c>
      <c r="AE81" s="11" t="n">
        <v>2.30025018407349</v>
      </c>
      <c r="AF81" s="11" t="n">
        <v>2.32279402629604</v>
      </c>
      <c r="AG81" s="11" t="n">
        <v>2.34281103629372</v>
      </c>
      <c r="AH81" s="11" t="n">
        <v>2.36035510411324</v>
      </c>
      <c r="AI81" s="11" t="n">
        <v>2.3754898289016</v>
      </c>
      <c r="AJ81" s="11" t="n">
        <v>2.38828836469603</v>
      </c>
      <c r="AK81" s="11" t="n">
        <v>2.39883191189235</v>
      </c>
      <c r="AL81" s="11" t="n">
        <v>2.40720724780523</v>
      </c>
      <c r="AM81" s="11" t="n">
        <v>2.41350552086615</v>
      </c>
      <c r="AN81" s="11" t="n">
        <v>2.41782240682479</v>
      </c>
      <c r="AO81" s="11" t="n">
        <v>2.42025807876414</v>
      </c>
      <c r="AP81" s="11" t="n">
        <v>2.42091819280367</v>
      </c>
      <c r="AQ81" s="11" t="n">
        <v>2.41991405630261</v>
      </c>
      <c r="AR81" s="11" t="n">
        <v>2.41736180460171</v>
      </c>
      <c r="AS81" s="11" t="n">
        <v>2.41338154063455</v>
      </c>
      <c r="AT81" s="11" t="n">
        <v>2.40809558295011</v>
      </c>
      <c r="AU81" s="11" t="n">
        <v>2.40162690680085</v>
      </c>
      <c r="AV81" s="11" t="n">
        <v>2.39409802035734</v>
      </c>
      <c r="AW81" s="11" t="n">
        <v>2.38562999019294</v>
      </c>
      <c r="AX81" s="11" t="n">
        <v>2.37634215043002</v>
      </c>
      <c r="AY81" s="11" t="n">
        <v>2.36635023669215</v>
      </c>
      <c r="AZ81" s="11" t="n">
        <v>2.35576491398406</v>
      </c>
      <c r="BA81" s="11" t="n">
        <v>2.3446920052404</v>
      </c>
      <c r="BB81" s="11" t="n">
        <v>2.3332319760683</v>
      </c>
      <c r="BC81" s="11" t="n">
        <v>2.32147937098862</v>
      </c>
      <c r="BD81" s="11" t="n">
        <v>2.30952255863674</v>
      </c>
      <c r="BE81" s="11" t="n">
        <v>2.29744346137915</v>
      </c>
      <c r="BF81" s="11" t="n">
        <v>2.28531683181021</v>
      </c>
      <c r="BG81" s="11" t="n">
        <v>2.27321026613518</v>
      </c>
    </row>
    <row r="82" customFormat="false" ht="15" hidden="false" customHeight="false" outlineLevel="0" collapsed="false">
      <c r="A82" s="10" t="n">
        <v>-43</v>
      </c>
      <c r="B82" s="8" t="n">
        <v>44775</v>
      </c>
      <c r="C82" s="11" t="n">
        <v>1.73884673980383</v>
      </c>
      <c r="D82" s="11" t="n">
        <v>1.6854378497411</v>
      </c>
      <c r="E82" s="11" t="n">
        <v>1.6464993206423</v>
      </c>
      <c r="F82" s="11" t="n">
        <v>1.62042064413513</v>
      </c>
      <c r="G82" s="11" t="n">
        <v>1.60505945689144</v>
      </c>
      <c r="H82" s="11" t="n">
        <v>1.59865717345329</v>
      </c>
      <c r="I82" s="11" t="n">
        <v>1.59996944404977</v>
      </c>
      <c r="J82" s="11" t="n">
        <v>1.60811056577212</v>
      </c>
      <c r="K82" s="11" t="n">
        <v>1.62239475351793</v>
      </c>
      <c r="L82" s="11" t="n">
        <v>1.64222736140088</v>
      </c>
      <c r="M82" s="11" t="n">
        <v>1.66703028515905</v>
      </c>
      <c r="N82" s="11" t="n">
        <v>1.69621289668538</v>
      </c>
      <c r="O82" s="11" t="n">
        <v>1.72915967602613</v>
      </c>
      <c r="P82" s="11" t="n">
        <v>1.76522580065635</v>
      </c>
      <c r="Q82" s="11" t="n">
        <v>1.80374061380432</v>
      </c>
      <c r="R82" s="11" t="n">
        <v>1.84402231959034</v>
      </c>
      <c r="S82" s="11" t="n">
        <v>1.88540694368918</v>
      </c>
      <c r="T82" s="11" t="n">
        <v>1.92725448846172</v>
      </c>
      <c r="U82" s="11" t="n">
        <v>1.96898515920203</v>
      </c>
      <c r="V82" s="11" t="n">
        <v>2.01009563079456</v>
      </c>
      <c r="W82" s="11" t="n">
        <v>2.05014414360698</v>
      </c>
      <c r="X82" s="11" t="n">
        <v>2.08873919456006</v>
      </c>
      <c r="Y82" s="11" t="n">
        <v>2.1255503663331</v>
      </c>
      <c r="Z82" s="11" t="n">
        <v>2.16032819089874</v>
      </c>
      <c r="AA82" s="11" t="n">
        <v>2.19289531384416</v>
      </c>
      <c r="AB82" s="11" t="n">
        <v>2.22313208868554</v>
      </c>
      <c r="AC82" s="11" t="n">
        <v>2.25096269937201</v>
      </c>
      <c r="AD82" s="11" t="n">
        <v>2.27634741801673</v>
      </c>
      <c r="AE82" s="11" t="n">
        <v>2.2992769655687</v>
      </c>
      <c r="AF82" s="11" t="n">
        <v>2.31976788879782</v>
      </c>
      <c r="AG82" s="11" t="n">
        <v>2.33785611205576</v>
      </c>
      <c r="AH82" s="11" t="n">
        <v>2.35358756033103</v>
      </c>
      <c r="AI82" s="11" t="n">
        <v>2.36701912954672</v>
      </c>
      <c r="AJ82" s="11" t="n">
        <v>2.37821835962225</v>
      </c>
      <c r="AK82" s="11" t="n">
        <v>2.38726184377901</v>
      </c>
      <c r="AL82" s="11" t="n">
        <v>2.39423278494531</v>
      </c>
      <c r="AM82" s="11" t="n">
        <v>2.39921969752593</v>
      </c>
      <c r="AN82" s="11" t="n">
        <v>2.40231629499516</v>
      </c>
      <c r="AO82" s="11" t="n">
        <v>2.40362123350981</v>
      </c>
      <c r="AP82" s="11" t="n">
        <v>2.40323853371663</v>
      </c>
      <c r="AQ82" s="11" t="n">
        <v>2.40127744827873</v>
      </c>
      <c r="AR82" s="11" t="n">
        <v>2.39785136867615</v>
      </c>
      <c r="AS82" s="11" t="n">
        <v>2.39307676031325</v>
      </c>
      <c r="AT82" s="11" t="n">
        <v>2.38707148529806</v>
      </c>
      <c r="AU82" s="11" t="n">
        <v>2.37995334957018</v>
      </c>
      <c r="AV82" s="11" t="n">
        <v>2.37183911682165</v>
      </c>
      <c r="AW82" s="11" t="n">
        <v>2.36284366749296</v>
      </c>
      <c r="AX82" s="11" t="n">
        <v>2.35307978936712</v>
      </c>
      <c r="AY82" s="11" t="n">
        <v>2.3426566380782</v>
      </c>
      <c r="AZ82" s="11" t="n">
        <v>2.33167855410158</v>
      </c>
      <c r="BA82" s="11" t="n">
        <v>2.32024531089179</v>
      </c>
      <c r="BB82" s="11" t="n">
        <v>2.30845177036667</v>
      </c>
      <c r="BC82" s="11" t="n">
        <v>2.29638749325952</v>
      </c>
      <c r="BD82" s="11" t="n">
        <v>2.28413655438192</v>
      </c>
      <c r="BE82" s="11" t="n">
        <v>2.27177730272478</v>
      </c>
      <c r="BF82" s="11" t="n">
        <v>2.25938167105331</v>
      </c>
      <c r="BG82" s="11" t="n">
        <v>2.24701512190781</v>
      </c>
    </row>
    <row r="83" customFormat="false" ht="15" hidden="false" customHeight="false" outlineLevel="0" collapsed="false">
      <c r="A83" s="10" t="n">
        <v>-42</v>
      </c>
      <c r="B83" s="8" t="n">
        <v>44776</v>
      </c>
      <c r="C83" s="11" t="n">
        <v>1.88478136168789</v>
      </c>
      <c r="D83" s="11" t="n">
        <v>1.83362105267408</v>
      </c>
      <c r="E83" s="11" t="n">
        <v>1.7938675596047</v>
      </c>
      <c r="F83" s="11" t="n">
        <v>1.76502540436414</v>
      </c>
      <c r="G83" s="11" t="n">
        <v>1.74568372089862</v>
      </c>
      <c r="H83" s="11" t="n">
        <v>1.73457120663955</v>
      </c>
      <c r="I83" s="11" t="n">
        <v>1.73077221155268</v>
      </c>
      <c r="J83" s="11" t="n">
        <v>1.73363351438586</v>
      </c>
      <c r="K83" s="11" t="n">
        <v>1.74264125675282</v>
      </c>
      <c r="L83" s="11" t="n">
        <v>1.75732830816728</v>
      </c>
      <c r="M83" s="11" t="n">
        <v>1.77720641776373</v>
      </c>
      <c r="N83" s="11" t="n">
        <v>1.8017442242697</v>
      </c>
      <c r="O83" s="11" t="n">
        <v>1.83035990908662</v>
      </c>
      <c r="P83" s="11" t="n">
        <v>1.86242243553702</v>
      </c>
      <c r="Q83" s="11" t="n">
        <v>1.89725959123895</v>
      </c>
      <c r="R83" s="11" t="n">
        <v>1.93417597466274</v>
      </c>
      <c r="S83" s="11" t="n">
        <v>1.97248582450831</v>
      </c>
      <c r="T83" s="11" t="n">
        <v>2.0115210356145</v>
      </c>
      <c r="U83" s="11" t="n">
        <v>2.05067296304294</v>
      </c>
      <c r="V83" s="11" t="n">
        <v>2.08941134410902</v>
      </c>
      <c r="W83" s="11" t="n">
        <v>2.12726905843877</v>
      </c>
      <c r="X83" s="11" t="n">
        <v>2.16383061790455</v>
      </c>
      <c r="Y83" s="11" t="n">
        <v>2.19874463238507</v>
      </c>
      <c r="Z83" s="11" t="n">
        <v>2.23174545180509</v>
      </c>
      <c r="AA83" s="11" t="n">
        <v>2.26264232497811</v>
      </c>
      <c r="AB83" s="11" t="n">
        <v>2.29130396653168</v>
      </c>
      <c r="AC83" s="11" t="n">
        <v>2.31764565519992</v>
      </c>
      <c r="AD83" s="11" t="n">
        <v>2.34162127354991</v>
      </c>
      <c r="AE83" s="11" t="n">
        <v>2.36321727579517</v>
      </c>
      <c r="AF83" s="11" t="n">
        <v>2.38244774364258</v>
      </c>
      <c r="AG83" s="11" t="n">
        <v>2.39934796701678</v>
      </c>
      <c r="AH83" s="11" t="n">
        <v>2.41396565950943</v>
      </c>
      <c r="AI83" s="11" t="n">
        <v>2.42636079196076</v>
      </c>
      <c r="AJ83" s="11" t="n">
        <v>2.43660403250343</v>
      </c>
      <c r="AK83" s="11" t="n">
        <v>2.44477486008837</v>
      </c>
      <c r="AL83" s="11" t="n">
        <v>2.45095849751951</v>
      </c>
      <c r="AM83" s="11" t="n">
        <v>2.45524429361589</v>
      </c>
      <c r="AN83" s="11" t="n">
        <v>2.45772547705738</v>
      </c>
      <c r="AO83" s="11" t="n">
        <v>2.45849894096347</v>
      </c>
      <c r="AP83" s="11" t="n">
        <v>2.45766562199591</v>
      </c>
      <c r="AQ83" s="11" t="n">
        <v>2.45533042212743</v>
      </c>
      <c r="AR83" s="11" t="n">
        <v>2.45160136654441</v>
      </c>
      <c r="AS83" s="11" t="n">
        <v>2.44658877562817</v>
      </c>
      <c r="AT83" s="11" t="n">
        <v>2.44040387148779</v>
      </c>
      <c r="AU83" s="11" t="n">
        <v>2.43315758228275</v>
      </c>
      <c r="AV83" s="11" t="n">
        <v>2.42495976403218</v>
      </c>
      <c r="AW83" s="11" t="n">
        <v>2.41591854902598</v>
      </c>
      <c r="AX83" s="11" t="n">
        <v>2.4061401858776</v>
      </c>
      <c r="AY83" s="11" t="n">
        <v>2.39572767228953</v>
      </c>
      <c r="AZ83" s="11" t="n">
        <v>2.38477971268607</v>
      </c>
      <c r="BA83" s="11" t="n">
        <v>2.37339094076525</v>
      </c>
      <c r="BB83" s="11" t="n">
        <v>2.36165160930193</v>
      </c>
      <c r="BC83" s="11" t="n">
        <v>2.34964724167288</v>
      </c>
      <c r="BD83" s="11" t="n">
        <v>2.33745844414875</v>
      </c>
      <c r="BE83" s="11" t="n">
        <v>2.32516066130646</v>
      </c>
      <c r="BF83" s="11" t="n">
        <v>2.31282350843837</v>
      </c>
      <c r="BG83" s="11" t="n">
        <v>2.30051069325828</v>
      </c>
    </row>
    <row r="84" customFormat="false" ht="15" hidden="false" customHeight="false" outlineLevel="0" collapsed="false">
      <c r="A84" s="10" t="n">
        <v>-41</v>
      </c>
      <c r="B84" s="8" t="n">
        <v>44777</v>
      </c>
      <c r="C84" s="11" t="n">
        <v>1.85901626156171</v>
      </c>
      <c r="D84" s="11" t="n">
        <v>1.80528281700492</v>
      </c>
      <c r="E84" s="11" t="n">
        <v>1.76427292642158</v>
      </c>
      <c r="F84" s="11" t="n">
        <v>1.73479243264087</v>
      </c>
      <c r="G84" s="11" t="n">
        <v>1.71500491103095</v>
      </c>
      <c r="H84" s="11" t="n">
        <v>1.70340133733305</v>
      </c>
      <c r="I84" s="11" t="n">
        <v>1.69894488268261</v>
      </c>
      <c r="J84" s="11" t="n">
        <v>1.70093286473608</v>
      </c>
      <c r="K84" s="11" t="n">
        <v>1.70884592112318</v>
      </c>
      <c r="L84" s="11" t="n">
        <v>1.72224246315778</v>
      </c>
      <c r="M84" s="11" t="n">
        <v>1.74068062158986</v>
      </c>
      <c r="N84" s="11" t="n">
        <v>1.76368738185246</v>
      </c>
      <c r="O84" s="11" t="n">
        <v>1.7907436551202</v>
      </c>
      <c r="P84" s="11" t="n">
        <v>1.82127587363205</v>
      </c>
      <c r="Q84" s="11" t="n">
        <v>1.8546602581493</v>
      </c>
      <c r="R84" s="11" t="n">
        <v>1.8902368545669</v>
      </c>
      <c r="S84" s="11" t="n">
        <v>1.92734255858545</v>
      </c>
      <c r="T84" s="11" t="n">
        <v>1.96531939520172</v>
      </c>
      <c r="U84" s="11" t="n">
        <v>2.00356033387421</v>
      </c>
      <c r="V84" s="11" t="n">
        <v>2.0415309921745</v>
      </c>
      <c r="W84" s="11" t="n">
        <v>2.07875559967883</v>
      </c>
      <c r="X84" s="11" t="n">
        <v>2.11480648927859</v>
      </c>
      <c r="Y84" s="11" t="n">
        <v>2.14931869489572</v>
      </c>
      <c r="Z84" s="11" t="n">
        <v>2.18201362841887</v>
      </c>
      <c r="AA84" s="11" t="n">
        <v>2.21268858814434</v>
      </c>
      <c r="AB84" s="11" t="n">
        <v>2.24120179930628</v>
      </c>
      <c r="AC84" s="11" t="n">
        <v>2.26745991431205</v>
      </c>
      <c r="AD84" s="11" t="n">
        <v>2.29140985243084</v>
      </c>
      <c r="AE84" s="11" t="n">
        <v>2.31303250785766</v>
      </c>
      <c r="AF84" s="11" t="n">
        <v>2.33233759241447</v>
      </c>
      <c r="AG84" s="11" t="n">
        <v>2.34935704959423</v>
      </c>
      <c r="AH84" s="11" t="n">
        <v>2.36413622324048</v>
      </c>
      <c r="AI84" s="11" t="n">
        <v>2.37673312369191</v>
      </c>
      <c r="AJ84" s="11" t="n">
        <v>2.38721616683948</v>
      </c>
      <c r="AK84" s="11" t="n">
        <v>2.39566214291519</v>
      </c>
      <c r="AL84" s="11" t="n">
        <v>2.40215280576414</v>
      </c>
      <c r="AM84" s="11" t="n">
        <v>2.40677314484711</v>
      </c>
      <c r="AN84" s="11" t="n">
        <v>2.40961119939923</v>
      </c>
      <c r="AO84" s="11" t="n">
        <v>2.41075797621142</v>
      </c>
      <c r="AP84" s="11" t="n">
        <v>2.41030813461973</v>
      </c>
      <c r="AQ84" s="11" t="n">
        <v>2.40836009380898</v>
      </c>
      <c r="AR84" s="11" t="n">
        <v>2.40501550033333</v>
      </c>
      <c r="AS84" s="11" t="n">
        <v>2.40037865280283</v>
      </c>
      <c r="AT84" s="11" t="n">
        <v>2.39455517017208</v>
      </c>
      <c r="AU84" s="11" t="n">
        <v>2.38765083934964</v>
      </c>
      <c r="AV84" s="11" t="n">
        <v>2.37977083443643</v>
      </c>
      <c r="AW84" s="11" t="n">
        <v>2.37101906804268</v>
      </c>
      <c r="AX84" s="11" t="n">
        <v>2.36149802108016</v>
      </c>
      <c r="AY84" s="11" t="n">
        <v>2.35130747248019</v>
      </c>
      <c r="AZ84" s="11" t="n">
        <v>2.34054353741834</v>
      </c>
      <c r="BA84" s="11" t="n">
        <v>2.32929885505949</v>
      </c>
      <c r="BB84" s="11" t="n">
        <v>2.31766234767793</v>
      </c>
      <c r="BC84" s="11" t="n">
        <v>2.30571894147671</v>
      </c>
      <c r="BD84" s="11" t="n">
        <v>2.2935493706352</v>
      </c>
      <c r="BE84" s="11" t="n">
        <v>2.28122988434974</v>
      </c>
      <c r="BF84" s="11" t="n">
        <v>2.26883149993545</v>
      </c>
      <c r="BG84" s="11" t="n">
        <v>2.25641989484607</v>
      </c>
    </row>
    <row r="85" customFormat="false" ht="15" hidden="false" customHeight="false" outlineLevel="0" collapsed="false">
      <c r="A85" s="10" t="n">
        <v>-40</v>
      </c>
      <c r="B85" s="8" t="n">
        <v>44778</v>
      </c>
      <c r="C85" s="11" t="n">
        <v>1.97579539650808</v>
      </c>
      <c r="D85" s="11" t="n">
        <v>1.93275945678622</v>
      </c>
      <c r="E85" s="11" t="n">
        <v>1.90091437685943</v>
      </c>
      <c r="F85" s="11" t="n">
        <v>1.8791947567149</v>
      </c>
      <c r="G85" s="11" t="n">
        <v>1.86580760005537</v>
      </c>
      <c r="H85" s="11" t="n">
        <v>1.85932181883797</v>
      </c>
      <c r="I85" s="11" t="n">
        <v>1.85881376112438</v>
      </c>
      <c r="J85" s="11" t="n">
        <v>1.86370560473711</v>
      </c>
      <c r="K85" s="11" t="n">
        <v>1.87359897848524</v>
      </c>
      <c r="L85" s="11" t="n">
        <v>1.88817116205189</v>
      </c>
      <c r="M85" s="11" t="n">
        <v>1.90710096099621</v>
      </c>
      <c r="N85" s="11" t="n">
        <v>1.93003356170108</v>
      </c>
      <c r="O85" s="11" t="n">
        <v>1.95656488405483</v>
      </c>
      <c r="P85" s="11" t="n">
        <v>1.98622476932138</v>
      </c>
      <c r="Q85" s="11" t="n">
        <v>2.01847926087715</v>
      </c>
      <c r="R85" s="11" t="n">
        <v>2.05274338339583</v>
      </c>
      <c r="S85" s="11" t="n">
        <v>2.08841540295863</v>
      </c>
      <c r="T85" s="11" t="n">
        <v>2.12488666956894</v>
      </c>
      <c r="U85" s="11" t="n">
        <v>2.16159052297568</v>
      </c>
      <c r="V85" s="11" t="n">
        <v>2.19802495033058</v>
      </c>
      <c r="W85" s="11" t="n">
        <v>2.23374011374886</v>
      </c>
      <c r="X85" s="11" t="n">
        <v>2.26832922484883</v>
      </c>
      <c r="Y85" s="11" t="n">
        <v>2.30144459477456</v>
      </c>
      <c r="Z85" s="11" t="n">
        <v>2.33282133558243</v>
      </c>
      <c r="AA85" s="11" t="n">
        <v>2.36226642881506</v>
      </c>
      <c r="AB85" s="11" t="n">
        <v>2.38964417077785</v>
      </c>
      <c r="AC85" s="11" t="n">
        <v>2.41486489847968</v>
      </c>
      <c r="AD85" s="11" t="n">
        <v>2.43787732719189</v>
      </c>
      <c r="AE85" s="11" t="n">
        <v>2.45866255372485</v>
      </c>
      <c r="AF85" s="11" t="n">
        <v>2.4772291386388</v>
      </c>
      <c r="AG85" s="11" t="n">
        <v>2.49360671750435</v>
      </c>
      <c r="AH85" s="11" t="n">
        <v>2.50783776056957</v>
      </c>
      <c r="AI85" s="11" t="n">
        <v>2.51997697185692</v>
      </c>
      <c r="AJ85" s="11" t="n">
        <v>2.53008892886578</v>
      </c>
      <c r="AK85" s="11" t="n">
        <v>2.53824612495212</v>
      </c>
      <c r="AL85" s="11" t="n">
        <v>2.5445257766487</v>
      </c>
      <c r="AM85" s="11" t="n">
        <v>2.54900823717435</v>
      </c>
      <c r="AN85" s="11" t="n">
        <v>2.55177679366981</v>
      </c>
      <c r="AO85" s="11" t="n">
        <v>2.55291760428107</v>
      </c>
      <c r="AP85" s="11" t="n">
        <v>2.55252043854651</v>
      </c>
      <c r="AQ85" s="11" t="n">
        <v>2.55067880619296</v>
      </c>
      <c r="AR85" s="11" t="n">
        <v>2.54748955640535</v>
      </c>
      <c r="AS85" s="11" t="n">
        <v>2.54305240865898</v>
      </c>
      <c r="AT85" s="11" t="n">
        <v>2.53746866809687</v>
      </c>
      <c r="AU85" s="11" t="n">
        <v>2.53084013192893</v>
      </c>
      <c r="AV85" s="11" t="n">
        <v>2.52326830543618</v>
      </c>
      <c r="AW85" s="11" t="n">
        <v>2.51485376140685</v>
      </c>
      <c r="AX85" s="11" t="n">
        <v>2.50569592394005</v>
      </c>
      <c r="AY85" s="11" t="n">
        <v>2.49589174123356</v>
      </c>
      <c r="AZ85" s="11" t="n">
        <v>2.48553472301952</v>
      </c>
      <c r="BA85" s="11" t="n">
        <v>2.47471510375184</v>
      </c>
      <c r="BB85" s="11" t="n">
        <v>2.46351951597329</v>
      </c>
      <c r="BC85" s="11" t="n">
        <v>2.45203065069148</v>
      </c>
      <c r="BD85" s="11" t="n">
        <v>2.44032703433338</v>
      </c>
      <c r="BE85" s="11" t="n">
        <v>2.4284827139469</v>
      </c>
      <c r="BF85" s="11" t="n">
        <v>2.41656649997243</v>
      </c>
      <c r="BG85" s="11" t="n">
        <v>2.40464187099946</v>
      </c>
    </row>
    <row r="86" customFormat="false" ht="15" hidden="false" customHeight="false" outlineLevel="0" collapsed="false">
      <c r="A86" s="10" t="n">
        <v>-39</v>
      </c>
      <c r="B86" s="8" t="n">
        <v>44781</v>
      </c>
      <c r="C86" s="11" t="n">
        <v>1.88272757091675</v>
      </c>
      <c r="D86" s="11" t="n">
        <v>1.83851789018987</v>
      </c>
      <c r="E86" s="11" t="n">
        <v>1.80635005082991</v>
      </c>
      <c r="F86" s="11" t="n">
        <v>1.78474138876963</v>
      </c>
      <c r="G86" s="11" t="n">
        <v>1.77167003095178</v>
      </c>
      <c r="H86" s="11" t="n">
        <v>1.76557710990954</v>
      </c>
      <c r="I86" s="11" t="n">
        <v>1.76547862096125</v>
      </c>
      <c r="J86" s="11" t="n">
        <v>1.77077538445271</v>
      </c>
      <c r="K86" s="11" t="n">
        <v>1.78107035907412</v>
      </c>
      <c r="L86" s="11" t="n">
        <v>1.79605331858447</v>
      </c>
      <c r="M86" s="11" t="n">
        <v>1.81542468440057</v>
      </c>
      <c r="N86" s="11" t="n">
        <v>1.83885202315086</v>
      </c>
      <c r="O86" s="11" t="n">
        <v>1.86595035154355</v>
      </c>
      <c r="P86" s="11" t="n">
        <v>1.89626069692893</v>
      </c>
      <c r="Q86" s="11" t="n">
        <v>1.92925207342084</v>
      </c>
      <c r="R86" s="11" t="n">
        <v>1.96433434814387</v>
      </c>
      <c r="S86" s="11" t="n">
        <v>2.00089399691543</v>
      </c>
      <c r="T86" s="11" t="n">
        <v>2.03830420664694</v>
      </c>
      <c r="U86" s="11" t="n">
        <v>2.075977736073</v>
      </c>
      <c r="V86" s="11" t="n">
        <v>2.11339171450392</v>
      </c>
      <c r="W86" s="11" t="n">
        <v>2.15007525536446</v>
      </c>
      <c r="X86" s="11" t="n">
        <v>2.18560049721124</v>
      </c>
      <c r="Y86" s="11" t="n">
        <v>2.21960055359908</v>
      </c>
      <c r="Z86" s="11" t="n">
        <v>2.25179513276444</v>
      </c>
      <c r="AA86" s="11" t="n">
        <v>2.28197926841284</v>
      </c>
      <c r="AB86" s="11" t="n">
        <v>2.31000888846771</v>
      </c>
      <c r="AC86" s="11" t="n">
        <v>2.33578989766657</v>
      </c>
      <c r="AD86" s="11" t="n">
        <v>2.35927001835883</v>
      </c>
      <c r="AE86" s="11" t="n">
        <v>2.38043225645909</v>
      </c>
      <c r="AF86" s="11" t="n">
        <v>2.39928954363115</v>
      </c>
      <c r="AG86" s="11" t="n">
        <v>2.41587806608816</v>
      </c>
      <c r="AH86" s="11" t="n">
        <v>2.43024908899681</v>
      </c>
      <c r="AI86" s="11" t="n">
        <v>2.44246790058457</v>
      </c>
      <c r="AJ86" s="11" t="n">
        <v>2.45261088544532</v>
      </c>
      <c r="AK86" s="11" t="n">
        <v>2.46076326431356</v>
      </c>
      <c r="AL86" s="11" t="n">
        <v>2.46701534974219</v>
      </c>
      <c r="AM86" s="11" t="n">
        <v>2.47146055069554</v>
      </c>
      <c r="AN86" s="11" t="n">
        <v>2.47419474807067</v>
      </c>
      <c r="AO86" s="11" t="n">
        <v>2.47531603999411</v>
      </c>
      <c r="AP86" s="11" t="n">
        <v>2.47492493565625</v>
      </c>
      <c r="AQ86" s="11" t="n">
        <v>2.47312425572501</v>
      </c>
      <c r="AR86" s="11" t="n">
        <v>2.47001843318033</v>
      </c>
      <c r="AS86" s="11" t="n">
        <v>2.46571283169779</v>
      </c>
      <c r="AT86" s="11" t="n">
        <v>2.46031247612524</v>
      </c>
      <c r="AU86" s="11" t="n">
        <v>2.45392102078563</v>
      </c>
      <c r="AV86" s="11" t="n">
        <v>2.44664009104916</v>
      </c>
      <c r="AW86" s="11" t="n">
        <v>2.43856876456241</v>
      </c>
      <c r="AX86" s="11" t="n">
        <v>2.42980349714183</v>
      </c>
      <c r="AY86" s="11" t="n">
        <v>2.42043707645984</v>
      </c>
      <c r="AZ86" s="11" t="n">
        <v>2.41055791543377</v>
      </c>
      <c r="BA86" s="11" t="n">
        <v>2.40025033075204</v>
      </c>
      <c r="BB86" s="11" t="n">
        <v>2.38959445512576</v>
      </c>
      <c r="BC86" s="11" t="n">
        <v>2.37866612569681</v>
      </c>
      <c r="BD86" s="11" t="n">
        <v>2.36753683366088</v>
      </c>
      <c r="BE86" s="11" t="n">
        <v>2.35627354843929</v>
      </c>
      <c r="BF86" s="11" t="n">
        <v>2.34493814302779</v>
      </c>
      <c r="BG86" s="11" t="n">
        <v>2.33358749802515</v>
      </c>
    </row>
    <row r="87" customFormat="false" ht="15" hidden="false" customHeight="false" outlineLevel="0" collapsed="false">
      <c r="A87" s="10" t="n">
        <v>-38</v>
      </c>
      <c r="B87" s="8" t="n">
        <v>44782</v>
      </c>
      <c r="C87" s="11" t="n">
        <v>1.93945616215602</v>
      </c>
      <c r="D87" s="11" t="n">
        <v>1.89543782801223</v>
      </c>
      <c r="E87" s="11" t="n">
        <v>1.86309416281793</v>
      </c>
      <c r="F87" s="11" t="n">
        <v>1.84073186027587</v>
      </c>
      <c r="G87" s="11" t="n">
        <v>1.8263516919397</v>
      </c>
      <c r="H87" s="11" t="n">
        <v>1.81851345627374</v>
      </c>
      <c r="I87" s="11" t="n">
        <v>1.81638414684077</v>
      </c>
      <c r="J87" s="11" t="n">
        <v>1.81950914521752</v>
      </c>
      <c r="K87" s="11" t="n">
        <v>1.82761535801911</v>
      </c>
      <c r="L87" s="11" t="n">
        <v>1.84048385774813</v>
      </c>
      <c r="M87" s="11" t="n">
        <v>1.8578761605457</v>
      </c>
      <c r="N87" s="11" t="n">
        <v>1.87949159053455</v>
      </c>
      <c r="O87" s="11" t="n">
        <v>1.90495542979281</v>
      </c>
      <c r="P87" s="11" t="n">
        <v>1.93380371445838</v>
      </c>
      <c r="Q87" s="11" t="n">
        <v>1.96548983209051</v>
      </c>
      <c r="R87" s="11" t="n">
        <v>1.99940201177944</v>
      </c>
      <c r="S87" s="11" t="n">
        <v>2.03490288456952</v>
      </c>
      <c r="T87" s="11" t="n">
        <v>2.07134100294061</v>
      </c>
      <c r="U87" s="11" t="n">
        <v>2.10810745057529</v>
      </c>
      <c r="V87" s="11" t="n">
        <v>2.14466178276666</v>
      </c>
      <c r="W87" s="11" t="n">
        <v>2.18051881520423</v>
      </c>
      <c r="X87" s="11" t="n">
        <v>2.21523911566598</v>
      </c>
      <c r="Y87" s="11" t="n">
        <v>2.24844784945988</v>
      </c>
      <c r="Z87" s="11" t="n">
        <v>2.27986115987613</v>
      </c>
      <c r="AA87" s="11" t="n">
        <v>2.30927322210593</v>
      </c>
      <c r="AB87" s="11" t="n">
        <v>2.33654013439173</v>
      </c>
      <c r="AC87" s="11" t="n">
        <v>2.36156832307187</v>
      </c>
      <c r="AD87" s="11" t="n">
        <v>2.38430626685165</v>
      </c>
      <c r="AE87" s="11" t="n">
        <v>2.40473792605637</v>
      </c>
      <c r="AF87" s="11" t="n">
        <v>2.42287735286302</v>
      </c>
      <c r="AG87" s="11" t="n">
        <v>2.43876176221125</v>
      </c>
      <c r="AH87" s="11" t="n">
        <v>2.45244296958323</v>
      </c>
      <c r="AI87" s="11" t="n">
        <v>2.46398663768849</v>
      </c>
      <c r="AJ87" s="11" t="n">
        <v>2.47346948574999</v>
      </c>
      <c r="AK87" s="11" t="n">
        <v>2.48097708996281</v>
      </c>
      <c r="AL87" s="11" t="n">
        <v>2.48660035899626</v>
      </c>
      <c r="AM87" s="11" t="n">
        <v>2.4904336308436</v>
      </c>
      <c r="AN87" s="11" t="n">
        <v>2.49257401327118</v>
      </c>
      <c r="AO87" s="11" t="n">
        <v>2.49312108025136</v>
      </c>
      <c r="AP87" s="11" t="n">
        <v>2.49217696434974</v>
      </c>
      <c r="AQ87" s="11" t="n">
        <v>2.48984619328359</v>
      </c>
      <c r="AR87" s="11" t="n">
        <v>2.48623490897341</v>
      </c>
      <c r="AS87" s="11" t="n">
        <v>2.48145012391659</v>
      </c>
      <c r="AT87" s="11" t="n">
        <v>2.47559841347315</v>
      </c>
      <c r="AU87" s="11" t="n">
        <v>2.46878486217811</v>
      </c>
      <c r="AV87" s="11" t="n">
        <v>2.4611123387204</v>
      </c>
      <c r="AW87" s="11" t="n">
        <v>2.45268090600304</v>
      </c>
      <c r="AX87" s="11" t="n">
        <v>2.4435876503625</v>
      </c>
      <c r="AY87" s="11" t="n">
        <v>2.43392555210663</v>
      </c>
      <c r="AZ87" s="11" t="n">
        <v>2.42378277653712</v>
      </c>
      <c r="BA87" s="11" t="n">
        <v>2.41324298466139</v>
      </c>
      <c r="BB87" s="11" t="n">
        <v>2.40238522716966</v>
      </c>
      <c r="BC87" s="11" t="n">
        <v>2.39128383486403</v>
      </c>
      <c r="BD87" s="11" t="n">
        <v>2.38000844199858</v>
      </c>
      <c r="BE87" s="11" t="n">
        <v>2.36862389512749</v>
      </c>
      <c r="BF87" s="11" t="n">
        <v>2.35718980212015</v>
      </c>
      <c r="BG87" s="11" t="n">
        <v>2.34576070097266</v>
      </c>
    </row>
    <row r="88" customFormat="false" ht="15" hidden="false" customHeight="false" outlineLevel="0" collapsed="false">
      <c r="A88" s="10" t="n">
        <v>-37</v>
      </c>
      <c r="B88" s="8" t="n">
        <v>44783</v>
      </c>
      <c r="C88" s="11" t="n">
        <v>1.92312882860096</v>
      </c>
      <c r="D88" s="11" t="n">
        <v>1.87280725837302</v>
      </c>
      <c r="E88" s="11" t="n">
        <v>1.8355962243987</v>
      </c>
      <c r="F88" s="11" t="n">
        <v>1.80957244854273</v>
      </c>
      <c r="G88" s="11" t="n">
        <v>1.79254945448167</v>
      </c>
      <c r="H88" s="11" t="n">
        <v>1.78290476998116</v>
      </c>
      <c r="I88" s="11" t="n">
        <v>1.77963084789798</v>
      </c>
      <c r="J88" s="11" t="n">
        <v>1.78212335133966</v>
      </c>
      <c r="K88" s="11" t="n">
        <v>1.78998958050473</v>
      </c>
      <c r="L88" s="11" t="n">
        <v>1.80291786048306</v>
      </c>
      <c r="M88" s="11" t="n">
        <v>1.82060059248085</v>
      </c>
      <c r="N88" s="11" t="n">
        <v>1.84268579263274</v>
      </c>
      <c r="O88" s="11" t="n">
        <v>1.86875972624693</v>
      </c>
      <c r="P88" s="11" t="n">
        <v>1.89832808753963</v>
      </c>
      <c r="Q88" s="11" t="n">
        <v>1.93082004931207</v>
      </c>
      <c r="R88" s="11" t="n">
        <v>1.9656034515413</v>
      </c>
      <c r="S88" s="11" t="n">
        <v>2.00202258293335</v>
      </c>
      <c r="T88" s="11" t="n">
        <v>2.03940811161155</v>
      </c>
      <c r="U88" s="11" t="n">
        <v>2.07713344807046</v>
      </c>
      <c r="V88" s="11" t="n">
        <v>2.11464034882265</v>
      </c>
      <c r="W88" s="11" t="n">
        <v>2.15142569955237</v>
      </c>
      <c r="X88" s="11" t="n">
        <v>2.18703210423865</v>
      </c>
      <c r="Y88" s="11" t="n">
        <v>2.22106748888678</v>
      </c>
      <c r="Z88" s="11" t="n">
        <v>2.25323200642782</v>
      </c>
      <c r="AA88" s="11" t="n">
        <v>2.28330572085715</v>
      </c>
      <c r="AB88" s="11" t="n">
        <v>2.31113397379308</v>
      </c>
      <c r="AC88" s="11" t="n">
        <v>2.33661679202202</v>
      </c>
      <c r="AD88" s="11" t="n">
        <v>2.35970011901524</v>
      </c>
      <c r="AE88" s="11" t="n">
        <v>2.38036864046566</v>
      </c>
      <c r="AF88" s="11" t="n">
        <v>2.39863990140396</v>
      </c>
      <c r="AG88" s="11" t="n">
        <v>2.41455727636378</v>
      </c>
      <c r="AH88" s="11" t="n">
        <v>2.42818186026252</v>
      </c>
      <c r="AI88" s="11" t="n">
        <v>2.4395907462362</v>
      </c>
      <c r="AJ88" s="11" t="n">
        <v>2.44887331019397</v>
      </c>
      <c r="AK88" s="11" t="n">
        <v>2.4561286311981</v>
      </c>
      <c r="AL88" s="11" t="n">
        <v>2.4614612507671</v>
      </c>
      <c r="AM88" s="11" t="n">
        <v>2.46497876642655</v>
      </c>
      <c r="AN88" s="11" t="n">
        <v>2.46679068694522</v>
      </c>
      <c r="AO88" s="11" t="n">
        <v>2.46700801381682</v>
      </c>
      <c r="AP88" s="11" t="n">
        <v>2.46574308902676</v>
      </c>
      <c r="AQ88" s="11" t="n">
        <v>2.46310938976349</v>
      </c>
      <c r="AR88" s="11" t="n">
        <v>2.45922084473738</v>
      </c>
      <c r="AS88" s="11" t="n">
        <v>2.45419118141886</v>
      </c>
      <c r="AT88" s="11" t="n">
        <v>2.44813266222207</v>
      </c>
      <c r="AU88" s="11" t="n">
        <v>2.44115508005512</v>
      </c>
      <c r="AV88" s="11" t="n">
        <v>2.43336502871244</v>
      </c>
      <c r="AW88" s="11" t="n">
        <v>2.42486530907442</v>
      </c>
      <c r="AX88" s="11" t="n">
        <v>2.41575476722522</v>
      </c>
      <c r="AY88" s="11" t="n">
        <v>2.40612711311109</v>
      </c>
      <c r="AZ88" s="11" t="n">
        <v>2.39607022523849</v>
      </c>
      <c r="BA88" s="11" t="n">
        <v>2.38566653832607</v>
      </c>
      <c r="BB88" s="11" t="n">
        <v>2.3749929167711</v>
      </c>
      <c r="BC88" s="11" t="n">
        <v>2.36412055360511</v>
      </c>
      <c r="BD88" s="11" t="n">
        <v>2.35311511500326</v>
      </c>
      <c r="BE88" s="11" t="n">
        <v>2.34203679579142</v>
      </c>
      <c r="BF88" s="11" t="n">
        <v>2.33094007885551</v>
      </c>
      <c r="BG88" s="11" t="n">
        <v>2.31987404273191</v>
      </c>
    </row>
    <row r="89" customFormat="false" ht="15" hidden="false" customHeight="false" outlineLevel="0" collapsed="false">
      <c r="A89" s="10" t="n">
        <v>-36</v>
      </c>
      <c r="B89" s="8" t="n">
        <v>44784</v>
      </c>
      <c r="C89" s="11" t="n">
        <v>1.99986744000353</v>
      </c>
      <c r="D89" s="11" t="n">
        <v>1.95257245119529</v>
      </c>
      <c r="E89" s="11" t="n">
        <v>1.91927172352896</v>
      </c>
      <c r="F89" s="11" t="n">
        <v>1.89759534157015</v>
      </c>
      <c r="G89" s="11" t="n">
        <v>1.88505538669634</v>
      </c>
      <c r="H89" s="11" t="n">
        <v>1.87983729192111</v>
      </c>
      <c r="I89" s="11" t="n">
        <v>1.88080331566845</v>
      </c>
      <c r="J89" s="11" t="n">
        <v>1.88725793485331</v>
      </c>
      <c r="K89" s="11" t="n">
        <v>1.89874743626638</v>
      </c>
      <c r="L89" s="11" t="n">
        <v>1.91492303045205</v>
      </c>
      <c r="M89" s="11" t="n">
        <v>1.93546062931362</v>
      </c>
      <c r="N89" s="11" t="n">
        <v>1.96000872437018</v>
      </c>
      <c r="O89" s="11" t="n">
        <v>1.98816640832458</v>
      </c>
      <c r="P89" s="11" t="n">
        <v>2.01946198754365</v>
      </c>
      <c r="Q89" s="11" t="n">
        <v>2.05335470186792</v>
      </c>
      <c r="R89" s="11" t="n">
        <v>2.08924697666067</v>
      </c>
      <c r="S89" s="11" t="n">
        <v>2.12651901240416</v>
      </c>
      <c r="T89" s="11" t="n">
        <v>2.16453700178788</v>
      </c>
      <c r="U89" s="11" t="n">
        <v>2.20270776473382</v>
      </c>
      <c r="V89" s="11" t="n">
        <v>2.24050339614324</v>
      </c>
      <c r="W89" s="11" t="n">
        <v>2.27744862533509</v>
      </c>
      <c r="X89" s="11" t="n">
        <v>2.31311189198886</v>
      </c>
      <c r="Y89" s="11" t="n">
        <v>2.34712461594847</v>
      </c>
      <c r="Z89" s="11" t="n">
        <v>2.37920708453974</v>
      </c>
      <c r="AA89" s="11" t="n">
        <v>2.40915642880442</v>
      </c>
      <c r="AB89" s="11" t="n">
        <v>2.43683242224551</v>
      </c>
      <c r="AC89" s="11" t="n">
        <v>2.46214720575304</v>
      </c>
      <c r="AD89" s="11" t="n">
        <v>2.48505687552957</v>
      </c>
      <c r="AE89" s="11" t="n">
        <v>2.50555461508365</v>
      </c>
      <c r="AF89" s="11" t="n">
        <v>2.52366506209812</v>
      </c>
      <c r="AG89" s="11" t="n">
        <v>2.53943744668297</v>
      </c>
      <c r="AH89" s="11" t="n">
        <v>2.55293773651802</v>
      </c>
      <c r="AI89" s="11" t="n">
        <v>2.56424710912317</v>
      </c>
      <c r="AJ89" s="11" t="n">
        <v>2.57345828911433</v>
      </c>
      <c r="AK89" s="11" t="n">
        <v>2.58067305009282</v>
      </c>
      <c r="AL89" s="11" t="n">
        <v>2.58599804373121</v>
      </c>
      <c r="AM89" s="11" t="n">
        <v>2.58954238500062</v>
      </c>
      <c r="AN89" s="11" t="n">
        <v>2.59141636323751</v>
      </c>
      <c r="AO89" s="11" t="n">
        <v>2.59173106715886</v>
      </c>
      <c r="AP89" s="11" t="n">
        <v>2.59059836182265</v>
      </c>
      <c r="AQ89" s="11" t="n">
        <v>2.58813079398039</v>
      </c>
      <c r="AR89" s="11" t="n">
        <v>2.5844411673564</v>
      </c>
      <c r="AS89" s="11" t="n">
        <v>2.57964208571776</v>
      </c>
      <c r="AT89" s="11" t="n">
        <v>2.57384470469303</v>
      </c>
      <c r="AU89" s="11" t="n">
        <v>2.56715773372167</v>
      </c>
      <c r="AV89" s="11" t="n">
        <v>2.55968665109061</v>
      </c>
      <c r="AW89" s="11" t="n">
        <v>2.55153306662573</v>
      </c>
      <c r="AX89" s="11" t="n">
        <v>2.5427945347089</v>
      </c>
      <c r="AY89" s="11" t="n">
        <v>2.5335633107327</v>
      </c>
      <c r="AZ89" s="11" t="n">
        <v>2.52392563256442</v>
      </c>
      <c r="BA89" s="11" t="n">
        <v>2.51396211510078</v>
      </c>
      <c r="BB89" s="11" t="n">
        <v>2.5037475692012</v>
      </c>
      <c r="BC89" s="11" t="n">
        <v>2.49335085848817</v>
      </c>
      <c r="BD89" s="11" t="n">
        <v>2.48283502536248</v>
      </c>
      <c r="BE89" s="11" t="n">
        <v>2.47225734434262</v>
      </c>
      <c r="BF89" s="11" t="n">
        <v>2.46166908905391</v>
      </c>
      <c r="BG89" s="11" t="n">
        <v>2.45111586919211</v>
      </c>
    </row>
    <row r="90" customFormat="false" ht="15" hidden="false" customHeight="false" outlineLevel="0" collapsed="false">
      <c r="A90" s="10" t="n">
        <v>-35</v>
      </c>
      <c r="B90" s="8" t="n">
        <v>44785</v>
      </c>
      <c r="C90" s="11" t="n">
        <v>2.03690718617995</v>
      </c>
      <c r="D90" s="11" t="n">
        <v>1.98998867982973</v>
      </c>
      <c r="E90" s="11" t="n">
        <v>1.95711481714956</v>
      </c>
      <c r="F90" s="11" t="n">
        <v>1.93588888287314</v>
      </c>
      <c r="G90" s="11" t="n">
        <v>1.92383593934837</v>
      </c>
      <c r="H90" s="11" t="n">
        <v>1.91916789503104</v>
      </c>
      <c r="I90" s="11" t="n">
        <v>1.92076965644524</v>
      </c>
      <c r="J90" s="11" t="n">
        <v>1.92796288369128</v>
      </c>
      <c r="K90" s="11" t="n">
        <v>1.9403088443231</v>
      </c>
      <c r="L90" s="11" t="n">
        <v>1.95747108679373</v>
      </c>
      <c r="M90" s="11" t="n">
        <v>1.9791355214266</v>
      </c>
      <c r="N90" s="11" t="n">
        <v>2.00495964658721</v>
      </c>
      <c r="O90" s="11" t="n">
        <v>2.03454801658661</v>
      </c>
      <c r="P90" s="11" t="n">
        <v>2.06743022836678</v>
      </c>
      <c r="Q90" s="11" t="n">
        <v>2.1030624721981</v>
      </c>
      <c r="R90" s="11" t="n">
        <v>2.14083841959855</v>
      </c>
      <c r="S90" s="11" t="n">
        <v>2.18012361693226</v>
      </c>
      <c r="T90" s="11" t="n">
        <v>2.22026261159337</v>
      </c>
      <c r="U90" s="11" t="n">
        <v>2.26063670894734</v>
      </c>
      <c r="V90" s="11" t="n">
        <v>2.30068959092422</v>
      </c>
      <c r="W90" s="11" t="n">
        <v>2.33991521793775</v>
      </c>
      <c r="X90" s="11" t="n">
        <v>2.37784960211353</v>
      </c>
      <c r="Y90" s="11" t="n">
        <v>2.41409264471296</v>
      </c>
      <c r="Z90" s="11" t="n">
        <v>2.44833558075791</v>
      </c>
      <c r="AA90" s="11" t="n">
        <v>2.48034952742462</v>
      </c>
      <c r="AB90" s="11" t="n">
        <v>2.50997300206862</v>
      </c>
      <c r="AC90" s="11" t="n">
        <v>2.5371027724462</v>
      </c>
      <c r="AD90" s="11" t="n">
        <v>2.56168473571589</v>
      </c>
      <c r="AE90" s="11" t="n">
        <v>2.58370624202945</v>
      </c>
      <c r="AF90" s="11" t="n">
        <v>2.60318979874659</v>
      </c>
      <c r="AG90" s="11" t="n">
        <v>2.6201858623797</v>
      </c>
      <c r="AH90" s="11" t="n">
        <v>2.63476541807432</v>
      </c>
      <c r="AI90" s="11" t="n">
        <v>2.64701769864135</v>
      </c>
      <c r="AJ90" s="11" t="n">
        <v>2.65704561341097</v>
      </c>
      <c r="AK90" s="11" t="n">
        <v>2.66496278029082</v>
      </c>
      <c r="AL90" s="11" t="n">
        <v>2.67088865114125</v>
      </c>
      <c r="AM90" s="11" t="n">
        <v>2.67494562449226</v>
      </c>
      <c r="AN90" s="11" t="n">
        <v>2.67725730036986</v>
      </c>
      <c r="AO90" s="11" t="n">
        <v>2.67794790985026</v>
      </c>
      <c r="AP90" s="11" t="n">
        <v>2.67714187254366</v>
      </c>
      <c r="AQ90" s="11" t="n">
        <v>2.67496352393544</v>
      </c>
      <c r="AR90" s="11" t="n">
        <v>2.67153644837924</v>
      </c>
      <c r="AS90" s="11" t="n">
        <v>2.66698285564879</v>
      </c>
      <c r="AT90" s="11" t="n">
        <v>2.66142223675555</v>
      </c>
      <c r="AU90" s="11" t="n">
        <v>2.65497034610296</v>
      </c>
      <c r="AV90" s="11" t="n">
        <v>2.64773837645742</v>
      </c>
      <c r="AW90" s="11" t="n">
        <v>2.63983233134079</v>
      </c>
      <c r="AX90" s="11" t="n">
        <v>2.63135293285256</v>
      </c>
      <c r="AY90" s="11" t="n">
        <v>2.62239441834912</v>
      </c>
      <c r="AZ90" s="11" t="n">
        <v>2.61304391515644</v>
      </c>
      <c r="BA90" s="11" t="n">
        <v>2.60338193558888</v>
      </c>
      <c r="BB90" s="11" t="n">
        <v>2.59348228613611</v>
      </c>
      <c r="BC90" s="11" t="n">
        <v>2.58341202993219</v>
      </c>
      <c r="BD90" s="11" t="n">
        <v>2.57323171938875</v>
      </c>
      <c r="BE90" s="11" t="n">
        <v>2.5629955426905</v>
      </c>
      <c r="BF90" s="11" t="n">
        <v>2.55275120330887</v>
      </c>
      <c r="BG90" s="11" t="n">
        <v>2.54254036571766</v>
      </c>
    </row>
    <row r="91" customFormat="false" ht="15" hidden="false" customHeight="false" outlineLevel="0" collapsed="false">
      <c r="A91" s="10" t="n">
        <v>-34</v>
      </c>
      <c r="B91" s="8" t="n">
        <v>44788</v>
      </c>
      <c r="C91" s="11" t="n">
        <v>1.98558732924599</v>
      </c>
      <c r="D91" s="11" t="n">
        <v>1.93044783219184</v>
      </c>
      <c r="E91" s="11" t="n">
        <v>1.89118858530618</v>
      </c>
      <c r="F91" s="11" t="n">
        <v>1.86495430310314</v>
      </c>
      <c r="G91" s="11" t="n">
        <v>1.84884335661843</v>
      </c>
      <c r="H91" s="11" t="n">
        <v>1.84076400024739</v>
      </c>
      <c r="I91" s="11" t="n">
        <v>1.83940418457016</v>
      </c>
      <c r="J91" s="11" t="n">
        <v>1.84396134960224</v>
      </c>
      <c r="K91" s="11" t="n">
        <v>1.85391909312792</v>
      </c>
      <c r="L91" s="11" t="n">
        <v>1.86889380582387</v>
      </c>
      <c r="M91" s="11" t="n">
        <v>1.88854273911769</v>
      </c>
      <c r="N91" s="11" t="n">
        <v>1.91250669674527</v>
      </c>
      <c r="O91" s="11" t="n">
        <v>1.94037910672097</v>
      </c>
      <c r="P91" s="11" t="n">
        <v>1.97168072970088</v>
      </c>
      <c r="Q91" s="11" t="n">
        <v>2.00585974059739</v>
      </c>
      <c r="R91" s="11" t="n">
        <v>2.04230122541458</v>
      </c>
      <c r="S91" s="11" t="n">
        <v>2.08036183120546</v>
      </c>
      <c r="T91" s="11" t="n">
        <v>2.11937639372271</v>
      </c>
      <c r="U91" s="11" t="n">
        <v>2.1587169811689</v>
      </c>
      <c r="V91" s="11" t="n">
        <v>2.19781889617044</v>
      </c>
      <c r="W91" s="11" t="n">
        <v>2.23616839092957</v>
      </c>
      <c r="X91" s="11" t="n">
        <v>2.27329439156034</v>
      </c>
      <c r="Y91" s="11" t="n">
        <v>2.30879106072281</v>
      </c>
      <c r="Z91" s="11" t="n">
        <v>2.34234557433916</v>
      </c>
      <c r="AA91" s="11" t="n">
        <v>2.37372596205725</v>
      </c>
      <c r="AB91" s="11" t="n">
        <v>2.40276802731065</v>
      </c>
      <c r="AC91" s="11" t="n">
        <v>2.42936596263997</v>
      </c>
      <c r="AD91" s="11" t="n">
        <v>2.4534631831361</v>
      </c>
      <c r="AE91" s="11" t="n">
        <v>2.47504463546453</v>
      </c>
      <c r="AF91" s="11" t="n">
        <v>2.49413048849139</v>
      </c>
      <c r="AG91" s="11" t="n">
        <v>2.51076880545299</v>
      </c>
      <c r="AH91" s="11" t="n">
        <v>2.52502808781176</v>
      </c>
      <c r="AI91" s="11" t="n">
        <v>2.53699515149524</v>
      </c>
      <c r="AJ91" s="11" t="n">
        <v>2.54677053338477</v>
      </c>
      <c r="AK91" s="11" t="n">
        <v>2.55446551450473</v>
      </c>
      <c r="AL91" s="11" t="n">
        <v>2.56019727059189</v>
      </c>
      <c r="AM91" s="11" t="n">
        <v>2.56408603387527</v>
      </c>
      <c r="AN91" s="11" t="n">
        <v>2.56625340886862</v>
      </c>
      <c r="AO91" s="11" t="n">
        <v>2.5668218146893</v>
      </c>
      <c r="AP91" s="11" t="n">
        <v>2.56591407044242</v>
      </c>
      <c r="AQ91" s="11" t="n">
        <v>2.5636531228058</v>
      </c>
      <c r="AR91" s="11" t="n">
        <v>2.56016136538927</v>
      </c>
      <c r="AS91" s="11" t="n">
        <v>2.55556000459612</v>
      </c>
      <c r="AT91" s="11" t="n">
        <v>2.54996769690289</v>
      </c>
      <c r="AU91" s="11" t="n">
        <v>2.54349952313819</v>
      </c>
      <c r="AV91" s="11" t="n">
        <v>2.53626612640605</v>
      </c>
      <c r="AW91" s="11" t="n">
        <v>2.52837306692014</v>
      </c>
      <c r="AX91" s="11" t="n">
        <v>2.51992072738876</v>
      </c>
      <c r="AY91" s="11" t="n">
        <v>2.51100304768201</v>
      </c>
      <c r="AZ91" s="11" t="n">
        <v>2.5017068620542</v>
      </c>
      <c r="BA91" s="11" t="n">
        <v>2.49211238821803</v>
      </c>
      <c r="BB91" s="11" t="n">
        <v>2.48229310768028</v>
      </c>
      <c r="BC91" s="11" t="n">
        <v>2.47231570793138</v>
      </c>
      <c r="BD91" s="11" t="n">
        <v>2.46224029530107</v>
      </c>
      <c r="BE91" s="11" t="n">
        <v>2.45212052398982</v>
      </c>
      <c r="BF91" s="11" t="n">
        <v>2.44200345425551</v>
      </c>
      <c r="BG91" s="11" t="n">
        <v>2.43192999015121</v>
      </c>
    </row>
    <row r="92" customFormat="false" ht="15" hidden="false" customHeight="false" outlineLevel="0" collapsed="false">
      <c r="A92" s="10" t="n">
        <v>-33</v>
      </c>
      <c r="B92" s="8" t="n">
        <v>44789</v>
      </c>
      <c r="C92" s="11" t="n">
        <v>2.1178314459539</v>
      </c>
      <c r="D92" s="11" t="n">
        <v>2.06011416035964</v>
      </c>
      <c r="E92" s="11" t="n">
        <v>2.01835809471799</v>
      </c>
      <c r="F92" s="11" t="n">
        <v>1.99018620130485</v>
      </c>
      <c r="G92" s="11" t="n">
        <v>1.97269567868959</v>
      </c>
      <c r="H92" s="11" t="n">
        <v>1.96367303811905</v>
      </c>
      <c r="I92" s="11" t="n">
        <v>1.96166893914486</v>
      </c>
      <c r="J92" s="11" t="n">
        <v>1.96575773292583</v>
      </c>
      <c r="K92" s="11" t="n">
        <v>1.97531958793409</v>
      </c>
      <c r="L92" s="11" t="n">
        <v>1.98988929851424</v>
      </c>
      <c r="M92" s="11" t="n">
        <v>2.00906085286282</v>
      </c>
      <c r="N92" s="11" t="n">
        <v>2.03242854104553</v>
      </c>
      <c r="O92" s="11" t="n">
        <v>2.05955294758407</v>
      </c>
      <c r="P92" s="11" t="n">
        <v>2.08993572142073</v>
      </c>
      <c r="Q92" s="11" t="n">
        <v>2.12301848478725</v>
      </c>
      <c r="R92" s="11" t="n">
        <v>2.15819143356738</v>
      </c>
      <c r="S92" s="11" t="n">
        <v>2.19482574969219</v>
      </c>
      <c r="T92" s="11" t="n">
        <v>2.23227868020766</v>
      </c>
      <c r="U92" s="11" t="n">
        <v>2.26994902895274</v>
      </c>
      <c r="V92" s="11" t="n">
        <v>2.30730070370752</v>
      </c>
      <c r="W92" s="11" t="n">
        <v>2.34384998200848</v>
      </c>
      <c r="X92" s="11" t="n">
        <v>2.37915688743333</v>
      </c>
      <c r="Y92" s="11" t="n">
        <v>2.41284599638258</v>
      </c>
      <c r="Z92" s="11" t="n">
        <v>2.44463175080663</v>
      </c>
      <c r="AA92" s="11" t="n">
        <v>2.47430536028075</v>
      </c>
      <c r="AB92" s="11" t="n">
        <v>2.50172097528928</v>
      </c>
      <c r="AC92" s="11" t="n">
        <v>2.52678628306389</v>
      </c>
      <c r="AD92" s="11" t="n">
        <v>2.54945402331031</v>
      </c>
      <c r="AE92" s="11" t="n">
        <v>2.56971494878393</v>
      </c>
      <c r="AF92" s="11" t="n">
        <v>2.58759204722684</v>
      </c>
      <c r="AG92" s="11" t="n">
        <v>2.60313352994105</v>
      </c>
      <c r="AH92" s="11" t="n">
        <v>2.61640561643449</v>
      </c>
      <c r="AI92" s="11" t="n">
        <v>2.62749096730392</v>
      </c>
      <c r="AJ92" s="11" t="n">
        <v>2.63648455410747</v>
      </c>
      <c r="AK92" s="11" t="n">
        <v>2.64349097692602</v>
      </c>
      <c r="AL92" s="11" t="n">
        <v>2.64862012599399</v>
      </c>
      <c r="AM92" s="11" t="n">
        <v>2.65198469873794</v>
      </c>
      <c r="AN92" s="11" t="n">
        <v>2.65369879279984</v>
      </c>
      <c r="AO92" s="11" t="n">
        <v>2.65387744031464</v>
      </c>
      <c r="AP92" s="11" t="n">
        <v>2.65263631501017</v>
      </c>
      <c r="AQ92" s="11" t="n">
        <v>2.65009150444359</v>
      </c>
      <c r="AR92" s="11" t="n">
        <v>2.64635888455791</v>
      </c>
      <c r="AS92" s="11" t="n">
        <v>2.64155353716328</v>
      </c>
      <c r="AT92" s="11" t="n">
        <v>2.63578850786259</v>
      </c>
      <c r="AU92" s="11" t="n">
        <v>2.62917387292764</v>
      </c>
      <c r="AV92" s="11" t="n">
        <v>2.62181591163631</v>
      </c>
      <c r="AW92" s="11" t="n">
        <v>2.61381649955154</v>
      </c>
      <c r="AX92" s="11" t="n">
        <v>2.60527301404062</v>
      </c>
      <c r="AY92" s="11" t="n">
        <v>2.59627697558995</v>
      </c>
      <c r="AZ92" s="11" t="n">
        <v>2.58691329847216</v>
      </c>
      <c r="BA92" s="11" t="n">
        <v>2.57726071896764</v>
      </c>
      <c r="BB92" s="11" t="n">
        <v>2.56739153178756</v>
      </c>
      <c r="BC92" s="11" t="n">
        <v>2.55737142184396</v>
      </c>
      <c r="BD92" s="11" t="n">
        <v>2.54725962598627</v>
      </c>
      <c r="BE92" s="11" t="n">
        <v>2.53710903610767</v>
      </c>
      <c r="BF92" s="11" t="n">
        <v>2.52696604686446</v>
      </c>
      <c r="BG92" s="11" t="n">
        <v>2.51687095273467</v>
      </c>
    </row>
    <row r="93" customFormat="false" ht="15" hidden="false" customHeight="false" outlineLevel="0" collapsed="false">
      <c r="A93" s="10" t="n">
        <v>-32</v>
      </c>
      <c r="B93" s="8" t="n">
        <v>44790</v>
      </c>
      <c r="C93" s="11" t="n">
        <v>2.34076909423284</v>
      </c>
      <c r="D93" s="11" t="n">
        <v>2.27309744749956</v>
      </c>
      <c r="E93" s="11" t="n">
        <v>2.2206552964189</v>
      </c>
      <c r="F93" s="11" t="n">
        <v>2.18244547499363</v>
      </c>
      <c r="G93" s="11" t="n">
        <v>2.15612682644939</v>
      </c>
      <c r="H93" s="11" t="n">
        <v>2.13961327538096</v>
      </c>
      <c r="I93" s="11" t="n">
        <v>2.13138150235</v>
      </c>
      <c r="J93" s="11" t="n">
        <v>2.13034925351339</v>
      </c>
      <c r="K93" s="11" t="n">
        <v>2.13570994172206</v>
      </c>
      <c r="L93" s="11" t="n">
        <v>2.14680736577421</v>
      </c>
      <c r="M93" s="11" t="n">
        <v>2.16305056524051</v>
      </c>
      <c r="N93" s="11" t="n">
        <v>2.18386423323322</v>
      </c>
      <c r="O93" s="11" t="n">
        <v>2.20866102820677</v>
      </c>
      <c r="P93" s="11" t="n">
        <v>2.23682361767214</v>
      </c>
      <c r="Q93" s="11" t="n">
        <v>2.26770349211615</v>
      </c>
      <c r="R93" s="11" t="n">
        <v>2.30063104577078</v>
      </c>
      <c r="S93" s="11" t="n">
        <v>2.3349435560582</v>
      </c>
      <c r="T93" s="11" t="n">
        <v>2.36998714008339</v>
      </c>
      <c r="U93" s="11" t="n">
        <v>2.40516482710941</v>
      </c>
      <c r="V93" s="11" t="n">
        <v>2.43995439952606</v>
      </c>
      <c r="W93" s="11" t="n">
        <v>2.47389356780667</v>
      </c>
      <c r="X93" s="11" t="n">
        <v>2.50656971805956</v>
      </c>
      <c r="Y93" s="11" t="n">
        <v>2.5376372529341</v>
      </c>
      <c r="Z93" s="11" t="n">
        <v>2.56683897908463</v>
      </c>
      <c r="AA93" s="11" t="n">
        <v>2.59399208102466</v>
      </c>
      <c r="AB93" s="11" t="n">
        <v>2.61897284605133</v>
      </c>
      <c r="AC93" s="11" t="n">
        <v>2.6417060974947</v>
      </c>
      <c r="AD93" s="11" t="n">
        <v>2.6621572942164</v>
      </c>
      <c r="AE93" s="11" t="n">
        <v>2.68032618129771</v>
      </c>
      <c r="AF93" s="11" t="n">
        <v>2.69624157402592</v>
      </c>
      <c r="AG93" s="11" t="n">
        <v>2.70995456123766</v>
      </c>
      <c r="AH93" s="11" t="n">
        <v>2.72153105497885</v>
      </c>
      <c r="AI93" s="11" t="n">
        <v>2.73105066844229</v>
      </c>
      <c r="AJ93" s="11" t="n">
        <v>2.7386031820918</v>
      </c>
      <c r="AK93" s="11" t="n">
        <v>2.74428625789061</v>
      </c>
      <c r="AL93" s="11" t="n">
        <v>2.74820169823514</v>
      </c>
      <c r="AM93" s="11" t="n">
        <v>2.75045337757445</v>
      </c>
      <c r="AN93" s="11" t="n">
        <v>2.75114614984736</v>
      </c>
      <c r="AO93" s="11" t="n">
        <v>2.75038548110172</v>
      </c>
      <c r="AP93" s="11" t="n">
        <v>2.74827716028624</v>
      </c>
      <c r="AQ93" s="11" t="n">
        <v>2.74492709458189</v>
      </c>
      <c r="AR93" s="11" t="n">
        <v>2.74044073368371</v>
      </c>
      <c r="AS93" s="11" t="n">
        <v>2.73492255831812</v>
      </c>
      <c r="AT93" s="11" t="n">
        <v>2.72847508662691</v>
      </c>
      <c r="AU93" s="11" t="n">
        <v>2.72119814355017</v>
      </c>
      <c r="AV93" s="11" t="n">
        <v>2.71318820706789</v>
      </c>
      <c r="AW93" s="11" t="n">
        <v>2.7045379533275</v>
      </c>
      <c r="AX93" s="11" t="n">
        <v>2.69533625082924</v>
      </c>
      <c r="AY93" s="11" t="n">
        <v>2.68566707429173</v>
      </c>
      <c r="AZ93" s="11" t="n">
        <v>2.67560890510286</v>
      </c>
      <c r="BA93" s="11" t="n">
        <v>2.66523509786578</v>
      </c>
      <c r="BB93" s="11" t="n">
        <v>2.65461373530495</v>
      </c>
      <c r="BC93" s="11" t="n">
        <v>2.64380756048486</v>
      </c>
      <c r="BD93" s="11" t="n">
        <v>2.63287416587573</v>
      </c>
      <c r="BE93" s="11" t="n">
        <v>2.62186608586286</v>
      </c>
      <c r="BF93" s="11" t="n">
        <v>2.61083065125435</v>
      </c>
      <c r="BG93" s="11" t="n">
        <v>2.59981034775736</v>
      </c>
    </row>
    <row r="94" customFormat="false" ht="15" hidden="false" customHeight="false" outlineLevel="0" collapsed="false">
      <c r="A94" s="10" t="n">
        <v>-31</v>
      </c>
      <c r="B94" s="8" t="n">
        <v>44791</v>
      </c>
      <c r="C94" s="11" t="n">
        <v>2.36350227440208</v>
      </c>
      <c r="D94" s="11" t="n">
        <v>2.29685913142363</v>
      </c>
      <c r="E94" s="11" t="n">
        <v>2.24439775500127</v>
      </c>
      <c r="F94" s="11" t="n">
        <v>2.20542753278932</v>
      </c>
      <c r="G94" s="11" t="n">
        <v>2.177837350097</v>
      </c>
      <c r="H94" s="11" t="n">
        <v>2.15971394515298</v>
      </c>
      <c r="I94" s="11" t="n">
        <v>2.14967419962876</v>
      </c>
      <c r="J94" s="11" t="n">
        <v>2.14674614665076</v>
      </c>
      <c r="K94" s="11" t="n">
        <v>2.15020946941636</v>
      </c>
      <c r="L94" s="11" t="n">
        <v>2.15947075718141</v>
      </c>
      <c r="M94" s="11" t="n">
        <v>2.17397699749948</v>
      </c>
      <c r="N94" s="11" t="n">
        <v>2.19317062611906</v>
      </c>
      <c r="O94" s="11" t="n">
        <v>2.21646795244067</v>
      </c>
      <c r="P94" s="11" t="n">
        <v>2.24324691297993</v>
      </c>
      <c r="Q94" s="11" t="n">
        <v>2.27284882337529</v>
      </c>
      <c r="R94" s="11" t="n">
        <v>2.3045912699525</v>
      </c>
      <c r="S94" s="11" t="n">
        <v>2.33779800677595</v>
      </c>
      <c r="T94" s="11" t="n">
        <v>2.37180208429012</v>
      </c>
      <c r="U94" s="11" t="n">
        <v>2.40599509169099</v>
      </c>
      <c r="V94" s="11" t="n">
        <v>2.43984464313694</v>
      </c>
      <c r="W94" s="11" t="n">
        <v>2.47287926809396</v>
      </c>
      <c r="X94" s="11" t="n">
        <v>2.50467802305202</v>
      </c>
      <c r="Y94" s="11" t="n">
        <v>2.53488814199193</v>
      </c>
      <c r="Z94" s="11" t="n">
        <v>2.5632463774828</v>
      </c>
      <c r="AA94" s="11" t="n">
        <v>2.58956461156734</v>
      </c>
      <c r="AB94" s="11" t="n">
        <v>2.61371433798887</v>
      </c>
      <c r="AC94" s="11" t="n">
        <v>2.63561596424915</v>
      </c>
      <c r="AD94" s="11" t="n">
        <v>2.65523084588739</v>
      </c>
      <c r="AE94" s="11" t="n">
        <v>2.67255488834027</v>
      </c>
      <c r="AF94" s="11" t="n">
        <v>2.68761329160782</v>
      </c>
      <c r="AG94" s="11" t="n">
        <v>2.70045389068405</v>
      </c>
      <c r="AH94" s="11" t="n">
        <v>2.71113991635741</v>
      </c>
      <c r="AI94" s="11" t="n">
        <v>2.71974881937789</v>
      </c>
      <c r="AJ94" s="11" t="n">
        <v>2.72636909336955</v>
      </c>
      <c r="AK94" s="11" t="n">
        <v>2.73109801329773</v>
      </c>
      <c r="AL94" s="11" t="n">
        <v>2.73403811098155</v>
      </c>
      <c r="AM94" s="11" t="n">
        <v>2.7352950975801</v>
      </c>
      <c r="AN94" s="11" t="n">
        <v>2.73497658669211</v>
      </c>
      <c r="AO94" s="11" t="n">
        <v>2.73319150397032</v>
      </c>
      <c r="AP94" s="11" t="n">
        <v>2.73004929993289</v>
      </c>
      <c r="AQ94" s="11" t="n">
        <v>2.72565949401405</v>
      </c>
      <c r="AR94" s="11" t="n">
        <v>2.72013074983089</v>
      </c>
      <c r="AS94" s="11" t="n">
        <v>2.71357014784497</v>
      </c>
      <c r="AT94" s="11" t="n">
        <v>2.70608226164279</v>
      </c>
      <c r="AU94" s="11" t="n">
        <v>2.69776851502636</v>
      </c>
      <c r="AV94" s="11" t="n">
        <v>2.68872663876329</v>
      </c>
      <c r="AW94" s="11" t="n">
        <v>2.67905031773471</v>
      </c>
      <c r="AX94" s="11" t="n">
        <v>2.66882925177266</v>
      </c>
      <c r="AY94" s="11" t="n">
        <v>2.65814819989314</v>
      </c>
      <c r="AZ94" s="11" t="n">
        <v>2.64708647408013</v>
      </c>
      <c r="BA94" s="11" t="n">
        <v>2.63571831700758</v>
      </c>
      <c r="BB94" s="11" t="n">
        <v>2.62411283144197</v>
      </c>
      <c r="BC94" s="11" t="n">
        <v>2.61233398082107</v>
      </c>
      <c r="BD94" s="11" t="n">
        <v>2.60044082110136</v>
      </c>
      <c r="BE94" s="11" t="n">
        <v>2.58848762462045</v>
      </c>
      <c r="BF94" s="11" t="n">
        <v>2.57652378073752</v>
      </c>
      <c r="BG94" s="11" t="n">
        <v>2.56459413793931</v>
      </c>
    </row>
    <row r="95" customFormat="false" ht="15" hidden="false" customHeight="false" outlineLevel="0" collapsed="false">
      <c r="A95" s="10" t="n">
        <v>-30</v>
      </c>
      <c r="B95" s="8" t="n">
        <v>44792</v>
      </c>
      <c r="C95" s="11" t="n">
        <v>2.45272989202417</v>
      </c>
      <c r="D95" s="11" t="n">
        <v>2.39244578386004</v>
      </c>
      <c r="E95" s="11" t="n">
        <v>2.34412404308767</v>
      </c>
      <c r="F95" s="11" t="n">
        <v>2.30828006900272</v>
      </c>
      <c r="G95" s="11" t="n">
        <v>2.2833402270403</v>
      </c>
      <c r="H95" s="11" t="n">
        <v>2.26761681942592</v>
      </c>
      <c r="I95" s="11" t="n">
        <v>2.25981014033232</v>
      </c>
      <c r="J95" s="11" t="n">
        <v>2.25896496737146</v>
      </c>
      <c r="K95" s="11" t="n">
        <v>2.26435383704413</v>
      </c>
      <c r="L95" s="11" t="n">
        <v>2.27537202299779</v>
      </c>
      <c r="M95" s="11" t="n">
        <v>2.29145308755883</v>
      </c>
      <c r="N95" s="11" t="n">
        <v>2.31203056093565</v>
      </c>
      <c r="O95" s="11" t="n">
        <v>2.33651604444527</v>
      </c>
      <c r="P95" s="11" t="n">
        <v>2.36428875743076</v>
      </c>
      <c r="Q95" s="11" t="n">
        <v>2.3946967610074</v>
      </c>
      <c r="R95" s="11" t="n">
        <v>2.42706939878484</v>
      </c>
      <c r="S95" s="11" t="n">
        <v>2.46074505593086</v>
      </c>
      <c r="T95" s="11" t="n">
        <v>2.49507363296721</v>
      </c>
      <c r="U95" s="11" t="n">
        <v>2.52946538645642</v>
      </c>
      <c r="V95" s="11" t="n">
        <v>2.56340646114508</v>
      </c>
      <c r="W95" s="11" t="n">
        <v>2.5964437189316</v>
      </c>
      <c r="X95" s="11" t="n">
        <v>2.62817448104485</v>
      </c>
      <c r="Y95" s="11" t="n">
        <v>2.65826412120393</v>
      </c>
      <c r="Z95" s="11" t="n">
        <v>2.6864661657485</v>
      </c>
      <c r="AA95" s="11" t="n">
        <v>2.71260805162644</v>
      </c>
      <c r="AB95" s="11" t="n">
        <v>2.7365747775155</v>
      </c>
      <c r="AC95" s="11" t="n">
        <v>2.75829694063457</v>
      </c>
      <c r="AD95" s="11" t="n">
        <v>2.77774311741757</v>
      </c>
      <c r="AE95" s="11" t="n">
        <v>2.79491392924273</v>
      </c>
      <c r="AF95" s="11" t="n">
        <v>2.80983716088944</v>
      </c>
      <c r="AG95" s="11" t="n">
        <v>2.82256103748378</v>
      </c>
      <c r="AH95" s="11" t="n">
        <v>2.83314631155336</v>
      </c>
      <c r="AI95" s="11" t="n">
        <v>2.84166563579595</v>
      </c>
      <c r="AJ95" s="11" t="n">
        <v>2.84820145505772</v>
      </c>
      <c r="AK95" s="11" t="n">
        <v>2.85284411361024</v>
      </c>
      <c r="AL95" s="11" t="n">
        <v>2.85568892343777</v>
      </c>
      <c r="AM95" s="11" t="n">
        <v>2.85683450917376</v>
      </c>
      <c r="AN95" s="11" t="n">
        <v>2.85638187728064</v>
      </c>
      <c r="AO95" s="11" t="n">
        <v>2.85443395759348</v>
      </c>
      <c r="AP95" s="11" t="n">
        <v>2.85109515625109</v>
      </c>
      <c r="AQ95" s="11" t="n">
        <v>2.8464710022062</v>
      </c>
      <c r="AR95" s="11" t="n">
        <v>2.84066734630921</v>
      </c>
      <c r="AS95" s="11" t="n">
        <v>2.83378970232775</v>
      </c>
      <c r="AT95" s="11" t="n">
        <v>2.82594224887955</v>
      </c>
      <c r="AU95" s="11" t="n">
        <v>2.81722711405997</v>
      </c>
      <c r="AV95" s="11" t="n">
        <v>2.80774365727952</v>
      </c>
      <c r="AW95" s="11" t="n">
        <v>2.79758799193509</v>
      </c>
      <c r="AX95" s="11" t="n">
        <v>2.78685294745923</v>
      </c>
      <c r="AY95" s="11" t="n">
        <v>2.77562690625762</v>
      </c>
      <c r="AZ95" s="11" t="n">
        <v>2.76399318007042</v>
      </c>
      <c r="BA95" s="11" t="n">
        <v>2.75203033578498</v>
      </c>
      <c r="BB95" s="11" t="n">
        <v>2.73981199671382</v>
      </c>
      <c r="BC95" s="11" t="n">
        <v>2.72740675530681</v>
      </c>
      <c r="BD95" s="11" t="n">
        <v>2.71487835566294</v>
      </c>
      <c r="BE95" s="11" t="n">
        <v>2.70228576598464</v>
      </c>
      <c r="BF95" s="11" t="n">
        <v>2.68968301821628</v>
      </c>
      <c r="BG95" s="11" t="n">
        <v>2.6771195263273</v>
      </c>
    </row>
    <row r="96" customFormat="false" ht="15" hidden="false" customHeight="false" outlineLevel="0" collapsed="false">
      <c r="A96" s="10" t="n">
        <v>-29</v>
      </c>
      <c r="B96" s="8" t="n">
        <v>44795</v>
      </c>
      <c r="C96" s="11" t="n">
        <v>2.53953177000363</v>
      </c>
      <c r="D96" s="11" t="n">
        <v>2.48413553224193</v>
      </c>
      <c r="E96" s="11" t="n">
        <v>2.43681490108309</v>
      </c>
      <c r="F96" s="11" t="n">
        <v>2.40019299027526</v>
      </c>
      <c r="G96" s="11" t="n">
        <v>2.3737447054219</v>
      </c>
      <c r="H96" s="11" t="n">
        <v>2.35631342984726</v>
      </c>
      <c r="I96" s="11" t="n">
        <v>2.34686761911145</v>
      </c>
      <c r="J96" s="11" t="n">
        <v>2.34458286370795</v>
      </c>
      <c r="K96" s="11" t="n">
        <v>2.34878802567163</v>
      </c>
      <c r="L96" s="11" t="n">
        <v>2.35889684512066</v>
      </c>
      <c r="M96" s="11" t="n">
        <v>2.37434041480838</v>
      </c>
      <c r="N96" s="11" t="n">
        <v>2.3945404039974</v>
      </c>
      <c r="O96" s="11" t="n">
        <v>2.41889073332385</v>
      </c>
      <c r="P96" s="11" t="n">
        <v>2.44674994203461</v>
      </c>
      <c r="Q96" s="11" t="n">
        <v>2.47744345223786</v>
      </c>
      <c r="R96" s="11" t="n">
        <v>2.51027655512398</v>
      </c>
      <c r="S96" s="11" t="n">
        <v>2.54456255315128</v>
      </c>
      <c r="T96" s="11" t="n">
        <v>2.57962534140044</v>
      </c>
      <c r="U96" s="11" t="n">
        <v>2.61485080125727</v>
      </c>
      <c r="V96" s="11" t="n">
        <v>2.64970277249209</v>
      </c>
      <c r="W96" s="11" t="n">
        <v>2.68370745142042</v>
      </c>
      <c r="X96" s="11" t="n">
        <v>2.71644293162701</v>
      </c>
      <c r="Y96" s="11" t="n">
        <v>2.74755785551171</v>
      </c>
      <c r="Z96" s="11" t="n">
        <v>2.77679226428408</v>
      </c>
      <c r="AA96" s="11" t="n">
        <v>2.80396296457604</v>
      </c>
      <c r="AB96" s="11" t="n">
        <v>2.82894676300296</v>
      </c>
      <c r="AC96" s="11" t="n">
        <v>2.85166809660168</v>
      </c>
      <c r="AD96" s="11" t="n">
        <v>2.87209108877224</v>
      </c>
      <c r="AE96" s="11" t="n">
        <v>2.8902133482688</v>
      </c>
      <c r="AF96" s="11" t="n">
        <v>2.90606086783351</v>
      </c>
      <c r="AG96" s="11" t="n">
        <v>2.91968105075677</v>
      </c>
      <c r="AH96" s="11" t="n">
        <v>2.93113443002973</v>
      </c>
      <c r="AI96" s="11" t="n">
        <v>2.94049371924754</v>
      </c>
      <c r="AJ96" s="11" t="n">
        <v>2.9478415750531</v>
      </c>
      <c r="AK96" s="11" t="n">
        <v>2.9532686086786</v>
      </c>
      <c r="AL96" s="11" t="n">
        <v>2.95687020900913</v>
      </c>
      <c r="AM96" s="11" t="n">
        <v>2.95874480221262</v>
      </c>
      <c r="AN96" s="11" t="n">
        <v>2.95899291478931</v>
      </c>
      <c r="AO96" s="11" t="n">
        <v>2.95771677798066</v>
      </c>
      <c r="AP96" s="11" t="n">
        <v>2.95502005053543</v>
      </c>
      <c r="AQ96" s="11" t="n">
        <v>2.95100755403149</v>
      </c>
      <c r="AR96" s="11" t="n">
        <v>2.94578463656418</v>
      </c>
      <c r="AS96" s="11" t="n">
        <v>2.93945662180486</v>
      </c>
      <c r="AT96" s="11" t="n">
        <v>2.93212782710441</v>
      </c>
      <c r="AU96" s="11" t="n">
        <v>2.9239008509225</v>
      </c>
      <c r="AV96" s="11" t="n">
        <v>2.91487581524602</v>
      </c>
      <c r="AW96" s="11" t="n">
        <v>2.90514986602729</v>
      </c>
      <c r="AX96" s="11" t="n">
        <v>2.89481711537844</v>
      </c>
      <c r="AY96" s="11" t="n">
        <v>2.88396736077697</v>
      </c>
      <c r="AZ96" s="11" t="n">
        <v>2.87268538688457</v>
      </c>
      <c r="BA96" s="11" t="n">
        <v>2.86105126898244</v>
      </c>
      <c r="BB96" s="11" t="n">
        <v>2.84914007122251</v>
      </c>
      <c r="BC96" s="11" t="n">
        <v>2.83702168547441</v>
      </c>
      <c r="BD96" s="11" t="n">
        <v>2.82476097935643</v>
      </c>
      <c r="BE96" s="11" t="n">
        <v>2.8124178464243</v>
      </c>
      <c r="BF96" s="11" t="n">
        <v>2.80004702346502</v>
      </c>
      <c r="BG96" s="11" t="n">
        <v>2.78769842194055</v>
      </c>
    </row>
    <row r="97" customFormat="false" ht="15" hidden="false" customHeight="false" outlineLevel="0" collapsed="false">
      <c r="A97" s="10" t="n">
        <v>-28</v>
      </c>
      <c r="B97" s="8" t="n">
        <v>44796</v>
      </c>
      <c r="C97" s="11" t="n">
        <v>2.62353249002237</v>
      </c>
      <c r="D97" s="11" t="n">
        <v>2.58364518575089</v>
      </c>
      <c r="E97" s="11" t="n">
        <v>2.54263066985033</v>
      </c>
      <c r="F97" s="11" t="n">
        <v>2.50704279193133</v>
      </c>
      <c r="G97" s="11" t="n">
        <v>2.4785230807431</v>
      </c>
      <c r="H97" s="11" t="n">
        <v>2.45718312300122</v>
      </c>
      <c r="I97" s="11" t="n">
        <v>2.44278349320155</v>
      </c>
      <c r="J97" s="11" t="n">
        <v>2.43503323607353</v>
      </c>
      <c r="K97" s="11" t="n">
        <v>2.43364190920105</v>
      </c>
      <c r="L97" s="11" t="n">
        <v>2.4382987186637</v>
      </c>
      <c r="M97" s="11" t="n">
        <v>2.44862517739454</v>
      </c>
      <c r="N97" s="11" t="n">
        <v>2.4641639683698</v>
      </c>
      <c r="O97" s="11" t="n">
        <v>2.48437454313979</v>
      </c>
      <c r="P97" s="11" t="n">
        <v>2.5086376166181</v>
      </c>
      <c r="Q97" s="11" t="n">
        <v>2.53626755710498</v>
      </c>
      <c r="R97" s="11" t="n">
        <v>2.56653397619396</v>
      </c>
      <c r="S97" s="11" t="n">
        <v>2.59869896938041</v>
      </c>
      <c r="T97" s="11" t="n">
        <v>2.63202399412567</v>
      </c>
      <c r="U97" s="11" t="n">
        <v>2.66583294864508</v>
      </c>
      <c r="V97" s="11" t="n">
        <v>2.69953243934745</v>
      </c>
      <c r="W97" s="11" t="n">
        <v>2.7325952653839</v>
      </c>
      <c r="X97" s="11" t="n">
        <v>2.76454956397098</v>
      </c>
      <c r="Y97" s="11" t="n">
        <v>2.79500151743595</v>
      </c>
      <c r="Z97" s="11" t="n">
        <v>2.82365980893626</v>
      </c>
      <c r="AA97" s="11" t="n">
        <v>2.85031826795143</v>
      </c>
      <c r="AB97" s="11" t="n">
        <v>2.87483638556467</v>
      </c>
      <c r="AC97" s="11" t="n">
        <v>2.89712554687023</v>
      </c>
      <c r="AD97" s="11" t="n">
        <v>2.91714035773681</v>
      </c>
      <c r="AE97" s="11" t="n">
        <v>2.93487189154766</v>
      </c>
      <c r="AF97" s="11" t="n">
        <v>2.95034213212193</v>
      </c>
      <c r="AG97" s="11" t="n">
        <v>2.96359633621406</v>
      </c>
      <c r="AH97" s="11" t="n">
        <v>2.97469381574142</v>
      </c>
      <c r="AI97" s="11" t="n">
        <v>2.98370668430663</v>
      </c>
      <c r="AJ97" s="11" t="n">
        <v>2.99071743848142</v>
      </c>
      <c r="AK97" s="11" t="n">
        <v>2.99581685605565</v>
      </c>
      <c r="AL97" s="11" t="n">
        <v>2.99910063513236</v>
      </c>
      <c r="AM97" s="11" t="n">
        <v>3.00066754720551</v>
      </c>
      <c r="AN97" s="11" t="n">
        <v>3.00061841272669</v>
      </c>
      <c r="AO97" s="11" t="n">
        <v>2.99905565399104</v>
      </c>
      <c r="AP97" s="11" t="n">
        <v>2.99608287549994</v>
      </c>
      <c r="AQ97" s="11" t="n">
        <v>2.99180455132317</v>
      </c>
      <c r="AR97" s="11" t="n">
        <v>2.98632533817218</v>
      </c>
      <c r="AS97" s="11" t="n">
        <v>2.97974950895245</v>
      </c>
      <c r="AT97" s="11" t="n">
        <v>2.97218002856477</v>
      </c>
      <c r="AU97" s="11" t="n">
        <v>2.96371790146727</v>
      </c>
      <c r="AV97" s="11" t="n">
        <v>2.95446148814275</v>
      </c>
      <c r="AW97" s="11" t="n">
        <v>2.94450607264623</v>
      </c>
      <c r="AX97" s="11" t="n">
        <v>2.93394384400057</v>
      </c>
      <c r="AY97" s="11" t="n">
        <v>2.92286271966978</v>
      </c>
      <c r="AZ97" s="11" t="n">
        <v>2.91134572157607</v>
      </c>
      <c r="BA97" s="11" t="n">
        <v>2.8994712793486</v>
      </c>
      <c r="BB97" s="11" t="n">
        <v>2.88731296667809</v>
      </c>
      <c r="BC97" s="11" t="n">
        <v>2.87493937522858</v>
      </c>
      <c r="BD97" s="11" t="n">
        <v>2.86241427923638</v>
      </c>
      <c r="BE97" s="11" t="n">
        <v>2.84979669948732</v>
      </c>
      <c r="BF97" s="11" t="n">
        <v>2.8371407492548</v>
      </c>
      <c r="BG97" s="11" t="n">
        <v>2.82449595943677</v>
      </c>
    </row>
    <row r="98" customFormat="false" ht="15" hidden="false" customHeight="false" outlineLevel="0" collapsed="false">
      <c r="A98" s="10" t="n">
        <v>-27</v>
      </c>
      <c r="B98" s="8" t="n">
        <v>44797</v>
      </c>
      <c r="C98" s="11" t="n">
        <v>2.8554432058861</v>
      </c>
      <c r="D98" s="11" t="n">
        <v>2.8210022960964</v>
      </c>
      <c r="E98" s="11" t="n">
        <v>2.77796982087276</v>
      </c>
      <c r="F98" s="11" t="n">
        <v>2.73643554960988</v>
      </c>
      <c r="G98" s="11" t="n">
        <v>2.69984096483068</v>
      </c>
      <c r="H98" s="11" t="n">
        <v>2.66929776018791</v>
      </c>
      <c r="I98" s="11" t="n">
        <v>2.64516781035079</v>
      </c>
      <c r="J98" s="11" t="n">
        <v>2.62754940612241</v>
      </c>
      <c r="K98" s="11" t="n">
        <v>2.61641786040975</v>
      </c>
      <c r="L98" s="11" t="n">
        <v>2.61165322748628</v>
      </c>
      <c r="M98" s="11" t="n">
        <v>2.6130154304406</v>
      </c>
      <c r="N98" s="11" t="n">
        <v>2.62014235024898</v>
      </c>
      <c r="O98" s="11" t="n">
        <v>2.63255107662334</v>
      </c>
      <c r="P98" s="11" t="n">
        <v>2.64964456323141</v>
      </c>
      <c r="Q98" s="11" t="n">
        <v>2.67072942629976</v>
      </c>
      <c r="R98" s="11" t="n">
        <v>2.69504290332589</v>
      </c>
      <c r="S98" s="11" t="n">
        <v>2.72179822592284</v>
      </c>
      <c r="T98" s="11" t="n">
        <v>2.75019513550317</v>
      </c>
      <c r="U98" s="11" t="n">
        <v>2.77949488169044</v>
      </c>
      <c r="V98" s="11" t="n">
        <v>2.80904505702181</v>
      </c>
      <c r="W98" s="11" t="n">
        <v>2.83826239544471</v>
      </c>
      <c r="X98" s="11" t="n">
        <v>2.86662174866611</v>
      </c>
      <c r="Y98" s="11" t="n">
        <v>2.89368348373693</v>
      </c>
      <c r="Z98" s="11" t="n">
        <v>2.91912200995099</v>
      </c>
      <c r="AA98" s="11" t="n">
        <v>2.94270567480109</v>
      </c>
      <c r="AB98" s="11" t="n">
        <v>2.96427464840925</v>
      </c>
      <c r="AC98" s="11" t="n">
        <v>2.9837258426511</v>
      </c>
      <c r="AD98" s="11" t="n">
        <v>3.00100343426525</v>
      </c>
      <c r="AE98" s="11" t="n">
        <v>3.01609147970662</v>
      </c>
      <c r="AF98" s="11" t="n">
        <v>3.02900783729308</v>
      </c>
      <c r="AG98" s="11" t="n">
        <v>3.03979586614015</v>
      </c>
      <c r="AH98" s="11" t="n">
        <v>3.04851445107535</v>
      </c>
      <c r="AI98" s="11" t="n">
        <v>3.05523621533267</v>
      </c>
      <c r="AJ98" s="11" t="n">
        <v>3.06004455583567</v>
      </c>
      <c r="AK98" s="11" t="n">
        <v>3.06303139775692</v>
      </c>
      <c r="AL98" s="11" t="n">
        <v>3.06429366378176</v>
      </c>
      <c r="AM98" s="11" t="n">
        <v>3.06393128716652</v>
      </c>
      <c r="AN98" s="11" t="n">
        <v>3.06204601975992</v>
      </c>
      <c r="AO98" s="11" t="n">
        <v>3.05874084567363</v>
      </c>
      <c r="AP98" s="11" t="n">
        <v>3.05411911884985</v>
      </c>
      <c r="AQ98" s="11" t="n">
        <v>3.04828411580123</v>
      </c>
      <c r="AR98" s="11" t="n">
        <v>3.04133824748883</v>
      </c>
      <c r="AS98" s="11" t="n">
        <v>3.03338249077592</v>
      </c>
      <c r="AT98" s="11" t="n">
        <v>3.02451573801699</v>
      </c>
      <c r="AU98" s="11" t="n">
        <v>3.01483437210788</v>
      </c>
      <c r="AV98" s="11" t="n">
        <v>3.00443179287725</v>
      </c>
      <c r="AW98" s="11" t="n">
        <v>2.99339813890268</v>
      </c>
      <c r="AX98" s="11" t="n">
        <v>2.98182030379897</v>
      </c>
      <c r="AY98" s="11" t="n">
        <v>2.96978093087236</v>
      </c>
      <c r="AZ98" s="11" t="n">
        <v>2.95735791257228</v>
      </c>
      <c r="BA98" s="11" t="n">
        <v>2.94462469804542</v>
      </c>
      <c r="BB98" s="11" t="n">
        <v>2.93165009676472</v>
      </c>
      <c r="BC98" s="11" t="n">
        <v>2.91849821690346</v>
      </c>
      <c r="BD98" s="11" t="n">
        <v>2.90522868845283</v>
      </c>
      <c r="BE98" s="11" t="n">
        <v>2.89189678736882</v>
      </c>
      <c r="BF98" s="11" t="n">
        <v>2.87855337490654</v>
      </c>
      <c r="BG98" s="11" t="n">
        <v>2.86524518510174</v>
      </c>
    </row>
    <row r="99" customFormat="false" ht="15" hidden="false" customHeight="false" outlineLevel="0" collapsed="false">
      <c r="A99" s="10" t="n">
        <v>-26</v>
      </c>
      <c r="B99" s="8" t="n">
        <v>44798</v>
      </c>
      <c r="C99" s="11" t="n">
        <v>2.73975640461838</v>
      </c>
      <c r="D99" s="11" t="n">
        <v>2.70078852960951</v>
      </c>
      <c r="E99" s="11" t="n">
        <v>2.65730280619022</v>
      </c>
      <c r="F99" s="11" t="n">
        <v>2.61767418967598</v>
      </c>
      <c r="G99" s="11" t="n">
        <v>2.58440616874608</v>
      </c>
      <c r="H99" s="11" t="n">
        <v>2.55806191609159</v>
      </c>
      <c r="I99" s="11" t="n">
        <v>2.53865570875125</v>
      </c>
      <c r="J99" s="11" t="n">
        <v>2.52604718579127</v>
      </c>
      <c r="K99" s="11" t="n">
        <v>2.52003494845783</v>
      </c>
      <c r="L99" s="11" t="n">
        <v>2.52036724029506</v>
      </c>
      <c r="M99" s="11" t="n">
        <v>2.52671062429399</v>
      </c>
      <c r="N99" s="11" t="n">
        <v>2.53864129876186</v>
      </c>
      <c r="O99" s="11" t="n">
        <v>2.55564137548292</v>
      </c>
      <c r="P99" s="11" t="n">
        <v>2.57709714401416</v>
      </c>
      <c r="Q99" s="11" t="n">
        <v>2.6023115767175</v>
      </c>
      <c r="R99" s="11" t="n">
        <v>2.63052690979019</v>
      </c>
      <c r="S99" s="11" t="n">
        <v>2.66096493947522</v>
      </c>
      <c r="T99" s="11" t="n">
        <v>2.69283512940845</v>
      </c>
      <c r="U99" s="11" t="n">
        <v>2.72540644126608</v>
      </c>
      <c r="V99" s="11" t="n">
        <v>2.7580306780498</v>
      </c>
      <c r="W99" s="11" t="n">
        <v>2.79012595283783</v>
      </c>
      <c r="X99" s="11" t="n">
        <v>2.82116626330434</v>
      </c>
      <c r="Y99" s="11" t="n">
        <v>2.85070910319054</v>
      </c>
      <c r="Z99" s="11" t="n">
        <v>2.8784239681114</v>
      </c>
      <c r="AA99" s="11" t="n">
        <v>2.90407542628801</v>
      </c>
      <c r="AB99" s="11" t="n">
        <v>2.92750333748289</v>
      </c>
      <c r="AC99" s="11" t="n">
        <v>2.94860773647811</v>
      </c>
      <c r="AD99" s="11" t="n">
        <v>2.96733885221996</v>
      </c>
      <c r="AE99" s="11" t="n">
        <v>2.9836892649729</v>
      </c>
      <c r="AF99" s="11" t="n">
        <v>2.99768745000555</v>
      </c>
      <c r="AG99" s="11" t="n">
        <v>3.00938896014455</v>
      </c>
      <c r="AH99" s="11" t="n">
        <v>3.01886599948661</v>
      </c>
      <c r="AI99" s="11" t="n">
        <v>3.0262050993198</v>
      </c>
      <c r="AJ99" s="11" t="n">
        <v>3.03150342470271</v>
      </c>
      <c r="AK99" s="11" t="n">
        <v>3.03486630049994</v>
      </c>
      <c r="AL99" s="11" t="n">
        <v>3.03640311965804</v>
      </c>
      <c r="AM99" s="11" t="n">
        <v>3.03622512063614</v>
      </c>
      <c r="AN99" s="11" t="n">
        <v>3.03444408912717</v>
      </c>
      <c r="AO99" s="11" t="n">
        <v>3.03117188418211</v>
      </c>
      <c r="AP99" s="11" t="n">
        <v>3.0265197660496</v>
      </c>
      <c r="AQ99" s="11" t="n">
        <v>3.02059809612859</v>
      </c>
      <c r="AR99" s="11" t="n">
        <v>3.01351572949114</v>
      </c>
      <c r="AS99" s="11" t="n">
        <v>3.00537956985039</v>
      </c>
      <c r="AT99" s="11" t="n">
        <v>2.99629388623205</v>
      </c>
      <c r="AU99" s="11" t="n">
        <v>2.98635988097618</v>
      </c>
      <c r="AV99" s="11" t="n">
        <v>2.97567523878859</v>
      </c>
      <c r="AW99" s="11" t="n">
        <v>2.96433387934704</v>
      </c>
      <c r="AX99" s="11" t="n">
        <v>2.95242599822768</v>
      </c>
      <c r="AY99" s="11" t="n">
        <v>2.94003706424514</v>
      </c>
      <c r="AZ99" s="11" t="n">
        <v>2.92724734858164</v>
      </c>
      <c r="BA99" s="11" t="n">
        <v>2.9141322731933</v>
      </c>
      <c r="BB99" s="11" t="n">
        <v>2.90076225603613</v>
      </c>
      <c r="BC99" s="11" t="n">
        <v>2.88720270188682</v>
      </c>
      <c r="BD99" s="11" t="n">
        <v>2.87351429939914</v>
      </c>
      <c r="BE99" s="11" t="n">
        <v>2.85975319823366</v>
      </c>
      <c r="BF99" s="11" t="n">
        <v>2.84597100513224</v>
      </c>
      <c r="BG99" s="11" t="n">
        <v>2.83221514803868</v>
      </c>
    </row>
    <row r="100" customFormat="false" ht="15" hidden="false" customHeight="false" outlineLevel="0" collapsed="false">
      <c r="A100" s="10" t="n">
        <v>-25</v>
      </c>
      <c r="B100" s="8" t="n">
        <v>44799</v>
      </c>
      <c r="C100" s="11" t="n">
        <v>2.7588633687254</v>
      </c>
      <c r="D100" s="11" t="n">
        <v>2.71462623564311</v>
      </c>
      <c r="E100" s="11" t="n">
        <v>2.66536793207762</v>
      </c>
      <c r="F100" s="11" t="n">
        <v>2.62029023217111</v>
      </c>
      <c r="G100" s="11" t="n">
        <v>2.58225488479043</v>
      </c>
      <c r="H100" s="11" t="n">
        <v>2.55194312340397</v>
      </c>
      <c r="I100" s="11" t="n">
        <v>2.52935468383303</v>
      </c>
      <c r="J100" s="11" t="n">
        <v>2.51428325997395</v>
      </c>
      <c r="K100" s="11" t="n">
        <v>2.50644544440719</v>
      </c>
      <c r="L100" s="11" t="n">
        <v>2.50549499606351</v>
      </c>
      <c r="M100" s="11" t="n">
        <v>2.51101442373969</v>
      </c>
      <c r="N100" s="11" t="n">
        <v>2.52249895294781</v>
      </c>
      <c r="O100" s="11" t="n">
        <v>2.53936111055602</v>
      </c>
      <c r="P100" s="11" t="n">
        <v>2.5609260514106</v>
      </c>
      <c r="Q100" s="11" t="n">
        <v>2.58644370923197</v>
      </c>
      <c r="R100" s="11" t="n">
        <v>2.61511285125281</v>
      </c>
      <c r="S100" s="11" t="n">
        <v>2.64611910704172</v>
      </c>
      <c r="T100" s="11" t="n">
        <v>2.67864155402431</v>
      </c>
      <c r="U100" s="11" t="n">
        <v>2.71192375780184</v>
      </c>
      <c r="V100" s="11" t="n">
        <v>2.74529420078702</v>
      </c>
      <c r="W100" s="11" t="n">
        <v>2.77814920953059</v>
      </c>
      <c r="X100" s="11" t="n">
        <v>2.80994253703573</v>
      </c>
      <c r="Y100" s="11" t="n">
        <v>2.8402141730898</v>
      </c>
      <c r="Z100" s="11" t="n">
        <v>2.86861811689059</v>
      </c>
      <c r="AA100" s="11" t="n">
        <v>2.89490614574625</v>
      </c>
      <c r="AB100" s="11" t="n">
        <v>2.91890789835303</v>
      </c>
      <c r="AC100" s="11" t="n">
        <v>2.94051469145069</v>
      </c>
      <c r="AD100" s="11" t="n">
        <v>2.95966923995177</v>
      </c>
      <c r="AE100" s="11" t="n">
        <v>2.97635762597428</v>
      </c>
      <c r="AF100" s="11" t="n">
        <v>2.99060267281665</v>
      </c>
      <c r="AG100" s="11" t="n">
        <v>3.00245436353146</v>
      </c>
      <c r="AH100" s="11" t="n">
        <v>3.01197904978277</v>
      </c>
      <c r="AI100" s="11" t="n">
        <v>3.0192578077385</v>
      </c>
      <c r="AJ100" s="11" t="n">
        <v>3.02438285935517</v>
      </c>
      <c r="AK100" s="11" t="n">
        <v>3.02745513272123</v>
      </c>
      <c r="AL100" s="11" t="n">
        <v>3.02858051408005</v>
      </c>
      <c r="AM100" s="11" t="n">
        <v>3.02786794146311</v>
      </c>
      <c r="AN100" s="11" t="n">
        <v>3.0254284369019</v>
      </c>
      <c r="AO100" s="11" t="n">
        <v>3.02137473266439</v>
      </c>
      <c r="AP100" s="11" t="n">
        <v>3.01582105309052</v>
      </c>
      <c r="AQ100" s="11" t="n">
        <v>3.00888287607374</v>
      </c>
      <c r="AR100" s="11" t="n">
        <v>3.00067638878393</v>
      </c>
      <c r="AS100" s="11" t="n">
        <v>2.99131799317894</v>
      </c>
      <c r="AT100" s="11" t="n">
        <v>2.98092326306596</v>
      </c>
      <c r="AU100" s="11" t="n">
        <v>2.96960621304357</v>
      </c>
      <c r="AV100" s="11" t="n">
        <v>2.95747840757529</v>
      </c>
      <c r="AW100" s="11" t="n">
        <v>2.94464834984038</v>
      </c>
      <c r="AX100" s="11" t="n">
        <v>2.93122108602018</v>
      </c>
      <c r="AY100" s="11" t="n">
        <v>2.91729641716541</v>
      </c>
      <c r="AZ100" s="11" t="n">
        <v>2.90296807699606</v>
      </c>
      <c r="BA100" s="11" t="n">
        <v>2.88832405669891</v>
      </c>
      <c r="BB100" s="11" t="n">
        <v>2.87344597236673</v>
      </c>
      <c r="BC100" s="11" t="n">
        <v>2.85840878642941</v>
      </c>
      <c r="BD100" s="11" t="n">
        <v>2.84328112478458</v>
      </c>
      <c r="BE100" s="11" t="n">
        <v>2.82812550357609</v>
      </c>
      <c r="BF100" s="11" t="n">
        <v>2.81299835642319</v>
      </c>
      <c r="BG100" s="11" t="n">
        <v>2.79795040438135</v>
      </c>
    </row>
    <row r="101" customFormat="false" ht="15" hidden="false" customHeight="false" outlineLevel="0" collapsed="false">
      <c r="A101" s="10" t="n">
        <v>-24</v>
      </c>
      <c r="B101" s="8" t="n">
        <v>44803</v>
      </c>
      <c r="C101" s="11" t="n">
        <v>2.88098362581825</v>
      </c>
      <c r="D101" s="11" t="n">
        <v>2.83305836223217</v>
      </c>
      <c r="E101" s="11" t="n">
        <v>2.78207936405149</v>
      </c>
      <c r="F101" s="11" t="n">
        <v>2.73649393821673</v>
      </c>
      <c r="G101" s="11" t="n">
        <v>2.69865204287499</v>
      </c>
      <c r="H101" s="11" t="n">
        <v>2.66892322709524</v>
      </c>
      <c r="I101" s="11" t="n">
        <v>2.64711609394457</v>
      </c>
      <c r="J101" s="11" t="n">
        <v>2.63290601093311</v>
      </c>
      <c r="K101" s="11" t="n">
        <v>2.62593811450017</v>
      </c>
      <c r="L101" s="11" t="n">
        <v>2.62582539546522</v>
      </c>
      <c r="M101" s="11" t="n">
        <v>2.63213285450126</v>
      </c>
      <c r="N101" s="11" t="n">
        <v>2.64435313402676</v>
      </c>
      <c r="O101" s="11" t="n">
        <v>2.66190413740653</v>
      </c>
      <c r="P101" s="11" t="n">
        <v>2.68412050498063</v>
      </c>
      <c r="Q101" s="11" t="n">
        <v>2.71026336940891</v>
      </c>
      <c r="R101" s="11" t="n">
        <v>2.7395423899983</v>
      </c>
      <c r="S101" s="11" t="n">
        <v>2.77115292398967</v>
      </c>
      <c r="T101" s="11" t="n">
        <v>2.80428217974323</v>
      </c>
      <c r="U101" s="11" t="n">
        <v>2.83817953497955</v>
      </c>
      <c r="V101" s="11" t="n">
        <v>2.87217657478913</v>
      </c>
      <c r="W101" s="11" t="n">
        <v>2.90567055081006</v>
      </c>
      <c r="X101" s="11" t="n">
        <v>2.93811443585179</v>
      </c>
      <c r="Y101" s="11" t="n">
        <v>2.96904586523786</v>
      </c>
      <c r="Z101" s="11" t="n">
        <v>2.99811446114545</v>
      </c>
      <c r="AA101" s="11" t="n">
        <v>3.02506585186486</v>
      </c>
      <c r="AB101" s="11" t="n">
        <v>3.04972299547192</v>
      </c>
      <c r="AC101" s="11" t="n">
        <v>3.07197116169836</v>
      </c>
      <c r="AD101" s="11" t="n">
        <v>3.09174766505176</v>
      </c>
      <c r="AE101" s="11" t="n">
        <v>3.10903373281804</v>
      </c>
      <c r="AF101" s="11" t="n">
        <v>3.1238477996465</v>
      </c>
      <c r="AG101" s="11" t="n">
        <v>3.13623626386934</v>
      </c>
      <c r="AH101" s="11" t="n">
        <v>3.14626339352983</v>
      </c>
      <c r="AI101" s="11" t="n">
        <v>3.15400901632805</v>
      </c>
      <c r="AJ101" s="11" t="n">
        <v>3.15956449093328</v>
      </c>
      <c r="AK101" s="11" t="n">
        <v>3.16303008700731</v>
      </c>
      <c r="AL101" s="11" t="n">
        <v>3.16451088970626</v>
      </c>
      <c r="AM101" s="11" t="n">
        <v>3.16411477258119</v>
      </c>
      <c r="AN101" s="11" t="n">
        <v>3.16195140684614</v>
      </c>
      <c r="AO101" s="11" t="n">
        <v>3.15813190578543</v>
      </c>
      <c r="AP101" s="11" t="n">
        <v>3.15276861525402</v>
      </c>
      <c r="AQ101" s="11" t="n">
        <v>3.14597489917754</v>
      </c>
      <c r="AR101" s="11" t="n">
        <v>3.13786464632583</v>
      </c>
      <c r="AS101" s="11" t="n">
        <v>3.12855182542808</v>
      </c>
      <c r="AT101" s="11" t="n">
        <v>3.11814953868138</v>
      </c>
      <c r="AU101" s="11" t="n">
        <v>3.10676937465892</v>
      </c>
      <c r="AV101" s="11" t="n">
        <v>3.09452066293382</v>
      </c>
      <c r="AW101" s="11" t="n">
        <v>3.08150997109638</v>
      </c>
      <c r="AX101" s="11" t="n">
        <v>3.06784075382352</v>
      </c>
      <c r="AY101" s="11" t="n">
        <v>3.05361174858231</v>
      </c>
      <c r="AZ101" s="11" t="n">
        <v>3.03891625047725</v>
      </c>
      <c r="BA101" s="11" t="n">
        <v>3.02384240884362</v>
      </c>
      <c r="BB101" s="11" t="n">
        <v>3.00847269846575</v>
      </c>
      <c r="BC101" s="11" t="n">
        <v>2.99288370662421</v>
      </c>
      <c r="BD101" s="11" t="n">
        <v>2.97714643601058</v>
      </c>
      <c r="BE101" s="11" t="n">
        <v>2.96132647524032</v>
      </c>
      <c r="BF101" s="11" t="n">
        <v>2.94548395715375</v>
      </c>
      <c r="BG101" s="11" t="n">
        <v>2.92967391383764</v>
      </c>
    </row>
    <row r="102" customFormat="false" ht="15" hidden="false" customHeight="false" outlineLevel="0" collapsed="false">
      <c r="A102" s="10" t="n">
        <v>-23</v>
      </c>
      <c r="B102" s="8" t="n">
        <v>44804</v>
      </c>
      <c r="C102" s="11" t="n">
        <v>2.97160118684684</v>
      </c>
      <c r="D102" s="11" t="n">
        <v>2.91926700301615</v>
      </c>
      <c r="E102" s="11" t="n">
        <v>2.86584894809601</v>
      </c>
      <c r="F102" s="11" t="n">
        <v>2.81914318707137</v>
      </c>
      <c r="G102" s="11" t="n">
        <v>2.78103083818943</v>
      </c>
      <c r="H102" s="11" t="n">
        <v>2.7515608956206</v>
      </c>
      <c r="I102" s="11" t="n">
        <v>2.73032607088303</v>
      </c>
      <c r="J102" s="11" t="n">
        <v>2.71686218257919</v>
      </c>
      <c r="K102" s="11" t="n">
        <v>2.71072916180907</v>
      </c>
      <c r="L102" s="11" t="n">
        <v>2.7114887294383</v>
      </c>
      <c r="M102" s="11" t="n">
        <v>2.71867647476719</v>
      </c>
      <c r="N102" s="11" t="n">
        <v>2.73176746193599</v>
      </c>
      <c r="O102" s="11" t="n">
        <v>2.75016705018937</v>
      </c>
      <c r="P102" s="11" t="n">
        <v>2.77319890542146</v>
      </c>
      <c r="Q102" s="11" t="n">
        <v>2.80011295031812</v>
      </c>
      <c r="R102" s="11" t="n">
        <v>2.83010635344018</v>
      </c>
      <c r="S102" s="11" t="n">
        <v>2.86236124381893</v>
      </c>
      <c r="T102" s="11" t="n">
        <v>2.89605008882324</v>
      </c>
      <c r="U102" s="11" t="n">
        <v>2.93041014737769</v>
      </c>
      <c r="V102" s="11" t="n">
        <v>2.96476447148091</v>
      </c>
      <c r="W102" s="11" t="n">
        <v>2.99850462820065</v>
      </c>
      <c r="X102" s="11" t="n">
        <v>3.03108040449783</v>
      </c>
      <c r="Y102" s="11" t="n">
        <v>3.06203031000986</v>
      </c>
      <c r="Z102" s="11" t="n">
        <v>3.09100969236315</v>
      </c>
      <c r="AA102" s="11" t="n">
        <v>3.11777303961497</v>
      </c>
      <c r="AB102" s="11" t="n">
        <v>3.14215376929576</v>
      </c>
      <c r="AC102" s="11" t="n">
        <v>3.16404854090998</v>
      </c>
      <c r="AD102" s="11" t="n">
        <v>3.18340680520714</v>
      </c>
      <c r="AE102" s="11" t="n">
        <v>3.20022255554887</v>
      </c>
      <c r="AF102" s="11" t="n">
        <v>3.21452751874693</v>
      </c>
      <c r="AG102" s="11" t="n">
        <v>3.22638140105779</v>
      </c>
      <c r="AH102" s="11" t="n">
        <v>3.23586125779374</v>
      </c>
      <c r="AI102" s="11" t="n">
        <v>3.24305924916635</v>
      </c>
      <c r="AJ102" s="11" t="n">
        <v>3.24807839940128</v>
      </c>
      <c r="AK102" s="11" t="n">
        <v>3.25102994206425</v>
      </c>
      <c r="AL102" s="11" t="n">
        <v>3.25202902657528</v>
      </c>
      <c r="AM102" s="11" t="n">
        <v>3.25119251535376</v>
      </c>
      <c r="AN102" s="11" t="n">
        <v>3.24863775111386</v>
      </c>
      <c r="AO102" s="11" t="n">
        <v>3.24448213519645</v>
      </c>
      <c r="AP102" s="11" t="n">
        <v>3.23884256551957</v>
      </c>
      <c r="AQ102" s="11" t="n">
        <v>3.23183518191349</v>
      </c>
      <c r="AR102" s="11" t="n">
        <v>3.22357478211538</v>
      </c>
      <c r="AS102" s="11" t="n">
        <v>3.21417439209067</v>
      </c>
      <c r="AT102" s="11" t="n">
        <v>3.20374447958456</v>
      </c>
      <c r="AU102" s="11" t="n">
        <v>3.19239248564495</v>
      </c>
      <c r="AV102" s="11" t="n">
        <v>3.1802223482748</v>
      </c>
      <c r="AW102" s="11" t="n">
        <v>3.16733423904007</v>
      </c>
      <c r="AX102" s="11" t="n">
        <v>3.15382445428853</v>
      </c>
      <c r="AY102" s="11" t="n">
        <v>3.13978426920624</v>
      </c>
      <c r="AZ102" s="11" t="n">
        <v>3.12529948267906</v>
      </c>
      <c r="BA102" s="11" t="n">
        <v>3.1104507692066</v>
      </c>
      <c r="BB102" s="11" t="n">
        <v>3.09531342179727</v>
      </c>
      <c r="BC102" s="11" t="n">
        <v>3.07995733486601</v>
      </c>
      <c r="BD102" s="11" t="n">
        <v>3.06444739073382</v>
      </c>
      <c r="BE102" s="11" t="n">
        <v>3.04884369078921</v>
      </c>
      <c r="BF102" s="11" t="n">
        <v>3.03320161165531</v>
      </c>
      <c r="BG102" s="11" t="n">
        <v>3.01757221921776</v>
      </c>
    </row>
    <row r="103" customFormat="false" ht="15" hidden="false" customHeight="false" outlineLevel="0" collapsed="false">
      <c r="A103" s="10" t="n">
        <v>-22</v>
      </c>
      <c r="B103" s="8" t="n">
        <v>44805</v>
      </c>
      <c r="C103" s="11" t="n">
        <v>3.04316229551838</v>
      </c>
      <c r="D103" s="11" t="n">
        <v>2.98631699308854</v>
      </c>
      <c r="E103" s="11" t="n">
        <v>2.9314146615179</v>
      </c>
      <c r="F103" s="11" t="n">
        <v>2.88549200010845</v>
      </c>
      <c r="G103" s="11" t="n">
        <v>2.84968563416868</v>
      </c>
      <c r="H103" s="11" t="n">
        <v>2.82346033153733</v>
      </c>
      <c r="I103" s="11" t="n">
        <v>2.80597330542801</v>
      </c>
      <c r="J103" s="11" t="n">
        <v>2.79644819269117</v>
      </c>
      <c r="K103" s="11" t="n">
        <v>2.79422906473532</v>
      </c>
      <c r="L103" s="11" t="n">
        <v>2.79874004788551</v>
      </c>
      <c r="M103" s="11" t="n">
        <v>2.8094373532725</v>
      </c>
      <c r="N103" s="11" t="n">
        <v>2.8257628535191</v>
      </c>
      <c r="O103" s="11" t="n">
        <v>2.84711938238412</v>
      </c>
      <c r="P103" s="11" t="n">
        <v>2.87284904060356</v>
      </c>
      <c r="Q103" s="11" t="n">
        <v>2.90223394183837</v>
      </c>
      <c r="R103" s="11" t="n">
        <v>2.93451050265545</v>
      </c>
      <c r="S103" s="11" t="n">
        <v>2.96890205465034</v>
      </c>
      <c r="T103" s="11" t="n">
        <v>3.00462262941129</v>
      </c>
      <c r="U103" s="11" t="n">
        <v>3.04094443604804</v>
      </c>
      <c r="V103" s="11" t="n">
        <v>3.07721665310739</v>
      </c>
      <c r="W103" s="11" t="n">
        <v>3.11284991197659</v>
      </c>
      <c r="X103" s="11" t="n">
        <v>3.14730723121369</v>
      </c>
      <c r="Y103" s="11" t="n">
        <v>3.18013275955908</v>
      </c>
      <c r="Z103" s="11" t="n">
        <v>3.21097794409812</v>
      </c>
      <c r="AA103" s="11" t="n">
        <v>3.23958686077947</v>
      </c>
      <c r="AB103" s="11" t="n">
        <v>3.2657804079116</v>
      </c>
      <c r="AC103" s="11" t="n">
        <v>3.28944339755109</v>
      </c>
      <c r="AD103" s="11" t="n">
        <v>3.31051423499865</v>
      </c>
      <c r="AE103" s="11" t="n">
        <v>3.32897654485466</v>
      </c>
      <c r="AF103" s="11" t="n">
        <v>3.34485227238513</v>
      </c>
      <c r="AG103" s="11" t="n">
        <v>3.35819289619142</v>
      </c>
      <c r="AH103" s="11" t="n">
        <v>3.36907040640812</v>
      </c>
      <c r="AI103" s="11" t="n">
        <v>3.37757415798177</v>
      </c>
      <c r="AJ103" s="11" t="n">
        <v>3.38380631184602</v>
      </c>
      <c r="AK103" s="11" t="n">
        <v>3.38787887563392</v>
      </c>
      <c r="AL103" s="11" t="n">
        <v>3.38990902519498</v>
      </c>
      <c r="AM103" s="11" t="n">
        <v>3.39001659153217</v>
      </c>
      <c r="AN103" s="11" t="n">
        <v>3.38832252466098</v>
      </c>
      <c r="AO103" s="11" t="n">
        <v>3.38494834167485</v>
      </c>
      <c r="AP103" s="11" t="n">
        <v>3.38001544692833</v>
      </c>
      <c r="AQ103" s="11" t="n">
        <v>3.3736448101396</v>
      </c>
      <c r="AR103" s="11" t="n">
        <v>3.36595633215134</v>
      </c>
      <c r="AS103" s="11" t="n">
        <v>3.35706835510911</v>
      </c>
      <c r="AT103" s="11" t="n">
        <v>3.3470966953028</v>
      </c>
      <c r="AU103" s="11" t="n">
        <v>3.33615405459564</v>
      </c>
      <c r="AV103" s="11" t="n">
        <v>3.32434941077663</v>
      </c>
      <c r="AW103" s="11" t="n">
        <v>3.31178766726695</v>
      </c>
      <c r="AX103" s="11" t="n">
        <v>3.29856949799753</v>
      </c>
      <c r="AY103" s="11" t="n">
        <v>3.28479011111853</v>
      </c>
      <c r="AZ103" s="11" t="n">
        <v>3.27053877870104</v>
      </c>
      <c r="BA103" s="11" t="n">
        <v>3.25589920978489</v>
      </c>
      <c r="BB103" s="11" t="n">
        <v>3.24094921641526</v>
      </c>
      <c r="BC103" s="11" t="n">
        <v>3.2257606426412</v>
      </c>
      <c r="BD103" s="11" t="n">
        <v>3.21039969681013</v>
      </c>
      <c r="BE103" s="11" t="n">
        <v>3.19492715675306</v>
      </c>
      <c r="BF103" s="11" t="n">
        <v>3.17939839304041</v>
      </c>
      <c r="BG103" s="11" t="n">
        <v>3.16386377271701</v>
      </c>
    </row>
    <row r="104" customFormat="false" ht="15" hidden="false" customHeight="false" outlineLevel="0" collapsed="false">
      <c r="A104" s="10" t="n">
        <v>-21</v>
      </c>
      <c r="B104" s="8" t="n">
        <v>44806</v>
      </c>
      <c r="C104" s="11" t="n">
        <v>3.02567131898887</v>
      </c>
      <c r="D104" s="11" t="n">
        <v>2.96836754205976</v>
      </c>
      <c r="E104" s="11" t="n">
        <v>2.91334246899312</v>
      </c>
      <c r="F104" s="11" t="n">
        <v>2.86746579508129</v>
      </c>
      <c r="G104" s="11" t="n">
        <v>2.83182534758265</v>
      </c>
      <c r="H104" s="11" t="n">
        <v>2.80586371970314</v>
      </c>
      <c r="I104" s="11" t="n">
        <v>2.78872071082169</v>
      </c>
      <c r="J104" s="11" t="n">
        <v>2.77960721471081</v>
      </c>
      <c r="K104" s="11" t="n">
        <v>2.77785895116908</v>
      </c>
      <c r="L104" s="11" t="n">
        <v>2.78289700541092</v>
      </c>
      <c r="M104" s="11" t="n">
        <v>2.79417481564324</v>
      </c>
      <c r="N104" s="11" t="n">
        <v>2.81113623039533</v>
      </c>
      <c r="O104" s="11" t="n">
        <v>2.83318677421149</v>
      </c>
      <c r="P104" s="11" t="n">
        <v>2.85967247255206</v>
      </c>
      <c r="Q104" s="11" t="n">
        <v>2.88987955511995</v>
      </c>
      <c r="R104" s="11" t="n">
        <v>2.92304775576537</v>
      </c>
      <c r="S104" s="11" t="n">
        <v>2.95840247191467</v>
      </c>
      <c r="T104" s="11" t="n">
        <v>2.99515793017415</v>
      </c>
      <c r="U104" s="11" t="n">
        <v>3.03258522706996</v>
      </c>
      <c r="V104" s="11" t="n">
        <v>3.0700303283087</v>
      </c>
      <c r="W104" s="11" t="n">
        <v>3.10689892969871</v>
      </c>
      <c r="X104" s="11" t="n">
        <v>3.14264798159584</v>
      </c>
      <c r="Y104" s="11" t="n">
        <v>3.17681561133495</v>
      </c>
      <c r="Z104" s="11" t="n">
        <v>3.20904690739728</v>
      </c>
      <c r="AA104" s="11" t="n">
        <v>3.23907964089515</v>
      </c>
      <c r="AB104" s="11" t="n">
        <v>3.26672879629376</v>
      </c>
      <c r="AC104" s="11" t="n">
        <v>3.29187360818432</v>
      </c>
      <c r="AD104" s="11" t="n">
        <v>3.31444718645164</v>
      </c>
      <c r="AE104" s="11" t="n">
        <v>3.33442809825957</v>
      </c>
      <c r="AF104" s="11" t="n">
        <v>3.35183342105514</v>
      </c>
      <c r="AG104" s="11" t="n">
        <v>3.36670957970358</v>
      </c>
      <c r="AH104" s="11" t="n">
        <v>3.3791234726189</v>
      </c>
      <c r="AI104" s="11" t="n">
        <v>3.38915977064071</v>
      </c>
      <c r="AJ104" s="11" t="n">
        <v>3.39691632171595</v>
      </c>
      <c r="AK104" s="11" t="n">
        <v>3.40250112330265</v>
      </c>
      <c r="AL104" s="11" t="n">
        <v>3.40602763237361</v>
      </c>
      <c r="AM104" s="11" t="n">
        <v>3.4076122415762</v>
      </c>
      <c r="AN104" s="11" t="n">
        <v>3.40737269929569</v>
      </c>
      <c r="AO104" s="11" t="n">
        <v>3.40542762310225</v>
      </c>
      <c r="AP104" s="11" t="n">
        <v>3.40189609020893</v>
      </c>
      <c r="AQ104" s="11" t="n">
        <v>3.39689740193805</v>
      </c>
      <c r="AR104" s="11" t="n">
        <v>3.39055061379801</v>
      </c>
      <c r="AS104" s="11" t="n">
        <v>3.38297408744041</v>
      </c>
      <c r="AT104" s="11" t="n">
        <v>3.37428430525626</v>
      </c>
      <c r="AU104" s="11" t="n">
        <v>3.3645951375834</v>
      </c>
      <c r="AV104" s="11" t="n">
        <v>3.35401709826124</v>
      </c>
      <c r="AW104" s="11" t="n">
        <v>3.34265689909574</v>
      </c>
      <c r="AX104" s="11" t="n">
        <v>3.33061716184643</v>
      </c>
      <c r="AY104" s="11" t="n">
        <v>3.31799497915069</v>
      </c>
      <c r="AZ104" s="11" t="n">
        <v>3.30488138068578</v>
      </c>
      <c r="BA104" s="11" t="n">
        <v>3.29136168446432</v>
      </c>
      <c r="BB104" s="11" t="n">
        <v>3.27751500653836</v>
      </c>
      <c r="BC104" s="11" t="n">
        <v>3.26341407924912</v>
      </c>
      <c r="BD104" s="11" t="n">
        <v>3.24912545429565</v>
      </c>
      <c r="BE104" s="11" t="n">
        <v>3.23470963275656</v>
      </c>
      <c r="BF104" s="11" t="n">
        <v>3.22022101664048</v>
      </c>
      <c r="BG104" s="11" t="n">
        <v>3.20570826633698</v>
      </c>
    </row>
    <row r="105" customFormat="false" ht="15" hidden="false" customHeight="false" outlineLevel="0" collapsed="false">
      <c r="A105" s="10" t="n">
        <v>-20</v>
      </c>
      <c r="B105" s="8" t="n">
        <v>44809</v>
      </c>
      <c r="C105" s="11" t="n">
        <v>3.117057580341</v>
      </c>
      <c r="D105" s="11" t="n">
        <v>3.05703737503149</v>
      </c>
      <c r="E105" s="11" t="n">
        <v>2.9981897273975</v>
      </c>
      <c r="F105" s="11" t="n">
        <v>2.94775035006842</v>
      </c>
      <c r="G105" s="11" t="n">
        <v>2.90709313266556</v>
      </c>
      <c r="H105" s="11" t="n">
        <v>2.87585722839588</v>
      </c>
      <c r="I105" s="11" t="n">
        <v>2.85331897602773</v>
      </c>
      <c r="J105" s="11" t="n">
        <v>2.83877893617148</v>
      </c>
      <c r="K105" s="11" t="n">
        <v>2.83162894657546</v>
      </c>
      <c r="L105" s="11" t="n">
        <v>2.83132006465593</v>
      </c>
      <c r="M105" s="11" t="n">
        <v>2.83731403718975</v>
      </c>
      <c r="N105" s="11" t="n">
        <v>2.84904752690119</v>
      </c>
      <c r="O105" s="11" t="n">
        <v>2.86590804139426</v>
      </c>
      <c r="P105" s="11" t="n">
        <v>2.88721847255998</v>
      </c>
      <c r="Q105" s="11" t="n">
        <v>2.9122405911323</v>
      </c>
      <c r="R105" s="11" t="n">
        <v>2.9401935884701</v>
      </c>
      <c r="S105" s="11" t="n">
        <v>2.97029134385536</v>
      </c>
      <c r="T105" s="11" t="n">
        <v>3.00174728840916</v>
      </c>
      <c r="U105" s="11" t="n">
        <v>3.03384330880392</v>
      </c>
      <c r="V105" s="11" t="n">
        <v>3.06594595439463</v>
      </c>
      <c r="W105" s="11" t="n">
        <v>3.09748925424372</v>
      </c>
      <c r="X105" s="11" t="n">
        <v>3.1279647599503</v>
      </c>
      <c r="Y105" s="11" t="n">
        <v>3.15695039416223</v>
      </c>
      <c r="Z105" s="11" t="n">
        <v>3.18413463015829</v>
      </c>
      <c r="AA105" s="11" t="n">
        <v>3.20929929657904</v>
      </c>
      <c r="AB105" s="11" t="n">
        <v>3.23229921348074</v>
      </c>
      <c r="AC105" s="11" t="n">
        <v>3.25304627383766</v>
      </c>
      <c r="AD105" s="11" t="n">
        <v>3.27149989181002</v>
      </c>
      <c r="AE105" s="11" t="n">
        <v>3.28765957755865</v>
      </c>
      <c r="AF105" s="11" t="n">
        <v>3.30155877195223</v>
      </c>
      <c r="AG105" s="11" t="n">
        <v>3.31325466679075</v>
      </c>
      <c r="AH105" s="11" t="n">
        <v>3.3228176546378</v>
      </c>
      <c r="AI105" s="11" t="n">
        <v>3.3303300233298</v>
      </c>
      <c r="AJ105" s="11" t="n">
        <v>3.33588186693209</v>
      </c>
      <c r="AK105" s="11" t="n">
        <v>3.33956880504892</v>
      </c>
      <c r="AL105" s="11" t="n">
        <v>3.34148818119582</v>
      </c>
      <c r="AM105" s="11" t="n">
        <v>3.34173740338187</v>
      </c>
      <c r="AN105" s="11" t="n">
        <v>3.34041324317476</v>
      </c>
      <c r="AO105" s="11" t="n">
        <v>3.33761188250987</v>
      </c>
      <c r="AP105" s="11" t="n">
        <v>3.33342930220674</v>
      </c>
      <c r="AQ105" s="11" t="n">
        <v>3.32796144532089</v>
      </c>
      <c r="AR105" s="11" t="n">
        <v>3.32130438839099</v>
      </c>
      <c r="AS105" s="11" t="n">
        <v>3.31355430078241</v>
      </c>
      <c r="AT105" s="11" t="n">
        <v>3.30480666370468</v>
      </c>
      <c r="AU105" s="11" t="n">
        <v>3.2951557607292</v>
      </c>
      <c r="AV105" s="11" t="n">
        <v>3.28469411637321</v>
      </c>
      <c r="AW105" s="11" t="n">
        <v>3.27351214765713</v>
      </c>
      <c r="AX105" s="11" t="n">
        <v>3.26169785294077</v>
      </c>
      <c r="AY105" s="11" t="n">
        <v>3.24933537662214</v>
      </c>
      <c r="AZ105" s="11" t="n">
        <v>3.2365044052744</v>
      </c>
      <c r="BA105" s="11" t="n">
        <v>3.22328038081075</v>
      </c>
      <c r="BB105" s="11" t="n">
        <v>3.20973392614949</v>
      </c>
      <c r="BC105" s="11" t="n">
        <v>3.19593058413538</v>
      </c>
      <c r="BD105" s="11" t="n">
        <v>3.18193093135867</v>
      </c>
      <c r="BE105" s="11" t="n">
        <v>3.1677906277515</v>
      </c>
      <c r="BF105" s="11" t="n">
        <v>3.15356030196965</v>
      </c>
      <c r="BG105" s="11" t="n">
        <v>3.13928579418435</v>
      </c>
    </row>
    <row r="106" customFormat="false" ht="15" hidden="false" customHeight="false" outlineLevel="0" collapsed="false">
      <c r="A106" s="10" t="n">
        <v>-19</v>
      </c>
      <c r="B106" s="8" t="n">
        <v>44810</v>
      </c>
      <c r="C106" s="11" t="n">
        <v>3.08718176126716</v>
      </c>
      <c r="D106" s="11" t="n">
        <v>3.05319653113431</v>
      </c>
      <c r="E106" s="11" t="n">
        <v>3.0152396077707</v>
      </c>
      <c r="F106" s="11" t="n">
        <v>2.98195560891984</v>
      </c>
      <c r="G106" s="11" t="n">
        <v>2.955665565299</v>
      </c>
      <c r="H106" s="11" t="n">
        <v>2.93662839342396</v>
      </c>
      <c r="I106" s="11" t="n">
        <v>2.92453041342371</v>
      </c>
      <c r="J106" s="11" t="n">
        <v>2.9189518542195</v>
      </c>
      <c r="K106" s="11" t="n">
        <v>2.91949167428735</v>
      </c>
      <c r="L106" s="11" t="n">
        <v>2.92576928816749</v>
      </c>
      <c r="M106" s="11" t="n">
        <v>2.93739201662492</v>
      </c>
      <c r="N106" s="11" t="n">
        <v>2.95392994397257</v>
      </c>
      <c r="O106" s="11" t="n">
        <v>2.97489290233321</v>
      </c>
      <c r="P106" s="11" t="n">
        <v>2.99971524758959</v>
      </c>
      <c r="Q106" s="11" t="n">
        <v>3.02775985468138</v>
      </c>
      <c r="R106" s="11" t="n">
        <v>3.0583360819536</v>
      </c>
      <c r="S106" s="11" t="n">
        <v>3.090737989915</v>
      </c>
      <c r="T106" s="11" t="n">
        <v>3.12425110885984</v>
      </c>
      <c r="U106" s="11" t="n">
        <v>3.15821824364053</v>
      </c>
      <c r="V106" s="11" t="n">
        <v>3.19205557842924</v>
      </c>
      <c r="W106" s="11" t="n">
        <v>3.22523779493428</v>
      </c>
      <c r="X106" s="11" t="n">
        <v>3.25728974128638</v>
      </c>
      <c r="Y106" s="11" t="n">
        <v>3.28781416592409</v>
      </c>
      <c r="Z106" s="11" t="n">
        <v>3.31651461445904</v>
      </c>
      <c r="AA106" s="11" t="n">
        <v>3.34318068792076</v>
      </c>
      <c r="AB106" s="11" t="n">
        <v>3.36767054397133</v>
      </c>
      <c r="AC106" s="11" t="n">
        <v>3.38989677618439</v>
      </c>
      <c r="AD106" s="11" t="n">
        <v>3.40981738719445</v>
      </c>
      <c r="AE106" s="11" t="n">
        <v>3.42742869353109</v>
      </c>
      <c r="AF106" s="11" t="n">
        <v>3.44275943377087</v>
      </c>
      <c r="AG106" s="11" t="n">
        <v>3.45586119443509</v>
      </c>
      <c r="AH106" s="11" t="n">
        <v>3.46679872194626</v>
      </c>
      <c r="AI106" s="11" t="n">
        <v>3.47564858144778</v>
      </c>
      <c r="AJ106" s="11" t="n">
        <v>3.48249521917867</v>
      </c>
      <c r="AK106" s="11" t="n">
        <v>3.48742872897065</v>
      </c>
      <c r="AL106" s="11" t="n">
        <v>3.49054119002562</v>
      </c>
      <c r="AM106" s="11" t="n">
        <v>3.49192520373506</v>
      </c>
      <c r="AN106" s="11" t="n">
        <v>3.49167344004706</v>
      </c>
      <c r="AO106" s="11" t="n">
        <v>3.48987877409325</v>
      </c>
      <c r="AP106" s="11" t="n">
        <v>3.4866349469954</v>
      </c>
      <c r="AQ106" s="11" t="n">
        <v>3.48203674427627</v>
      </c>
      <c r="AR106" s="11" t="n">
        <v>3.47618011144241</v>
      </c>
      <c r="AS106" s="11" t="n">
        <v>3.46916202458711</v>
      </c>
      <c r="AT106" s="11" t="n">
        <v>3.46107953934515</v>
      </c>
      <c r="AU106" s="11" t="n">
        <v>3.45202915002347</v>
      </c>
      <c r="AV106" s="11" t="n">
        <v>3.44210608448084</v>
      </c>
      <c r="AW106" s="11" t="n">
        <v>3.43140383925871</v>
      </c>
      <c r="AX106" s="11" t="n">
        <v>3.42001374146212</v>
      </c>
      <c r="AY106" s="11" t="n">
        <v>3.40802333424161</v>
      </c>
      <c r="AZ106" s="11" t="n">
        <v>3.3955156964419</v>
      </c>
      <c r="BA106" s="11" t="n">
        <v>3.38256963206211</v>
      </c>
      <c r="BB106" s="11" t="n">
        <v>3.36925897868379</v>
      </c>
      <c r="BC106" s="11" t="n">
        <v>3.35565227258076</v>
      </c>
      <c r="BD106" s="11" t="n">
        <v>3.34181281693856</v>
      </c>
      <c r="BE106" s="11" t="n">
        <v>3.32779869429211</v>
      </c>
      <c r="BF106" s="11" t="n">
        <v>3.31366260823793</v>
      </c>
      <c r="BG106" s="11" t="n">
        <v>3.29945214133743</v>
      </c>
    </row>
    <row r="107" customFormat="false" ht="15" hidden="false" customHeight="false" outlineLevel="0" collapsed="false">
      <c r="A107" s="10" t="n">
        <v>-18</v>
      </c>
      <c r="B107" s="8" t="n">
        <v>44811</v>
      </c>
      <c r="C107" s="11" t="n">
        <v>2.95817586427694</v>
      </c>
      <c r="D107" s="11" t="n">
        <v>2.9380659303211</v>
      </c>
      <c r="E107" s="11" t="n">
        <v>2.91329749166164</v>
      </c>
      <c r="F107" s="11" t="n">
        <v>2.89205594852079</v>
      </c>
      <c r="G107" s="11" t="n">
        <v>2.87664010249679</v>
      </c>
      <c r="H107" s="11" t="n">
        <v>2.86737825599535</v>
      </c>
      <c r="I107" s="11" t="n">
        <v>2.86403032422772</v>
      </c>
      <c r="J107" s="11" t="n">
        <v>2.86623400340928</v>
      </c>
      <c r="K107" s="11" t="n">
        <v>2.87363377620676</v>
      </c>
      <c r="L107" s="11" t="n">
        <v>2.88589183187044</v>
      </c>
      <c r="M107" s="11" t="n">
        <v>2.9026621833643</v>
      </c>
      <c r="N107" s="11" t="n">
        <v>2.92357178686226</v>
      </c>
      <c r="O107" s="11" t="n">
        <v>2.94819737692728</v>
      </c>
      <c r="P107" s="11" t="n">
        <v>2.97604973324739</v>
      </c>
      <c r="Q107" s="11" t="n">
        <v>3.00657569132283</v>
      </c>
      <c r="R107" s="11" t="n">
        <v>3.03917271675247</v>
      </c>
      <c r="S107" s="11" t="n">
        <v>3.07322229569594</v>
      </c>
      <c r="T107" s="11" t="n">
        <v>3.10809587344977</v>
      </c>
      <c r="U107" s="11" t="n">
        <v>3.14321348111702</v>
      </c>
      <c r="V107" s="11" t="n">
        <v>3.17805806933801</v>
      </c>
      <c r="W107" s="11" t="n">
        <v>3.21216274292627</v>
      </c>
      <c r="X107" s="11" t="n">
        <v>3.24510379144226</v>
      </c>
      <c r="Y107" s="11" t="n">
        <v>3.27652581726763</v>
      </c>
      <c r="Z107" s="11" t="n">
        <v>3.30616220212113</v>
      </c>
      <c r="AA107" s="11" t="n">
        <v>3.33382286287515</v>
      </c>
      <c r="AB107" s="11" t="n">
        <v>3.35937881595658</v>
      </c>
      <c r="AC107" s="11" t="n">
        <v>3.38274927082932</v>
      </c>
      <c r="AD107" s="11" t="n">
        <v>3.40389360919698</v>
      </c>
      <c r="AE107" s="11" t="n">
        <v>3.4228051080904</v>
      </c>
      <c r="AF107" s="11" t="n">
        <v>3.43950571450387</v>
      </c>
      <c r="AG107" s="11" t="n">
        <v>3.45403704758463</v>
      </c>
      <c r="AH107" s="11" t="n">
        <v>3.46645147784084</v>
      </c>
      <c r="AI107" s="11" t="n">
        <v>3.47681163711348</v>
      </c>
      <c r="AJ107" s="11" t="n">
        <v>3.4851871599444</v>
      </c>
      <c r="AK107" s="11" t="n">
        <v>3.49165277131241</v>
      </c>
      <c r="AL107" s="11" t="n">
        <v>3.4962852284722</v>
      </c>
      <c r="AM107" s="11" t="n">
        <v>3.4991622682669</v>
      </c>
      <c r="AN107" s="11" t="n">
        <v>3.50036250597065</v>
      </c>
      <c r="AO107" s="11" t="n">
        <v>3.49996577824723</v>
      </c>
      <c r="AP107" s="11" t="n">
        <v>3.49805439232695</v>
      </c>
      <c r="AQ107" s="11" t="n">
        <v>3.49471343730928</v>
      </c>
      <c r="AR107" s="11" t="n">
        <v>3.49003114484659</v>
      </c>
      <c r="AS107" s="11" t="n">
        <v>3.48409880770117</v>
      </c>
      <c r="AT107" s="11" t="n">
        <v>3.47700967275864</v>
      </c>
      <c r="AU107" s="11" t="n">
        <v>3.46885813484033</v>
      </c>
      <c r="AV107" s="11" t="n">
        <v>3.45973882804505</v>
      </c>
      <c r="AW107" s="11" t="n">
        <v>3.44974599185269</v>
      </c>
      <c r="AX107" s="11" t="n">
        <v>3.43897284962973</v>
      </c>
      <c r="AY107" s="11" t="n">
        <v>3.42750964862275</v>
      </c>
      <c r="AZ107" s="11" t="n">
        <v>3.41544277719885</v>
      </c>
      <c r="BA107" s="11" t="n">
        <v>3.40285486206362</v>
      </c>
      <c r="BB107" s="11" t="n">
        <v>3.38982385666003</v>
      </c>
      <c r="BC107" s="11" t="n">
        <v>3.37642256089838</v>
      </c>
      <c r="BD107" s="11" t="n">
        <v>3.36271860770696</v>
      </c>
      <c r="BE107" s="11" t="n">
        <v>3.3487744099587</v>
      </c>
      <c r="BF107" s="11" t="n">
        <v>3.33464693920584</v>
      </c>
      <c r="BG107" s="11" t="n">
        <v>3.32038799950314</v>
      </c>
    </row>
    <row r="108" customFormat="false" ht="15" hidden="false" customHeight="false" outlineLevel="0" collapsed="false">
      <c r="A108" s="10" t="n">
        <v>-17</v>
      </c>
      <c r="B108" s="8" t="n">
        <v>44812</v>
      </c>
      <c r="C108" s="11" t="n">
        <v>3.03568991702024</v>
      </c>
      <c r="D108" s="11" t="n">
        <v>3.01843492013077</v>
      </c>
      <c r="E108" s="11" t="n">
        <v>2.99882985919304</v>
      </c>
      <c r="F108" s="11" t="n">
        <v>2.98370995839816</v>
      </c>
      <c r="G108" s="11" t="n">
        <v>2.97465967527474</v>
      </c>
      <c r="H108" s="11" t="n">
        <v>2.97157892237385</v>
      </c>
      <c r="I108" s="11" t="n">
        <v>2.97395539116461</v>
      </c>
      <c r="J108" s="11" t="n">
        <v>2.98125660935402</v>
      </c>
      <c r="K108" s="11" t="n">
        <v>2.99303182336532</v>
      </c>
      <c r="L108" s="11" t="n">
        <v>3.0089107164466</v>
      </c>
      <c r="M108" s="11" t="n">
        <v>3.02856677912688</v>
      </c>
      <c r="N108" s="11" t="n">
        <v>3.05168471439876</v>
      </c>
      <c r="O108" s="11" t="n">
        <v>3.07792001441692</v>
      </c>
      <c r="P108" s="11" t="n">
        <v>3.10687232581183</v>
      </c>
      <c r="Q108" s="11" t="n">
        <v>3.13808173074907</v>
      </c>
      <c r="R108" s="11" t="n">
        <v>3.17103741649422</v>
      </c>
      <c r="S108" s="11" t="n">
        <v>3.20520643454283</v>
      </c>
      <c r="T108" s="11" t="n">
        <v>3.24003884813321</v>
      </c>
      <c r="U108" s="11" t="n">
        <v>3.2750217533163</v>
      </c>
      <c r="V108" s="11" t="n">
        <v>3.30969328334447</v>
      </c>
      <c r="W108" s="11" t="n">
        <v>3.34363227057045</v>
      </c>
      <c r="X108" s="11" t="n">
        <v>3.37645296055591</v>
      </c>
      <c r="Y108" s="11" t="n">
        <v>3.40782887360035</v>
      </c>
      <c r="Z108" s="11" t="n">
        <v>3.43751190326508</v>
      </c>
      <c r="AA108" s="11" t="n">
        <v>3.46532191660778</v>
      </c>
      <c r="AB108" s="11" t="n">
        <v>3.49113375026675</v>
      </c>
      <c r="AC108" s="11" t="n">
        <v>3.51486615776298</v>
      </c>
      <c r="AD108" s="11" t="n">
        <v>3.53647455557497</v>
      </c>
      <c r="AE108" s="11" t="n">
        <v>3.55594529455159</v>
      </c>
      <c r="AF108" s="11" t="n">
        <v>3.57329088927585</v>
      </c>
      <c r="AG108" s="11" t="n">
        <v>3.58854189576043</v>
      </c>
      <c r="AH108" s="11" t="n">
        <v>3.60173915186421</v>
      </c>
      <c r="AI108" s="11" t="n">
        <v>3.61293335446418</v>
      </c>
      <c r="AJ108" s="11" t="n">
        <v>3.62218203951796</v>
      </c>
      <c r="AK108" s="11" t="n">
        <v>3.62954777704635</v>
      </c>
      <c r="AL108" s="11" t="n">
        <v>3.6350953406227</v>
      </c>
      <c r="AM108" s="11" t="n">
        <v>3.63889079279564</v>
      </c>
      <c r="AN108" s="11" t="n">
        <v>3.64100148169848</v>
      </c>
      <c r="AO108" s="11" t="n">
        <v>3.64149644169356</v>
      </c>
      <c r="AP108" s="11" t="n">
        <v>3.64044782546737</v>
      </c>
      <c r="AQ108" s="11" t="n">
        <v>3.63793125137157</v>
      </c>
      <c r="AR108" s="11" t="n">
        <v>3.63402628079459</v>
      </c>
      <c r="AS108" s="11" t="n">
        <v>3.62881637879182</v>
      </c>
      <c r="AT108" s="11" t="n">
        <v>3.62238785562472</v>
      </c>
      <c r="AU108" s="11" t="n">
        <v>3.6148290690927</v>
      </c>
      <c r="AV108" s="11" t="n">
        <v>3.60622953652866</v>
      </c>
      <c r="AW108" s="11" t="n">
        <v>3.59667930731085</v>
      </c>
      <c r="AX108" s="11" t="n">
        <v>3.58626834429501</v>
      </c>
      <c r="AY108" s="11" t="n">
        <v>3.57508464917757</v>
      </c>
      <c r="AZ108" s="11" t="n">
        <v>3.56321338655219</v>
      </c>
      <c r="BA108" s="11" t="n">
        <v>3.55073690894665</v>
      </c>
      <c r="BB108" s="11" t="n">
        <v>3.53773387721449</v>
      </c>
      <c r="BC108" s="11" t="n">
        <v>3.52427876086817</v>
      </c>
      <c r="BD108" s="11" t="n">
        <v>3.51044170830187</v>
      </c>
      <c r="BE108" s="11" t="n">
        <v>3.49628837238815</v>
      </c>
      <c r="BF108" s="11" t="n">
        <v>3.48187957054045</v>
      </c>
      <c r="BG108" s="11" t="n">
        <v>3.46727153273855</v>
      </c>
    </row>
    <row r="109" customFormat="false" ht="15" hidden="false" customHeight="false" outlineLevel="0" collapsed="false">
      <c r="A109" s="10" t="n">
        <v>-16</v>
      </c>
      <c r="B109" s="8" t="n">
        <v>44813</v>
      </c>
      <c r="C109" s="11" t="n">
        <v>3.04019231671353</v>
      </c>
      <c r="D109" s="11" t="n">
        <v>3.02456085569889</v>
      </c>
      <c r="E109" s="11" t="n">
        <v>3.00540178725679</v>
      </c>
      <c r="F109" s="11" t="n">
        <v>2.9894351292937</v>
      </c>
      <c r="G109" s="11" t="n">
        <v>2.97843595685459</v>
      </c>
      <c r="H109" s="11" t="n">
        <v>2.97257309700399</v>
      </c>
      <c r="I109" s="11" t="n">
        <v>2.97160428124751</v>
      </c>
      <c r="J109" s="11" t="n">
        <v>2.9752334788734</v>
      </c>
      <c r="K109" s="11" t="n">
        <v>2.98320388688461</v>
      </c>
      <c r="L109" s="11" t="n">
        <v>2.99529966455681</v>
      </c>
      <c r="M109" s="11" t="n">
        <v>3.01131084646179</v>
      </c>
      <c r="N109" s="11" t="n">
        <v>3.03100895499441</v>
      </c>
      <c r="O109" s="11" t="n">
        <v>3.05411080700092</v>
      </c>
      <c r="P109" s="11" t="n">
        <v>3.08025845797872</v>
      </c>
      <c r="Q109" s="11" t="n">
        <v>3.10901884282043</v>
      </c>
      <c r="R109" s="11" t="n">
        <v>3.13989549904902</v>
      </c>
      <c r="S109" s="11" t="n">
        <v>3.17236005636609</v>
      </c>
      <c r="T109" s="11" t="n">
        <v>3.20586055099189</v>
      </c>
      <c r="U109" s="11" t="n">
        <v>3.23987636769207</v>
      </c>
      <c r="V109" s="11" t="n">
        <v>3.27393207009827</v>
      </c>
      <c r="W109" s="11" t="n">
        <v>3.30758823848714</v>
      </c>
      <c r="X109" s="11" t="n">
        <v>3.34043726829786</v>
      </c>
      <c r="Y109" s="11" t="n">
        <v>3.37212800921386</v>
      </c>
      <c r="Z109" s="11" t="n">
        <v>3.40238442196103</v>
      </c>
      <c r="AA109" s="11" t="n">
        <v>3.43099571961785</v>
      </c>
      <c r="AB109" s="11" t="n">
        <v>3.45780556586243</v>
      </c>
      <c r="AC109" s="11" t="n">
        <v>3.48270282115409</v>
      </c>
      <c r="AD109" s="11" t="n">
        <v>3.50561423534006</v>
      </c>
      <c r="AE109" s="11" t="n">
        <v>3.52649852743852</v>
      </c>
      <c r="AF109" s="11" t="n">
        <v>3.54534146706791</v>
      </c>
      <c r="AG109" s="11" t="n">
        <v>3.56214853313755</v>
      </c>
      <c r="AH109" s="11" t="n">
        <v>3.57693873521924</v>
      </c>
      <c r="AI109" s="11" t="n">
        <v>3.58974357389831</v>
      </c>
      <c r="AJ109" s="11" t="n">
        <v>3.60060373935225</v>
      </c>
      <c r="AK109" s="11" t="n">
        <v>3.60956703939507</v>
      </c>
      <c r="AL109" s="11" t="n">
        <v>3.61668544487903</v>
      </c>
      <c r="AM109" s="11" t="n">
        <v>3.62201406898947</v>
      </c>
      <c r="AN109" s="11" t="n">
        <v>3.62561104664975</v>
      </c>
      <c r="AO109" s="11" t="n">
        <v>3.62753778915104</v>
      </c>
      <c r="AP109" s="11" t="n">
        <v>3.62786029997955</v>
      </c>
      <c r="AQ109" s="11" t="n">
        <v>3.62664935837418</v>
      </c>
      <c r="AR109" s="11" t="n">
        <v>3.62398082506797</v>
      </c>
      <c r="AS109" s="11" t="n">
        <v>3.61993542870533</v>
      </c>
      <c r="AT109" s="11" t="n">
        <v>3.61459752756274</v>
      </c>
      <c r="AU109" s="11" t="n">
        <v>3.60805419018967</v>
      </c>
      <c r="AV109" s="11" t="n">
        <v>3.60039420032254</v>
      </c>
      <c r="AW109" s="11" t="n">
        <v>3.59170736618292</v>
      </c>
      <c r="AX109" s="11" t="n">
        <v>3.58208387070782</v>
      </c>
      <c r="AY109" s="11" t="n">
        <v>3.57161244410619</v>
      </c>
      <c r="AZ109" s="11" t="n">
        <v>3.56037952513138</v>
      </c>
      <c r="BA109" s="11" t="n">
        <v>3.54846925078316</v>
      </c>
      <c r="BB109" s="11" t="n">
        <v>3.53596262906609</v>
      </c>
      <c r="BC109" s="11" t="n">
        <v>3.52293704390504</v>
      </c>
      <c r="BD109" s="11" t="n">
        <v>3.50946601139944</v>
      </c>
      <c r="BE109" s="11" t="n">
        <v>3.49561889370253</v>
      </c>
      <c r="BF109" s="11" t="n">
        <v>3.48146045424653</v>
      </c>
      <c r="BG109" s="11" t="n">
        <v>3.46705106868946</v>
      </c>
    </row>
    <row r="110" customFormat="false" ht="15" hidden="false" customHeight="false" outlineLevel="0" collapsed="false">
      <c r="A110" s="10" t="n">
        <v>-15</v>
      </c>
      <c r="B110" s="8" t="n">
        <v>44816</v>
      </c>
      <c r="C110" s="11" t="n">
        <v>2.98263923083331</v>
      </c>
      <c r="D110" s="11" t="n">
        <v>2.96649436115594</v>
      </c>
      <c r="E110" s="11" t="n">
        <v>2.94845732338514</v>
      </c>
      <c r="F110" s="11" t="n">
        <v>2.9338740653365</v>
      </c>
      <c r="G110" s="11" t="n">
        <v>2.9239669632233</v>
      </c>
      <c r="H110" s="11" t="n">
        <v>2.91871241077458</v>
      </c>
      <c r="I110" s="11" t="n">
        <v>2.91783982056772</v>
      </c>
      <c r="J110" s="11" t="n">
        <v>2.92110148280916</v>
      </c>
      <c r="K110" s="11" t="n">
        <v>2.92832276392885</v>
      </c>
      <c r="L110" s="11" t="n">
        <v>2.93937787313175</v>
      </c>
      <c r="M110" s="11" t="n">
        <v>2.95414200163979</v>
      </c>
      <c r="N110" s="11" t="n">
        <v>2.97245853064949</v>
      </c>
      <c r="O110" s="11" t="n">
        <v>2.99410293341178</v>
      </c>
      <c r="P110" s="11" t="n">
        <v>3.01876262433567</v>
      </c>
      <c r="Q110" s="11" t="n">
        <v>3.04603857753182</v>
      </c>
      <c r="R110" s="11" t="n">
        <v>3.0754596065035</v>
      </c>
      <c r="S110" s="11" t="n">
        <v>3.10651664477368</v>
      </c>
      <c r="T110" s="11" t="n">
        <v>3.13867335443757</v>
      </c>
      <c r="U110" s="11" t="n">
        <v>3.17142191697351</v>
      </c>
      <c r="V110" s="11" t="n">
        <v>3.20429705071799</v>
      </c>
      <c r="W110" s="11" t="n">
        <v>3.23686738572808</v>
      </c>
      <c r="X110" s="11" t="n">
        <v>3.26873170220505</v>
      </c>
      <c r="Y110" s="11" t="n">
        <v>3.29954359786425</v>
      </c>
      <c r="Z110" s="11" t="n">
        <v>3.32902970827008</v>
      </c>
      <c r="AA110" s="11" t="n">
        <v>3.35697941781954</v>
      </c>
      <c r="AB110" s="11" t="n">
        <v>3.38323425589058</v>
      </c>
      <c r="AC110" s="11" t="n">
        <v>3.40767920124198</v>
      </c>
      <c r="AD110" s="11" t="n">
        <v>3.43023567282692</v>
      </c>
      <c r="AE110" s="11" t="n">
        <v>3.45085583601262</v>
      </c>
      <c r="AF110" s="11" t="n">
        <v>3.46951787387942</v>
      </c>
      <c r="AG110" s="11" t="n">
        <v>3.48621911673156</v>
      </c>
      <c r="AH110" s="11" t="n">
        <v>3.50097040141302</v>
      </c>
      <c r="AI110" s="11" t="n">
        <v>3.51379510671455</v>
      </c>
      <c r="AJ110" s="11" t="n">
        <v>3.524726127689</v>
      </c>
      <c r="AK110" s="11" t="n">
        <v>3.53380382876127</v>
      </c>
      <c r="AL110" s="11" t="n">
        <v>3.5410731836944</v>
      </c>
      <c r="AM110" s="11" t="n">
        <v>3.54658281214695</v>
      </c>
      <c r="AN110" s="11" t="n">
        <v>3.55038489711984</v>
      </c>
      <c r="AO110" s="11" t="n">
        <v>3.55253540287398</v>
      </c>
      <c r="AP110" s="11" t="n">
        <v>3.55309534474557</v>
      </c>
      <c r="AQ110" s="11" t="n">
        <v>3.55213092104101</v>
      </c>
      <c r="AR110" s="11" t="n">
        <v>3.54971377984703</v>
      </c>
      <c r="AS110" s="11" t="n">
        <v>3.54592077597467</v>
      </c>
      <c r="AT110" s="11" t="n">
        <v>3.54083277567082</v>
      </c>
      <c r="AU110" s="11" t="n">
        <v>3.53453375860035</v>
      </c>
      <c r="AV110" s="11" t="n">
        <v>3.52710985801887</v>
      </c>
      <c r="AW110" s="11" t="n">
        <v>3.51864869744791</v>
      </c>
      <c r="AX110" s="11" t="n">
        <v>3.50923875873521</v>
      </c>
      <c r="AY110" s="11" t="n">
        <v>3.49896755852641</v>
      </c>
      <c r="AZ110" s="11" t="n">
        <v>3.48792079245034</v>
      </c>
      <c r="BA110" s="11" t="n">
        <v>3.47618228916662</v>
      </c>
      <c r="BB110" s="11" t="n">
        <v>3.4638331912818</v>
      </c>
      <c r="BC110" s="11" t="n">
        <v>3.45095144340178</v>
      </c>
      <c r="BD110" s="11" t="n">
        <v>3.43761148167486</v>
      </c>
      <c r="BE110" s="11" t="n">
        <v>3.42388388465403</v>
      </c>
      <c r="BF110" s="11" t="n">
        <v>3.40983486642858</v>
      </c>
      <c r="BG110" s="11" t="n">
        <v>3.39552644072229</v>
      </c>
    </row>
    <row r="111" customFormat="false" ht="15" hidden="false" customHeight="false" outlineLevel="0" collapsed="false">
      <c r="A111" s="10" t="n">
        <v>-14</v>
      </c>
      <c r="B111" s="8" t="n">
        <v>44817</v>
      </c>
      <c r="C111" s="11" t="n">
        <v>3.08070594129375</v>
      </c>
      <c r="D111" s="11" t="n">
        <v>3.06736858591929</v>
      </c>
      <c r="E111" s="11" t="n">
        <v>3.05142675310276</v>
      </c>
      <c r="F111" s="11" t="n">
        <v>3.03822035203605</v>
      </c>
      <c r="G111" s="11" t="n">
        <v>3.02904602767083</v>
      </c>
      <c r="H111" s="11" t="n">
        <v>3.02397285491307</v>
      </c>
      <c r="I111" s="11" t="n">
        <v>3.02281516525753</v>
      </c>
      <c r="J111" s="11" t="n">
        <v>3.02539434182661</v>
      </c>
      <c r="K111" s="11" t="n">
        <v>3.03158936963576</v>
      </c>
      <c r="L111" s="11" t="n">
        <v>3.04131461117083</v>
      </c>
      <c r="M111" s="11" t="n">
        <v>3.05447611867858</v>
      </c>
      <c r="N111" s="11" t="n">
        <v>3.07094102576607</v>
      </c>
      <c r="O111" s="11" t="n">
        <v>3.09050641612133</v>
      </c>
      <c r="P111" s="11" t="n">
        <v>3.11288036607305</v>
      </c>
      <c r="Q111" s="11" t="n">
        <v>3.13768483745398</v>
      </c>
      <c r="R111" s="11" t="n">
        <v>3.16447192531434</v>
      </c>
      <c r="S111" s="11" t="n">
        <v>3.19275861140127</v>
      </c>
      <c r="T111" s="11" t="n">
        <v>3.22203762343634</v>
      </c>
      <c r="U111" s="11" t="n">
        <v>3.25183137487941</v>
      </c>
      <c r="V111" s="11" t="n">
        <v>3.28170489215997</v>
      </c>
      <c r="W111" s="11" t="n">
        <v>3.31125715631902</v>
      </c>
      <c r="X111" s="11" t="n">
        <v>3.34011724201162</v>
      </c>
      <c r="Y111" s="11" t="n">
        <v>3.36796761686913</v>
      </c>
      <c r="Z111" s="11" t="n">
        <v>3.39456067012004</v>
      </c>
      <c r="AA111" s="11" t="n">
        <v>3.41970677652849</v>
      </c>
      <c r="AB111" s="11" t="n">
        <v>3.44326301871748</v>
      </c>
      <c r="AC111" s="11" t="n">
        <v>3.46512505224174</v>
      </c>
      <c r="AD111" s="11" t="n">
        <v>3.48522085872579</v>
      </c>
      <c r="AE111" s="11" t="n">
        <v>3.50350569491552</v>
      </c>
      <c r="AF111" s="11" t="n">
        <v>3.51995789556715</v>
      </c>
      <c r="AG111" s="11" t="n">
        <v>3.53457275019732</v>
      </c>
      <c r="AH111" s="11" t="n">
        <v>3.54735749062539</v>
      </c>
      <c r="AI111" s="11" t="n">
        <v>3.55833083861855</v>
      </c>
      <c r="AJ111" s="11" t="n">
        <v>3.56752072879198</v>
      </c>
      <c r="AK111" s="11" t="n">
        <v>3.57496253819142</v>
      </c>
      <c r="AL111" s="11" t="n">
        <v>3.58069677252238</v>
      </c>
      <c r="AM111" s="11" t="n">
        <v>3.584768272237</v>
      </c>
      <c r="AN111" s="11" t="n">
        <v>3.58722613676139</v>
      </c>
      <c r="AO111" s="11" t="n">
        <v>3.58812375824282</v>
      </c>
      <c r="AP111" s="11" t="n">
        <v>3.58751967369566</v>
      </c>
      <c r="AQ111" s="11" t="n">
        <v>3.58547749988608</v>
      </c>
      <c r="AR111" s="11" t="n">
        <v>3.58206585107615</v>
      </c>
      <c r="AS111" s="11" t="n">
        <v>3.57735794083622</v>
      </c>
      <c r="AT111" s="11" t="n">
        <v>3.57143045291902</v>
      </c>
      <c r="AU111" s="11" t="n">
        <v>3.56436271515798</v>
      </c>
      <c r="AV111" s="11" t="n">
        <v>3.55623583053285</v>
      </c>
      <c r="AW111" s="11" t="n">
        <v>3.5471320771608</v>
      </c>
      <c r="AX111" s="11" t="n">
        <v>3.53713433909941</v>
      </c>
      <c r="AY111" s="11" t="n">
        <v>3.52632456463625</v>
      </c>
      <c r="AZ111" s="11" t="n">
        <v>3.51478306360729</v>
      </c>
      <c r="BA111" s="11" t="n">
        <v>3.5025884922244</v>
      </c>
      <c r="BB111" s="11" t="n">
        <v>3.48981725281967</v>
      </c>
      <c r="BC111" s="11" t="n">
        <v>3.47654310153778</v>
      </c>
      <c r="BD111" s="11" t="n">
        <v>3.46283684987807</v>
      </c>
      <c r="BE111" s="11" t="n">
        <v>3.44876601003537</v>
      </c>
      <c r="BF111" s="11" t="n">
        <v>3.43439427923146</v>
      </c>
      <c r="BG111" s="11" t="n">
        <v>3.41978159598688</v>
      </c>
    </row>
    <row r="112" customFormat="false" ht="15" hidden="false" customHeight="false" outlineLevel="0" collapsed="false">
      <c r="A112" s="10" t="n">
        <v>-13</v>
      </c>
      <c r="B112" s="8" t="n">
        <v>44818</v>
      </c>
      <c r="C112" s="11" t="n">
        <v>3.05500887251686</v>
      </c>
      <c r="D112" s="11" t="n">
        <v>3.04412908076932</v>
      </c>
      <c r="E112" s="11" t="n">
        <v>3.03191346780861</v>
      </c>
      <c r="F112" s="11" t="n">
        <v>3.02247001210789</v>
      </c>
      <c r="G112" s="11" t="n">
        <v>3.01655167801588</v>
      </c>
      <c r="H112" s="11" t="n">
        <v>3.01402851539737</v>
      </c>
      <c r="I112" s="11" t="n">
        <v>3.01467426970832</v>
      </c>
      <c r="J112" s="11" t="n">
        <v>3.0183382202329</v>
      </c>
      <c r="K112" s="11" t="n">
        <v>3.02495572236965</v>
      </c>
      <c r="L112" s="11" t="n">
        <v>3.03450769438235</v>
      </c>
      <c r="M112" s="11" t="n">
        <v>3.04697218016678</v>
      </c>
      <c r="N112" s="11" t="n">
        <v>3.06228779520434</v>
      </c>
      <c r="O112" s="11" t="n">
        <v>3.08032257847594</v>
      </c>
      <c r="P112" s="11" t="n">
        <v>3.10085383605224</v>
      </c>
      <c r="Q112" s="11" t="n">
        <v>3.12357151137336</v>
      </c>
      <c r="R112" s="11" t="n">
        <v>3.14809478407596</v>
      </c>
      <c r="S112" s="11" t="n">
        <v>3.17400583255732</v>
      </c>
      <c r="T112" s="11" t="n">
        <v>3.20086110225416</v>
      </c>
      <c r="U112" s="11" t="n">
        <v>3.22824000653343</v>
      </c>
      <c r="V112" s="11" t="n">
        <v>3.25575684881147</v>
      </c>
      <c r="W112" s="11" t="n">
        <v>3.2830537388694</v>
      </c>
      <c r="X112" s="11" t="n">
        <v>3.30979767837496</v>
      </c>
      <c r="Y112" s="11" t="n">
        <v>3.33570163984375</v>
      </c>
      <c r="Z112" s="11" t="n">
        <v>3.36053916829731</v>
      </c>
      <c r="AA112" s="11" t="n">
        <v>3.3841335024994</v>
      </c>
      <c r="AB112" s="11" t="n">
        <v>3.40634766548991</v>
      </c>
      <c r="AC112" s="11" t="n">
        <v>3.42707758544029</v>
      </c>
      <c r="AD112" s="11" t="n">
        <v>3.44624677209075</v>
      </c>
      <c r="AE112" s="11" t="n">
        <v>3.46380200713013</v>
      </c>
      <c r="AF112" s="11" t="n">
        <v>3.4797097650716</v>
      </c>
      <c r="AG112" s="11" t="n">
        <v>3.49395114568385</v>
      </c>
      <c r="AH112" s="11" t="n">
        <v>3.50651783653489</v>
      </c>
      <c r="AI112" s="11" t="n">
        <v>3.51741205771642</v>
      </c>
      <c r="AJ112" s="11" t="n">
        <v>3.52664498840856</v>
      </c>
      <c r="AK112" s="11" t="n">
        <v>3.53423525714252</v>
      </c>
      <c r="AL112" s="11" t="n">
        <v>3.54020714601786</v>
      </c>
      <c r="AM112" s="11" t="n">
        <v>3.5445900763225</v>
      </c>
      <c r="AN112" s="11" t="n">
        <v>3.54741872677621</v>
      </c>
      <c r="AO112" s="11" t="n">
        <v>3.54873313010636</v>
      </c>
      <c r="AP112" s="11" t="n">
        <v>3.54857977202169</v>
      </c>
      <c r="AQ112" s="11" t="n">
        <v>3.54701153905824</v>
      </c>
      <c r="AR112" s="11" t="n">
        <v>3.54408774980093</v>
      </c>
      <c r="AS112" s="11" t="n">
        <v>3.53987374418624</v>
      </c>
      <c r="AT112" s="11" t="n">
        <v>3.53443964273881</v>
      </c>
      <c r="AU112" s="11" t="n">
        <v>3.52785939593835</v>
      </c>
      <c r="AV112" s="11" t="n">
        <v>3.52020973165051</v>
      </c>
      <c r="AW112" s="11" t="n">
        <v>3.51156939087627</v>
      </c>
      <c r="AX112" s="11" t="n">
        <v>3.50201837160736</v>
      </c>
      <c r="AY112" s="11" t="n">
        <v>3.49163620621789</v>
      </c>
      <c r="AZ112" s="11" t="n">
        <v>3.48050117273411</v>
      </c>
      <c r="BA112" s="11" t="n">
        <v>3.46869023995697</v>
      </c>
      <c r="BB112" s="11" t="n">
        <v>3.45627842909662</v>
      </c>
      <c r="BC112" s="11" t="n">
        <v>3.44333840432351</v>
      </c>
      <c r="BD112" s="11" t="n">
        <v>3.42994018098822</v>
      </c>
      <c r="BE112" s="11" t="n">
        <v>3.41615074691567</v>
      </c>
      <c r="BF112" s="11" t="n">
        <v>3.40203351471874</v>
      </c>
      <c r="BG112" s="11" t="n">
        <v>3.38764836130865</v>
      </c>
    </row>
    <row r="113" customFormat="false" ht="15" hidden="false" customHeight="false" outlineLevel="0" collapsed="false">
      <c r="A113" s="10" t="n">
        <v>-12</v>
      </c>
      <c r="B113" s="8" t="n">
        <v>44819</v>
      </c>
      <c r="C113" s="11" t="n">
        <v>3.08023774852499</v>
      </c>
      <c r="D113" s="11" t="n">
        <v>3.070163653591</v>
      </c>
      <c r="E113" s="11" t="n">
        <v>3.05852032892626</v>
      </c>
      <c r="F113" s="11" t="n">
        <v>3.04926558901487</v>
      </c>
      <c r="G113" s="11" t="n">
        <v>3.04311158088643</v>
      </c>
      <c r="H113" s="11" t="n">
        <v>3.03997631581135</v>
      </c>
      <c r="I113" s="11" t="n">
        <v>3.03972752619686</v>
      </c>
      <c r="J113" s="11" t="n">
        <v>3.04232102289216</v>
      </c>
      <c r="K113" s="11" t="n">
        <v>3.04779357366288</v>
      </c>
      <c r="L113" s="11" t="n">
        <v>3.05621162179709</v>
      </c>
      <c r="M113" s="11" t="n">
        <v>3.06762392616374</v>
      </c>
      <c r="N113" s="11" t="n">
        <v>3.08202296694631</v>
      </c>
      <c r="O113" s="11" t="n">
        <v>3.09931634904193</v>
      </c>
      <c r="P113" s="11" t="n">
        <v>3.11930567063683</v>
      </c>
      <c r="Q113" s="11" t="n">
        <v>3.14169092810578</v>
      </c>
      <c r="R113" s="11" t="n">
        <v>3.16608800379238</v>
      </c>
      <c r="S113" s="11" t="n">
        <v>3.19206438901311</v>
      </c>
      <c r="T113" s="11" t="n">
        <v>3.21915167701773</v>
      </c>
      <c r="U113" s="11" t="n">
        <v>3.24690066112177</v>
      </c>
      <c r="V113" s="11" t="n">
        <v>3.27489553542312</v>
      </c>
      <c r="W113" s="11" t="n">
        <v>3.30274713067418</v>
      </c>
      <c r="X113" s="11" t="n">
        <v>3.33009062006308</v>
      </c>
      <c r="Y113" s="11" t="n">
        <v>3.35661001834553</v>
      </c>
      <c r="Z113" s="11" t="n">
        <v>3.38205504674362</v>
      </c>
      <c r="AA113" s="11" t="n">
        <v>3.40623015388664</v>
      </c>
      <c r="AB113" s="11" t="n">
        <v>3.42898448710011</v>
      </c>
      <c r="AC113" s="11" t="n">
        <v>3.45020456753877</v>
      </c>
      <c r="AD113" s="11" t="n">
        <v>3.46980827450976</v>
      </c>
      <c r="AE113" s="11" t="n">
        <v>3.48773994576135</v>
      </c>
      <c r="AF113" s="11" t="n">
        <v>3.50396631740884</v>
      </c>
      <c r="AG113" s="11" t="n">
        <v>3.51847114838658</v>
      </c>
      <c r="AH113" s="11" t="n">
        <v>3.53125067846275</v>
      </c>
      <c r="AI113" s="11" t="n">
        <v>3.54231270689635</v>
      </c>
      <c r="AJ113" s="11" t="n">
        <v>3.55167458792276</v>
      </c>
      <c r="AK113" s="11" t="n">
        <v>3.55936144733008</v>
      </c>
      <c r="AL113" s="11" t="n">
        <v>3.56540386434155</v>
      </c>
      <c r="AM113" s="11" t="n">
        <v>3.56983711286503</v>
      </c>
      <c r="AN113" s="11" t="n">
        <v>3.57270111947031</v>
      </c>
      <c r="AO113" s="11" t="n">
        <v>3.57404052121978</v>
      </c>
      <c r="AP113" s="11" t="n">
        <v>3.57390560759098</v>
      </c>
      <c r="AQ113" s="11" t="n">
        <v>3.57235226347564</v>
      </c>
      <c r="AR113" s="11" t="n">
        <v>3.56944199025376</v>
      </c>
      <c r="AS113" s="11" t="n">
        <v>3.56524151719642</v>
      </c>
      <c r="AT113" s="11" t="n">
        <v>3.55982160642303</v>
      </c>
      <c r="AU113" s="11" t="n">
        <v>3.55325616572492</v>
      </c>
      <c r="AV113" s="11" t="n">
        <v>3.54562128372412</v>
      </c>
      <c r="AW113" s="11" t="n">
        <v>3.53699454131119</v>
      </c>
      <c r="AX113" s="11" t="n">
        <v>3.52745432919884</v>
      </c>
      <c r="AY113" s="11" t="n">
        <v>3.51707828475521</v>
      </c>
      <c r="AZ113" s="11" t="n">
        <v>3.50594260215315</v>
      </c>
      <c r="BA113" s="11" t="n">
        <v>3.49412202434277</v>
      </c>
      <c r="BB113" s="11" t="n">
        <v>3.48168936739198</v>
      </c>
      <c r="BC113" s="11" t="n">
        <v>3.46871523275158</v>
      </c>
      <c r="BD113" s="11" t="n">
        <v>3.45526781593356</v>
      </c>
      <c r="BE113" s="11" t="n">
        <v>3.44141257844325</v>
      </c>
      <c r="BF113" s="11" t="n">
        <v>3.42721176141934</v>
      </c>
      <c r="BG113" s="11" t="n">
        <v>3.41272450863131</v>
      </c>
    </row>
    <row r="114" customFormat="false" ht="15" hidden="false" customHeight="false" outlineLevel="0" collapsed="false">
      <c r="A114" s="10" t="n">
        <v>-11</v>
      </c>
      <c r="B114" s="8" t="n">
        <v>44820</v>
      </c>
      <c r="C114" s="11" t="n">
        <v>3.13370703924995</v>
      </c>
      <c r="D114" s="11" t="n">
        <v>3.12165471785337</v>
      </c>
      <c r="E114" s="11" t="n">
        <v>3.10783950772091</v>
      </c>
      <c r="F114" s="11" t="n">
        <v>3.09633317616199</v>
      </c>
      <c r="G114" s="11" t="n">
        <v>3.08780143244326</v>
      </c>
      <c r="H114" s="11" t="n">
        <v>3.08212061239462</v>
      </c>
      <c r="I114" s="11" t="n">
        <v>3.07914848534427</v>
      </c>
      <c r="J114" s="11" t="n">
        <v>3.07886375862722</v>
      </c>
      <c r="K114" s="11" t="n">
        <v>3.08135228077626</v>
      </c>
      <c r="L114" s="11" t="n">
        <v>3.08674292039714</v>
      </c>
      <c r="M114" s="11" t="n">
        <v>3.09515997560692</v>
      </c>
      <c r="N114" s="11" t="n">
        <v>3.10667047243089</v>
      </c>
      <c r="O114" s="11" t="n">
        <v>3.12124799877674</v>
      </c>
      <c r="P114" s="11" t="n">
        <v>3.13874544526495</v>
      </c>
      <c r="Q114" s="11" t="n">
        <v>3.15889741437006</v>
      </c>
      <c r="R114" s="11" t="n">
        <v>3.18133798654965</v>
      </c>
      <c r="S114" s="11" t="n">
        <v>3.20563869461404</v>
      </c>
      <c r="T114" s="11" t="n">
        <v>3.23132319372178</v>
      </c>
      <c r="U114" s="11" t="n">
        <v>3.25792800236433</v>
      </c>
      <c r="V114" s="11" t="n">
        <v>3.28501816697815</v>
      </c>
      <c r="W114" s="11" t="n">
        <v>3.31218148803803</v>
      </c>
      <c r="X114" s="11" t="n">
        <v>3.33902746964882</v>
      </c>
      <c r="Y114" s="11" t="n">
        <v>3.36521478939279</v>
      </c>
      <c r="Z114" s="11" t="n">
        <v>3.39046901533076</v>
      </c>
      <c r="AA114" s="11" t="n">
        <v>3.41457167728179</v>
      </c>
      <c r="AB114" s="11" t="n">
        <v>3.43735107475665</v>
      </c>
      <c r="AC114" s="11" t="n">
        <v>3.4586753663572</v>
      </c>
      <c r="AD114" s="11" t="n">
        <v>3.47844620818152</v>
      </c>
      <c r="AE114" s="11" t="n">
        <v>3.49659351984015</v>
      </c>
      <c r="AF114" s="11" t="n">
        <v>3.51307117217911</v>
      </c>
      <c r="AG114" s="11" t="n">
        <v>3.52785223884696</v>
      </c>
      <c r="AH114" s="11" t="n">
        <v>3.54092440865157</v>
      </c>
      <c r="AI114" s="11" t="n">
        <v>3.5522878657047</v>
      </c>
      <c r="AJ114" s="11" t="n">
        <v>3.56195335184259</v>
      </c>
      <c r="AK114" s="11" t="n">
        <v>3.5699401816797</v>
      </c>
      <c r="AL114" s="11" t="n">
        <v>3.57627363814984</v>
      </c>
      <c r="AM114" s="11" t="n">
        <v>3.58098417964605</v>
      </c>
      <c r="AN114" s="11" t="n">
        <v>3.58410741439727</v>
      </c>
      <c r="AO114" s="11" t="n">
        <v>3.58568415532577</v>
      </c>
      <c r="AP114" s="11" t="n">
        <v>3.58576136566667</v>
      </c>
      <c r="AQ114" s="11" t="n">
        <v>3.58439207523711</v>
      </c>
      <c r="AR114" s="11" t="n">
        <v>3.58163548414549</v>
      </c>
      <c r="AS114" s="11" t="n">
        <v>3.57755656158253</v>
      </c>
      <c r="AT114" s="11" t="n">
        <v>3.57222479859094</v>
      </c>
      <c r="AU114" s="11" t="n">
        <v>3.56571328066709</v>
      </c>
      <c r="AV114" s="11" t="n">
        <v>3.55809766440101</v>
      </c>
      <c r="AW114" s="11" t="n">
        <v>3.54945545958253</v>
      </c>
      <c r="AX114" s="11" t="n">
        <v>3.53986530912814</v>
      </c>
      <c r="AY114" s="11" t="n">
        <v>3.52940539784754</v>
      </c>
      <c r="AZ114" s="11" t="n">
        <v>3.51815276839459</v>
      </c>
      <c r="BA114" s="11" t="n">
        <v>3.50618328317748</v>
      </c>
      <c r="BB114" s="11" t="n">
        <v>3.49357112880001</v>
      </c>
      <c r="BC114" s="11" t="n">
        <v>3.48038852533602</v>
      </c>
      <c r="BD114" s="11" t="n">
        <v>3.46670553217145</v>
      </c>
      <c r="BE114" s="11" t="n">
        <v>3.4525896814549</v>
      </c>
      <c r="BF114" s="11" t="n">
        <v>3.43810546076127</v>
      </c>
      <c r="BG114" s="11" t="n">
        <v>3.42331442271963</v>
      </c>
    </row>
    <row r="115" customFormat="false" ht="15" hidden="false" customHeight="false" outlineLevel="0" collapsed="false">
      <c r="A115" s="10" t="n">
        <v>-10</v>
      </c>
      <c r="B115" s="8" t="n">
        <v>44824</v>
      </c>
      <c r="C115" s="11" t="n">
        <v>3.29622356526917</v>
      </c>
      <c r="D115" s="11" t="n">
        <v>3.28321795000458</v>
      </c>
      <c r="E115" s="11" t="n">
        <v>3.26828456774707</v>
      </c>
      <c r="F115" s="11" t="n">
        <v>3.2554535248866</v>
      </c>
      <c r="G115" s="11" t="n">
        <v>3.24536784534544</v>
      </c>
      <c r="H115" s="11" t="n">
        <v>3.23790902630251</v>
      </c>
      <c r="I115" s="11" t="n">
        <v>3.23295795451514</v>
      </c>
      <c r="J115" s="11" t="n">
        <v>3.2305266920061</v>
      </c>
      <c r="K115" s="11" t="n">
        <v>3.23073955833688</v>
      </c>
      <c r="L115" s="11" t="n">
        <v>3.23376528317981</v>
      </c>
      <c r="M115" s="11" t="n">
        <v>3.23976631730741</v>
      </c>
      <c r="N115" s="11" t="n">
        <v>3.2488455393555</v>
      </c>
      <c r="O115" s="11" t="n">
        <v>3.26100821275806</v>
      </c>
      <c r="P115" s="11" t="n">
        <v>3.27613454637359</v>
      </c>
      <c r="Q115" s="11" t="n">
        <v>3.29398165429782</v>
      </c>
      <c r="R115" s="11" t="n">
        <v>3.31420149756487</v>
      </c>
      <c r="S115" s="11" t="n">
        <v>3.33637964041658</v>
      </c>
      <c r="T115" s="11" t="n">
        <v>3.3600505293332</v>
      </c>
      <c r="U115" s="11" t="n">
        <v>3.38475907507115</v>
      </c>
      <c r="V115" s="11" t="n">
        <v>3.41007664046601</v>
      </c>
      <c r="W115" s="11" t="n">
        <v>3.43559569115144</v>
      </c>
      <c r="X115" s="11" t="n">
        <v>3.46092912354422</v>
      </c>
      <c r="Y115" s="11" t="n">
        <v>3.48573792244991</v>
      </c>
      <c r="Z115" s="11" t="n">
        <v>3.50974855008376</v>
      </c>
      <c r="AA115" s="11" t="n">
        <v>3.53274143084745</v>
      </c>
      <c r="AB115" s="11" t="n">
        <v>3.55454186860104</v>
      </c>
      <c r="AC115" s="11" t="n">
        <v>3.57501358349551</v>
      </c>
      <c r="AD115" s="11" t="n">
        <v>3.59405259273773</v>
      </c>
      <c r="AE115" s="11" t="n">
        <v>3.61158216417542</v>
      </c>
      <c r="AF115" s="11" t="n">
        <v>3.62754865742282</v>
      </c>
      <c r="AG115" s="11" t="n">
        <v>3.641916978155</v>
      </c>
      <c r="AH115" s="11" t="n">
        <v>3.65466641272624</v>
      </c>
      <c r="AI115" s="11" t="n">
        <v>3.66578871999727</v>
      </c>
      <c r="AJ115" s="11" t="n">
        <v>3.67528624038382</v>
      </c>
      <c r="AK115" s="11" t="n">
        <v>3.68317000445743</v>
      </c>
      <c r="AL115" s="11" t="n">
        <v>3.68945737892066</v>
      </c>
      <c r="AM115" s="11" t="n">
        <v>3.6941713315717</v>
      </c>
      <c r="AN115" s="11" t="n">
        <v>3.69734038161726</v>
      </c>
      <c r="AO115" s="11" t="n">
        <v>3.69899860464249</v>
      </c>
      <c r="AP115" s="11" t="n">
        <v>3.69918650517187</v>
      </c>
      <c r="AQ115" s="11" t="n">
        <v>3.6979508886456</v>
      </c>
      <c r="AR115" s="11" t="n">
        <v>3.69534494053228</v>
      </c>
      <c r="AS115" s="11" t="n">
        <v>3.69142781165551</v>
      </c>
      <c r="AT115" s="11" t="n">
        <v>3.68626342403445</v>
      </c>
      <c r="AU115" s="11" t="n">
        <v>3.67991957450628</v>
      </c>
      <c r="AV115" s="11" t="n">
        <v>3.6724669716323</v>
      </c>
      <c r="AW115" s="11" t="n">
        <v>3.66397855640384</v>
      </c>
      <c r="AX115" s="11" t="n">
        <v>3.65452882041727</v>
      </c>
      <c r="AY115" s="11" t="n">
        <v>3.6441923120769</v>
      </c>
      <c r="AZ115" s="11" t="n">
        <v>3.63304297464496</v>
      </c>
      <c r="BA115" s="11" t="n">
        <v>3.62115406988927</v>
      </c>
      <c r="BB115" s="11" t="n">
        <v>3.60859768816122</v>
      </c>
      <c r="BC115" s="11" t="n">
        <v>3.59544444121748</v>
      </c>
      <c r="BD115" s="11" t="n">
        <v>3.581763224817</v>
      </c>
      <c r="BE115" s="11" t="n">
        <v>3.56762081194504</v>
      </c>
      <c r="BF115" s="11" t="n">
        <v>3.55308130153275</v>
      </c>
      <c r="BG115" s="11" t="n">
        <v>3.5382061782328</v>
      </c>
    </row>
    <row r="116" customFormat="false" ht="15" hidden="false" customHeight="false" outlineLevel="0" collapsed="false">
      <c r="A116" s="10" t="n">
        <v>-9</v>
      </c>
      <c r="B116" s="8" t="n">
        <v>44825</v>
      </c>
      <c r="C116" s="11" t="n">
        <v>3.37730291899365</v>
      </c>
      <c r="D116" s="11" t="n">
        <v>3.36737357347762</v>
      </c>
      <c r="E116" s="11" t="n">
        <v>3.35361181514571</v>
      </c>
      <c r="F116" s="11" t="n">
        <v>3.34038805214449</v>
      </c>
      <c r="G116" s="11" t="n">
        <v>3.32871134867992</v>
      </c>
      <c r="H116" s="11" t="n">
        <v>3.31873972777007</v>
      </c>
      <c r="I116" s="11" t="n">
        <v>3.31056102764748</v>
      </c>
      <c r="J116" s="11" t="n">
        <v>3.30435004943273</v>
      </c>
      <c r="K116" s="11" t="n">
        <v>3.30036596102387</v>
      </c>
      <c r="L116" s="11" t="n">
        <v>3.29889519249809</v>
      </c>
      <c r="M116" s="11" t="n">
        <v>3.30020634639869</v>
      </c>
      <c r="N116" s="11" t="n">
        <v>3.30450061501979</v>
      </c>
      <c r="O116" s="11" t="n">
        <v>3.31187280697477</v>
      </c>
      <c r="P116" s="11" t="n">
        <v>3.3222840718712</v>
      </c>
      <c r="Q116" s="11" t="n">
        <v>3.33556310998056</v>
      </c>
      <c r="R116" s="11" t="n">
        <v>3.35142245230089</v>
      </c>
      <c r="S116" s="11" t="n">
        <v>3.36949607313783</v>
      </c>
      <c r="T116" s="11" t="n">
        <v>3.38935434039715</v>
      </c>
      <c r="U116" s="11" t="n">
        <v>3.41056567214367</v>
      </c>
      <c r="V116" s="11" t="n">
        <v>3.43271431392219</v>
      </c>
      <c r="W116" s="11" t="n">
        <v>3.45539718959925</v>
      </c>
      <c r="X116" s="11" t="n">
        <v>3.47822492320452</v>
      </c>
      <c r="Y116" s="11" t="n">
        <v>3.50085038607977</v>
      </c>
      <c r="Z116" s="11" t="n">
        <v>3.52298638914714</v>
      </c>
      <c r="AA116" s="11" t="n">
        <v>3.54439465906631</v>
      </c>
      <c r="AB116" s="11" t="n">
        <v>3.56487888380088</v>
      </c>
      <c r="AC116" s="11" t="n">
        <v>3.58428001497398</v>
      </c>
      <c r="AD116" s="11" t="n">
        <v>3.60247042579358</v>
      </c>
      <c r="AE116" s="11" t="n">
        <v>3.61934900142988</v>
      </c>
      <c r="AF116" s="11" t="n">
        <v>3.63483712001562</v>
      </c>
      <c r="AG116" s="11" t="n">
        <v>3.64887526380903</v>
      </c>
      <c r="AH116" s="11" t="n">
        <v>3.6614201627983</v>
      </c>
      <c r="AI116" s="11" t="n">
        <v>3.67244252727102</v>
      </c>
      <c r="AJ116" s="11" t="n">
        <v>3.68192513818758</v>
      </c>
      <c r="AK116" s="11" t="n">
        <v>3.689860897548</v>
      </c>
      <c r="AL116" s="11" t="n">
        <v>3.69625062203222</v>
      </c>
      <c r="AM116" s="11" t="n">
        <v>3.70110227402475</v>
      </c>
      <c r="AN116" s="11" t="n">
        <v>3.70443081629468</v>
      </c>
      <c r="AO116" s="11" t="n">
        <v>3.7062580948355</v>
      </c>
      <c r="AP116" s="11" t="n">
        <v>3.70661363846104</v>
      </c>
      <c r="AQ116" s="11" t="n">
        <v>3.70553442798441</v>
      </c>
      <c r="AR116" s="11" t="n">
        <v>3.70306494134571</v>
      </c>
      <c r="AS116" s="11" t="n">
        <v>3.69925667736582</v>
      </c>
      <c r="AT116" s="11" t="n">
        <v>3.69416694303292</v>
      </c>
      <c r="AU116" s="11" t="n">
        <v>3.68785791155869</v>
      </c>
      <c r="AV116" s="11" t="n">
        <v>3.68039562833003</v>
      </c>
      <c r="AW116" s="11" t="n">
        <v>3.6718492812324</v>
      </c>
      <c r="AX116" s="11" t="n">
        <v>3.66229045247576</v>
      </c>
      <c r="AY116" s="11" t="n">
        <v>3.65179161499685</v>
      </c>
      <c r="AZ116" s="11" t="n">
        <v>3.64042543372537</v>
      </c>
      <c r="BA116" s="11" t="n">
        <v>3.6282646239509</v>
      </c>
      <c r="BB116" s="11" t="n">
        <v>3.61538143522312</v>
      </c>
      <c r="BC116" s="11" t="n">
        <v>3.60184730459708</v>
      </c>
      <c r="BD116" s="11" t="n">
        <v>3.58773256234565</v>
      </c>
      <c r="BE116" s="11" t="n">
        <v>3.5731059588383</v>
      </c>
      <c r="BF116" s="11" t="n">
        <v>3.55803404747775</v>
      </c>
      <c r="BG116" s="11" t="n">
        <v>3.54258118244481</v>
      </c>
    </row>
    <row r="117" customFormat="false" ht="15" hidden="false" customHeight="false" outlineLevel="0" collapsed="false">
      <c r="A117" s="10" t="n">
        <v>-8</v>
      </c>
      <c r="B117" s="8" t="n">
        <v>44826</v>
      </c>
      <c r="C117" s="11" t="n">
        <v>3.51735447673085</v>
      </c>
      <c r="D117" s="11" t="n">
        <v>3.52203128664237</v>
      </c>
      <c r="E117" s="11" t="n">
        <v>3.51843791417031</v>
      </c>
      <c r="F117" s="11" t="n">
        <v>3.51267098819565</v>
      </c>
      <c r="G117" s="11" t="n">
        <v>3.50658817945346</v>
      </c>
      <c r="H117" s="11" t="n">
        <v>3.500796669228</v>
      </c>
      <c r="I117" s="11" t="n">
        <v>3.49564713700021</v>
      </c>
      <c r="J117" s="11" t="n">
        <v>3.49149129541275</v>
      </c>
      <c r="K117" s="11" t="n">
        <v>3.48872707800525</v>
      </c>
      <c r="L117" s="11" t="n">
        <v>3.48776432148424</v>
      </c>
      <c r="M117" s="11" t="n">
        <v>3.48898901938602</v>
      </c>
      <c r="N117" s="11" t="n">
        <v>3.49272114005316</v>
      </c>
      <c r="O117" s="11" t="n">
        <v>3.49917211080702</v>
      </c>
      <c r="P117" s="11" t="n">
        <v>3.50841390491925</v>
      </c>
      <c r="Q117" s="11" t="n">
        <v>3.52037613184442</v>
      </c>
      <c r="R117" s="11" t="n">
        <v>3.53485821497961</v>
      </c>
      <c r="S117" s="11" t="n">
        <v>3.55156567953839</v>
      </c>
      <c r="T117" s="11" t="n">
        <v>3.57012589360203</v>
      </c>
      <c r="U117" s="11" t="n">
        <v>3.59014851598622</v>
      </c>
      <c r="V117" s="11" t="n">
        <v>3.61124508349149</v>
      </c>
      <c r="W117" s="11" t="n">
        <v>3.6330287493288</v>
      </c>
      <c r="X117" s="11" t="n">
        <v>3.65511740258576</v>
      </c>
      <c r="Y117" s="11" t="n">
        <v>3.67716247305394</v>
      </c>
      <c r="Z117" s="11" t="n">
        <v>3.69886669307193</v>
      </c>
      <c r="AA117" s="11" t="n">
        <v>3.71997475812302</v>
      </c>
      <c r="AB117" s="11" t="n">
        <v>3.74027068689163</v>
      </c>
      <c r="AC117" s="11" t="n">
        <v>3.75957612406542</v>
      </c>
      <c r="AD117" s="11" t="n">
        <v>3.77774461774426</v>
      </c>
      <c r="AE117" s="11" t="n">
        <v>3.79465663453209</v>
      </c>
      <c r="AF117" s="11" t="n">
        <v>3.81021553300223</v>
      </c>
      <c r="AG117" s="11" t="n">
        <v>3.8243459996906</v>
      </c>
      <c r="AH117" s="11" t="n">
        <v>3.83699294670212</v>
      </c>
      <c r="AI117" s="11" t="n">
        <v>3.84811826323953</v>
      </c>
      <c r="AJ117" s="11" t="n">
        <v>3.85769878855158</v>
      </c>
      <c r="AK117" s="11" t="n">
        <v>3.86572407623581</v>
      </c>
      <c r="AL117" s="11" t="n">
        <v>3.87219402781122</v>
      </c>
      <c r="AM117" s="11" t="n">
        <v>3.87711774143134</v>
      </c>
      <c r="AN117" s="11" t="n">
        <v>3.88051291254201</v>
      </c>
      <c r="AO117" s="11" t="n">
        <v>3.88240529167026</v>
      </c>
      <c r="AP117" s="11" t="n">
        <v>3.88282879884267</v>
      </c>
      <c r="AQ117" s="11" t="n">
        <v>3.88182495862268</v>
      </c>
      <c r="AR117" s="11" t="n">
        <v>3.87944236505695</v>
      </c>
      <c r="AS117" s="11" t="n">
        <v>3.87573591983172</v>
      </c>
      <c r="AT117" s="11" t="n">
        <v>3.87076546263566</v>
      </c>
      <c r="AU117" s="11" t="n">
        <v>3.86459478447609</v>
      </c>
      <c r="AV117" s="11" t="n">
        <v>3.85729059822858</v>
      </c>
      <c r="AW117" s="11" t="n">
        <v>3.84892182185011</v>
      </c>
      <c r="AX117" s="11" t="n">
        <v>3.8395589092941</v>
      </c>
      <c r="AY117" s="11" t="n">
        <v>3.82927256362539</v>
      </c>
      <c r="AZ117" s="11" t="n">
        <v>3.81813317764919</v>
      </c>
      <c r="BA117" s="11" t="n">
        <v>3.80621075764432</v>
      </c>
      <c r="BB117" s="11" t="n">
        <v>3.79357453105165</v>
      </c>
      <c r="BC117" s="11" t="n">
        <v>3.78029268401348</v>
      </c>
      <c r="BD117" s="11" t="n">
        <v>3.76643212077614</v>
      </c>
      <c r="BE117" s="11" t="n">
        <v>3.75205803716433</v>
      </c>
      <c r="BF117" s="11" t="n">
        <v>3.7372333594927</v>
      </c>
      <c r="BG117" s="11" t="n">
        <v>3.72201877532512</v>
      </c>
    </row>
    <row r="118" customFormat="false" ht="15" hidden="false" customHeight="false" outlineLevel="0" collapsed="false">
      <c r="A118" s="10" t="n">
        <v>-7</v>
      </c>
      <c r="B118" s="8" t="n">
        <v>44827</v>
      </c>
      <c r="C118" s="11" t="n">
        <v>3.97008405535548</v>
      </c>
      <c r="D118" s="11" t="n">
        <v>4.00415701899364</v>
      </c>
      <c r="E118" s="11" t="n">
        <v>4.01479053069184</v>
      </c>
      <c r="F118" s="11" t="n">
        <v>4.01209261505211</v>
      </c>
      <c r="G118" s="11" t="n">
        <v>4.00102278081013</v>
      </c>
      <c r="H118" s="11" t="n">
        <v>3.98453418599826</v>
      </c>
      <c r="I118" s="11" t="n">
        <v>3.96475393028647</v>
      </c>
      <c r="J118" s="11" t="n">
        <v>3.94337398739632</v>
      </c>
      <c r="K118" s="11" t="n">
        <v>3.92181028882986</v>
      </c>
      <c r="L118" s="11" t="n">
        <v>3.90125680904023</v>
      </c>
      <c r="M118" s="11" t="n">
        <v>3.88270990363605</v>
      </c>
      <c r="N118" s="11" t="n">
        <v>3.86696565941866</v>
      </c>
      <c r="O118" s="11" t="n">
        <v>3.85459818132124</v>
      </c>
      <c r="P118" s="11" t="n">
        <v>3.8459487740359</v>
      </c>
      <c r="Q118" s="11" t="n">
        <v>3.8411364816299</v>
      </c>
      <c r="R118" s="11" t="n">
        <v>3.84008321937721</v>
      </c>
      <c r="S118" s="11" t="n">
        <v>3.84256292424455</v>
      </c>
      <c r="T118" s="11" t="n">
        <v>3.84822748875935</v>
      </c>
      <c r="U118" s="11" t="n">
        <v>3.85668002433737</v>
      </c>
      <c r="V118" s="11" t="n">
        <v>3.86750158462638</v>
      </c>
      <c r="W118" s="11" t="n">
        <v>3.88025587910283</v>
      </c>
      <c r="X118" s="11" t="n">
        <v>3.89449677447825</v>
      </c>
      <c r="Y118" s="11" t="n">
        <v>3.9098034319549</v>
      </c>
      <c r="Z118" s="11" t="n">
        <v>3.92580079613127</v>
      </c>
      <c r="AA118" s="11" t="n">
        <v>3.9421485608276</v>
      </c>
      <c r="AB118" s="11" t="n">
        <v>3.95854377290754</v>
      </c>
      <c r="AC118" s="11" t="n">
        <v>3.97472375836352</v>
      </c>
      <c r="AD118" s="11" t="n">
        <v>3.99046024638726</v>
      </c>
      <c r="AE118" s="11" t="n">
        <v>4.0055539938699</v>
      </c>
      <c r="AF118" s="11" t="n">
        <v>4.01983054923605</v>
      </c>
      <c r="AG118" s="11" t="n">
        <v>4.03314183754956</v>
      </c>
      <c r="AH118" s="11" t="n">
        <v>4.04536797726765</v>
      </c>
      <c r="AI118" s="11" t="n">
        <v>4.05641205643509</v>
      </c>
      <c r="AJ118" s="11" t="n">
        <v>4.06619755981281</v>
      </c>
      <c r="AK118" s="11" t="n">
        <v>4.07466559722793</v>
      </c>
      <c r="AL118" s="11" t="n">
        <v>4.08177232230181</v>
      </c>
      <c r="AM118" s="11" t="n">
        <v>4.08748739198686</v>
      </c>
      <c r="AN118" s="11" t="n">
        <v>4.09179293937958</v>
      </c>
      <c r="AO118" s="11" t="n">
        <v>4.09468262154548</v>
      </c>
      <c r="AP118" s="11" t="n">
        <v>4.0961613963585</v>
      </c>
      <c r="AQ118" s="11" t="n">
        <v>4.0962446527343</v>
      </c>
      <c r="AR118" s="11" t="n">
        <v>4.09495754876543</v>
      </c>
      <c r="AS118" s="11" t="n">
        <v>4.09233407447225</v>
      </c>
      <c r="AT118" s="11" t="n">
        <v>4.08841559966454</v>
      </c>
      <c r="AU118" s="11" t="n">
        <v>4.08324975865112</v>
      </c>
      <c r="AV118" s="11" t="n">
        <v>4.07688933054515</v>
      </c>
      <c r="AW118" s="11" t="n">
        <v>4.06939139740529</v>
      </c>
      <c r="AX118" s="11" t="n">
        <v>4.06081653456032</v>
      </c>
      <c r="AY118" s="11" t="n">
        <v>4.05122753561878</v>
      </c>
      <c r="AZ118" s="11" t="n">
        <v>4.04068877738303</v>
      </c>
      <c r="BA118" s="11" t="n">
        <v>4.02926597211636</v>
      </c>
      <c r="BB118" s="11" t="n">
        <v>4.01702563316583</v>
      </c>
      <c r="BC118" s="11" t="n">
        <v>4.00403466731682</v>
      </c>
      <c r="BD118" s="11" t="n">
        <v>3.9903599672974</v>
      </c>
      <c r="BE118" s="11" t="n">
        <v>3.97606781599867</v>
      </c>
      <c r="BF118" s="11" t="n">
        <v>3.96122316764103</v>
      </c>
      <c r="BG118" s="11" t="n">
        <v>3.94588954411255</v>
      </c>
    </row>
    <row r="119" customFormat="false" ht="15" hidden="false" customHeight="false" outlineLevel="0" collapsed="false">
      <c r="A119" s="10" t="n">
        <v>-6</v>
      </c>
      <c r="B119" s="8" t="n">
        <v>44830</v>
      </c>
      <c r="C119" s="11" t="n">
        <v>4.41144037785107</v>
      </c>
      <c r="D119" s="11" t="n">
        <v>4.43893601489098</v>
      </c>
      <c r="E119" s="11" t="n">
        <v>4.44272546432639</v>
      </c>
      <c r="F119" s="11" t="n">
        <v>4.43317767569446</v>
      </c>
      <c r="G119" s="11" t="n">
        <v>4.41541705733256</v>
      </c>
      <c r="H119" s="11" t="n">
        <v>4.39239008913974</v>
      </c>
      <c r="I119" s="11" t="n">
        <v>4.36612796048512</v>
      </c>
      <c r="J119" s="11" t="n">
        <v>4.33821010561875</v>
      </c>
      <c r="K119" s="11" t="n">
        <v>4.30996890758919</v>
      </c>
      <c r="L119" s="11" t="n">
        <v>4.28258357151534</v>
      </c>
      <c r="M119" s="11" t="n">
        <v>4.25711201687134</v>
      </c>
      <c r="N119" s="11" t="n">
        <v>4.23447265010725</v>
      </c>
      <c r="O119" s="11" t="n">
        <v>4.2153931333037</v>
      </c>
      <c r="P119" s="11" t="n">
        <v>4.20038234229518</v>
      </c>
      <c r="Q119" s="11" t="n">
        <v>4.18973105907489</v>
      </c>
      <c r="R119" s="11" t="n">
        <v>4.18351986036421</v>
      </c>
      <c r="S119" s="11" t="n">
        <v>4.18165353883282</v>
      </c>
      <c r="T119" s="11" t="n">
        <v>4.18388291355964</v>
      </c>
      <c r="U119" s="11" t="n">
        <v>4.18986625104127</v>
      </c>
      <c r="V119" s="11" t="n">
        <v>4.19919983829557</v>
      </c>
      <c r="W119" s="11" t="n">
        <v>4.21143096983812</v>
      </c>
      <c r="X119" s="11" t="n">
        <v>4.22607116353674</v>
      </c>
      <c r="Y119" s="11" t="n">
        <v>4.24263078910166</v>
      </c>
      <c r="Z119" s="11" t="n">
        <v>4.26064035566507</v>
      </c>
      <c r="AA119" s="11" t="n">
        <v>4.27964762133069</v>
      </c>
      <c r="AB119" s="11" t="n">
        <v>4.29923486101466</v>
      </c>
      <c r="AC119" s="11" t="n">
        <v>4.31903028462191</v>
      </c>
      <c r="AD119" s="11" t="n">
        <v>4.33870176429776</v>
      </c>
      <c r="AE119" s="11" t="n">
        <v>4.35795063720283</v>
      </c>
      <c r="AF119" s="11" t="n">
        <v>4.37650700463233</v>
      </c>
      <c r="AG119" s="11" t="n">
        <v>4.39413707630381</v>
      </c>
      <c r="AH119" s="11" t="n">
        <v>4.41065002909647</v>
      </c>
      <c r="AI119" s="11" t="n">
        <v>4.425889595756</v>
      </c>
      <c r="AJ119" s="11" t="n">
        <v>4.4397310142617</v>
      </c>
      <c r="AK119" s="11" t="n">
        <v>4.45207711459148</v>
      </c>
      <c r="AL119" s="11" t="n">
        <v>4.46285501455801</v>
      </c>
      <c r="AM119" s="11" t="n">
        <v>4.47201340653014</v>
      </c>
      <c r="AN119" s="11" t="n">
        <v>4.47952030314723</v>
      </c>
      <c r="AO119" s="11" t="n">
        <v>4.48536110642753</v>
      </c>
      <c r="AP119" s="11" t="n">
        <v>4.48953737011903</v>
      </c>
      <c r="AQ119" s="11" t="n">
        <v>4.49206519799874</v>
      </c>
      <c r="AR119" s="11" t="n">
        <v>4.49297372938753</v>
      </c>
      <c r="AS119" s="11" t="n">
        <v>4.49230356731555</v>
      </c>
      <c r="AT119" s="11" t="n">
        <v>4.49010463659366</v>
      </c>
      <c r="AU119" s="11" t="n">
        <v>4.48643459908994</v>
      </c>
      <c r="AV119" s="11" t="n">
        <v>4.48135720627159</v>
      </c>
      <c r="AW119" s="11" t="n">
        <v>4.4749411005741</v>
      </c>
      <c r="AX119" s="11" t="n">
        <v>4.4672586985958</v>
      </c>
      <c r="AY119" s="11" t="n">
        <v>4.45838450792423</v>
      </c>
      <c r="AZ119" s="11" t="n">
        <v>4.448394349238</v>
      </c>
      <c r="BA119" s="11" t="n">
        <v>4.43736505631672</v>
      </c>
      <c r="BB119" s="11" t="n">
        <v>4.42537364190731</v>
      </c>
      <c r="BC119" s="11" t="n">
        <v>4.41249675459997</v>
      </c>
      <c r="BD119" s="11" t="n">
        <v>4.39881025026233</v>
      </c>
      <c r="BE119" s="11" t="n">
        <v>4.38438860368818</v>
      </c>
      <c r="BF119" s="11" t="n">
        <v>4.36930420797172</v>
      </c>
      <c r="BG119" s="11" t="n">
        <v>4.35362733676903</v>
      </c>
    </row>
    <row r="120" customFormat="false" ht="15" hidden="false" customHeight="false" outlineLevel="0" collapsed="false">
      <c r="A120" s="10" t="n">
        <v>-5</v>
      </c>
      <c r="B120" s="8" t="n">
        <v>44831</v>
      </c>
      <c r="C120" s="11" t="n">
        <v>4.53257852935714</v>
      </c>
      <c r="D120" s="11" t="n">
        <v>4.56139145526016</v>
      </c>
      <c r="E120" s="11" t="n">
        <v>4.56789556094037</v>
      </c>
      <c r="F120" s="11" t="n">
        <v>4.56289297247266</v>
      </c>
      <c r="G120" s="11" t="n">
        <v>4.55141348601473</v>
      </c>
      <c r="H120" s="11" t="n">
        <v>4.53613556487818</v>
      </c>
      <c r="I120" s="11" t="n">
        <v>4.51877847698082</v>
      </c>
      <c r="J120" s="11" t="n">
        <v>4.50061524170322</v>
      </c>
      <c r="K120" s="11" t="n">
        <v>4.48269378549769</v>
      </c>
      <c r="L120" s="11" t="n">
        <v>4.46593812095854</v>
      </c>
      <c r="M120" s="11" t="n">
        <v>4.45118174448888</v>
      </c>
      <c r="N120" s="11" t="n">
        <v>4.43915513276768</v>
      </c>
      <c r="O120" s="11" t="n">
        <v>4.43043705895018</v>
      </c>
      <c r="P120" s="11" t="n">
        <v>4.42542899659511</v>
      </c>
      <c r="Q120" s="11" t="n">
        <v>4.42435722061087</v>
      </c>
      <c r="R120" s="11" t="n">
        <v>4.42727778845628</v>
      </c>
      <c r="S120" s="11" t="n">
        <v>4.43410415920831</v>
      </c>
      <c r="T120" s="11" t="n">
        <v>4.44462557385935</v>
      </c>
      <c r="U120" s="11" t="n">
        <v>4.45855200961302</v>
      </c>
      <c r="V120" s="11" t="n">
        <v>4.47553824324139</v>
      </c>
      <c r="W120" s="11" t="n">
        <v>4.49519539820326</v>
      </c>
      <c r="X120" s="11" t="n">
        <v>4.51710212518385</v>
      </c>
      <c r="Y120" s="11" t="n">
        <v>4.54083043901344</v>
      </c>
      <c r="Z120" s="11" t="n">
        <v>4.56596131588287</v>
      </c>
      <c r="AA120" s="11" t="n">
        <v>4.59208257564456</v>
      </c>
      <c r="AB120" s="11" t="n">
        <v>4.61880511198081</v>
      </c>
      <c r="AC120" s="11" t="n">
        <v>4.6457739816157</v>
      </c>
      <c r="AD120" s="11" t="n">
        <v>4.67266386638885</v>
      </c>
      <c r="AE120" s="11" t="n">
        <v>4.69917444433113</v>
      </c>
      <c r="AF120" s="11" t="n">
        <v>4.72502694173711</v>
      </c>
      <c r="AG120" s="11" t="n">
        <v>4.74997143685739</v>
      </c>
      <c r="AH120" s="11" t="n">
        <v>4.77379420925831</v>
      </c>
      <c r="AI120" s="11" t="n">
        <v>4.79631316936392</v>
      </c>
      <c r="AJ120" s="11" t="n">
        <v>4.81737684924498</v>
      </c>
      <c r="AK120" s="11" t="n">
        <v>4.83686139641552</v>
      </c>
      <c r="AL120" s="11" t="n">
        <v>4.85466895260021</v>
      </c>
      <c r="AM120" s="11" t="n">
        <v>4.87072569109998</v>
      </c>
      <c r="AN120" s="11" t="n">
        <v>4.88498000370526</v>
      </c>
      <c r="AO120" s="11" t="n">
        <v>4.89740069095245</v>
      </c>
      <c r="AP120" s="11" t="n">
        <v>4.907976257442</v>
      </c>
      <c r="AQ120" s="11" t="n">
        <v>4.91671314478829</v>
      </c>
      <c r="AR120" s="11" t="n">
        <v>4.92363386907414</v>
      </c>
      <c r="AS120" s="11" t="n">
        <v>4.92877503838036</v>
      </c>
      <c r="AT120" s="11" t="n">
        <v>4.93218452913962</v>
      </c>
      <c r="AU120" s="11" t="n">
        <v>4.93391943624462</v>
      </c>
      <c r="AV120" s="11" t="n">
        <v>4.93404390370929</v>
      </c>
      <c r="AW120" s="11" t="n">
        <v>4.93262758772029</v>
      </c>
      <c r="AX120" s="11" t="n">
        <v>4.92974427007056</v>
      </c>
      <c r="AY120" s="11" t="n">
        <v>4.92546980860973</v>
      </c>
      <c r="AZ120" s="11" t="n">
        <v>4.91988122786129</v>
      </c>
      <c r="BA120" s="11" t="n">
        <v>4.91305637378692</v>
      </c>
      <c r="BB120" s="11" t="n">
        <v>4.9050728562187</v>
      </c>
      <c r="BC120" s="11" t="n">
        <v>4.89600738665677</v>
      </c>
      <c r="BD120" s="11" t="n">
        <v>4.88593528183279</v>
      </c>
      <c r="BE120" s="11" t="n">
        <v>4.87492982060763</v>
      </c>
      <c r="BF120" s="11" t="n">
        <v>4.86306150094263</v>
      </c>
      <c r="BG120" s="11" t="n">
        <v>4.85039808890444</v>
      </c>
    </row>
    <row r="121" customFormat="false" ht="15" hidden="false" customHeight="false" outlineLevel="0" collapsed="false">
      <c r="A121" s="10" t="n">
        <v>-4</v>
      </c>
      <c r="B121" s="8" t="n">
        <v>44832</v>
      </c>
      <c r="C121" s="11" t="n">
        <v>4.28144973362742</v>
      </c>
      <c r="D121" s="11" t="n">
        <v>4.30658253852944</v>
      </c>
      <c r="E121" s="11" t="n">
        <v>4.3075607651032</v>
      </c>
      <c r="F121" s="11" t="n">
        <v>4.29542085928525</v>
      </c>
      <c r="G121" s="11" t="n">
        <v>4.27573388828896</v>
      </c>
      <c r="H121" s="11" t="n">
        <v>4.25168109171573</v>
      </c>
      <c r="I121" s="11" t="n">
        <v>4.2253673666586</v>
      </c>
      <c r="J121" s="11" t="n">
        <v>4.19831842018907</v>
      </c>
      <c r="K121" s="11" t="n">
        <v>4.17171367042429</v>
      </c>
      <c r="L121" s="11" t="n">
        <v>4.14650611911618</v>
      </c>
      <c r="M121" s="11" t="n">
        <v>4.12347730816187</v>
      </c>
      <c r="N121" s="11" t="n">
        <v>4.10324578371791</v>
      </c>
      <c r="O121" s="11" t="n">
        <v>4.08623292229059</v>
      </c>
      <c r="P121" s="11" t="n">
        <v>4.07264806374663</v>
      </c>
      <c r="Q121" s="11" t="n">
        <v>4.06249930922765</v>
      </c>
      <c r="R121" s="11" t="n">
        <v>4.05561074604905</v>
      </c>
      <c r="S121" s="11" t="n">
        <v>4.05166629470566</v>
      </c>
      <c r="T121" s="11" t="n">
        <v>4.05023185033158</v>
      </c>
      <c r="U121" s="11" t="n">
        <v>4.05083709215116</v>
      </c>
      <c r="V121" s="11" t="n">
        <v>4.05300219576798</v>
      </c>
      <c r="W121" s="11" t="n">
        <v>4.05623993567729</v>
      </c>
      <c r="X121" s="11" t="n">
        <v>4.06006260896833</v>
      </c>
      <c r="Y121" s="11" t="n">
        <v>4.0640250053138</v>
      </c>
      <c r="Z121" s="11" t="n">
        <v>4.06774734175928</v>
      </c>
      <c r="AA121" s="11" t="n">
        <v>4.0708989584568</v>
      </c>
      <c r="AB121" s="11" t="n">
        <v>4.0732079334276</v>
      </c>
      <c r="AC121" s="11" t="n">
        <v>4.0744685888952</v>
      </c>
      <c r="AD121" s="11" t="n">
        <v>4.07453191821278</v>
      </c>
      <c r="AE121" s="11" t="n">
        <v>4.07329673099913</v>
      </c>
      <c r="AF121" s="11" t="n">
        <v>4.07070278476625</v>
      </c>
      <c r="AG121" s="11" t="n">
        <v>4.06673589966527</v>
      </c>
      <c r="AH121" s="11" t="n">
        <v>4.06143125055352</v>
      </c>
      <c r="AI121" s="11" t="n">
        <v>4.05485528678996</v>
      </c>
      <c r="AJ121" s="11" t="n">
        <v>4.04709605410538</v>
      </c>
      <c r="AK121" s="11" t="n">
        <v>4.03825681968941</v>
      </c>
      <c r="AL121" s="11" t="n">
        <v>4.02844633683526</v>
      </c>
      <c r="AM121" s="11" t="n">
        <v>4.01777341380147</v>
      </c>
      <c r="AN121" s="11" t="n">
        <v>4.00634306148186</v>
      </c>
      <c r="AO121" s="11" t="n">
        <v>3.99425446359681</v>
      </c>
      <c r="AP121" s="11" t="n">
        <v>3.98159691202102</v>
      </c>
      <c r="AQ121" s="11" t="n">
        <v>3.96844922417154</v>
      </c>
      <c r="AR121" s="11" t="n">
        <v>3.95487889350526</v>
      </c>
      <c r="AS121" s="11" t="n">
        <v>3.94094236164785</v>
      </c>
      <c r="AT121" s="11" t="n">
        <v>3.92668602262951</v>
      </c>
      <c r="AU121" s="11" t="n">
        <v>3.91214728352794</v>
      </c>
      <c r="AV121" s="11" t="n">
        <v>3.89735589215669</v>
      </c>
      <c r="AW121" s="11" t="n">
        <v>3.88233496219189</v>
      </c>
      <c r="AX121" s="11" t="n">
        <v>3.86710198271014</v>
      </c>
      <c r="AY121" s="11" t="n">
        <v>3.85167044952147</v>
      </c>
      <c r="AZ121" s="11" t="n">
        <v>3.83605073278973</v>
      </c>
      <c r="BA121" s="11" t="n">
        <v>3.82025066682046</v>
      </c>
      <c r="BB121" s="11" t="n">
        <v>3.8042770599964</v>
      </c>
      <c r="BC121" s="11" t="n">
        <v>3.78813659412071</v>
      </c>
      <c r="BD121" s="11" t="n">
        <v>3.77183635846858</v>
      </c>
      <c r="BE121" s="11" t="n">
        <v>3.75538412974597</v>
      </c>
      <c r="BF121" s="11" t="n">
        <v>3.73878857447861</v>
      </c>
      <c r="BG121" s="11" t="n">
        <v>3.72205919418995</v>
      </c>
    </row>
    <row r="122" customFormat="false" ht="15" hidden="false" customHeight="false" outlineLevel="0" collapsed="false">
      <c r="A122" s="10" t="n">
        <v>-3</v>
      </c>
      <c r="B122" s="8" t="n">
        <v>44833</v>
      </c>
      <c r="C122" s="11" t="n">
        <v>4.36298543903722</v>
      </c>
      <c r="D122" s="11" t="n">
        <v>4.38929014683197</v>
      </c>
      <c r="E122" s="11" t="n">
        <v>4.39147022319657</v>
      </c>
      <c r="F122" s="11" t="n">
        <v>4.38035042751839</v>
      </c>
      <c r="G122" s="11" t="n">
        <v>4.36133824394846</v>
      </c>
      <c r="H122" s="11" t="n">
        <v>4.33752488000253</v>
      </c>
      <c r="I122" s="11" t="n">
        <v>4.31098706500494</v>
      </c>
      <c r="J122" s="11" t="n">
        <v>4.28327097794313</v>
      </c>
      <c r="K122" s="11" t="n">
        <v>4.25560952313124</v>
      </c>
      <c r="L122" s="11" t="n">
        <v>4.2290265561479</v>
      </c>
      <c r="M122" s="11" t="n">
        <v>4.20437780190797</v>
      </c>
      <c r="N122" s="11" t="n">
        <v>4.18235191152583</v>
      </c>
      <c r="O122" s="11" t="n">
        <v>4.16343160932555</v>
      </c>
      <c r="P122" s="11" t="n">
        <v>4.14787884275897</v>
      </c>
      <c r="Q122" s="11" t="n">
        <v>4.13574533827632</v>
      </c>
      <c r="R122" s="11" t="n">
        <v>4.12689070269573</v>
      </c>
      <c r="S122" s="11" t="n">
        <v>4.1210276334273</v>
      </c>
      <c r="T122" s="11" t="n">
        <v>4.11774588471294</v>
      </c>
      <c r="U122" s="11" t="n">
        <v>4.11659141723084</v>
      </c>
      <c r="V122" s="11" t="n">
        <v>4.117093241583</v>
      </c>
      <c r="W122" s="11" t="n">
        <v>4.11876705775721</v>
      </c>
      <c r="X122" s="11" t="n">
        <v>4.12112322585888</v>
      </c>
      <c r="Y122" s="11" t="n">
        <v>4.12370898312419</v>
      </c>
      <c r="Z122" s="11" t="n">
        <v>4.12613097205581</v>
      </c>
      <c r="AA122" s="11" t="n">
        <v>4.12804107219905</v>
      </c>
      <c r="AB122" s="11" t="n">
        <v>4.12914739521559</v>
      </c>
      <c r="AC122" s="11" t="n">
        <v>4.12922210068801</v>
      </c>
      <c r="AD122" s="11" t="n">
        <v>4.1280921501305</v>
      </c>
      <c r="AE122" s="11" t="n">
        <v>4.12563074418708</v>
      </c>
      <c r="AF122" s="11" t="n">
        <v>4.12175071001212</v>
      </c>
      <c r="AG122" s="11" t="n">
        <v>4.11641005477987</v>
      </c>
      <c r="AH122" s="11" t="n">
        <v>4.10961590367965</v>
      </c>
      <c r="AI122" s="11" t="n">
        <v>4.10140899127297</v>
      </c>
      <c r="AJ122" s="11" t="n">
        <v>4.09185565813191</v>
      </c>
      <c r="AK122" s="11" t="n">
        <v>4.08104185816737</v>
      </c>
      <c r="AL122" s="11" t="n">
        <v>4.06906476598117</v>
      </c>
      <c r="AM122" s="11" t="n">
        <v>4.05602698430326</v>
      </c>
      <c r="AN122" s="11" t="n">
        <v>4.04203186912288</v>
      </c>
      <c r="AO122" s="11" t="n">
        <v>4.02718086343195</v>
      </c>
      <c r="AP122" s="11" t="n">
        <v>4.01156884544535</v>
      </c>
      <c r="AQ122" s="11" t="n">
        <v>3.99528306859874</v>
      </c>
      <c r="AR122" s="11" t="n">
        <v>3.97840167572943</v>
      </c>
      <c r="AS122" s="11" t="n">
        <v>3.96099351671906</v>
      </c>
      <c r="AT122" s="11" t="n">
        <v>3.94311861777583</v>
      </c>
      <c r="AU122" s="11" t="n">
        <v>3.92482889037552</v>
      </c>
      <c r="AV122" s="11" t="n">
        <v>3.9061690470318</v>
      </c>
      <c r="AW122" s="11" t="n">
        <v>3.88717733533295</v>
      </c>
      <c r="AX122" s="11" t="n">
        <v>3.86788625231816</v>
      </c>
      <c r="AY122" s="11" t="n">
        <v>3.8483237707121</v>
      </c>
      <c r="AZ122" s="11" t="n">
        <v>3.82851408280614</v>
      </c>
      <c r="BA122" s="11" t="n">
        <v>3.80847816847534</v>
      </c>
      <c r="BB122" s="11" t="n">
        <v>3.78823501065138</v>
      </c>
      <c r="BC122" s="11" t="n">
        <v>3.76780243632459</v>
      </c>
      <c r="BD122" s="11" t="n">
        <v>3.74719780976956</v>
      </c>
      <c r="BE122" s="11" t="n">
        <v>3.72643854943252</v>
      </c>
      <c r="BF122" s="11" t="n">
        <v>3.70554258232668</v>
      </c>
      <c r="BG122" s="11" t="n">
        <v>3.68452831654626</v>
      </c>
    </row>
    <row r="123" customFormat="false" ht="15" hidden="false" customHeight="false" outlineLevel="0" collapsed="false">
      <c r="A123" s="10" t="n">
        <v>-2</v>
      </c>
      <c r="B123" s="8" t="n">
        <v>44834</v>
      </c>
      <c r="C123" s="11" t="n">
        <v>4.32349796847722</v>
      </c>
      <c r="D123" s="11" t="n">
        <v>4.36696271939941</v>
      </c>
      <c r="E123" s="11" t="n">
        <v>4.38120418558192</v>
      </c>
      <c r="F123" s="11" t="n">
        <v>4.37806721415447</v>
      </c>
      <c r="G123" s="11" t="n">
        <v>4.36394268939157</v>
      </c>
      <c r="H123" s="11" t="n">
        <v>4.34274875826287</v>
      </c>
      <c r="I123" s="11" t="n">
        <v>4.31721353820853</v>
      </c>
      <c r="J123" s="11" t="n">
        <v>4.28937137165057</v>
      </c>
      <c r="K123" s="11" t="n">
        <v>4.26079856506739</v>
      </c>
      <c r="L123" s="11" t="n">
        <v>4.23273600549057</v>
      </c>
      <c r="M123" s="11" t="n">
        <v>4.20615429530285</v>
      </c>
      <c r="N123" s="11" t="n">
        <v>4.18177984249661</v>
      </c>
      <c r="O123" s="11" t="n">
        <v>4.16009249225504</v>
      </c>
      <c r="P123" s="11" t="n">
        <v>4.14133457386868</v>
      </c>
      <c r="Q123" s="11" t="n">
        <v>4.12553512232972</v>
      </c>
      <c r="R123" s="11" t="n">
        <v>4.11254302823497</v>
      </c>
      <c r="S123" s="11" t="n">
        <v>4.10207799558718</v>
      </c>
      <c r="T123" s="11" t="n">
        <v>4.09375652742313</v>
      </c>
      <c r="U123" s="11" t="n">
        <v>4.08716949736498</v>
      </c>
      <c r="V123" s="11" t="n">
        <v>4.08190472850097</v>
      </c>
      <c r="W123" s="11" t="n">
        <v>4.07754772220611</v>
      </c>
      <c r="X123" s="11" t="n">
        <v>4.0736875222689</v>
      </c>
      <c r="Y123" s="11" t="n">
        <v>4.06995608395509</v>
      </c>
      <c r="Z123" s="11" t="n">
        <v>4.06604715131639</v>
      </c>
      <c r="AA123" s="11" t="n">
        <v>4.06169838006333</v>
      </c>
      <c r="AB123" s="11" t="n">
        <v>4.05669475683758</v>
      </c>
      <c r="AC123" s="11" t="n">
        <v>4.0508722373093</v>
      </c>
      <c r="AD123" s="11" t="n">
        <v>4.04411021893566</v>
      </c>
      <c r="AE123" s="11" t="n">
        <v>4.03632475318166</v>
      </c>
      <c r="AF123" s="11" t="n">
        <v>4.02746328140057</v>
      </c>
      <c r="AG123" s="11" t="n">
        <v>4.01750782353074</v>
      </c>
      <c r="AH123" s="11" t="n">
        <v>4.00647675403736</v>
      </c>
      <c r="AI123" s="11" t="n">
        <v>3.99441276188919</v>
      </c>
      <c r="AJ123" s="11" t="n">
        <v>3.98137634466812</v>
      </c>
      <c r="AK123" s="11" t="n">
        <v>3.96744114077013</v>
      </c>
      <c r="AL123" s="11" t="n">
        <v>3.95268721857235</v>
      </c>
      <c r="AM123" s="11" t="n">
        <v>3.93719631652191</v>
      </c>
      <c r="AN123" s="11" t="n">
        <v>3.92104798487316</v>
      </c>
      <c r="AO123" s="11" t="n">
        <v>3.90431732408658</v>
      </c>
      <c r="AP123" s="11" t="n">
        <v>3.88707077095949</v>
      </c>
      <c r="AQ123" s="11" t="n">
        <v>3.86936542538794</v>
      </c>
      <c r="AR123" s="11" t="n">
        <v>3.85124810962265</v>
      </c>
      <c r="AS123" s="11" t="n">
        <v>3.83275565706045</v>
      </c>
      <c r="AT123" s="11" t="n">
        <v>3.81391611602126</v>
      </c>
      <c r="AU123" s="11" t="n">
        <v>3.7947498887274</v>
      </c>
      <c r="AV123" s="11" t="n">
        <v>3.77527121965179</v>
      </c>
      <c r="AW123" s="11" t="n">
        <v>3.75548921894314</v>
      </c>
      <c r="AX123" s="11" t="n">
        <v>3.73540887801863</v>
      </c>
      <c r="AY123" s="11" t="n">
        <v>3.71503302251807</v>
      </c>
      <c r="AZ123" s="11" t="n">
        <v>3.694363187547</v>
      </c>
      <c r="BA123" s="11" t="n">
        <v>3.6734001302565</v>
      </c>
      <c r="BB123" s="11" t="n">
        <v>3.65214549378088</v>
      </c>
      <c r="BC123" s="11" t="n">
        <v>3.63060280986715</v>
      </c>
      <c r="BD123" s="11" t="n">
        <v>3.60877823334073</v>
      </c>
      <c r="BE123" s="11" t="n">
        <v>3.58668103691985</v>
      </c>
      <c r="BF123" s="11" t="n">
        <v>3.56432406533737</v>
      </c>
      <c r="BG123" s="11" t="n">
        <v>3.54172363994227</v>
      </c>
    </row>
    <row r="124" customFormat="false" ht="15" hidden="false" customHeight="false" outlineLevel="0" collapsed="false">
      <c r="A124" s="10" t="n">
        <v>-1</v>
      </c>
      <c r="B124" s="8" t="n">
        <v>44837</v>
      </c>
      <c r="C124" s="11" t="n">
        <v>4.1072428934653</v>
      </c>
      <c r="D124" s="11" t="n">
        <v>4.15340318557746</v>
      </c>
      <c r="E124" s="11" t="n">
        <v>4.17104846610577</v>
      </c>
      <c r="F124" s="11" t="n">
        <v>4.17160701424782</v>
      </c>
      <c r="G124" s="11" t="n">
        <v>4.16144025356123</v>
      </c>
      <c r="H124" s="11" t="n">
        <v>4.14448690848847</v>
      </c>
      <c r="I124" s="11" t="n">
        <v>4.12349487145537</v>
      </c>
      <c r="J124" s="11" t="n">
        <v>4.10051926451781</v>
      </c>
      <c r="K124" s="11" t="n">
        <v>4.07716249466407</v>
      </c>
      <c r="L124" s="11" t="n">
        <v>4.05469750462697</v>
      </c>
      <c r="M124" s="11" t="n">
        <v>4.03413220204005</v>
      </c>
      <c r="N124" s="11" t="n">
        <v>4.01622784315569</v>
      </c>
      <c r="O124" s="11" t="n">
        <v>4.0014956629515</v>
      </c>
      <c r="P124" s="11" t="n">
        <v>3.99020386049627</v>
      </c>
      <c r="Q124" s="11" t="n">
        <v>3.98240249026049</v>
      </c>
      <c r="R124" s="11" t="n">
        <v>3.9779537435899</v>
      </c>
      <c r="S124" s="11" t="n">
        <v>3.97657820064282</v>
      </c>
      <c r="T124" s="11" t="n">
        <v>3.97788000977798</v>
      </c>
      <c r="U124" s="11" t="n">
        <v>3.98141729255743</v>
      </c>
      <c r="V124" s="11" t="n">
        <v>3.98672613187573</v>
      </c>
      <c r="W124" s="11" t="n">
        <v>3.99332523710702</v>
      </c>
      <c r="X124" s="11" t="n">
        <v>4.0007244779378</v>
      </c>
      <c r="Y124" s="11" t="n">
        <v>4.0084635563985</v>
      </c>
      <c r="Z124" s="11" t="n">
        <v>4.01613196373422</v>
      </c>
      <c r="AA124" s="11" t="n">
        <v>4.02335953161353</v>
      </c>
      <c r="AB124" s="11" t="n">
        <v>4.02983039218112</v>
      </c>
      <c r="AC124" s="11" t="n">
        <v>4.03529071060725</v>
      </c>
      <c r="AD124" s="11" t="n">
        <v>4.03953966389984</v>
      </c>
      <c r="AE124" s="11" t="n">
        <v>4.0424211578048</v>
      </c>
      <c r="AF124" s="11" t="n">
        <v>4.04381747520094</v>
      </c>
      <c r="AG124" s="11" t="n">
        <v>4.04365490150105</v>
      </c>
      <c r="AH124" s="11" t="n">
        <v>4.04190765811144</v>
      </c>
      <c r="AI124" s="11" t="n">
        <v>4.03858444418737</v>
      </c>
      <c r="AJ124" s="11" t="n">
        <v>4.03372145793559</v>
      </c>
      <c r="AK124" s="11" t="n">
        <v>4.02737663520836</v>
      </c>
      <c r="AL124" s="11" t="n">
        <v>4.0196221665839</v>
      </c>
      <c r="AM124" s="11" t="n">
        <v>4.01053899146331</v>
      </c>
      <c r="AN124" s="11" t="n">
        <v>4.00021230689173</v>
      </c>
      <c r="AO124" s="11" t="n">
        <v>3.98872900815959</v>
      </c>
      <c r="AP124" s="11" t="n">
        <v>3.97617380389644</v>
      </c>
      <c r="AQ124" s="11" t="n">
        <v>3.9626280979489</v>
      </c>
      <c r="AR124" s="11" t="n">
        <v>3.94816848470444</v>
      </c>
      <c r="AS124" s="11" t="n">
        <v>3.93286625771482</v>
      </c>
      <c r="AT124" s="11" t="n">
        <v>3.91678711047851</v>
      </c>
      <c r="AU124" s="11" t="n">
        <v>3.89999127826503</v>
      </c>
      <c r="AV124" s="11" t="n">
        <v>3.88253377950544</v>
      </c>
      <c r="AW124" s="11" t="n">
        <v>3.86446470432818</v>
      </c>
      <c r="AX124" s="11" t="n">
        <v>3.84582955892186</v>
      </c>
      <c r="AY124" s="11" t="n">
        <v>3.82666988855072</v>
      </c>
      <c r="AZ124" s="11" t="n">
        <v>3.80702375098699</v>
      </c>
      <c r="BA124" s="11" t="n">
        <v>3.78692618126931</v>
      </c>
      <c r="BB124" s="11" t="n">
        <v>3.7664100502394</v>
      </c>
      <c r="BC124" s="11" t="n">
        <v>3.74550670793076</v>
      </c>
      <c r="BD124" s="11" t="n">
        <v>3.72424657719215</v>
      </c>
      <c r="BE124" s="11" t="n">
        <v>3.70265954935506</v>
      </c>
      <c r="BF124" s="11" t="n">
        <v>3.68077531372095</v>
      </c>
      <c r="BG124" s="11" t="n">
        <v>3.65862343477511</v>
      </c>
    </row>
    <row r="125" customFormat="false" ht="15" hidden="false" customHeight="false" outlineLevel="0" collapsed="false">
      <c r="A125" s="10" t="n">
        <v>0</v>
      </c>
      <c r="B125" s="8" t="n">
        <v>44838</v>
      </c>
      <c r="C125" s="11" t="n">
        <v>3.99635564873882</v>
      </c>
      <c r="D125" s="11" t="n">
        <v>4.04122357035463</v>
      </c>
      <c r="E125" s="11" t="n">
        <v>4.05822707429476</v>
      </c>
      <c r="F125" s="11" t="n">
        <v>4.05902712790464</v>
      </c>
      <c r="G125" s="11" t="n">
        <v>4.04990378460624</v>
      </c>
      <c r="H125" s="11" t="n">
        <v>4.03462020483909</v>
      </c>
      <c r="I125" s="11" t="n">
        <v>4.01574499534086</v>
      </c>
      <c r="J125" s="11" t="n">
        <v>3.99519231227969</v>
      </c>
      <c r="K125" s="11" t="n">
        <v>3.97447529105932</v>
      </c>
      <c r="L125" s="11" t="n">
        <v>3.95482557444497</v>
      </c>
      <c r="M125" s="11" t="n">
        <v>3.9372515163924</v>
      </c>
      <c r="N125" s="11" t="n">
        <v>3.92253997504876</v>
      </c>
      <c r="O125" s="11" t="n">
        <v>3.91124489931989</v>
      </c>
      <c r="P125" s="11" t="n">
        <v>3.90368627162454</v>
      </c>
      <c r="Q125" s="11" t="n">
        <v>3.89997136288572</v>
      </c>
      <c r="R125" s="11" t="n">
        <v>3.90002016205794</v>
      </c>
      <c r="S125" s="11" t="n">
        <v>3.9036063325989</v>
      </c>
      <c r="T125" s="11" t="n">
        <v>3.91038068910102</v>
      </c>
      <c r="U125" s="11" t="n">
        <v>3.91993248160298</v>
      </c>
      <c r="V125" s="11" t="n">
        <v>3.93181363881687</v>
      </c>
      <c r="W125" s="11" t="n">
        <v>3.94554659852323</v>
      </c>
      <c r="X125" s="11" t="n">
        <v>3.96063449787857</v>
      </c>
      <c r="Y125" s="11" t="n">
        <v>3.97659579107585</v>
      </c>
      <c r="Z125" s="11" t="n">
        <v>3.99298302696784</v>
      </c>
      <c r="AA125" s="11" t="n">
        <v>4.00937935002474</v>
      </c>
      <c r="AB125" s="11" t="n">
        <v>4.02541577694087</v>
      </c>
      <c r="AC125" s="11" t="n">
        <v>4.04077989605425</v>
      </c>
      <c r="AD125" s="11" t="n">
        <v>4.05520770124394</v>
      </c>
      <c r="AE125" s="11" t="n">
        <v>4.06847602856423</v>
      </c>
      <c r="AF125" s="11" t="n">
        <v>4.08039679218249</v>
      </c>
      <c r="AG125" s="11" t="n">
        <v>4.09082285340292</v>
      </c>
      <c r="AH125" s="11" t="n">
        <v>4.09965255578698</v>
      </c>
      <c r="AI125" s="11" t="n">
        <v>4.10681928878999</v>
      </c>
      <c r="AJ125" s="11" t="n">
        <v>4.11228623844811</v>
      </c>
      <c r="AK125" s="11" t="n">
        <v>4.11604153689985</v>
      </c>
      <c r="AL125" s="11" t="n">
        <v>4.11809295915592</v>
      </c>
      <c r="AM125" s="11" t="n">
        <v>4.11846382018136</v>
      </c>
      <c r="AN125" s="11" t="n">
        <v>4.11718958988967</v>
      </c>
      <c r="AO125" s="11" t="n">
        <v>4.11431585675887</v>
      </c>
      <c r="AP125" s="11" t="n">
        <v>4.10989624257924</v>
      </c>
      <c r="AQ125" s="11" t="n">
        <v>4.10399110024627</v>
      </c>
      <c r="AR125" s="11" t="n">
        <v>4.09666608865194</v>
      </c>
      <c r="AS125" s="11" t="n">
        <v>4.08799104990012</v>
      </c>
      <c r="AT125" s="11" t="n">
        <v>4.07803850854589</v>
      </c>
      <c r="AU125" s="11" t="n">
        <v>4.06688275643503</v>
      </c>
      <c r="AV125" s="11" t="n">
        <v>4.05459886351871</v>
      </c>
      <c r="AW125" s="11" t="n">
        <v>4.04126207601519</v>
      </c>
      <c r="AX125" s="11" t="n">
        <v>4.02694712695391</v>
      </c>
      <c r="AY125" s="11" t="n">
        <v>4.01172680826595</v>
      </c>
      <c r="AZ125" s="11" t="n">
        <v>3.99567155227501</v>
      </c>
      <c r="BA125" s="11" t="n">
        <v>3.97884945329928</v>
      </c>
      <c r="BB125" s="11" t="n">
        <v>3.96132572972797</v>
      </c>
      <c r="BC125" s="11" t="n">
        <v>3.94316257139126</v>
      </c>
      <c r="BD125" s="11" t="n">
        <v>3.9244191997571</v>
      </c>
      <c r="BE125" s="11" t="n">
        <v>3.9051517891332</v>
      </c>
      <c r="BF125" s="11" t="n">
        <v>3.88541329107665</v>
      </c>
      <c r="BG125" s="11" t="n">
        <v>3.86525344984828</v>
      </c>
    </row>
    <row r="126" customFormat="false" ht="15" hidden="false" customHeight="false" outlineLevel="0" collapsed="false">
      <c r="A126" s="10" t="n">
        <v>1</v>
      </c>
      <c r="B126" s="8" t="n">
        <v>44839</v>
      </c>
      <c r="C126" s="11" t="n">
        <v>4.08709011746396</v>
      </c>
      <c r="D126" s="11" t="n">
        <v>4.13322599413002</v>
      </c>
      <c r="E126" s="11" t="n">
        <v>4.1538773775554</v>
      </c>
      <c r="F126" s="11" t="n">
        <v>4.159807006359</v>
      </c>
      <c r="G126" s="11" t="n">
        <v>4.15657414738804</v>
      </c>
      <c r="H126" s="11" t="n">
        <v>4.1474116287396</v>
      </c>
      <c r="I126" s="11" t="n">
        <v>4.13451123762223</v>
      </c>
      <c r="J126" s="11" t="n">
        <v>4.11953801100083</v>
      </c>
      <c r="K126" s="11" t="n">
        <v>4.10385596639411</v>
      </c>
      <c r="L126" s="11" t="n">
        <v>4.0886187348019</v>
      </c>
      <c r="M126" s="11" t="n">
        <v>4.07481202823897</v>
      </c>
      <c r="N126" s="11" t="n">
        <v>4.0632388611015</v>
      </c>
      <c r="O126" s="11" t="n">
        <v>4.05449872391113</v>
      </c>
      <c r="P126" s="11" t="n">
        <v>4.0489771049626</v>
      </c>
      <c r="Q126" s="11" t="n">
        <v>4.04686063251531</v>
      </c>
      <c r="R126" s="11" t="n">
        <v>4.04815625218236</v>
      </c>
      <c r="S126" s="11" t="n">
        <v>4.05272614868328</v>
      </c>
      <c r="T126" s="11" t="n">
        <v>4.06030935512256</v>
      </c>
      <c r="U126" s="11" t="n">
        <v>4.07057492544868</v>
      </c>
      <c r="V126" s="11" t="n">
        <v>4.08314552191812</v>
      </c>
      <c r="W126" s="11" t="n">
        <v>4.09760712090631</v>
      </c>
      <c r="X126" s="11" t="n">
        <v>4.11351987892899</v>
      </c>
      <c r="Y126" s="11" t="n">
        <v>4.1304481287446</v>
      </c>
      <c r="Z126" s="11" t="n">
        <v>4.14797590374881</v>
      </c>
      <c r="AA126" s="11" t="n">
        <v>4.16570244414521</v>
      </c>
      <c r="AB126" s="11" t="n">
        <v>4.18326345669873</v>
      </c>
      <c r="AC126" s="11" t="n">
        <v>4.20034358932042</v>
      </c>
      <c r="AD126" s="11" t="n">
        <v>4.21666958688599</v>
      </c>
      <c r="AE126" s="11" t="n">
        <v>4.23200371358514</v>
      </c>
      <c r="AF126" s="11" t="n">
        <v>4.24613891808454</v>
      </c>
      <c r="AG126" s="11" t="n">
        <v>4.25890808532517</v>
      </c>
      <c r="AH126" s="11" t="n">
        <v>4.27019062626448</v>
      </c>
      <c r="AI126" s="11" t="n">
        <v>4.2799005430603</v>
      </c>
      <c r="AJ126" s="11" t="n">
        <v>4.28798106577158</v>
      </c>
      <c r="AK126" s="11" t="n">
        <v>4.29439981996259</v>
      </c>
      <c r="AL126" s="11" t="n">
        <v>4.29914354155759</v>
      </c>
      <c r="AM126" s="11" t="n">
        <v>4.30221456790643</v>
      </c>
      <c r="AN126" s="11" t="n">
        <v>4.30362815459832</v>
      </c>
      <c r="AO126" s="11" t="n">
        <v>4.30341094905883</v>
      </c>
      <c r="AP126" s="11" t="n">
        <v>4.30159990335885</v>
      </c>
      <c r="AQ126" s="11" t="n">
        <v>4.29824115331162</v>
      </c>
      <c r="AR126" s="11" t="n">
        <v>4.29338897100986</v>
      </c>
      <c r="AS126" s="11" t="n">
        <v>4.28710462746329</v>
      </c>
      <c r="AT126" s="11" t="n">
        <v>4.27945467136099</v>
      </c>
      <c r="AU126" s="11" t="n">
        <v>4.27050975995386</v>
      </c>
      <c r="AV126" s="11" t="n">
        <v>4.26034334959981</v>
      </c>
      <c r="AW126" s="11" t="n">
        <v>4.24903086186254</v>
      </c>
      <c r="AX126" s="11" t="n">
        <v>4.23664876461124</v>
      </c>
      <c r="AY126" s="11" t="n">
        <v>4.22327274642598</v>
      </c>
      <c r="AZ126" s="11" t="n">
        <v>4.20897708871609</v>
      </c>
      <c r="BA126" s="11" t="n">
        <v>4.1938345335266</v>
      </c>
      <c r="BB126" s="11" t="n">
        <v>4.17791542397665</v>
      </c>
      <c r="BC126" s="11" t="n">
        <v>4.16128734612392</v>
      </c>
      <c r="BD126" s="11" t="n">
        <v>4.1440150256513</v>
      </c>
      <c r="BE126" s="11" t="n">
        <v>4.12616010351556</v>
      </c>
      <c r="BF126" s="11" t="n">
        <v>4.10778083235507</v>
      </c>
      <c r="BG126" s="11" t="n">
        <v>4.08893210752501</v>
      </c>
    </row>
    <row r="127" customFormat="false" ht="15" hidden="false" customHeight="false" outlineLevel="0" collapsed="false">
      <c r="A127" s="10" t="n">
        <v>2</v>
      </c>
      <c r="B127" s="8" t="n">
        <v>44840</v>
      </c>
      <c r="C127" s="11" t="n">
        <v>4.21160307125454</v>
      </c>
      <c r="D127" s="11" t="n">
        <v>4.26161196326624</v>
      </c>
      <c r="E127" s="11" t="n">
        <v>4.2846952195846</v>
      </c>
      <c r="F127" s="11" t="n">
        <v>4.29244713243892</v>
      </c>
      <c r="G127" s="11" t="n">
        <v>4.29082438693045</v>
      </c>
      <c r="H127" s="11" t="n">
        <v>4.28325805351372</v>
      </c>
      <c r="I127" s="11" t="n">
        <v>4.27204378363402</v>
      </c>
      <c r="J127" s="11" t="n">
        <v>4.25890343205321</v>
      </c>
      <c r="K127" s="11" t="n">
        <v>4.24522664722596</v>
      </c>
      <c r="L127" s="11" t="n">
        <v>4.23216307434267</v>
      </c>
      <c r="M127" s="11" t="n">
        <v>4.22067469919641</v>
      </c>
      <c r="N127" s="11" t="n">
        <v>4.21152784207812</v>
      </c>
      <c r="O127" s="11" t="n">
        <v>4.20528229911096</v>
      </c>
      <c r="P127" s="11" t="n">
        <v>4.20228376167663</v>
      </c>
      <c r="Q127" s="11" t="n">
        <v>4.20268023625881</v>
      </c>
      <c r="R127" s="11" t="n">
        <v>4.20644193774669</v>
      </c>
      <c r="S127" s="11" t="n">
        <v>4.21339584063984</v>
      </c>
      <c r="T127" s="11" t="n">
        <v>4.2232480428281</v>
      </c>
      <c r="U127" s="11" t="n">
        <v>4.23563718462574</v>
      </c>
      <c r="V127" s="11" t="n">
        <v>4.25015744977426</v>
      </c>
      <c r="W127" s="11" t="n">
        <v>4.26636786615617</v>
      </c>
      <c r="X127" s="11" t="n">
        <v>4.28380300802517</v>
      </c>
      <c r="Y127" s="11" t="n">
        <v>4.30200335380955</v>
      </c>
      <c r="Z127" s="11" t="n">
        <v>4.32053039783065</v>
      </c>
      <c r="AA127" s="11" t="n">
        <v>4.33896132867207</v>
      </c>
      <c r="AB127" s="11" t="n">
        <v>4.35691382681987</v>
      </c>
      <c r="AC127" s="11" t="n">
        <v>4.37406051468143</v>
      </c>
      <c r="AD127" s="11" t="n">
        <v>4.39012127308958</v>
      </c>
      <c r="AE127" s="11" t="n">
        <v>4.40485585717358</v>
      </c>
      <c r="AF127" s="11" t="n">
        <v>4.41805851177547</v>
      </c>
      <c r="AG127" s="11" t="n">
        <v>4.4295691647662</v>
      </c>
      <c r="AH127" s="11" t="n">
        <v>4.439281706944</v>
      </c>
      <c r="AI127" s="11" t="n">
        <v>4.4471308692792</v>
      </c>
      <c r="AJ127" s="11" t="n">
        <v>4.453086246168</v>
      </c>
      <c r="AK127" s="11" t="n">
        <v>4.45714665467406</v>
      </c>
      <c r="AL127" s="11" t="n">
        <v>4.45933405689533</v>
      </c>
      <c r="AM127" s="11" t="n">
        <v>4.45968921839754</v>
      </c>
      <c r="AN127" s="11" t="n">
        <v>4.45826825604201</v>
      </c>
      <c r="AO127" s="11" t="n">
        <v>4.45514013577492</v>
      </c>
      <c r="AP127" s="11" t="n">
        <v>4.45038400336773</v>
      </c>
      <c r="AQ127" s="11" t="n">
        <v>4.44408733201525</v>
      </c>
      <c r="AR127" s="11" t="n">
        <v>4.4363433697242</v>
      </c>
      <c r="AS127" s="11" t="n">
        <v>4.42724939124146</v>
      </c>
      <c r="AT127" s="11" t="n">
        <v>4.4169045001068</v>
      </c>
      <c r="AU127" s="11" t="n">
        <v>4.40540837253319</v>
      </c>
      <c r="AV127" s="11" t="n">
        <v>4.39285978905629</v>
      </c>
      <c r="AW127" s="11" t="n">
        <v>4.37935583671147</v>
      </c>
      <c r="AX127" s="11" t="n">
        <v>4.36499104881699</v>
      </c>
      <c r="AY127" s="11" t="n">
        <v>4.34985556803419</v>
      </c>
      <c r="AZ127" s="11" t="n">
        <v>4.33403473787615</v>
      </c>
      <c r="BA127" s="11" t="n">
        <v>4.31760920924549</v>
      </c>
      <c r="BB127" s="11" t="n">
        <v>4.3006540898487</v>
      </c>
      <c r="BC127" s="11" t="n">
        <v>4.2832387778178</v>
      </c>
      <c r="BD127" s="11" t="n">
        <v>4.26542718272488</v>
      </c>
      <c r="BE127" s="11" t="n">
        <v>4.24727786363851</v>
      </c>
      <c r="BF127" s="11" t="n">
        <v>4.22884408219728</v>
      </c>
      <c r="BG127" s="11" t="n">
        <v>4.21017402176193</v>
      </c>
    </row>
    <row r="128" customFormat="false" ht="15" hidden="false" customHeight="false" outlineLevel="0" collapsed="false">
      <c r="A128" s="10" t="n">
        <v>3</v>
      </c>
      <c r="B128" s="8" t="n">
        <v>44841</v>
      </c>
      <c r="C128" s="11" t="n">
        <v>4.23544068933686</v>
      </c>
      <c r="D128" s="11" t="n">
        <v>4.28489943558178</v>
      </c>
      <c r="E128" s="11" t="n">
        <v>4.30841499309843</v>
      </c>
      <c r="F128" s="11" t="n">
        <v>4.31738399239906</v>
      </c>
      <c r="G128" s="11" t="n">
        <v>4.31756170980283</v>
      </c>
      <c r="H128" s="11" t="n">
        <v>4.31222535296677</v>
      </c>
      <c r="I128" s="11" t="n">
        <v>4.30356259503802</v>
      </c>
      <c r="J128" s="11" t="n">
        <v>4.29323120472637</v>
      </c>
      <c r="K128" s="11" t="n">
        <v>4.28259045942661</v>
      </c>
      <c r="L128" s="11" t="n">
        <v>4.27277938460601</v>
      </c>
      <c r="M128" s="11" t="n">
        <v>4.26475774627204</v>
      </c>
      <c r="N128" s="11" t="n">
        <v>4.25929356622191</v>
      </c>
      <c r="O128" s="11" t="n">
        <v>4.25694580361316</v>
      </c>
      <c r="P128" s="11" t="n">
        <v>4.25805678763318</v>
      </c>
      <c r="Q128" s="11" t="n">
        <v>4.26276475082491</v>
      </c>
      <c r="R128" s="11" t="n">
        <v>4.27102192379544</v>
      </c>
      <c r="S128" s="11" t="n">
        <v>4.28262737806165</v>
      </c>
      <c r="T128" s="11" t="n">
        <v>4.29725007790994</v>
      </c>
      <c r="U128" s="11" t="n">
        <v>4.31448278602287</v>
      </c>
      <c r="V128" s="11" t="n">
        <v>4.33386620220823</v>
      </c>
      <c r="W128" s="11" t="n">
        <v>4.35489984114464</v>
      </c>
      <c r="X128" s="11" t="n">
        <v>4.37705425110851</v>
      </c>
      <c r="Y128" s="11" t="n">
        <v>4.39980320661299</v>
      </c>
      <c r="Z128" s="11" t="n">
        <v>4.422639187158</v>
      </c>
      <c r="AA128" s="11" t="n">
        <v>4.44506955617146</v>
      </c>
      <c r="AB128" s="11" t="n">
        <v>4.46664990508401</v>
      </c>
      <c r="AC128" s="11" t="n">
        <v>4.48700213030682</v>
      </c>
      <c r="AD128" s="11" t="n">
        <v>4.50580511230122</v>
      </c>
      <c r="AE128" s="11" t="n">
        <v>4.52278581182093</v>
      </c>
      <c r="AF128" s="11" t="n">
        <v>4.53771294785212</v>
      </c>
      <c r="AG128" s="11" t="n">
        <v>4.5504128160046</v>
      </c>
      <c r="AH128" s="11" t="n">
        <v>4.5607793173375</v>
      </c>
      <c r="AI128" s="11" t="n">
        <v>4.56875796093771</v>
      </c>
      <c r="AJ128" s="11" t="n">
        <v>4.574339253389</v>
      </c>
      <c r="AK128" s="11" t="n">
        <v>4.57755161684808</v>
      </c>
      <c r="AL128" s="11" t="n">
        <v>4.57845389642556</v>
      </c>
      <c r="AM128" s="11" t="n">
        <v>4.57712936512857</v>
      </c>
      <c r="AN128" s="11" t="n">
        <v>4.57368075324416</v>
      </c>
      <c r="AO128" s="11" t="n">
        <v>4.56822631665241</v>
      </c>
      <c r="AP128" s="11" t="n">
        <v>4.56089509681692</v>
      </c>
      <c r="AQ128" s="11" t="n">
        <v>4.55182413008577</v>
      </c>
      <c r="AR128" s="11" t="n">
        <v>4.54115419411532</v>
      </c>
      <c r="AS128" s="11" t="n">
        <v>4.52902731080814</v>
      </c>
      <c r="AT128" s="11" t="n">
        <v>4.5155837710056</v>
      </c>
      <c r="AU128" s="11" t="n">
        <v>4.50096064627097</v>
      </c>
      <c r="AV128" s="11" t="n">
        <v>4.48528993256224</v>
      </c>
      <c r="AW128" s="11" t="n">
        <v>4.46869764444582</v>
      </c>
      <c r="AX128" s="11" t="n">
        <v>4.45130289089122</v>
      </c>
      <c r="AY128" s="11" t="n">
        <v>4.43321618446349</v>
      </c>
      <c r="AZ128" s="11" t="n">
        <v>4.41453938423919</v>
      </c>
      <c r="BA128" s="11" t="n">
        <v>4.39536611266404</v>
      </c>
      <c r="BB128" s="11" t="n">
        <v>4.3757810978664</v>
      </c>
      <c r="BC128" s="11" t="n">
        <v>4.35586032738886</v>
      </c>
      <c r="BD128" s="11" t="n">
        <v>4.3356716706368</v>
      </c>
      <c r="BE128" s="11" t="n">
        <v>4.31527540999919</v>
      </c>
      <c r="BF128" s="11" t="n">
        <v>4.29472468963</v>
      </c>
      <c r="BG128" s="11" t="n">
        <v>4.27406601960192</v>
      </c>
    </row>
    <row r="129" customFormat="false" ht="15" hidden="false" customHeight="false" outlineLevel="0" collapsed="false">
      <c r="A129" s="10" t="n">
        <v>4</v>
      </c>
      <c r="B129" s="8" t="n">
        <v>44844</v>
      </c>
      <c r="C129" s="11" t="n">
        <v>4.45027971136693</v>
      </c>
      <c r="D129" s="11" t="n">
        <v>4.50481235417427</v>
      </c>
      <c r="E129" s="11" t="n">
        <v>4.53176082189081</v>
      </c>
      <c r="F129" s="11" t="n">
        <v>4.54355783837998</v>
      </c>
      <c r="G129" s="11" t="n">
        <v>4.54636143898341</v>
      </c>
      <c r="H129" s="11" t="n">
        <v>4.54360038863724</v>
      </c>
      <c r="I129" s="11" t="n">
        <v>4.53750945893027</v>
      </c>
      <c r="J129" s="11" t="n">
        <v>4.5297538232091</v>
      </c>
      <c r="K129" s="11" t="n">
        <v>4.52169177397651</v>
      </c>
      <c r="L129" s="11" t="n">
        <v>4.51446927660878</v>
      </c>
      <c r="M129" s="11" t="n">
        <v>4.5090635523477</v>
      </c>
      <c r="N129" s="11" t="n">
        <v>4.50626927555068</v>
      </c>
      <c r="O129" s="11" t="n">
        <v>4.50667230313536</v>
      </c>
      <c r="P129" s="11" t="n">
        <v>4.51063744298608</v>
      </c>
      <c r="Q129" s="11" t="n">
        <v>4.51831760259957</v>
      </c>
      <c r="R129" s="11" t="n">
        <v>4.52967328883652</v>
      </c>
      <c r="S129" s="11" t="n">
        <v>4.54450842407007</v>
      </c>
      <c r="T129" s="11" t="n">
        <v>4.56249515302965</v>
      </c>
      <c r="U129" s="11" t="n">
        <v>4.58322591117349</v>
      </c>
      <c r="V129" s="11" t="n">
        <v>4.60623754781431</v>
      </c>
      <c r="W129" s="11" t="n">
        <v>4.63102293358801</v>
      </c>
      <c r="X129" s="11" t="n">
        <v>4.6570435152834</v>
      </c>
      <c r="Y129" s="11" t="n">
        <v>4.68376012675893</v>
      </c>
      <c r="Z129" s="11" t="n">
        <v>4.71064783747736</v>
      </c>
      <c r="AA129" s="11" t="n">
        <v>4.7371933469679</v>
      </c>
      <c r="AB129" s="11" t="n">
        <v>4.76292861587931</v>
      </c>
      <c r="AC129" s="11" t="n">
        <v>4.78744878614738</v>
      </c>
      <c r="AD129" s="11" t="n">
        <v>4.81040330505262</v>
      </c>
      <c r="AE129" s="11" t="n">
        <v>4.8314874400102</v>
      </c>
      <c r="AF129" s="11" t="n">
        <v>4.85043633803747</v>
      </c>
      <c r="AG129" s="11" t="n">
        <v>4.86704142102626</v>
      </c>
      <c r="AH129" s="11" t="n">
        <v>4.88116062984491</v>
      </c>
      <c r="AI129" s="11" t="n">
        <v>4.89270478296375</v>
      </c>
      <c r="AJ129" s="11" t="n">
        <v>4.90163243459316</v>
      </c>
      <c r="AK129" s="11" t="n">
        <v>4.90794330666655</v>
      </c>
      <c r="AL129" s="11" t="n">
        <v>4.91167205888947</v>
      </c>
      <c r="AM129" s="11" t="n">
        <v>4.91288254546601</v>
      </c>
      <c r="AN129" s="11" t="n">
        <v>4.9116628275674</v>
      </c>
      <c r="AO129" s="11" t="n">
        <v>4.90812121869839</v>
      </c>
      <c r="AP129" s="11" t="n">
        <v>4.90238202314333</v>
      </c>
      <c r="AQ129" s="11" t="n">
        <v>4.89458254856956</v>
      </c>
      <c r="AR129" s="11" t="n">
        <v>4.88486891526004</v>
      </c>
      <c r="AS129" s="11" t="n">
        <v>4.87339321139657</v>
      </c>
      <c r="AT129" s="11" t="n">
        <v>4.86030983219982</v>
      </c>
      <c r="AU129" s="11" t="n">
        <v>4.8457734071014</v>
      </c>
      <c r="AV129" s="11" t="n">
        <v>4.82993619136408</v>
      </c>
      <c r="AW129" s="11" t="n">
        <v>4.81294663119175</v>
      </c>
      <c r="AX129" s="11" t="n">
        <v>4.79494782381722</v>
      </c>
      <c r="AY129" s="11" t="n">
        <v>4.7760748571296</v>
      </c>
      <c r="AZ129" s="11" t="n">
        <v>4.75645439513609</v>
      </c>
      <c r="BA129" s="11" t="n">
        <v>4.73620486639669</v>
      </c>
      <c r="BB129" s="11" t="n">
        <v>4.71543505800036</v>
      </c>
      <c r="BC129" s="11" t="n">
        <v>4.69424389956514</v>
      </c>
      <c r="BD129" s="11" t="n">
        <v>4.67272087041523</v>
      </c>
      <c r="BE129" s="11" t="n">
        <v>4.65094634641655</v>
      </c>
      <c r="BF129" s="11" t="n">
        <v>4.6289918552809</v>
      </c>
      <c r="BG129" s="11" t="n">
        <v>4.60692055110181</v>
      </c>
    </row>
    <row r="130" customFormat="false" ht="15" hidden="false" customHeight="false" outlineLevel="0" collapsed="false">
      <c r="A130" s="10" t="n">
        <v>5</v>
      </c>
      <c r="B130" s="8" t="n">
        <v>44845</v>
      </c>
      <c r="C130" s="11" t="n">
        <v>4.31140054307122</v>
      </c>
      <c r="D130" s="11" t="n">
        <v>4.37172702448962</v>
      </c>
      <c r="E130" s="11" t="n">
        <v>4.4057255116345</v>
      </c>
      <c r="F130" s="11" t="n">
        <v>4.42455526910374</v>
      </c>
      <c r="G130" s="11" t="n">
        <v>4.43388665357729</v>
      </c>
      <c r="H130" s="11" t="n">
        <v>4.43702706407078</v>
      </c>
      <c r="I130" s="11" t="n">
        <v>4.43624571906208</v>
      </c>
      <c r="J130" s="11" t="n">
        <v>4.43329776443089</v>
      </c>
      <c r="K130" s="11" t="n">
        <v>4.429646222118</v>
      </c>
      <c r="L130" s="11" t="n">
        <v>4.42654168008468</v>
      </c>
      <c r="M130" s="11" t="n">
        <v>4.42505948513195</v>
      </c>
      <c r="N130" s="11" t="n">
        <v>4.42608330009093</v>
      </c>
      <c r="O130" s="11" t="n">
        <v>4.43027377081123</v>
      </c>
      <c r="P130" s="11" t="n">
        <v>4.43805543579219</v>
      </c>
      <c r="Q130" s="11" t="n">
        <v>4.449625369749</v>
      </c>
      <c r="R130" s="11" t="n">
        <v>4.46497502110023</v>
      </c>
      <c r="S130" s="11" t="n">
        <v>4.48392928868278</v>
      </c>
      <c r="T130" s="11" t="n">
        <v>4.50617387217638</v>
      </c>
      <c r="U130" s="11" t="n">
        <v>4.53130959739887</v>
      </c>
      <c r="V130" s="11" t="n">
        <v>4.55887767878201</v>
      </c>
      <c r="W130" s="11" t="n">
        <v>4.58837216438911</v>
      </c>
      <c r="X130" s="11" t="n">
        <v>4.61925315625744</v>
      </c>
      <c r="Y130" s="11" t="n">
        <v>4.65097793148179</v>
      </c>
      <c r="Z130" s="11" t="n">
        <v>4.68301637788465</v>
      </c>
      <c r="AA130" s="11" t="n">
        <v>4.71485027858007</v>
      </c>
      <c r="AB130" s="11" t="n">
        <v>4.74600498771202</v>
      </c>
      <c r="AC130" s="11" t="n">
        <v>4.77606553755977</v>
      </c>
      <c r="AD130" s="11" t="n">
        <v>4.80466819668235</v>
      </c>
      <c r="AE130" s="11" t="n">
        <v>4.83149246424981</v>
      </c>
      <c r="AF130" s="11" t="n">
        <v>4.85625547341645</v>
      </c>
      <c r="AG130" s="11" t="n">
        <v>4.87872698851039</v>
      </c>
      <c r="AH130" s="11" t="n">
        <v>4.89873797488166</v>
      </c>
      <c r="AI130" s="11" t="n">
        <v>4.91616863597136</v>
      </c>
      <c r="AJ130" s="11" t="n">
        <v>4.9309442070003</v>
      </c>
      <c r="AK130" s="11" t="n">
        <v>4.94302898135271</v>
      </c>
      <c r="AL130" s="11" t="n">
        <v>4.95242085221883</v>
      </c>
      <c r="AM130" s="11" t="n">
        <v>4.95914645415005</v>
      </c>
      <c r="AN130" s="11" t="n">
        <v>4.96325698935758</v>
      </c>
      <c r="AO130" s="11" t="n">
        <v>4.96482511345543</v>
      </c>
      <c r="AP130" s="11" t="n">
        <v>4.96394220148131</v>
      </c>
      <c r="AQ130" s="11" t="n">
        <v>4.96071578360228</v>
      </c>
      <c r="AR130" s="11" t="n">
        <v>4.95526634944099</v>
      </c>
      <c r="AS130" s="11" t="n">
        <v>4.94772470179461</v>
      </c>
      <c r="AT130" s="11" t="n">
        <v>4.93822828245501</v>
      </c>
      <c r="AU130" s="11" t="n">
        <v>4.9269188848458</v>
      </c>
      <c r="AV130" s="11" t="n">
        <v>4.91393985216796</v>
      </c>
      <c r="AW130" s="11" t="n">
        <v>4.89943443019535</v>
      </c>
      <c r="AX130" s="11" t="n">
        <v>4.88354399543751</v>
      </c>
      <c r="AY130" s="11" t="n">
        <v>4.86640504275082</v>
      </c>
      <c r="AZ130" s="11" t="n">
        <v>4.84814846858891</v>
      </c>
      <c r="BA130" s="11" t="n">
        <v>4.82889949262528</v>
      </c>
      <c r="BB130" s="11" t="n">
        <v>4.80877602419453</v>
      </c>
      <c r="BC130" s="11" t="n">
        <v>4.78788819051211</v>
      </c>
      <c r="BD130" s="11" t="n">
        <v>4.76633842590247</v>
      </c>
      <c r="BE130" s="11" t="n">
        <v>4.74422144848559</v>
      </c>
      <c r="BF130" s="11" t="n">
        <v>4.72162418023214</v>
      </c>
      <c r="BG130" s="11" t="n">
        <v>4.69862616699993</v>
      </c>
    </row>
    <row r="131" customFormat="false" ht="15" hidden="false" customHeight="false" outlineLevel="0" collapsed="false">
      <c r="A131" s="10" t="n">
        <v>6</v>
      </c>
      <c r="B131" s="8" t="n">
        <v>44846</v>
      </c>
      <c r="C131" s="11" t="n">
        <v>4.14673424410006</v>
      </c>
      <c r="D131" s="11" t="n">
        <v>4.2306799681419</v>
      </c>
      <c r="E131" s="11" t="n">
        <v>4.28881782242041</v>
      </c>
      <c r="F131" s="11" t="n">
        <v>4.33084729158897</v>
      </c>
      <c r="G131" s="11" t="n">
        <v>4.36169863167998</v>
      </c>
      <c r="H131" s="11" t="n">
        <v>4.38437918169539</v>
      </c>
      <c r="I131" s="11" t="n">
        <v>4.40109542743839</v>
      </c>
      <c r="J131" s="11" t="n">
        <v>4.41366534403888</v>
      </c>
      <c r="K131" s="11" t="n">
        <v>4.42368637463525</v>
      </c>
      <c r="L131" s="11" t="n">
        <v>4.43257381810253</v>
      </c>
      <c r="M131" s="11" t="n">
        <v>4.44156901160526</v>
      </c>
      <c r="N131" s="11" t="n">
        <v>4.45170812654703</v>
      </c>
      <c r="O131" s="11" t="n">
        <v>4.46378359697846</v>
      </c>
      <c r="P131" s="11" t="n">
        <v>4.47833178184671</v>
      </c>
      <c r="Q131" s="11" t="n">
        <v>4.49564567050278</v>
      </c>
      <c r="R131" s="11" t="n">
        <v>4.51580472839757</v>
      </c>
      <c r="S131" s="11" t="n">
        <v>4.53872149263983</v>
      </c>
      <c r="T131" s="11" t="n">
        <v>4.56417314139061</v>
      </c>
      <c r="U131" s="11" t="n">
        <v>4.59185458584667</v>
      </c>
      <c r="V131" s="11" t="n">
        <v>4.62140271129795</v>
      </c>
      <c r="W131" s="11" t="n">
        <v>4.65240848896009</v>
      </c>
      <c r="X131" s="11" t="n">
        <v>4.68442951623951</v>
      </c>
      <c r="Y131" s="11" t="n">
        <v>4.71701791904939</v>
      </c>
      <c r="Z131" s="11" t="n">
        <v>4.74973373293742</v>
      </c>
      <c r="AA131" s="11" t="n">
        <v>4.78214282789065</v>
      </c>
      <c r="AB131" s="11" t="n">
        <v>4.81384313655813</v>
      </c>
      <c r="AC131" s="11" t="n">
        <v>4.84447849307471</v>
      </c>
      <c r="AD131" s="11" t="n">
        <v>4.87373218425692</v>
      </c>
      <c r="AE131" s="11" t="n">
        <v>4.90132078512149</v>
      </c>
      <c r="AF131" s="11" t="n">
        <v>4.92698995556402</v>
      </c>
      <c r="AG131" s="11" t="n">
        <v>4.95052765979644</v>
      </c>
      <c r="AH131" s="11" t="n">
        <v>4.97177116817973</v>
      </c>
      <c r="AI131" s="11" t="n">
        <v>4.99059866950924</v>
      </c>
      <c r="AJ131" s="11" t="n">
        <v>5.00692699743101</v>
      </c>
      <c r="AK131" s="11" t="n">
        <v>5.02070708368155</v>
      </c>
      <c r="AL131" s="11" t="n">
        <v>5.03192028740836</v>
      </c>
      <c r="AM131" s="11" t="n">
        <v>5.04057473500785</v>
      </c>
      <c r="AN131" s="11" t="n">
        <v>5.04670205480488</v>
      </c>
      <c r="AO131" s="11" t="n">
        <v>5.05035478712395</v>
      </c>
      <c r="AP131" s="11" t="n">
        <v>5.05160437400306</v>
      </c>
      <c r="AQ131" s="11" t="n">
        <v>5.05053876766328</v>
      </c>
      <c r="AR131" s="11" t="n">
        <v>5.04725939011995</v>
      </c>
      <c r="AS131" s="11" t="n">
        <v>5.04187853605881</v>
      </c>
      <c r="AT131" s="11" t="n">
        <v>5.03451575653779</v>
      </c>
      <c r="AU131" s="11" t="n">
        <v>5.02529558035143</v>
      </c>
      <c r="AV131" s="11" t="n">
        <v>5.01434474042462</v>
      </c>
      <c r="AW131" s="11" t="n">
        <v>5.00179056964755</v>
      </c>
      <c r="AX131" s="11" t="n">
        <v>4.98775932253058</v>
      </c>
      <c r="AY131" s="11" t="n">
        <v>4.97237327434952</v>
      </c>
      <c r="AZ131" s="11" t="n">
        <v>4.95574999490572</v>
      </c>
      <c r="BA131" s="11" t="n">
        <v>4.93800222637537</v>
      </c>
      <c r="BB131" s="11" t="n">
        <v>4.91923633669881</v>
      </c>
      <c r="BC131" s="11" t="n">
        <v>4.89955185864589</v>
      </c>
      <c r="BD131" s="11" t="n">
        <v>4.87904154275216</v>
      </c>
      <c r="BE131" s="11" t="n">
        <v>4.85779128469832</v>
      </c>
      <c r="BF131" s="11" t="n">
        <v>4.83588002124891</v>
      </c>
      <c r="BG131" s="11" t="n">
        <v>4.8133801644855</v>
      </c>
    </row>
    <row r="132" customFormat="false" ht="15" hidden="false" customHeight="false" outlineLevel="0" collapsed="false">
      <c r="A132" s="10" t="n">
        <v>7</v>
      </c>
      <c r="B132" s="8" t="n">
        <v>44847</v>
      </c>
      <c r="C132" s="11" t="n">
        <v>3.93146548157424</v>
      </c>
      <c r="D132" s="11" t="n">
        <v>4.01153014800518</v>
      </c>
      <c r="E132" s="11" t="n">
        <v>4.0681333533395</v>
      </c>
      <c r="F132" s="11" t="n">
        <v>4.10963865565253</v>
      </c>
      <c r="G132" s="11" t="n">
        <v>4.14035070327136</v>
      </c>
      <c r="H132" s="11" t="n">
        <v>4.16295008556576</v>
      </c>
      <c r="I132" s="11" t="n">
        <v>4.17946932140918</v>
      </c>
      <c r="J132" s="11" t="n">
        <v>4.1916371547788</v>
      </c>
      <c r="K132" s="11" t="n">
        <v>4.20101397735921</v>
      </c>
      <c r="L132" s="11" t="n">
        <v>4.2090088954029</v>
      </c>
      <c r="M132" s="11" t="n">
        <v>4.21687280476424</v>
      </c>
      <c r="N132" s="11" t="n">
        <v>4.22566157087272</v>
      </c>
      <c r="O132" s="11" t="n">
        <v>4.23619092713163</v>
      </c>
      <c r="P132" s="11" t="n">
        <v>4.24902129035885</v>
      </c>
      <c r="Q132" s="11" t="n">
        <v>4.26446736291292</v>
      </c>
      <c r="R132" s="11" t="n">
        <v>4.28262679809881</v>
      </c>
      <c r="S132" s="11" t="n">
        <v>4.30342646711588</v>
      </c>
      <c r="T132" s="11" t="n">
        <v>4.32665432526484</v>
      </c>
      <c r="U132" s="11" t="n">
        <v>4.35201498396554</v>
      </c>
      <c r="V132" s="11" t="n">
        <v>4.37915454418957</v>
      </c>
      <c r="W132" s="11" t="n">
        <v>4.40767280962274</v>
      </c>
      <c r="X132" s="11" t="n">
        <v>4.4371361943167</v>
      </c>
      <c r="Y132" s="11" t="n">
        <v>4.46710714930785</v>
      </c>
      <c r="Z132" s="11" t="n">
        <v>4.49715766137279</v>
      </c>
      <c r="AA132" s="11" t="n">
        <v>4.5268657061489</v>
      </c>
      <c r="AB132" s="11" t="n">
        <v>4.55584213020537</v>
      </c>
      <c r="AC132" s="11" t="n">
        <v>4.58374491415493</v>
      </c>
      <c r="AD132" s="11" t="n">
        <v>4.61027253519916</v>
      </c>
      <c r="AE132" s="11" t="n">
        <v>4.63515763953645</v>
      </c>
      <c r="AF132" s="11" t="n">
        <v>4.6581627918721</v>
      </c>
      <c r="AG132" s="11" t="n">
        <v>4.67909480626495</v>
      </c>
      <c r="AH132" s="11" t="n">
        <v>4.69781154386997</v>
      </c>
      <c r="AI132" s="11" t="n">
        <v>4.71421213652141</v>
      </c>
      <c r="AJ132" s="11" t="n">
        <v>4.72823429994112</v>
      </c>
      <c r="AK132" s="11" t="n">
        <v>4.739849346795</v>
      </c>
      <c r="AL132" s="11" t="n">
        <v>4.74905770416744</v>
      </c>
      <c r="AM132" s="11" t="n">
        <v>4.75588495439677</v>
      </c>
      <c r="AN132" s="11" t="n">
        <v>4.76037844007573</v>
      </c>
      <c r="AO132" s="11" t="n">
        <v>4.76260465161599</v>
      </c>
      <c r="AP132" s="11" t="n">
        <v>4.76264702519645</v>
      </c>
      <c r="AQ132" s="11" t="n">
        <v>4.76060366170653</v>
      </c>
      <c r="AR132" s="11" t="n">
        <v>4.75658441625831</v>
      </c>
      <c r="AS132" s="11" t="n">
        <v>4.75070844963298</v>
      </c>
      <c r="AT132" s="11" t="n">
        <v>4.74310075559509</v>
      </c>
      <c r="AU132" s="11" t="n">
        <v>4.73389003108118</v>
      </c>
      <c r="AV132" s="11" t="n">
        <v>4.72320605201634</v>
      </c>
      <c r="AW132" s="11" t="n">
        <v>4.71117818560442</v>
      </c>
      <c r="AX132" s="11" t="n">
        <v>4.69793378363065</v>
      </c>
      <c r="AY132" s="11" t="n">
        <v>4.68359538717117</v>
      </c>
      <c r="AZ132" s="11" t="n">
        <v>4.66828009901939</v>
      </c>
      <c r="BA132" s="11" t="n">
        <v>4.65209951829938</v>
      </c>
      <c r="BB132" s="11" t="n">
        <v>4.63515823658892</v>
      </c>
      <c r="BC132" s="11" t="n">
        <v>4.61755341856119</v>
      </c>
      <c r="BD132" s="11" t="n">
        <v>4.59937487308115</v>
      </c>
      <c r="BE132" s="11" t="n">
        <v>4.58070497305854</v>
      </c>
      <c r="BF132" s="11" t="n">
        <v>4.56161854790133</v>
      </c>
      <c r="BG132" s="11" t="n">
        <v>4.54218336957777</v>
      </c>
    </row>
    <row r="133" customFormat="false" ht="15" hidden="false" customHeight="false" outlineLevel="0" collapsed="false">
      <c r="A133" s="10" t="n">
        <v>8</v>
      </c>
      <c r="B133" s="8" t="n">
        <v>44848</v>
      </c>
      <c r="C133" s="11" t="n">
        <v>3.95325002873112</v>
      </c>
      <c r="D133" s="11" t="n">
        <v>4.02593120368691</v>
      </c>
      <c r="E133" s="11" t="n">
        <v>4.07987545229378</v>
      </c>
      <c r="F133" s="11" t="n">
        <v>4.12200708907893</v>
      </c>
      <c r="G133" s="11" t="n">
        <v>4.15557571574194</v>
      </c>
      <c r="H133" s="11" t="n">
        <v>4.18252992394833</v>
      </c>
      <c r="I133" s="11" t="n">
        <v>4.20437838733881</v>
      </c>
      <c r="J133" s="11" t="n">
        <v>4.2224640728452</v>
      </c>
      <c r="K133" s="11" t="n">
        <v>4.23805908633826</v>
      </c>
      <c r="L133" s="11" t="n">
        <v>4.25236386790648</v>
      </c>
      <c r="M133" s="11" t="n">
        <v>4.26648266597019</v>
      </c>
      <c r="N133" s="11" t="n">
        <v>4.28137935614444</v>
      </c>
      <c r="O133" s="11" t="n">
        <v>4.29781964084076</v>
      </c>
      <c r="P133" s="11" t="n">
        <v>4.31635013518103</v>
      </c>
      <c r="Q133" s="11" t="n">
        <v>4.3372996032128</v>
      </c>
      <c r="R133" s="11" t="n">
        <v>4.36079724339459</v>
      </c>
      <c r="S133" s="11" t="n">
        <v>4.38680850168753</v>
      </c>
      <c r="T133" s="11" t="n">
        <v>4.41516237312186</v>
      </c>
      <c r="U133" s="11" t="n">
        <v>4.44559530877248</v>
      </c>
      <c r="V133" s="11" t="n">
        <v>4.47777514695568</v>
      </c>
      <c r="W133" s="11" t="n">
        <v>4.51131542030597</v>
      </c>
      <c r="X133" s="11" t="n">
        <v>4.54578923724414</v>
      </c>
      <c r="Y133" s="11" t="n">
        <v>4.58075529117917</v>
      </c>
      <c r="Z133" s="11" t="n">
        <v>4.61577003782489</v>
      </c>
      <c r="AA133" s="11" t="n">
        <v>4.65038806534608</v>
      </c>
      <c r="AB133" s="11" t="n">
        <v>4.68419531084373</v>
      </c>
      <c r="AC133" s="11" t="n">
        <v>4.71682564360642</v>
      </c>
      <c r="AD133" s="11" t="n">
        <v>4.74795414028085</v>
      </c>
      <c r="AE133" s="11" t="n">
        <v>4.77729064622204</v>
      </c>
      <c r="AF133" s="11" t="n">
        <v>4.80457570381955</v>
      </c>
      <c r="AG133" s="11" t="n">
        <v>4.82959851333482</v>
      </c>
      <c r="AH133" s="11" t="n">
        <v>4.85220443748699</v>
      </c>
      <c r="AI133" s="11" t="n">
        <v>4.87228437431742</v>
      </c>
      <c r="AJ133" s="11" t="n">
        <v>4.88977221827302</v>
      </c>
      <c r="AK133" s="11" t="n">
        <v>4.90463954123308</v>
      </c>
      <c r="AL133" s="11" t="n">
        <v>4.91689100085388</v>
      </c>
      <c r="AM133" s="11" t="n">
        <v>4.9265598040679</v>
      </c>
      <c r="AN133" s="11" t="n">
        <v>4.93370371865724</v>
      </c>
      <c r="AO133" s="11" t="n">
        <v>4.93840194235947</v>
      </c>
      <c r="AP133" s="11" t="n">
        <v>4.94075230670247</v>
      </c>
      <c r="AQ133" s="11" t="n">
        <v>4.94086859959554</v>
      </c>
      <c r="AR133" s="11" t="n">
        <v>4.93887709289722</v>
      </c>
      <c r="AS133" s="11" t="n">
        <v>4.93491373987386</v>
      </c>
      <c r="AT133" s="11" t="n">
        <v>4.92912027124058</v>
      </c>
      <c r="AU133" s="11" t="n">
        <v>4.92164185988549</v>
      </c>
      <c r="AV133" s="11" t="n">
        <v>4.91262422040605</v>
      </c>
      <c r="AW133" s="11" t="n">
        <v>4.90221199307122</v>
      </c>
      <c r="AX133" s="11" t="n">
        <v>4.89054697413357</v>
      </c>
      <c r="AY133" s="11" t="n">
        <v>4.87776520577683</v>
      </c>
      <c r="AZ133" s="11" t="n">
        <v>4.86399641254067</v>
      </c>
      <c r="BA133" s="11" t="n">
        <v>4.84936393468202</v>
      </c>
      <c r="BB133" s="11" t="n">
        <v>4.83398308513209</v>
      </c>
      <c r="BC133" s="11" t="n">
        <v>4.81796070900824</v>
      </c>
      <c r="BD133" s="11" t="n">
        <v>4.80139523509032</v>
      </c>
      <c r="BE133" s="11" t="n">
        <v>4.78437650042627</v>
      </c>
      <c r="BF133" s="11" t="n">
        <v>4.76698554705491</v>
      </c>
      <c r="BG133" s="11" t="n">
        <v>4.74929511927783</v>
      </c>
    </row>
    <row r="134" customFormat="false" ht="15" hidden="false" customHeight="false" outlineLevel="0" collapsed="false">
      <c r="A134" s="10" t="n">
        <v>9</v>
      </c>
      <c r="B134" s="8" t="n">
        <v>44851</v>
      </c>
      <c r="C134" s="11" t="n">
        <v>3.62264748528724</v>
      </c>
      <c r="D134" s="11" t="n">
        <v>3.69256448989272</v>
      </c>
      <c r="E134" s="11" t="n">
        <v>3.74626099901189</v>
      </c>
      <c r="F134" s="11" t="n">
        <v>3.78965748158708</v>
      </c>
      <c r="G134" s="11" t="n">
        <v>3.82526368889427</v>
      </c>
      <c r="H134" s="11" t="n">
        <v>3.85453829161773</v>
      </c>
      <c r="I134" s="11" t="n">
        <v>3.87867734053566</v>
      </c>
      <c r="J134" s="11" t="n">
        <v>3.89883041630491</v>
      </c>
      <c r="K134" s="11" t="n">
        <v>3.91616003830565</v>
      </c>
      <c r="L134" s="11" t="n">
        <v>3.93181794978801</v>
      </c>
      <c r="M134" s="11" t="n">
        <v>3.94690069265979</v>
      </c>
      <c r="N134" s="11" t="n">
        <v>3.96238900697738</v>
      </c>
      <c r="O134" s="11" t="n">
        <v>3.97907458596559</v>
      </c>
      <c r="P134" s="11" t="n">
        <v>3.99753099768905</v>
      </c>
      <c r="Q134" s="11" t="n">
        <v>4.01811228938899</v>
      </c>
      <c r="R134" s="11" t="n">
        <v>4.04096764435159</v>
      </c>
      <c r="S134" s="11" t="n">
        <v>4.06607781669173</v>
      </c>
      <c r="T134" s="11" t="n">
        <v>4.09328361792117</v>
      </c>
      <c r="U134" s="11" t="n">
        <v>4.12233296613884</v>
      </c>
      <c r="V134" s="11" t="n">
        <v>4.15290541629647</v>
      </c>
      <c r="W134" s="11" t="n">
        <v>4.18462641653654</v>
      </c>
      <c r="X134" s="11" t="n">
        <v>4.21708149666884</v>
      </c>
      <c r="Y134" s="11" t="n">
        <v>4.2498439848468</v>
      </c>
      <c r="Z134" s="11" t="n">
        <v>4.28248778347679</v>
      </c>
      <c r="AA134" s="11" t="n">
        <v>4.31458739309438</v>
      </c>
      <c r="AB134" s="11" t="n">
        <v>4.34574971315442</v>
      </c>
      <c r="AC134" s="11" t="n">
        <v>4.37562951758482</v>
      </c>
      <c r="AD134" s="11" t="n">
        <v>4.40392267795808</v>
      </c>
      <c r="AE134" s="11" t="n">
        <v>4.43035974198428</v>
      </c>
      <c r="AF134" s="11" t="n">
        <v>4.45470183466325</v>
      </c>
      <c r="AG134" s="11" t="n">
        <v>4.47675750072623</v>
      </c>
      <c r="AH134" s="11" t="n">
        <v>4.49638975291961</v>
      </c>
      <c r="AI134" s="11" t="n">
        <v>4.51350590990426</v>
      </c>
      <c r="AJ134" s="11" t="n">
        <v>4.52805484778987</v>
      </c>
      <c r="AK134" s="11" t="n">
        <v>4.54002167983992</v>
      </c>
      <c r="AL134" s="11" t="n">
        <v>4.54942300317179</v>
      </c>
      <c r="AM134" s="11" t="n">
        <v>4.55630216416436</v>
      </c>
      <c r="AN134" s="11" t="n">
        <v>4.56072512757712</v>
      </c>
      <c r="AO134" s="11" t="n">
        <v>4.56277739475226</v>
      </c>
      <c r="AP134" s="11" t="n">
        <v>4.56256115071107</v>
      </c>
      <c r="AQ134" s="11" t="n">
        <v>4.56019271586838</v>
      </c>
      <c r="AR134" s="11" t="n">
        <v>4.55579917274269</v>
      </c>
      <c r="AS134" s="11" t="n">
        <v>4.54951574143534</v>
      </c>
      <c r="AT134" s="11" t="n">
        <v>4.54148214804002</v>
      </c>
      <c r="AU134" s="11" t="n">
        <v>4.53184051350437</v>
      </c>
      <c r="AV134" s="11" t="n">
        <v>4.5207327395652</v>
      </c>
      <c r="AW134" s="11" t="n">
        <v>4.50829909177227</v>
      </c>
      <c r="AX134" s="11" t="n">
        <v>4.49467665232756</v>
      </c>
      <c r="AY134" s="11" t="n">
        <v>4.47999678062537</v>
      </c>
      <c r="AZ134" s="11" t="n">
        <v>4.46438467710979</v>
      </c>
      <c r="BA134" s="11" t="n">
        <v>4.44795938714321</v>
      </c>
      <c r="BB134" s="11" t="n">
        <v>4.43083245295591</v>
      </c>
      <c r="BC134" s="11" t="n">
        <v>4.41310763293283</v>
      </c>
      <c r="BD134" s="11" t="n">
        <v>4.39488106163484</v>
      </c>
      <c r="BE134" s="11" t="n">
        <v>4.37624113540428</v>
      </c>
      <c r="BF134" s="11" t="n">
        <v>4.35726838450425</v>
      </c>
      <c r="BG134" s="11" t="n">
        <v>4.33803601880114</v>
      </c>
    </row>
    <row r="135" customFormat="false" ht="15" hidden="false" customHeight="false" outlineLevel="0" collapsed="false">
      <c r="A135" s="10" t="n">
        <v>10</v>
      </c>
      <c r="B135" s="8" t="n">
        <v>44852</v>
      </c>
      <c r="C135" s="11" t="n">
        <v>3.54980819141091</v>
      </c>
      <c r="D135" s="11" t="n">
        <v>3.61585205492033</v>
      </c>
      <c r="E135" s="11" t="n">
        <v>3.66868137444542</v>
      </c>
      <c r="F135" s="11" t="n">
        <v>3.71271276736852</v>
      </c>
      <c r="G135" s="11" t="n">
        <v>3.74966755133731</v>
      </c>
      <c r="H135" s="11" t="n">
        <v>3.78057363927673</v>
      </c>
      <c r="I135" s="11" t="n">
        <v>3.80637635173906</v>
      </c>
      <c r="J135" s="11" t="n">
        <v>3.82807109538637</v>
      </c>
      <c r="K135" s="11" t="n">
        <v>3.84672487834731</v>
      </c>
      <c r="L135" s="11" t="n">
        <v>3.86343574470976</v>
      </c>
      <c r="M135" s="11" t="n">
        <v>3.87927439158235</v>
      </c>
      <c r="N135" s="11" t="n">
        <v>3.89521212920097</v>
      </c>
      <c r="O135" s="11" t="n">
        <v>3.91203971550961</v>
      </c>
      <c r="P135" s="11" t="n">
        <v>3.93033480772909</v>
      </c>
      <c r="Q135" s="11" t="n">
        <v>3.95046029528429</v>
      </c>
      <c r="R135" s="11" t="n">
        <v>3.97257658755884</v>
      </c>
      <c r="S135" s="11" t="n">
        <v>3.99667762989485</v>
      </c>
      <c r="T135" s="11" t="n">
        <v>4.02261920750386</v>
      </c>
      <c r="U135" s="11" t="n">
        <v>4.05016799104089</v>
      </c>
      <c r="V135" s="11" t="n">
        <v>4.07902576855225</v>
      </c>
      <c r="W135" s="11" t="n">
        <v>4.1088429778159</v>
      </c>
      <c r="X135" s="11" t="n">
        <v>4.13923260098126</v>
      </c>
      <c r="Y135" s="11" t="n">
        <v>4.16979863012907</v>
      </c>
      <c r="Z135" s="11" t="n">
        <v>4.20014846075152</v>
      </c>
      <c r="AA135" s="11" t="n">
        <v>4.22989083589274</v>
      </c>
      <c r="AB135" s="11" t="n">
        <v>4.25866464177218</v>
      </c>
      <c r="AC135" s="11" t="n">
        <v>4.286153040803</v>
      </c>
      <c r="AD135" s="11" t="n">
        <v>4.31207718135017</v>
      </c>
      <c r="AE135" s="11" t="n">
        <v>4.33619026242544</v>
      </c>
      <c r="AF135" s="11" t="n">
        <v>4.35827376861109</v>
      </c>
      <c r="AG135" s="11" t="n">
        <v>4.37815312605296</v>
      </c>
      <c r="AH135" s="11" t="n">
        <v>4.39570428661768</v>
      </c>
      <c r="AI135" s="11" t="n">
        <v>4.41084416179158</v>
      </c>
      <c r="AJ135" s="11" t="n">
        <v>4.42352779816738</v>
      </c>
      <c r="AK135" s="11" t="n">
        <v>4.4337432539793</v>
      </c>
      <c r="AL135" s="11" t="n">
        <v>4.44150684261077</v>
      </c>
      <c r="AM135" s="11" t="n">
        <v>4.44685872896212</v>
      </c>
      <c r="AN135" s="11" t="n">
        <v>4.44985917543439</v>
      </c>
      <c r="AO135" s="11" t="n">
        <v>4.45058587176744</v>
      </c>
      <c r="AP135" s="11" t="n">
        <v>4.44913153952061</v>
      </c>
      <c r="AQ135" s="11" t="n">
        <v>4.44560173049701</v>
      </c>
      <c r="AR135" s="11" t="n">
        <v>4.44011200326165</v>
      </c>
      <c r="AS135" s="11" t="n">
        <v>4.43278563247176</v>
      </c>
      <c r="AT135" s="11" t="n">
        <v>4.42375039328195</v>
      </c>
      <c r="AU135" s="11" t="n">
        <v>4.41313668228133</v>
      </c>
      <c r="AV135" s="11" t="n">
        <v>4.40107522805819</v>
      </c>
      <c r="AW135" s="11" t="n">
        <v>4.38769585480882</v>
      </c>
      <c r="AX135" s="11" t="n">
        <v>4.37312614267601</v>
      </c>
      <c r="AY135" s="11" t="n">
        <v>4.3574892226415</v>
      </c>
      <c r="AZ135" s="11" t="n">
        <v>4.34090337292911</v>
      </c>
      <c r="BA135" s="11" t="n">
        <v>4.32348200779537</v>
      </c>
      <c r="BB135" s="11" t="n">
        <v>4.30533258821522</v>
      </c>
      <c r="BC135" s="11" t="n">
        <v>4.28655637709964</v>
      </c>
      <c r="BD135" s="11" t="n">
        <v>4.2672485185656</v>
      </c>
      <c r="BE135" s="11" t="n">
        <v>4.24749781600728</v>
      </c>
      <c r="BF135" s="11" t="n">
        <v>4.22738650927606</v>
      </c>
      <c r="BG135" s="11" t="n">
        <v>4.2069907274292</v>
      </c>
    </row>
    <row r="138" customFormat="false" ht="52.2" hidden="false" customHeight="false" outlineLevel="0" collapsed="false">
      <c r="A138" s="3" t="s">
        <v>85</v>
      </c>
      <c r="B138" s="3" t="s">
        <v>72</v>
      </c>
      <c r="C138" s="3" t="s">
        <v>194</v>
      </c>
      <c r="D138" s="3" t="s">
        <v>195</v>
      </c>
      <c r="E138" s="3" t="s">
        <v>196</v>
      </c>
      <c r="F138" s="3" t="s">
        <v>197</v>
      </c>
      <c r="G138" s="3" t="s">
        <v>198</v>
      </c>
      <c r="H138" s="3" t="s">
        <v>199</v>
      </c>
      <c r="I138" s="3" t="s">
        <v>200</v>
      </c>
      <c r="J138" s="3" t="s">
        <v>201</v>
      </c>
      <c r="K138" s="3" t="s">
        <v>202</v>
      </c>
      <c r="L138" s="3" t="s">
        <v>203</v>
      </c>
      <c r="M138" s="3" t="s">
        <v>210</v>
      </c>
      <c r="N138" s="3" t="s">
        <v>211</v>
      </c>
      <c r="O138" s="3" t="s">
        <v>121</v>
      </c>
      <c r="P138" s="3" t="s">
        <v>122</v>
      </c>
      <c r="Q138" s="3" t="s">
        <v>123</v>
      </c>
      <c r="R138" s="3" t="s">
        <v>124</v>
      </c>
      <c r="S138" s="3" t="s">
        <v>125</v>
      </c>
      <c r="T138" s="3" t="s">
        <v>126</v>
      </c>
      <c r="U138" s="3" t="s">
        <v>127</v>
      </c>
      <c r="V138" s="3" t="s">
        <v>128</v>
      </c>
      <c r="W138" s="3" t="s">
        <v>129</v>
      </c>
      <c r="X138" s="3" t="s">
        <v>130</v>
      </c>
      <c r="Y138" s="3" t="s">
        <v>131</v>
      </c>
      <c r="Z138" s="3" t="s">
        <v>132</v>
      </c>
      <c r="AA138" s="3" t="s">
        <v>133</v>
      </c>
      <c r="AB138" s="3" t="s">
        <v>134</v>
      </c>
      <c r="AC138" s="3" t="s">
        <v>135</v>
      </c>
      <c r="AD138" s="3" t="s">
        <v>136</v>
      </c>
      <c r="AE138" s="3" t="s">
        <v>137</v>
      </c>
      <c r="AF138" s="3" t="s">
        <v>138</v>
      </c>
      <c r="AG138" s="3" t="s">
        <v>139</v>
      </c>
      <c r="AH138" s="3" t="s">
        <v>140</v>
      </c>
      <c r="AI138" s="3" t="s">
        <v>141</v>
      </c>
      <c r="AJ138" s="3" t="s">
        <v>142</v>
      </c>
      <c r="AK138" s="3" t="s">
        <v>143</v>
      </c>
      <c r="AL138" s="3" t="s">
        <v>144</v>
      </c>
      <c r="AM138" s="3" t="s">
        <v>145</v>
      </c>
      <c r="AN138" s="3" t="s">
        <v>146</v>
      </c>
      <c r="AO138" s="3" t="s">
        <v>147</v>
      </c>
      <c r="AP138" s="3" t="s">
        <v>148</v>
      </c>
      <c r="AQ138" s="3" t="s">
        <v>149</v>
      </c>
      <c r="AR138" s="3" t="s">
        <v>150</v>
      </c>
      <c r="AS138" s="3" t="s">
        <v>151</v>
      </c>
      <c r="AT138" s="3" t="s">
        <v>152</v>
      </c>
      <c r="AU138" s="3" t="s">
        <v>153</v>
      </c>
      <c r="AV138" s="3" t="s">
        <v>154</v>
      </c>
      <c r="AW138" s="3" t="s">
        <v>155</v>
      </c>
      <c r="AX138" s="3" t="s">
        <v>229</v>
      </c>
      <c r="AY138" s="3" t="s">
        <v>230</v>
      </c>
      <c r="AZ138" s="3" t="s">
        <v>231</v>
      </c>
      <c r="BA138" s="3" t="s">
        <v>232</v>
      </c>
      <c r="BB138" s="3" t="s">
        <v>233</v>
      </c>
      <c r="BC138" s="3" t="s">
        <v>234</v>
      </c>
      <c r="BD138" s="3" t="s">
        <v>235</v>
      </c>
      <c r="BE138" s="3" t="s">
        <v>236</v>
      </c>
      <c r="BF138" s="3" t="s">
        <v>237</v>
      </c>
      <c r="BG138" s="3" t="s">
        <v>238</v>
      </c>
      <c r="BH138" s="3" t="s">
        <v>156</v>
      </c>
    </row>
    <row r="139" customFormat="false" ht="15" hidden="false" customHeight="false" outlineLevel="0" collapsed="false">
      <c r="A139" s="20" t="n">
        <f aca="false">A5</f>
        <v>-120</v>
      </c>
      <c r="B139" s="21" t="n">
        <f aca="false">B5</f>
        <v>44659</v>
      </c>
      <c r="C139" s="22" t="n">
        <f aca="false">100*(C5-C4)</f>
        <v>1.2760818341826</v>
      </c>
      <c r="D139" s="22" t="n">
        <f aca="false">100*(D5-D4)</f>
        <v>1.39199168357929</v>
      </c>
      <c r="E139" s="22" t="n">
        <f aca="false">100*(E5-E4)</f>
        <v>1.48882040645408</v>
      </c>
      <c r="F139" s="22" t="n">
        <f aca="false">100*(F5-F4)</f>
        <v>1.5762537057761</v>
      </c>
      <c r="G139" s="22" t="n">
        <f aca="false">100*(G5-G4)</f>
        <v>1.66037966282599</v>
      </c>
      <c r="H139" s="22" t="n">
        <f aca="false">100*(H5-H4)</f>
        <v>1.7450652915354</v>
      </c>
      <c r="I139" s="22" t="n">
        <f aca="false">100*(I5-I4)</f>
        <v>1.83278399230691</v>
      </c>
      <c r="J139" s="22" t="n">
        <f aca="false">100*(J5-J4)</f>
        <v>1.92503608892389</v>
      </c>
      <c r="K139" s="22" t="n">
        <f aca="false">100*(K5-K4)</f>
        <v>2.0224751172204</v>
      </c>
      <c r="L139" s="22" t="n">
        <f aca="false">100*(L5-L4)</f>
        <v>2.12529774218999</v>
      </c>
      <c r="M139" s="22" t="n">
        <f aca="false">100*(M5-M4)</f>
        <v>2.2332376011482</v>
      </c>
      <c r="N139" s="22" t="n">
        <f aca="false">100*(N5-N4)</f>
        <v>2.3457480705966</v>
      </c>
      <c r="O139" s="22" t="n">
        <f aca="false">100*(O5-O4)</f>
        <v>2.462111283619</v>
      </c>
      <c r="P139" s="22" t="n">
        <f aca="false">100*(P5-P4)</f>
        <v>2.58154034128</v>
      </c>
      <c r="Q139" s="22" t="n">
        <f aca="false">100*(Q5-Q4)</f>
        <v>2.70313746844599</v>
      </c>
      <c r="R139" s="22" t="n">
        <f aca="false">100*(R5-R4)</f>
        <v>2.8259507373894</v>
      </c>
      <c r="S139" s="22" t="n">
        <f aca="false">100*(S5-S4)</f>
        <v>2.9489681193847</v>
      </c>
      <c r="T139" s="22" t="n">
        <f aca="false">100*(T5-T4)</f>
        <v>3.07113898930431</v>
      </c>
      <c r="U139" s="22" t="n">
        <f aca="false">100*(U5-U4)</f>
        <v>3.19134761840079</v>
      </c>
      <c r="V139" s="22" t="n">
        <f aca="false">100*(V5-V4)</f>
        <v>3.30852457284181</v>
      </c>
      <c r="W139" s="22" t="n">
        <f aca="false">100*(W5-W4)</f>
        <v>3.42163239860329</v>
      </c>
      <c r="X139" s="22" t="n">
        <f aca="false">100*(X5-X4)</f>
        <v>3.52965869581929</v>
      </c>
      <c r="Y139" s="22" t="n">
        <f aca="false">100*(Y5-Y4)</f>
        <v>3.63163642864059</v>
      </c>
      <c r="Z139" s="22" t="n">
        <f aca="false">100*(Z5-Z4)</f>
        <v>3.72672730129751</v>
      </c>
      <c r="AA139" s="22" t="n">
        <f aca="false">100*(AA5-AA4)</f>
        <v>3.81423137530872</v>
      </c>
      <c r="AB139" s="22" t="n">
        <f aca="false">100*(AB5-AB4)</f>
        <v>3.8936046942607</v>
      </c>
      <c r="AC139" s="22" t="n">
        <f aca="false">100*(AC5-AC4)</f>
        <v>3.96449789543341</v>
      </c>
      <c r="AD139" s="22" t="n">
        <f aca="false">100*(AD5-AD4)</f>
        <v>4.02679258910621</v>
      </c>
      <c r="AE139" s="22" t="n">
        <f aca="false">100*(AE5-AE4)</f>
        <v>4.08057166968818</v>
      </c>
      <c r="AF139" s="22" t="n">
        <f aca="false">100*(AF5-AF4)</f>
        <v>4.12608881812209</v>
      </c>
      <c r="AG139" s="22" t="n">
        <f aca="false">100*(AG5-AG4)</f>
        <v>4.16374042127781</v>
      </c>
      <c r="AH139" s="22" t="n">
        <f aca="false">100*(AH5-AH4)</f>
        <v>4.1940527593072</v>
      </c>
      <c r="AI139" s="22" t="n">
        <f aca="false">100*(AI5-AI4)</f>
        <v>4.217705704966</v>
      </c>
      <c r="AJ139" s="22" t="n">
        <f aca="false">100*(AJ5-AJ4)</f>
        <v>4.2354508472257</v>
      </c>
      <c r="AK139" s="22" t="n">
        <f aca="false">100*(AK5-AK4)</f>
        <v>4.24807622934509</v>
      </c>
      <c r="AL139" s="22" t="n">
        <f aca="false">100*(AL5-AL4)</f>
        <v>4.25637956622451</v>
      </c>
      <c r="AM139" s="22" t="n">
        <f aca="false">100*(AM5-AM4)</f>
        <v>4.26112507834151</v>
      </c>
      <c r="AN139" s="22" t="n">
        <f aca="false">100*(AN5-AN4)</f>
        <v>4.2630282713594</v>
      </c>
      <c r="AO139" s="22" t="n">
        <f aca="false">100*(AO5-AO4)</f>
        <v>4.26274828801971</v>
      </c>
      <c r="AP139" s="22" t="n">
        <f aca="false">100*(AP5-AP4)</f>
        <v>4.26088990569589</v>
      </c>
      <c r="AQ139" s="22" t="n">
        <f aca="false">100*(AQ5-AQ4)</f>
        <v>4.2580018122411</v>
      </c>
      <c r="AR139" s="22" t="n">
        <f aca="false">100*(AR5-AR4)</f>
        <v>4.25458027372589</v>
      </c>
      <c r="AS139" s="22" t="n">
        <f aca="false">100*(AS5-AS4)</f>
        <v>4.251071929565</v>
      </c>
      <c r="AT139" s="22" t="n">
        <f aca="false">100*(AT5-AT4)</f>
        <v>4.24787580125969</v>
      </c>
      <c r="AU139" s="22" t="n">
        <f aca="false">100*(AU5-AU4)</f>
        <v>4.24534039099158</v>
      </c>
      <c r="AV139" s="22" t="n">
        <f aca="false">100*(AV5-AV4)</f>
        <v>4.24376408394729</v>
      </c>
      <c r="AW139" s="22" t="n">
        <f aca="false">100*(AW5-AW4)</f>
        <v>4.24339343074769</v>
      </c>
      <c r="AX139" s="22" t="n">
        <f aca="false">100*(AX5-AX4)</f>
        <v>4.24442301915611</v>
      </c>
      <c r="AY139" s="22" t="n">
        <f aca="false">100*(AY5-AY4)</f>
        <v>4.2469967353779</v>
      </c>
      <c r="AZ139" s="22" t="n">
        <f aca="false">100*(AZ5-AZ4)</f>
        <v>4.2512086112759</v>
      </c>
      <c r="BA139" s="22" t="n">
        <f aca="false">100*(BA5-BA4)</f>
        <v>4.2571061176665</v>
      </c>
      <c r="BB139" s="22" t="n">
        <f aca="false">100*(BB5-BB4)</f>
        <v>4.26469472996021</v>
      </c>
      <c r="BC139" s="22" t="n">
        <f aca="false">100*(BC5-BC4)</f>
        <v>4.27394119840581</v>
      </c>
      <c r="BD139" s="22" t="n">
        <f aca="false">100*(BD5-BD4)</f>
        <v>4.28477661551201</v>
      </c>
      <c r="BE139" s="22" t="n">
        <f aca="false">100*(BE5-BE4)</f>
        <v>4.29710061360651</v>
      </c>
      <c r="BF139" s="22" t="n">
        <f aca="false">100*(BF5-BF4)</f>
        <v>4.3107843352844</v>
      </c>
      <c r="BG139" s="22" t="n">
        <f aca="false">100*(BG5-BG4)</f>
        <v>4.32567447876009</v>
      </c>
      <c r="BH139" s="22" t="n">
        <f aca="false">AVERAGE(C139:BG139)</f>
        <v>3.47009234110407</v>
      </c>
    </row>
    <row r="140" customFormat="false" ht="15" hidden="false" customHeight="false" outlineLevel="0" collapsed="false">
      <c r="A140" s="20" t="n">
        <f aca="false">A6</f>
        <v>-119</v>
      </c>
      <c r="B140" s="21" t="n">
        <f aca="false">B6</f>
        <v>44662</v>
      </c>
      <c r="C140" s="22" t="n">
        <f aca="false">100*(C6-C5)</f>
        <v>6.25420131760641</v>
      </c>
      <c r="D140" s="22" t="n">
        <f aca="false">100*(D6-D5)</f>
        <v>6.5462257804763</v>
      </c>
      <c r="E140" s="22" t="n">
        <f aca="false">100*(E6-E5)</f>
        <v>6.700567781953</v>
      </c>
      <c r="F140" s="22" t="n">
        <f aca="false">100*(F6-F5)</f>
        <v>6.8089846369211</v>
      </c>
      <c r="G140" s="22" t="n">
        <f aca="false">100*(G6-G5)</f>
        <v>6.9098025252095</v>
      </c>
      <c r="H140" s="22" t="n">
        <f aca="false">100*(H6-H5)</f>
        <v>7.0180867197335</v>
      </c>
      <c r="I140" s="22" t="n">
        <f aca="false">100*(I6-I5)</f>
        <v>7.13826297698961</v>
      </c>
      <c r="J140" s="22" t="n">
        <f aca="false">100*(J6-J5)</f>
        <v>7.26966993823019</v>
      </c>
      <c r="K140" s="22" t="n">
        <f aca="false">100*(K6-K5)</f>
        <v>7.40898801767409</v>
      </c>
      <c r="L140" s="22" t="n">
        <f aca="false">100*(L6-L5)</f>
        <v>7.55172433243281</v>
      </c>
      <c r="M140" s="22" t="n">
        <f aca="false">100*(M6-M5)</f>
        <v>7.69303663530241</v>
      </c>
      <c r="N140" s="22" t="n">
        <f aca="false">100*(N6-N5)</f>
        <v>7.82822898093041</v>
      </c>
      <c r="O140" s="22" t="n">
        <f aca="false">100*(O6-O5)</f>
        <v>7.95307592291539</v>
      </c>
      <c r="P140" s="22" t="n">
        <f aca="false">100*(P6-P5)</f>
        <v>8.06412755073922</v>
      </c>
      <c r="Q140" s="22" t="n">
        <f aca="false">100*(Q6-Q5)</f>
        <v>8.1588736423293</v>
      </c>
      <c r="R140" s="22" t="n">
        <f aca="false">100*(R6-R5)</f>
        <v>8.2358341716203</v>
      </c>
      <c r="S140" s="22" t="n">
        <f aca="false">100*(S6-S5)</f>
        <v>8.2944675415104</v>
      </c>
      <c r="T140" s="22" t="n">
        <f aca="false">100*(T6-T5)</f>
        <v>8.3350133126862</v>
      </c>
      <c r="U140" s="22" t="n">
        <f aca="false">100*(U6-U5)</f>
        <v>8.3583831590019</v>
      </c>
      <c r="V140" s="22" t="n">
        <f aca="false">100*(V6-V5)</f>
        <v>8.36585443375979</v>
      </c>
      <c r="W140" s="22" t="n">
        <f aca="false">100*(W6-W5)</f>
        <v>8.3589353839578</v>
      </c>
      <c r="X140" s="22" t="n">
        <f aca="false">100*(X6-X5)</f>
        <v>8.33931859219399</v>
      </c>
      <c r="Y140" s="22" t="n">
        <f aca="false">100*(Y6-Y5)</f>
        <v>8.3088290508325</v>
      </c>
      <c r="Z140" s="22" t="n">
        <f aca="false">100*(Z6-Z5)</f>
        <v>8.26926495148901</v>
      </c>
      <c r="AA140" s="22" t="n">
        <f aca="false">100*(AA6-AA5)</f>
        <v>8.22229584479359</v>
      </c>
      <c r="AB140" s="22" t="n">
        <f aca="false">100*(AB6-AB5)</f>
        <v>8.16945223630621</v>
      </c>
      <c r="AC140" s="22" t="n">
        <f aca="false">100*(AC6-AC5)</f>
        <v>8.1120863929141</v>
      </c>
      <c r="AD140" s="22" t="n">
        <f aca="false">100*(AD6-AD5)</f>
        <v>8.05137567328849</v>
      </c>
      <c r="AE140" s="22" t="n">
        <f aca="false">100*(AE6-AE5)</f>
        <v>7.98834944559479</v>
      </c>
      <c r="AF140" s="22" t="n">
        <f aca="false">100*(AF6-AF5)</f>
        <v>7.92391151029641</v>
      </c>
      <c r="AG140" s="22" t="n">
        <f aca="false">100*(AG6-AG5)</f>
        <v>7.85885624895439</v>
      </c>
      <c r="AH140" s="22" t="n">
        <f aca="false">100*(AH6-AH5)</f>
        <v>7.79385807227071</v>
      </c>
      <c r="AI140" s="22" t="n">
        <f aca="false">100*(AI6-AI5)</f>
        <v>7.72948214343847</v>
      </c>
      <c r="AJ140" s="22" t="n">
        <f aca="false">100*(AJ6-AJ5)</f>
        <v>7.66621191237831</v>
      </c>
      <c r="AK140" s="22" t="n">
        <f aca="false">100*(AK6-AK5)</f>
        <v>7.604467921831</v>
      </c>
      <c r="AL140" s="22" t="n">
        <f aca="false">100*(AL6-AL5)</f>
        <v>7.54462330197798</v>
      </c>
      <c r="AM140" s="22" t="n">
        <f aca="false">100*(AM6-AM5)</f>
        <v>7.48702566059409</v>
      </c>
      <c r="AN140" s="22" t="n">
        <f aca="false">100*(AN6-AN5)</f>
        <v>7.43201148690691</v>
      </c>
      <c r="AO140" s="22" t="n">
        <f aca="false">100*(AO6-AO5)</f>
        <v>7.37991640678879</v>
      </c>
      <c r="AP140" s="22" t="n">
        <f aca="false">100*(AP6-AP5)</f>
        <v>7.33107607179673</v>
      </c>
      <c r="AQ140" s="22" t="n">
        <f aca="false">100*(AQ6-AQ5)</f>
        <v>7.28582519621621</v>
      </c>
      <c r="AR140" s="22" t="n">
        <f aca="false">100*(AR6-AR5)</f>
        <v>7.24449398991218</v>
      </c>
      <c r="AS140" s="22" t="n">
        <f aca="false">100*(AS6-AS5)</f>
        <v>7.20739591029589</v>
      </c>
      <c r="AT140" s="22" t="n">
        <f aca="false">100*(AT6-AT5)</f>
        <v>7.1748199901827</v>
      </c>
      <c r="AU140" s="22" t="n">
        <f aca="false">100*(AU6-AU5)</f>
        <v>7.14701677176373</v>
      </c>
      <c r="AV140" s="22" t="n">
        <f aca="false">100*(AV6-AV5)</f>
        <v>7.12419100124511</v>
      </c>
      <c r="AW140" s="22" t="n">
        <f aca="false">100*(AW6-AW5)</f>
        <v>7.10648683067499</v>
      </c>
      <c r="AX140" s="22" t="n">
        <f aca="false">100*(AX6-AX5)</f>
        <v>7.09397963478788</v>
      </c>
      <c r="AY140" s="22" t="n">
        <f aca="false">100*(AY6-AY5)</f>
        <v>7.0866689574371</v>
      </c>
      <c r="AZ140" s="22" t="n">
        <f aca="false">100*(AZ6-AZ5)</f>
        <v>7.0844742262731</v>
      </c>
      <c r="BA140" s="22" t="n">
        <f aca="false">100*(BA6-BA5)</f>
        <v>7.08723860442559</v>
      </c>
      <c r="BB140" s="22" t="n">
        <f aca="false">100*(BB6-BB5)</f>
        <v>7.09473397367171</v>
      </c>
      <c r="BC140" s="22" t="n">
        <f aca="false">100*(BC6-BC5)</f>
        <v>7.10665966936919</v>
      </c>
      <c r="BD140" s="22" t="n">
        <f aca="false">100*(BD6-BD5)</f>
        <v>7.12264768267659</v>
      </c>
      <c r="BE140" s="22" t="n">
        <f aca="false">100*(BE6-BE5)</f>
        <v>7.1422734284307</v>
      </c>
      <c r="BF140" s="22" t="n">
        <f aca="false">100*(BF6-BF5)</f>
        <v>7.16506817804701</v>
      </c>
      <c r="BG140" s="22" t="n">
        <f aca="false">100*(BG6-BG5)</f>
        <v>7.19053273820691</v>
      </c>
      <c r="BH140" s="22" t="n">
        <f aca="false">AVERAGE(C140:BG140)</f>
        <v>7.54261867491654</v>
      </c>
    </row>
    <row r="141" customFormat="false" ht="15" hidden="false" customHeight="false" outlineLevel="0" collapsed="false">
      <c r="A141" s="20" t="n">
        <f aca="false">A7</f>
        <v>-118</v>
      </c>
      <c r="B141" s="21" t="n">
        <f aca="false">B7</f>
        <v>44663</v>
      </c>
      <c r="C141" s="22" t="n">
        <f aca="false">100*(C7-C6)</f>
        <v>-4.67981458205411</v>
      </c>
      <c r="D141" s="22" t="n">
        <f aca="false">100*(D7-D6)</f>
        <v>-4.61164013880449</v>
      </c>
      <c r="E141" s="22" t="n">
        <f aca="false">100*(E7-E6)</f>
        <v>-4.55517513205379</v>
      </c>
      <c r="F141" s="22" t="n">
        <f aca="false">100*(F7-F6)</f>
        <v>-4.52517597222859</v>
      </c>
      <c r="G141" s="22" t="n">
        <f aca="false">100*(G7-G6)</f>
        <v>-4.51749226571689</v>
      </c>
      <c r="H141" s="22" t="n">
        <f aca="false">100*(H7-H6)</f>
        <v>-4.5238619117437</v>
      </c>
      <c r="I141" s="22" t="n">
        <f aca="false">100*(I7-I6)</f>
        <v>-4.53606836267191</v>
      </c>
      <c r="J141" s="22" t="n">
        <f aca="false">100*(J7-J6)</f>
        <v>-4.54708832518869</v>
      </c>
      <c r="K141" s="22" t="n">
        <f aca="false">100*(K7-K6)</f>
        <v>-4.55151060588479</v>
      </c>
      <c r="L141" s="22" t="n">
        <f aca="false">100*(L7-L6)</f>
        <v>-4.54555889704049</v>
      </c>
      <c r="M141" s="22" t="n">
        <f aca="false">100*(M7-M6)</f>
        <v>-4.52702250052441</v>
      </c>
      <c r="N141" s="22" t="n">
        <f aca="false">100*(N7-N6)</f>
        <v>-4.49510165428191</v>
      </c>
      <c r="O141" s="22" t="n">
        <f aca="false">100*(O7-O6)</f>
        <v>-4.4501230239463</v>
      </c>
      <c r="P141" s="22" t="n">
        <f aca="false">100*(P7-P6)</f>
        <v>-4.39311648478622</v>
      </c>
      <c r="Q141" s="22" t="n">
        <f aca="false">100*(Q7-Q6)</f>
        <v>-4.3255687317447</v>
      </c>
      <c r="R141" s="22" t="n">
        <f aca="false">100*(R7-R6)</f>
        <v>-4.249212537179</v>
      </c>
      <c r="S141" s="22" t="n">
        <f aca="false">100*(S7-S6)</f>
        <v>-4.1658857326933</v>
      </c>
      <c r="T141" s="22" t="n">
        <f aca="false">100*(T7-T6)</f>
        <v>-4.0773837119096</v>
      </c>
      <c r="U141" s="22" t="n">
        <f aca="false">100*(U7-U6)</f>
        <v>-3.9853778186083</v>
      </c>
      <c r="V141" s="22" t="n">
        <f aca="false">100*(V7-V6)</f>
        <v>-3.89139409154189</v>
      </c>
      <c r="W141" s="22" t="n">
        <f aca="false">100*(W7-W6)</f>
        <v>-3.7968471892029</v>
      </c>
      <c r="X141" s="22" t="n">
        <f aca="false">100*(X7-X6)</f>
        <v>-3.70306281657118</v>
      </c>
      <c r="Y141" s="22" t="n">
        <f aca="false">100*(Y7-Y6)</f>
        <v>-3.6112826772752</v>
      </c>
      <c r="Z141" s="22" t="n">
        <f aca="false">100*(Z7-Z6)</f>
        <v>-3.52262614964261</v>
      </c>
      <c r="AA141" s="22" t="n">
        <f aca="false">100*(AA7-AA6)</f>
        <v>-3.43808137474351</v>
      </c>
      <c r="AB141" s="22" t="n">
        <f aca="false">100*(AB7-AB6)</f>
        <v>-3.35849288166963</v>
      </c>
      <c r="AC141" s="22" t="n">
        <f aca="false">100*(AC7-AC6)</f>
        <v>-3.28452767643881</v>
      </c>
      <c r="AD141" s="22" t="n">
        <f aca="false">100*(AD7-AD6)</f>
        <v>-3.21666212965828</v>
      </c>
      <c r="AE141" s="22" t="n">
        <f aca="false">100*(AE7-AE6)</f>
        <v>-3.15520879351259</v>
      </c>
      <c r="AF141" s="22" t="n">
        <f aca="false">100*(AF7-AF6)</f>
        <v>-3.10034122273559</v>
      </c>
      <c r="AG141" s="22" t="n">
        <f aca="false">100*(AG7-AG6)</f>
        <v>-3.0521149461491</v>
      </c>
      <c r="AH141" s="22" t="n">
        <f aca="false">100*(AH7-AH6)</f>
        <v>-3.01047077371051</v>
      </c>
      <c r="AI141" s="22" t="n">
        <f aca="false">100*(AI7-AI6)</f>
        <v>-2.97522694351877</v>
      </c>
      <c r="AJ141" s="22" t="n">
        <f aca="false">100*(AJ7-AJ6)</f>
        <v>-2.9461049447939</v>
      </c>
      <c r="AK141" s="22" t="n">
        <f aca="false">100*(AK7-AK6)</f>
        <v>-2.92274042840011</v>
      </c>
      <c r="AL141" s="22" t="n">
        <f aca="false">100*(AL7-AL6)</f>
        <v>-2.9046987454775</v>
      </c>
      <c r="AM141" s="22" t="n">
        <f aca="false">100*(AM7-AM6)</f>
        <v>-2.89149298993108</v>
      </c>
      <c r="AN141" s="22" t="n">
        <f aca="false">100*(AN7-AN6)</f>
        <v>-2.88260239621923</v>
      </c>
      <c r="AO141" s="22" t="n">
        <f aca="false">100*(AO7-AO6)</f>
        <v>-2.87748884335199</v>
      </c>
      <c r="AP141" s="22" t="n">
        <f aca="false">100*(AP7-AP6)</f>
        <v>-2.8756070765509</v>
      </c>
      <c r="AQ141" s="22" t="n">
        <f aca="false">100*(AQ7-AQ6)</f>
        <v>-2.87641997644563</v>
      </c>
      <c r="AR141" s="22" t="n">
        <f aca="false">100*(AR7-AR6)</f>
        <v>-2.87940600483418</v>
      </c>
      <c r="AS141" s="22" t="n">
        <f aca="false">100*(AS7-AS6)</f>
        <v>-2.88407618871198</v>
      </c>
      <c r="AT141" s="22" t="n">
        <f aca="false">100*(AT7-AT6)</f>
        <v>-2.88998325858789</v>
      </c>
      <c r="AU141" s="22" t="n">
        <f aca="false">100*(AU7-AU6)</f>
        <v>-2.89673706285343</v>
      </c>
      <c r="AV141" s="22" t="n">
        <f aca="false">100*(AV7-AV6)</f>
        <v>-2.90400894834131</v>
      </c>
      <c r="AW141" s="22" t="n">
        <f aca="false">100*(AW7-AW6)</f>
        <v>-2.91153571272957</v>
      </c>
      <c r="AX141" s="22" t="n">
        <f aca="false">100*(AX7-AX6)</f>
        <v>-2.91911923802459</v>
      </c>
      <c r="AY141" s="22" t="n">
        <f aca="false">100*(AY7-AY6)</f>
        <v>-2.9266223615795</v>
      </c>
      <c r="AZ141" s="22" t="n">
        <f aca="false">100*(AZ7-AZ6)</f>
        <v>-2.93396015699039</v>
      </c>
      <c r="BA141" s="22" t="n">
        <f aca="false">100*(BA7-BA6)</f>
        <v>-2.94109362941859</v>
      </c>
      <c r="BB141" s="22" t="n">
        <f aca="false">100*(BB7-BB6)</f>
        <v>-2.9480235165078</v>
      </c>
      <c r="BC141" s="22" t="n">
        <f aca="false">100*(BC7-BC6)</f>
        <v>-2.95477977455469</v>
      </c>
      <c r="BD141" s="22" t="n">
        <f aca="false">100*(BD7-BD6)</f>
        <v>-2.96141339415499</v>
      </c>
      <c r="BE141" s="22" t="n">
        <f aca="false">100*(BE7-BE6)</f>
        <v>-2.9679880345888</v>
      </c>
      <c r="BF141" s="22" t="n">
        <f aca="false">100*(BF7-BF6)</f>
        <v>-2.97457357225601</v>
      </c>
      <c r="BG141" s="22" t="n">
        <f aca="false">100*(BG7-BG6)</f>
        <v>-2.98123824530829</v>
      </c>
      <c r="BH141" s="22" t="n">
        <f aca="false">AVERAGE(C141:BG141)</f>
        <v>-3.53386372905341</v>
      </c>
    </row>
    <row r="142" customFormat="false" ht="15" hidden="false" customHeight="false" outlineLevel="0" collapsed="false">
      <c r="A142" s="20" t="n">
        <f aca="false">A8</f>
        <v>-117</v>
      </c>
      <c r="B142" s="21" t="n">
        <f aca="false">B8</f>
        <v>44664</v>
      </c>
      <c r="C142" s="22" t="n">
        <f aca="false">100*(C8-C7)</f>
        <v>-1.08053407578641</v>
      </c>
      <c r="D142" s="22" t="n">
        <f aca="false">100*(D8-D7)</f>
        <v>-1.0302227995709</v>
      </c>
      <c r="E142" s="22" t="n">
        <f aca="false">100*(E8-E7)</f>
        <v>-0.961173327795795</v>
      </c>
      <c r="F142" s="22" t="n">
        <f aca="false">100*(F8-F7)</f>
        <v>-0.881069647566513</v>
      </c>
      <c r="G142" s="22" t="n">
        <f aca="false">100*(G8-G7)</f>
        <v>-0.79095711111159</v>
      </c>
      <c r="H142" s="22" t="n">
        <f aca="false">100*(H8-H7)</f>
        <v>-0.691280685268003</v>
      </c>
      <c r="I142" s="22" t="n">
        <f aca="false">100*(I8-I7)</f>
        <v>-0.582865336903504</v>
      </c>
      <c r="J142" s="22" t="n">
        <f aca="false">100*(J8-J7)</f>
        <v>-0.466918952215312</v>
      </c>
      <c r="K142" s="22" t="n">
        <f aca="false">100*(K8-K7)</f>
        <v>-0.345206963447597</v>
      </c>
      <c r="L142" s="22" t="n">
        <f aca="false">100*(L8-L7)</f>
        <v>-0.219964972782916</v>
      </c>
      <c r="M142" s="22" t="n">
        <f aca="false">100*(M8-M7)</f>
        <v>-0.0935798021797885</v>
      </c>
      <c r="N142" s="22" t="n">
        <f aca="false">100*(N8-N7)</f>
        <v>0.0316361336843096</v>
      </c>
      <c r="O142" s="22" t="n">
        <f aca="false">100*(O8-O7)</f>
        <v>0.153598931384402</v>
      </c>
      <c r="P142" s="22" t="n">
        <f aca="false">100*(P8-P7)</f>
        <v>0.270543083272012</v>
      </c>
      <c r="Q142" s="22" t="n">
        <f aca="false">100*(Q8-Q7)</f>
        <v>0.381075307460099</v>
      </c>
      <c r="R142" s="22" t="n">
        <f aca="false">100*(R8-R7)</f>
        <v>0.484230654361406</v>
      </c>
      <c r="S142" s="22" t="n">
        <f aca="false">100*(S8-S7)</f>
        <v>0.579395079559886</v>
      </c>
      <c r="T142" s="22" t="n">
        <f aca="false">100*(T8-T7)</f>
        <v>0.666236236171591</v>
      </c>
      <c r="U142" s="22" t="n">
        <f aca="false">100*(U8-U7)</f>
        <v>0.744656357879103</v>
      </c>
      <c r="V142" s="22" t="n">
        <f aca="false">100*(V8-V7)</f>
        <v>0.814654591865804</v>
      </c>
      <c r="W142" s="22" t="n">
        <f aca="false">100*(W8-W7)</f>
        <v>0.876272697184199</v>
      </c>
      <c r="X142" s="22" t="n">
        <f aca="false">100*(X8-X7)</f>
        <v>0.929586278349692</v>
      </c>
      <c r="Y142" s="22" t="n">
        <f aca="false">100*(Y8-Y7)</f>
        <v>0.974700898646397</v>
      </c>
      <c r="Z142" s="22" t="n">
        <f aca="false">100*(Z8-Z7)</f>
        <v>1.01173785130291</v>
      </c>
      <c r="AA142" s="22" t="n">
        <f aca="false">100*(AA8-AA7)</f>
        <v>1.04081408489731</v>
      </c>
      <c r="AB142" s="22" t="n">
        <f aca="false">100*(AB8-AB7)</f>
        <v>1.0620486787537</v>
      </c>
      <c r="AC142" s="22" t="n">
        <f aca="false">100*(AC8-AC7)</f>
        <v>1.07560695882543</v>
      </c>
      <c r="AD142" s="22" t="n">
        <f aca="false">100*(AD8-AD7)</f>
        <v>1.0817323736648</v>
      </c>
      <c r="AE142" s="22" t="n">
        <f aca="false">100*(AE8-AE7)</f>
        <v>1.08073706409999</v>
      </c>
      <c r="AF142" s="22" t="n">
        <f aca="false">100*(AF8-AF7)</f>
        <v>1.07299145531368</v>
      </c>
      <c r="AG142" s="22" t="n">
        <f aca="false">100*(AG8-AG7)</f>
        <v>1.05891566377649</v>
      </c>
      <c r="AH142" s="22" t="n">
        <f aca="false">100*(AH8-AH7)</f>
        <v>1.03899453735399</v>
      </c>
      <c r="AI142" s="22" t="n">
        <f aca="false">100*(AI8-AI7)</f>
        <v>1.01379168430968</v>
      </c>
      <c r="AJ142" s="22" t="n">
        <f aca="false">100*(AJ8-AJ7)</f>
        <v>0.9839217321578</v>
      </c>
      <c r="AK142" s="22" t="n">
        <f aca="false">100*(AK8-AK7)</f>
        <v>0.950044583474208</v>
      </c>
      <c r="AL142" s="22" t="n">
        <f aca="false">100*(AL8-AL7)</f>
        <v>0.912853877504594</v>
      </c>
      <c r="AM142" s="22" t="n">
        <f aca="false">100*(AM8-AM7)</f>
        <v>0.873061095510863</v>
      </c>
      <c r="AN142" s="22" t="n">
        <f aca="false">100*(AN8-AN7)</f>
        <v>0.831376947830531</v>
      </c>
      <c r="AO142" s="22" t="n">
        <f aca="false">100*(AO8-AO7)</f>
        <v>0.788494615746105</v>
      </c>
      <c r="AP142" s="22" t="n">
        <f aca="false">100*(AP8-AP7)</f>
        <v>0.745081335536879</v>
      </c>
      <c r="AQ142" s="22" t="n">
        <f aca="false">100*(AQ8-AQ7)</f>
        <v>0.701763561491609</v>
      </c>
      <c r="AR142" s="22" t="n">
        <f aca="false">100*(AR8-AR7)</f>
        <v>0.659123457931621</v>
      </c>
      <c r="AS142" s="22" t="n">
        <f aca="false">100*(AS8-AS7)</f>
        <v>0.617688887762302</v>
      </c>
      <c r="AT142" s="22" t="n">
        <f aca="false">100*(AT8-AT7)</f>
        <v>0.577930851745112</v>
      </c>
      <c r="AU142" s="22" t="n">
        <f aca="false">100*(AU8-AU7)</f>
        <v>0.540259701628409</v>
      </c>
      <c r="AV142" s="22" t="n">
        <f aca="false">100*(AV8-AV7)</f>
        <v>0.505025477363907</v>
      </c>
      <c r="AW142" s="22" t="n">
        <f aca="false">100*(AW8-AW7)</f>
        <v>0.472514912015098</v>
      </c>
      <c r="AX142" s="22" t="n">
        <f aca="false">100*(AX8-AX7)</f>
        <v>0.442950560248701</v>
      </c>
      <c r="AY142" s="22" t="n">
        <f aca="false">100*(AY8-AY7)</f>
        <v>0.416489830635514</v>
      </c>
      <c r="AZ142" s="22" t="n">
        <f aca="false">100*(AZ8-AZ7)</f>
        <v>0.393226594404883</v>
      </c>
      <c r="BA142" s="22" t="n">
        <f aca="false">100*(BA8-BA7)</f>
        <v>0.373195844150187</v>
      </c>
      <c r="BB142" s="22" t="n">
        <f aca="false">100*(BB8-BB7)</f>
        <v>0.356378812142988</v>
      </c>
      <c r="BC142" s="22" t="n">
        <f aca="false">100*(BC8-BC7)</f>
        <v>0.342706424499895</v>
      </c>
      <c r="BD142" s="22" t="n">
        <f aca="false">100*(BD8-BD7)</f>
        <v>0.332064264216192</v>
      </c>
      <c r="BE142" s="22" t="n">
        <f aca="false">100*(BE8-BE7)</f>
        <v>0.324299253737603</v>
      </c>
      <c r="BF142" s="22" t="n">
        <f aca="false">100*(BF8-BF7)</f>
        <v>0.319226947594298</v>
      </c>
      <c r="BG142" s="22" t="n">
        <f aca="false">100*(BG8-BG7)</f>
        <v>0.316639018645493</v>
      </c>
      <c r="BH142" s="22" t="n">
        <f aca="false">AVERAGE(C142:BG142)</f>
        <v>0.422394763429182</v>
      </c>
    </row>
    <row r="143" customFormat="false" ht="15" hidden="false" customHeight="false" outlineLevel="0" collapsed="false">
      <c r="A143" s="20" t="n">
        <f aca="false">A9</f>
        <v>-116</v>
      </c>
      <c r="B143" s="21" t="n">
        <f aca="false">B9</f>
        <v>44665</v>
      </c>
      <c r="C143" s="22" t="n">
        <f aca="false">100*(C9-C8)</f>
        <v>5.02580530830341</v>
      </c>
      <c r="D143" s="22" t="n">
        <f aca="false">100*(D9-D8)</f>
        <v>4.95996390636759</v>
      </c>
      <c r="E143" s="22" t="n">
        <f aca="false">100*(E9-E8)</f>
        <v>4.99222595695619</v>
      </c>
      <c r="F143" s="22" t="n">
        <f aca="false">100*(F9-F8)</f>
        <v>5.09278504164381</v>
      </c>
      <c r="G143" s="22" t="n">
        <f aca="false">100*(G9-G8)</f>
        <v>5.23781236818239</v>
      </c>
      <c r="H143" s="22" t="n">
        <f aca="false">100*(H9-H8)</f>
        <v>5.4110517150874</v>
      </c>
      <c r="I143" s="22" t="n">
        <f aca="false">100*(I9-I8)</f>
        <v>5.6008737353723</v>
      </c>
      <c r="J143" s="22" t="n">
        <f aca="false">100*(J9-J8)</f>
        <v>5.7993199310088</v>
      </c>
      <c r="K143" s="22" t="n">
        <f aca="false">100*(K9-K8)</f>
        <v>6.00035134621439</v>
      </c>
      <c r="L143" s="22" t="n">
        <f aca="false">100*(L9-L8)</f>
        <v>6.19940818649472</v>
      </c>
      <c r="M143" s="22" t="n">
        <f aca="false">100*(M9-M8)</f>
        <v>6.39334144923869</v>
      </c>
      <c r="N143" s="22" t="n">
        <f aca="false">100*(N9-N8)</f>
        <v>6.58029015081829</v>
      </c>
      <c r="O143" s="22" t="n">
        <f aca="false">100*(O9-O8)</f>
        <v>6.7592661913322</v>
      </c>
      <c r="P143" s="22" t="n">
        <f aca="false">100*(P9-P8)</f>
        <v>6.9299279815171</v>
      </c>
      <c r="Q143" s="22" t="n">
        <f aca="false">100*(Q9-Q8)</f>
        <v>7.09240947907082</v>
      </c>
      <c r="R143" s="22" t="n">
        <f aca="false">100*(R9-R8)</f>
        <v>7.2468638777268</v>
      </c>
      <c r="S143" s="22" t="n">
        <f aca="false">100*(S9-S8)</f>
        <v>7.39360505464282</v>
      </c>
      <c r="T143" s="22" t="n">
        <f aca="false">100*(T9-T8)</f>
        <v>7.5327939838254</v>
      </c>
      <c r="U143" s="22" t="n">
        <f aca="false">100*(U9-U8)</f>
        <v>7.66456508749911</v>
      </c>
      <c r="V143" s="22" t="n">
        <f aca="false">100*(V9-V8)</f>
        <v>7.78897199594759</v>
      </c>
      <c r="W143" s="22" t="n">
        <f aca="false">100*(W9-W8)</f>
        <v>7.90591112467771</v>
      </c>
      <c r="X143" s="22" t="n">
        <f aca="false">100*(X9-X8)</f>
        <v>8.01515236842361</v>
      </c>
      <c r="Y143" s="22" t="n">
        <f aca="false">100*(Y9-Y8)</f>
        <v>8.11640539586049</v>
      </c>
      <c r="Z143" s="22" t="n">
        <f aca="false">100*(Z9-Z8)</f>
        <v>8.2094576048124</v>
      </c>
      <c r="AA143" s="22" t="n">
        <f aca="false">100*(AA9-AA8)</f>
        <v>8.29417548067699</v>
      </c>
      <c r="AB143" s="22" t="n">
        <f aca="false">100*(AB9-AB8)</f>
        <v>8.37047498063799</v>
      </c>
      <c r="AC143" s="22" t="n">
        <f aca="false">100*(AC9-AC8)</f>
        <v>8.43835826523049</v>
      </c>
      <c r="AD143" s="22" t="n">
        <f aca="false">100*(AD9-AD8)</f>
        <v>8.49798267457338</v>
      </c>
      <c r="AE143" s="22" t="n">
        <f aca="false">100*(AE9-AE8)</f>
        <v>8.54964407040972</v>
      </c>
      <c r="AF143" s="22" t="n">
        <f aca="false">100*(AF9-AF8)</f>
        <v>8.59375584798121</v>
      </c>
      <c r="AG143" s="22" t="n">
        <f aca="false">100*(AG9-AG8)</f>
        <v>8.63082435941491</v>
      </c>
      <c r="AH143" s="22" t="n">
        <f aca="false">100*(AH9-AH8)</f>
        <v>8.66141356982522</v>
      </c>
      <c r="AI143" s="22" t="n">
        <f aca="false">100*(AI9-AI8)</f>
        <v>8.68618648835162</v>
      </c>
      <c r="AJ143" s="22" t="n">
        <f aca="false">100*(AJ9-AJ8)</f>
        <v>8.70583504736371</v>
      </c>
      <c r="AK143" s="22" t="n">
        <f aca="false">100*(AK9-AK8)</f>
        <v>8.72105445794502</v>
      </c>
      <c r="AL143" s="22" t="n">
        <f aca="false">100*(AL9-AL8)</f>
        <v>8.73252382486163</v>
      </c>
      <c r="AM143" s="22" t="n">
        <f aca="false">100*(AM9-AM8)</f>
        <v>8.74087931730494</v>
      </c>
      <c r="AN143" s="22" t="n">
        <f aca="false">100*(AN9-AN8)</f>
        <v>8.74670524620758</v>
      </c>
      <c r="AO143" s="22" t="n">
        <f aca="false">100*(AO9-AO8)</f>
        <v>8.7505304555302</v>
      </c>
      <c r="AP143" s="22" t="n">
        <f aca="false">100*(AP9-AP8)</f>
        <v>8.75283832854819</v>
      </c>
      <c r="AQ143" s="22" t="n">
        <f aca="false">100*(AQ9-AQ8)</f>
        <v>8.75407996285689</v>
      </c>
      <c r="AR143" s="22" t="n">
        <f aca="false">100*(AR9-AR8)</f>
        <v>8.75468415567977</v>
      </c>
      <c r="AS143" s="22" t="n">
        <f aca="false">100*(AS9-AS8)</f>
        <v>8.75507658939601</v>
      </c>
      <c r="AT143" s="22" t="n">
        <f aca="false">100*(AT9-AT8)</f>
        <v>8.75568668854809</v>
      </c>
      <c r="AU143" s="22" t="n">
        <f aca="false">100*(AU9-AU8)</f>
        <v>8.75694811874941</v>
      </c>
      <c r="AV143" s="22" t="n">
        <f aca="false">100*(AV9-AV8)</f>
        <v>8.75929757747369</v>
      </c>
      <c r="AW143" s="22" t="n">
        <f aca="false">100*(AW9-AW8)</f>
        <v>8.7631674057576</v>
      </c>
      <c r="AX143" s="22" t="n">
        <f aca="false">100*(AX9-AX8)</f>
        <v>8.76897986142042</v>
      </c>
      <c r="AY143" s="22" t="n">
        <f aca="false">100*(AY9-AY8)</f>
        <v>8.7771358474362</v>
      </c>
      <c r="AZ143" s="22" t="n">
        <f aca="false">100*(AZ9-AZ8)</f>
        <v>8.78799153122283</v>
      </c>
      <c r="BA143" s="22" t="n">
        <f aca="false">100*(BA9-BA8)</f>
        <v>8.80185371048052</v>
      </c>
      <c r="BB143" s="22" t="n">
        <f aca="false">100*(BB9-BB8)</f>
        <v>8.81897865210881</v>
      </c>
      <c r="BC143" s="22" t="n">
        <f aca="false">100*(BC9-BC8)</f>
        <v>8.83955470093962</v>
      </c>
      <c r="BD143" s="22" t="n">
        <f aca="false">100*(BD9-BD8)</f>
        <v>8.8636951409337</v>
      </c>
      <c r="BE143" s="22" t="n">
        <f aca="false">100*(BE9-BE8)</f>
        <v>8.8914355625251</v>
      </c>
      <c r="BF143" s="22" t="n">
        <f aca="false">100*(BF9-BF8)</f>
        <v>8.92273330648421</v>
      </c>
      <c r="BG143" s="22" t="n">
        <f aca="false">100*(BG9-BG8)</f>
        <v>8.95746640228772</v>
      </c>
      <c r="BH143" s="22" t="n">
        <f aca="false">AVERAGE(C143:BG143)</f>
        <v>7.8166755591261</v>
      </c>
    </row>
    <row r="144" customFormat="false" ht="15" hidden="false" customHeight="false" outlineLevel="0" collapsed="false">
      <c r="A144" s="20" t="n">
        <f aca="false">A10</f>
        <v>-115</v>
      </c>
      <c r="B144" s="21" t="n">
        <f aca="false">B10</f>
        <v>44670</v>
      </c>
      <c r="C144" s="22" t="n">
        <f aca="false">100*(C10-C9)</f>
        <v>5.77511286140571</v>
      </c>
      <c r="D144" s="22" t="n">
        <f aca="false">100*(D10-D9)</f>
        <v>6.41478665351001</v>
      </c>
      <c r="E144" s="22" t="n">
        <f aca="false">100*(E10-E9)</f>
        <v>6.9542697335256</v>
      </c>
      <c r="F144" s="22" t="n">
        <f aca="false">100*(F10-F9)</f>
        <v>7.4225549471751</v>
      </c>
      <c r="G144" s="22" t="n">
        <f aca="false">100*(G10-G9)</f>
        <v>7.8388624191285</v>
      </c>
      <c r="H144" s="22" t="n">
        <f aca="false">100*(H10-H9)</f>
        <v>8.2151890949397</v>
      </c>
      <c r="I144" s="22" t="n">
        <f aca="false">100*(I10-I9)</f>
        <v>8.5585551209457</v>
      </c>
      <c r="J144" s="22" t="n">
        <f aca="false">100*(J10-J9)</f>
        <v>8.8727753159062</v>
      </c>
      <c r="K144" s="22" t="n">
        <f aca="false">100*(K10-K9)</f>
        <v>9.1598068282321</v>
      </c>
      <c r="L144" s="22" t="n">
        <f aca="false">100*(L10-L9)</f>
        <v>9.4205061007586</v>
      </c>
      <c r="M144" s="22" t="n">
        <f aca="false">100*(M10-M9)</f>
        <v>9.65525312354409</v>
      </c>
      <c r="N144" s="22" t="n">
        <f aca="false">100*(N10-N9)</f>
        <v>9.86435835463371</v>
      </c>
      <c r="O144" s="22" t="n">
        <f aca="false">100*(O10-O9)</f>
        <v>10.0483088940667</v>
      </c>
      <c r="P144" s="22" t="n">
        <f aca="false">100*(P10-P9)</f>
        <v>10.207860962526</v>
      </c>
      <c r="Q144" s="22" t="n">
        <f aca="false">100*(Q10-Q9)</f>
        <v>10.3440712151254</v>
      </c>
      <c r="R144" s="22" t="n">
        <f aca="false">100*(R10-R9)</f>
        <v>10.4583325943216</v>
      </c>
      <c r="S144" s="22" t="n">
        <f aca="false">100*(S10-S9)</f>
        <v>10.5523655504969</v>
      </c>
      <c r="T144" s="22" t="n">
        <f aca="false">100*(T10-T9)</f>
        <v>10.6281497816253</v>
      </c>
      <c r="U144" s="22" t="n">
        <f aca="false">100*(U10-U9)</f>
        <v>10.6879201048004</v>
      </c>
      <c r="V144" s="22" t="n">
        <f aca="false">100*(V10-V9)</f>
        <v>10.7338697200708</v>
      </c>
      <c r="W144" s="22" t="n">
        <f aca="false">100*(W10-W9)</f>
        <v>10.7680868530213</v>
      </c>
      <c r="X144" s="22" t="n">
        <f aca="false">100*(X10-X9)</f>
        <v>10.7925754838751</v>
      </c>
      <c r="Y144" s="22" t="n">
        <f aca="false">100*(Y10-Y9)</f>
        <v>10.8092478524722</v>
      </c>
      <c r="Z144" s="22" t="n">
        <f aca="false">100*(Z10-Z9)</f>
        <v>10.8197764042019</v>
      </c>
      <c r="AA144" s="22" t="n">
        <f aca="false">100*(AA10-AA9)</f>
        <v>10.8255178173907</v>
      </c>
      <c r="AB144" s="22" t="n">
        <f aca="false">100*(AB10-AB9)</f>
        <v>10.8275335864232</v>
      </c>
      <c r="AC144" s="22" t="n">
        <f aca="false">100*(AC10-AC9)</f>
        <v>10.8266272920918</v>
      </c>
      <c r="AD144" s="22" t="n">
        <f aca="false">100*(AD10-AD9)</f>
        <v>10.8233945733013</v>
      </c>
      <c r="AE144" s="22" t="n">
        <f aca="false">100*(AE10-AE9)</f>
        <v>10.8182566678959</v>
      </c>
      <c r="AF144" s="22" t="n">
        <f aca="false">100*(AF10-AF9)</f>
        <v>10.8114868370622</v>
      </c>
      <c r="AG144" s="22" t="n">
        <f aca="false">100*(AG10-AG9)</f>
        <v>10.80323096162</v>
      </c>
      <c r="AH144" s="22" t="n">
        <f aca="false">100*(AH10-AH9)</f>
        <v>10.7935290354145</v>
      </c>
      <c r="AI144" s="22" t="n">
        <f aca="false">100*(AI10-AI9)</f>
        <v>10.7823505390679</v>
      </c>
      <c r="AJ144" s="22" t="n">
        <f aca="false">100*(AJ10-AJ9)</f>
        <v>10.7696116386582</v>
      </c>
      <c r="AK144" s="22" t="n">
        <f aca="false">100*(AK10-AK9)</f>
        <v>10.7551908285546</v>
      </c>
      <c r="AL144" s="22" t="n">
        <f aca="false">100*(AL10-AL9)</f>
        <v>10.7389420968879</v>
      </c>
      <c r="AM144" s="22" t="n">
        <f aca="false">100*(AM10-AM9)</f>
        <v>10.720715733639</v>
      </c>
      <c r="AN144" s="22" t="n">
        <f aca="false">100*(AN10-AN9)</f>
        <v>10.7003810551576</v>
      </c>
      <c r="AO144" s="22" t="n">
        <f aca="false">100*(AO10-AO9)</f>
        <v>10.6778450223813</v>
      </c>
      <c r="AP144" s="22" t="n">
        <f aca="false">100*(AP10-AP9)</f>
        <v>10.6530656988976</v>
      </c>
      <c r="AQ144" s="22" t="n">
        <f aca="false">100*(AQ10-AQ9)</f>
        <v>10.6260759156775</v>
      </c>
      <c r="AR144" s="22" t="n">
        <f aca="false">100*(AR10-AR9)</f>
        <v>10.5969862993767</v>
      </c>
      <c r="AS144" s="22" t="n">
        <f aca="false">100*(AS10-AS9)</f>
        <v>10.5659948635874</v>
      </c>
      <c r="AT144" s="22" t="n">
        <f aca="false">100*(AT10-AT9)</f>
        <v>10.533382459863</v>
      </c>
      <c r="AU144" s="22" t="n">
        <f aca="false">100*(AU10-AU9)</f>
        <v>10.4994984905619</v>
      </c>
      <c r="AV144" s="22" t="n">
        <f aca="false">100*(AV10-AV9)</f>
        <v>10.4647476153936</v>
      </c>
      <c r="AW144" s="22" t="n">
        <f aca="false">100*(AW10-AW9)</f>
        <v>10.4295677950258</v>
      </c>
      <c r="AX144" s="22" t="n">
        <f aca="false">100*(AX10-AX9)</f>
        <v>10.3944151213766</v>
      </c>
      <c r="AY144" s="22" t="n">
        <f aca="false">100*(AY10-AY9)</f>
        <v>10.3597438541028</v>
      </c>
      <c r="AZ144" s="22" t="n">
        <f aca="false">100*(AZ10-AZ9)</f>
        <v>10.3259772239827</v>
      </c>
      <c r="BA144" s="22" t="n">
        <f aca="false">100*(BA10-BA9)</f>
        <v>10.2935005443194</v>
      </c>
      <c r="BB144" s="22" t="n">
        <f aca="false">100*(BB10-BB9)</f>
        <v>10.2626576118893</v>
      </c>
      <c r="BC144" s="22" t="n">
        <f aca="false">100*(BC10-BC9)</f>
        <v>10.2337306894477</v>
      </c>
      <c r="BD144" s="22" t="n">
        <f aca="false">100*(BD10-BD9)</f>
        <v>10.2069354629306</v>
      </c>
      <c r="BE144" s="22" t="n">
        <f aca="false">100*(BE10-BE9)</f>
        <v>10.1824234767006</v>
      </c>
      <c r="BF144" s="22" t="n">
        <f aca="false">100*(BF10-BF9)</f>
        <v>10.160287009189</v>
      </c>
      <c r="BG144" s="22" t="n">
        <f aca="false">100*(BG10-BG9)</f>
        <v>10.1405634687655</v>
      </c>
      <c r="BH144" s="22" t="n">
        <f aca="false">AVERAGE(C144:BG144)</f>
        <v>10.0632765483674</v>
      </c>
    </row>
    <row r="145" customFormat="false" ht="15" hidden="false" customHeight="false" outlineLevel="0" collapsed="false">
      <c r="A145" s="20" t="n">
        <f aca="false">A11</f>
        <v>-114</v>
      </c>
      <c r="B145" s="21" t="n">
        <f aca="false">B11</f>
        <v>44671</v>
      </c>
      <c r="C145" s="22" t="n">
        <f aca="false">100*(C11-C10)</f>
        <v>-2.34076848196731</v>
      </c>
      <c r="D145" s="22" t="n">
        <f aca="false">100*(D11-D10)</f>
        <v>-2.59696168955621</v>
      </c>
      <c r="E145" s="22" t="n">
        <f aca="false">100*(E11-E10)</f>
        <v>-2.89306484669369</v>
      </c>
      <c r="F145" s="22" t="n">
        <f aca="false">100*(F11-F10)</f>
        <v>-3.23218246899659</v>
      </c>
      <c r="G145" s="22" t="n">
        <f aca="false">100*(G11-G10)</f>
        <v>-3.60273464121681</v>
      </c>
      <c r="H145" s="22" t="n">
        <f aca="false">100*(H11-H10)</f>
        <v>-3.99058687688789</v>
      </c>
      <c r="I145" s="22" t="n">
        <f aca="false">100*(I11-I10)</f>
        <v>-4.3826821520101</v>
      </c>
      <c r="J145" s="22" t="n">
        <f aca="false">100*(J11-J10)</f>
        <v>-4.768197797827</v>
      </c>
      <c r="K145" s="22" t="n">
        <f aca="false">100*(K11-K10)</f>
        <v>-5.1386743148282</v>
      </c>
      <c r="L145" s="22" t="n">
        <f aca="false">100*(L11-L10)</f>
        <v>-5.48809976091891</v>
      </c>
      <c r="M145" s="22" t="n">
        <f aca="false">100*(M11-M10)</f>
        <v>-5.81260382358688</v>
      </c>
      <c r="N145" s="22" t="n">
        <f aca="false">100*(N11-N10)</f>
        <v>-6.11001297359421</v>
      </c>
      <c r="O145" s="22" t="n">
        <f aca="false">100*(O11-O10)</f>
        <v>-6.37943036778379</v>
      </c>
      <c r="P145" s="22" t="n">
        <f aca="false">100*(P11-P10)</f>
        <v>-6.62091557182971</v>
      </c>
      <c r="Q145" s="22" t="n">
        <f aca="false">100*(Q11-Q10)</f>
        <v>-6.83527941347359</v>
      </c>
      <c r="R145" s="22" t="n">
        <f aca="false">100*(R11-R10)</f>
        <v>-7.02388137651191</v>
      </c>
      <c r="S145" s="22" t="n">
        <f aca="false">100*(S11-S10)</f>
        <v>-7.1884531053769</v>
      </c>
      <c r="T145" s="22" t="n">
        <f aca="false">100*(T11-T10)</f>
        <v>-7.33092513240092</v>
      </c>
      <c r="U145" s="22" t="n">
        <f aca="false">100*(U11-U10)</f>
        <v>-7.45327678677443</v>
      </c>
      <c r="V145" s="22" t="n">
        <f aca="false">100*(V11-V10)</f>
        <v>-7.55735404245432</v>
      </c>
      <c r="W145" s="22" t="n">
        <f aca="false">100*(W11-W10)</f>
        <v>-7.644872380674</v>
      </c>
      <c r="X145" s="22" t="n">
        <f aca="false">100*(X11-X10)</f>
        <v>-7.7174428721563</v>
      </c>
      <c r="Y145" s="22" t="n">
        <f aca="false">100*(Y11-Y10)</f>
        <v>-7.77656793098283</v>
      </c>
      <c r="Z145" s="22" t="n">
        <f aca="false">100*(Z11-Z10)</f>
        <v>-7.82354580176392</v>
      </c>
      <c r="AA145" s="22" t="n">
        <f aca="false">100*(AA11-AA10)</f>
        <v>-7.85946316075159</v>
      </c>
      <c r="AB145" s="22" t="n">
        <f aca="false">100*(AB11-AB10)</f>
        <v>-7.88528960372132</v>
      </c>
      <c r="AC145" s="22" t="n">
        <f aca="false">100*(AC11-AC10)</f>
        <v>-7.9019712771184</v>
      </c>
      <c r="AD145" s="22" t="n">
        <f aca="false">100*(AD11-AD10)</f>
        <v>-7.91045857814638</v>
      </c>
      <c r="AE145" s="22" t="n">
        <f aca="false">100*(AE11-AE10)</f>
        <v>-7.91170584886833</v>
      </c>
      <c r="AF145" s="22" t="n">
        <f aca="false">100*(AF11-AF10)</f>
        <v>-7.90667077850102</v>
      </c>
      <c r="AG145" s="22" t="n">
        <f aca="false">100*(AG11-AG10)</f>
        <v>-7.89631764289949</v>
      </c>
      <c r="AH145" s="22" t="n">
        <f aca="false">100*(AH11-AH10)</f>
        <v>-7.88165751015262</v>
      </c>
      <c r="AI145" s="22" t="n">
        <f aca="false">100*(AI11-AI10)</f>
        <v>-7.8637401287466</v>
      </c>
      <c r="AJ145" s="22" t="n">
        <f aca="false">100*(AJ11-AJ10)</f>
        <v>-7.843589837112</v>
      </c>
      <c r="AK145" s="22" t="n">
        <f aca="false">100*(AK11-AK10)</f>
        <v>-7.8221788964258</v>
      </c>
      <c r="AL145" s="22" t="n">
        <f aca="false">100*(AL11-AL10)</f>
        <v>-7.80041466260037</v>
      </c>
      <c r="AM145" s="22" t="n">
        <f aca="false">100*(AM11-AM10)</f>
        <v>-7.77911260524573</v>
      </c>
      <c r="AN145" s="22" t="n">
        <f aca="false">100*(AN11-AN10)</f>
        <v>-7.75899540832601</v>
      </c>
      <c r="AO145" s="22" t="n">
        <f aca="false">100*(AO11-AO10)</f>
        <v>-7.74069823709032</v>
      </c>
      <c r="AP145" s="22" t="n">
        <f aca="false">100*(AP11-AP10)</f>
        <v>-7.72477014041963</v>
      </c>
      <c r="AQ145" s="22" t="n">
        <f aca="false">100*(AQ11-AQ10)</f>
        <v>-7.7116690712971</v>
      </c>
      <c r="AR145" s="22" t="n">
        <f aca="false">100*(AR11-AR10)</f>
        <v>-7.7017656948557</v>
      </c>
      <c r="AS145" s="22" t="n">
        <f aca="false">100*(AS11-AS10)</f>
        <v>-7.69534170850763</v>
      </c>
      <c r="AT145" s="22" t="n">
        <f aca="false">100*(AT11-AT10)</f>
        <v>-7.69259506284477</v>
      </c>
      <c r="AU145" s="22" t="n">
        <f aca="false">100*(AU11-AU10)</f>
        <v>-7.69364721799382</v>
      </c>
      <c r="AV145" s="22" t="n">
        <f aca="false">100*(AV11-AV10)</f>
        <v>-7.69855068647183</v>
      </c>
      <c r="AW145" s="22" t="n">
        <f aca="false">100*(AW11-AW10)</f>
        <v>-7.7072972571917</v>
      </c>
      <c r="AX145" s="22" t="n">
        <f aca="false">100*(AX11-AX10)</f>
        <v>-7.7198250822264</v>
      </c>
      <c r="AY145" s="22" t="n">
        <f aca="false">100*(AY11-AY10)</f>
        <v>-7.73602742055441</v>
      </c>
      <c r="AZ145" s="22" t="n">
        <f aca="false">100*(AZ11-AZ10)</f>
        <v>-7.75576507354869</v>
      </c>
      <c r="BA145" s="22" t="n">
        <f aca="false">100*(BA11-BA10)</f>
        <v>-7.7788720064718</v>
      </c>
      <c r="BB145" s="22" t="n">
        <f aca="false">100*(BB11-BB10)</f>
        <v>-7.8051594924851</v>
      </c>
      <c r="BC145" s="22" t="n">
        <f aca="false">100*(BC11-BC10)</f>
        <v>-7.83442371912217</v>
      </c>
      <c r="BD145" s="22" t="n">
        <f aca="false">100*(BD11-BD10)</f>
        <v>-7.86644860134631</v>
      </c>
      <c r="BE145" s="22" t="n">
        <f aca="false">100*(BE11-BE10)</f>
        <v>-7.90100574149339</v>
      </c>
      <c r="BF145" s="22" t="n">
        <f aca="false">100*(BF11-BF10)</f>
        <v>-7.937853124076</v>
      </c>
      <c r="BG145" s="22" t="n">
        <f aca="false">100*(BG11-BG10)</f>
        <v>-7.97673331813646</v>
      </c>
      <c r="BH145" s="22" t="n">
        <f aca="false">AVERAGE(C145:BG145)</f>
        <v>-6.93699174043887</v>
      </c>
    </row>
    <row r="146" customFormat="false" ht="15" hidden="false" customHeight="false" outlineLevel="0" collapsed="false">
      <c r="A146" s="20" t="n">
        <f aca="false">A12</f>
        <v>-113</v>
      </c>
      <c r="B146" s="21" t="n">
        <f aca="false">B12</f>
        <v>44672</v>
      </c>
      <c r="C146" s="22" t="n">
        <f aca="false">100*(C12-C11)</f>
        <v>14.199167286281</v>
      </c>
      <c r="D146" s="22" t="n">
        <f aca="false">100*(D12-D11)</f>
        <v>13.7660383034863</v>
      </c>
      <c r="E146" s="22" t="n">
        <f aca="false">100*(E12-E11)</f>
        <v>13.2760216838899</v>
      </c>
      <c r="F146" s="22" t="n">
        <f aca="false">100*(F12-F11)</f>
        <v>12.7754440942566</v>
      </c>
      <c r="G146" s="22" t="n">
        <f aca="false">100*(G12-G11)</f>
        <v>12.2745700896225</v>
      </c>
      <c r="H146" s="22" t="n">
        <f aca="false">100*(H12-H11)</f>
        <v>11.7737388808218</v>
      </c>
      <c r="I146" s="22" t="n">
        <f aca="false">100*(I12-I11)</f>
        <v>11.271827508274</v>
      </c>
      <c r="J146" s="22" t="n">
        <f aca="false">100*(J12-J11)</f>
        <v>10.76828589957</v>
      </c>
      <c r="K146" s="22" t="n">
        <f aca="false">100*(K12-K11)</f>
        <v>10.263544626741</v>
      </c>
      <c r="L146" s="22" t="n">
        <f aca="false">100*(L12-L11)</f>
        <v>9.75871625781701</v>
      </c>
      <c r="M146" s="22" t="n">
        <f aca="false">100*(M12-M11)</f>
        <v>9.25528230671409</v>
      </c>
      <c r="N146" s="22" t="n">
        <f aca="false">100*(N12-N11)</f>
        <v>8.75494242194701</v>
      </c>
      <c r="O146" s="22" t="n">
        <f aca="false">100*(O12-O11)</f>
        <v>8.2596476012756</v>
      </c>
      <c r="P146" s="22" t="n">
        <f aca="false">100*(P12-P11)</f>
        <v>7.77150738839871</v>
      </c>
      <c r="Q146" s="22" t="n">
        <f aca="false">100*(Q12-Q11)</f>
        <v>7.29268927468818</v>
      </c>
      <c r="R146" s="22" t="n">
        <f aca="false">100*(R12-R11)</f>
        <v>6.82532878880091</v>
      </c>
      <c r="S146" s="22" t="n">
        <f aca="false">100*(S12-S11)</f>
        <v>6.37143733551979</v>
      </c>
      <c r="T146" s="22" t="n">
        <f aca="false">100*(T12-T11)</f>
        <v>5.9329061592702</v>
      </c>
      <c r="U146" s="22" t="n">
        <f aca="false">100*(U12-U11)</f>
        <v>5.51148455436981</v>
      </c>
      <c r="V146" s="22" t="n">
        <f aca="false">100*(V12-V11)</f>
        <v>5.10878698371369</v>
      </c>
      <c r="W146" s="22" t="n">
        <f aca="false">100*(W12-W11)</f>
        <v>4.7263109696265</v>
      </c>
      <c r="X146" s="22" t="n">
        <f aca="false">100*(X12-X11)</f>
        <v>4.3654603929657</v>
      </c>
      <c r="Y146" s="22" t="n">
        <f aca="false">100*(Y12-Y11)</f>
        <v>4.02755515821069</v>
      </c>
      <c r="Z146" s="22" t="n">
        <f aca="false">100*(Z12-Z11)</f>
        <v>3.71377328579041</v>
      </c>
      <c r="AA146" s="22" t="n">
        <f aca="false">100*(AA12-AA11)</f>
        <v>3.42508781838671</v>
      </c>
      <c r="AB146" s="22" t="n">
        <f aca="false">100*(AB12-AB11)</f>
        <v>3.1621551699323</v>
      </c>
      <c r="AC146" s="22" t="n">
        <f aca="false">100*(AC12-AC11)</f>
        <v>2.92517119282172</v>
      </c>
      <c r="AD146" s="22" t="n">
        <f aca="false">100*(AD12-AD11)</f>
        <v>2.7138641633754</v>
      </c>
      <c r="AE146" s="22" t="n">
        <f aca="false">100*(AE12-AE11)</f>
        <v>2.52756510659422</v>
      </c>
      <c r="AF146" s="22" t="n">
        <f aca="false">100*(AF12-AF11)</f>
        <v>2.36526798575412</v>
      </c>
      <c r="AG146" s="22" t="n">
        <f aca="false">100*(AG12-AG11)</f>
        <v>2.22567458643947</v>
      </c>
      <c r="AH146" s="22" t="n">
        <f aca="false">100*(AH12-AH11)</f>
        <v>2.10718204045692</v>
      </c>
      <c r="AI146" s="22" t="n">
        <f aca="false">100*(AI12-AI11)</f>
        <v>2.0079269256045</v>
      </c>
      <c r="AJ146" s="22" t="n">
        <f aca="false">100*(AJ12-AJ11)</f>
        <v>1.92590133127379</v>
      </c>
      <c r="AK146" s="22" t="n">
        <f aca="false">100*(AK12-AK11)</f>
        <v>1.85901146274108</v>
      </c>
      <c r="AL146" s="22" t="n">
        <f aca="false">100*(AL12-AL11)</f>
        <v>1.8051322174709</v>
      </c>
      <c r="AM146" s="22" t="n">
        <f aca="false">100*(AM12-AM11)</f>
        <v>1.76219069601271</v>
      </c>
      <c r="AN146" s="22" t="n">
        <f aca="false">100*(AN12-AN11)</f>
        <v>1.72820794014079</v>
      </c>
      <c r="AO146" s="22" t="n">
        <f aca="false">100*(AO12-AO11)</f>
        <v>1.70132299003378</v>
      </c>
      <c r="AP146" s="22" t="n">
        <f aca="false">100*(AP12-AP11)</f>
        <v>1.67979613604921</v>
      </c>
      <c r="AQ146" s="22" t="n">
        <f aca="false">100*(AQ12-AQ11)</f>
        <v>1.66201945114612</v>
      </c>
      <c r="AR146" s="22" t="n">
        <f aca="false">100*(AR12-AR11)</f>
        <v>1.64651340379591</v>
      </c>
      <c r="AS146" s="22" t="n">
        <f aca="false">100*(AS12-AS11)</f>
        <v>1.63193405851683</v>
      </c>
      <c r="AT146" s="22" t="n">
        <f aca="false">100*(AT12-AT11)</f>
        <v>1.61707422714619</v>
      </c>
      <c r="AU146" s="22" t="n">
        <f aca="false">100*(AU12-AU11)</f>
        <v>1.60087697632241</v>
      </c>
      <c r="AV146" s="22" t="n">
        <f aca="false">100*(AV12-AV11)</f>
        <v>1.5824359771921</v>
      </c>
      <c r="AW146" s="22" t="n">
        <f aca="false">100*(AW12-AW11)</f>
        <v>1.56100151015868</v>
      </c>
      <c r="AX146" s="22" t="n">
        <f aca="false">100*(AX12-AX11)</f>
        <v>1.53597762495128</v>
      </c>
      <c r="AY146" s="22" t="n">
        <f aca="false">100*(AY12-AY11)</f>
        <v>1.50691686755651</v>
      </c>
      <c r="AZ146" s="22" t="n">
        <f aca="false">100*(AZ12-AZ11)</f>
        <v>1.4735128493069</v>
      </c>
      <c r="BA146" s="22" t="n">
        <f aca="false">100*(BA12-BA11)</f>
        <v>1.4355892049545</v>
      </c>
      <c r="BB146" s="22" t="n">
        <f aca="false">100*(BB12-BB11)</f>
        <v>1.39308767779962</v>
      </c>
      <c r="BC146" s="22" t="n">
        <f aca="false">100*(BC12-BC11)</f>
        <v>1.34605720075958</v>
      </c>
      <c r="BD146" s="22" t="n">
        <f aca="false">100*(BD12-BD11)</f>
        <v>1.2946445601457</v>
      </c>
      <c r="BE146" s="22" t="n">
        <f aca="false">100*(BE12-BE11)</f>
        <v>1.23908622965088</v>
      </c>
      <c r="BF146" s="22" t="n">
        <f aca="false">100*(BF12-BF11)</f>
        <v>1.17970113838752</v>
      </c>
      <c r="BG146" s="22" t="n">
        <f aca="false">100*(BG12-BG11)</f>
        <v>1.11688321901866</v>
      </c>
      <c r="BH146" s="22" t="n">
        <f aca="false">AVERAGE(C146:BG146)</f>
        <v>4.71560065249032</v>
      </c>
    </row>
    <row r="147" customFormat="false" ht="15" hidden="false" customHeight="false" outlineLevel="0" collapsed="false">
      <c r="A147" s="20" t="n">
        <f aca="false">A13</f>
        <v>-112</v>
      </c>
      <c r="B147" s="21" t="n">
        <f aca="false">B13</f>
        <v>44673</v>
      </c>
      <c r="C147" s="22" t="n">
        <f aca="false">100*(C13-C12)</f>
        <v>-1.32487232809491</v>
      </c>
      <c r="D147" s="22" t="n">
        <f aca="false">100*(D13-D12)</f>
        <v>-1.4527516081748</v>
      </c>
      <c r="E147" s="22" t="n">
        <f aca="false">100*(E13-E12)</f>
        <v>-1.49948720880522</v>
      </c>
      <c r="F147" s="22" t="n">
        <f aca="false">100*(F13-F12)</f>
        <v>-1.5146690328641</v>
      </c>
      <c r="G147" s="22" t="n">
        <f aca="false">100*(G13-G12)</f>
        <v>-1.52286226061489</v>
      </c>
      <c r="H147" s="22" t="n">
        <f aca="false">100*(H13-H12)</f>
        <v>-1.5367246390966</v>
      </c>
      <c r="I147" s="22" t="n">
        <f aca="false">100*(I13-I12)</f>
        <v>-1.56280795403501</v>
      </c>
      <c r="J147" s="22" t="n">
        <f aca="false">100*(J13-J12)</f>
        <v>-1.60495470181909</v>
      </c>
      <c r="K147" s="22" t="n">
        <f aca="false">100*(K13-K12)</f>
        <v>-1.66512527109839</v>
      </c>
      <c r="L147" s="22" t="n">
        <f aca="false">100*(L13-L12)</f>
        <v>-1.74411981234011</v>
      </c>
      <c r="M147" s="22" t="n">
        <f aca="false">100*(M13-M12)</f>
        <v>-1.8418982554528</v>
      </c>
      <c r="N147" s="22" t="n">
        <f aca="false">100*(N13-N12)</f>
        <v>-1.9577712729888</v>
      </c>
      <c r="O147" s="22" t="n">
        <f aca="false">100*(O13-O12)</f>
        <v>-2.0904184381197</v>
      </c>
      <c r="P147" s="22" t="n">
        <f aca="false">100*(P13-P12)</f>
        <v>-2.23809401711781</v>
      </c>
      <c r="Q147" s="22" t="n">
        <f aca="false">100*(Q13-Q12)</f>
        <v>-2.39875964438869</v>
      </c>
      <c r="R147" s="22" t="n">
        <f aca="false">100*(R13-R12)</f>
        <v>-2.5700724345044</v>
      </c>
      <c r="S147" s="22" t="n">
        <f aca="false">100*(S13-S12)</f>
        <v>-2.74948115538549</v>
      </c>
      <c r="T147" s="22" t="n">
        <f aca="false">100*(T13-T12)</f>
        <v>-2.934282062514</v>
      </c>
      <c r="U147" s="22" t="n">
        <f aca="false">100*(U13-U12)</f>
        <v>-3.1217150553974</v>
      </c>
      <c r="V147" s="22" t="n">
        <f aca="false">100*(V13-V12)</f>
        <v>-3.30918044000117</v>
      </c>
      <c r="W147" s="22" t="n">
        <f aca="false">100*(W13-W12)</f>
        <v>-3.49427135497402</v>
      </c>
      <c r="X147" s="22" t="n">
        <f aca="false">100*(X13-X12)</f>
        <v>-3.6747354862356</v>
      </c>
      <c r="Y147" s="22" t="n">
        <f aca="false">100*(Y13-Y12)</f>
        <v>-3.84846408398558</v>
      </c>
      <c r="Z147" s="22" t="n">
        <f aca="false">100*(Z13-Z12)</f>
        <v>-4.01364026501652</v>
      </c>
      <c r="AA147" s="22" t="n">
        <f aca="false">100*(AA13-AA12)</f>
        <v>-4.16882450458491</v>
      </c>
      <c r="AB147" s="22" t="n">
        <f aca="false">100*(AB13-AB12)</f>
        <v>-4.31293842999527</v>
      </c>
      <c r="AC147" s="22" t="n">
        <f aca="false">100*(AC13-AC12)</f>
        <v>-4.44531129939341</v>
      </c>
      <c r="AD147" s="22" t="n">
        <f aca="false">100*(AD13-AD12)</f>
        <v>-4.56564045887591</v>
      </c>
      <c r="AE147" s="22" t="n">
        <f aca="false">100*(AE13-AE12)</f>
        <v>-4.67393272239209</v>
      </c>
      <c r="AF147" s="22" t="n">
        <f aca="false">100*(AF13-AF12)</f>
        <v>-4.7704574826748</v>
      </c>
      <c r="AG147" s="22" t="n">
        <f aca="false">100*(AG13-AG12)</f>
        <v>-4.85571554417419</v>
      </c>
      <c r="AH147" s="22" t="n">
        <f aca="false">100*(AH13-AH12)</f>
        <v>-4.93045307684974</v>
      </c>
      <c r="AI147" s="22" t="n">
        <f aca="false">100*(AI13-AI12)</f>
        <v>-4.9956011823749</v>
      </c>
      <c r="AJ147" s="22" t="n">
        <f aca="false">100*(AJ13-AJ12)</f>
        <v>-5.0522092981951</v>
      </c>
      <c r="AK147" s="22" t="n">
        <f aca="false">100*(AK13-AK12)</f>
        <v>-5.10140443967</v>
      </c>
      <c r="AL147" s="22" t="n">
        <f aca="false">100*(AL13-AL12)</f>
        <v>-5.14435365174633</v>
      </c>
      <c r="AM147" s="22" t="n">
        <f aca="false">100*(AM13-AM12)</f>
        <v>-5.18221045296818</v>
      </c>
      <c r="AN147" s="22" t="n">
        <f aca="false">100*(AN13-AN12)</f>
        <v>-5.21608958397719</v>
      </c>
      <c r="AO147" s="22" t="n">
        <f aca="false">100*(AO13-AO12)</f>
        <v>-5.24705367252949</v>
      </c>
      <c r="AP147" s="22" t="n">
        <f aca="false">100*(AP13-AP12)</f>
        <v>-5.27610264606149</v>
      </c>
      <c r="AQ147" s="22" t="n">
        <f aca="false">100*(AQ13-AQ12)</f>
        <v>-5.30415683210213</v>
      </c>
      <c r="AR147" s="22" t="n">
        <f aca="false">100*(AR13-AR12)</f>
        <v>-5.33205308762041</v>
      </c>
      <c r="AS147" s="22" t="n">
        <f aca="false">100*(AS13-AS12)</f>
        <v>-5.36052846836812</v>
      </c>
      <c r="AT147" s="22" t="n">
        <f aca="false">100*(AT13-AT12)</f>
        <v>-5.39021665720649</v>
      </c>
      <c r="AU147" s="22" t="n">
        <f aca="false">100*(AU13-AU12)</f>
        <v>-5.42163923953241</v>
      </c>
      <c r="AV147" s="22" t="n">
        <f aca="false">100*(AV13-AV12)</f>
        <v>-5.45520868630058</v>
      </c>
      <c r="AW147" s="22" t="n">
        <f aca="false">100*(AW13-AW12)</f>
        <v>-5.49123355987771</v>
      </c>
      <c r="AX147" s="22" t="n">
        <f aca="false">100*(AX13-AX12)</f>
        <v>-5.52992738655038</v>
      </c>
      <c r="AY147" s="22" t="n">
        <f aca="false">100*(AY13-AY12)</f>
        <v>-5.57142078951141</v>
      </c>
      <c r="AZ147" s="22" t="n">
        <f aca="false">100*(AZ13-AZ12)</f>
        <v>-5.6157745415808</v>
      </c>
      <c r="BA147" s="22" t="n">
        <f aca="false">100*(BA13-BA12)</f>
        <v>-5.66298701553079</v>
      </c>
      <c r="BB147" s="22" t="n">
        <f aca="false">100*(BB13-BB12)</f>
        <v>-5.71300030885831</v>
      </c>
      <c r="BC147" s="22" t="n">
        <f aca="false">100*(BC13-BC12)</f>
        <v>-5.76570644419081</v>
      </c>
      <c r="BD147" s="22" t="n">
        <f aca="false">100*(BD13-BD12)</f>
        <v>-5.82094983149348</v>
      </c>
      <c r="BE147" s="22" t="n">
        <f aca="false">100*(BE13-BE12)</f>
        <v>-5.87852730161278</v>
      </c>
      <c r="BF147" s="22" t="n">
        <f aca="false">100*(BF13-BF12)</f>
        <v>-5.93818872605001</v>
      </c>
      <c r="BG147" s="22" t="n">
        <f aca="false">100*(BG13-BG12)</f>
        <v>-5.99963713103857</v>
      </c>
      <c r="BH147" s="22" t="n">
        <f aca="false">AVERAGE(C147:BG147)</f>
        <v>-4.01509847784058</v>
      </c>
    </row>
    <row r="148" customFormat="false" ht="15" hidden="false" customHeight="false" outlineLevel="0" collapsed="false">
      <c r="A148" s="20" t="n">
        <f aca="false">A14</f>
        <v>-111</v>
      </c>
      <c r="B148" s="21" t="n">
        <f aca="false">B14</f>
        <v>44676</v>
      </c>
      <c r="C148" s="22" t="n">
        <f aca="false">100*(C14-C13)</f>
        <v>-14.7799896366679</v>
      </c>
      <c r="D148" s="22" t="n">
        <f aca="false">100*(D14-D13)</f>
        <v>-14.6056020338199</v>
      </c>
      <c r="E148" s="22" t="n">
        <f aca="false">100*(E14-E13)</f>
        <v>-14.2697692843473</v>
      </c>
      <c r="F148" s="22" t="n">
        <f aca="false">100*(F14-F13)</f>
        <v>-13.8884571285263</v>
      </c>
      <c r="G148" s="22" t="n">
        <f aca="false">100*(G14-G13)</f>
        <v>-13.5100157871034</v>
      </c>
      <c r="H148" s="22" t="n">
        <f aca="false">100*(H14-H13)</f>
        <v>-13.1555190936991</v>
      </c>
      <c r="I148" s="22" t="n">
        <f aca="false">100*(I14-I13)</f>
        <v>-12.8334849075991</v>
      </c>
      <c r="J148" s="22" t="n">
        <f aca="false">100*(J14-J13)</f>
        <v>-12.5459939028574</v>
      </c>
      <c r="K148" s="22" t="n">
        <f aca="false">100*(K14-K13)</f>
        <v>-12.2912313287832</v>
      </c>
      <c r="L148" s="22" t="n">
        <f aca="false">100*(L14-L13)</f>
        <v>-12.0648653584279</v>
      </c>
      <c r="M148" s="22" t="n">
        <f aca="false">100*(M14-M13)</f>
        <v>-11.8610516882279</v>
      </c>
      <c r="N148" s="22" t="n">
        <f aca="false">100*(N14-N13)</f>
        <v>-11.6732554059743</v>
      </c>
      <c r="O148" s="22" t="n">
        <f aca="false">100*(O14-O13)</f>
        <v>-11.4950808932303</v>
      </c>
      <c r="P148" s="22" t="n">
        <f aca="false">100*(P14-P13)</f>
        <v>-11.3210013270772</v>
      </c>
      <c r="Q148" s="22" t="n">
        <f aca="false">100*(Q14-Q13)</f>
        <v>-11.1466641113661</v>
      </c>
      <c r="R148" s="22" t="n">
        <f aca="false">100*(R14-R13)</f>
        <v>-10.96897881305</v>
      </c>
      <c r="S148" s="22" t="n">
        <f aca="false">100*(S14-S13)</f>
        <v>-10.7861476356733</v>
      </c>
      <c r="T148" s="22" t="n">
        <f aca="false">100*(T14-T13)</f>
        <v>-10.5975595598154</v>
      </c>
      <c r="U148" s="22" t="n">
        <f aca="false">100*(U14-U13)</f>
        <v>-10.4036435638575</v>
      </c>
      <c r="V148" s="22" t="n">
        <f aca="false">100*(V14-V13)</f>
        <v>-10.2054890367247</v>
      </c>
      <c r="W148" s="22" t="n">
        <f aca="false">100*(W14-W13)</f>
        <v>-10.0046773271302</v>
      </c>
      <c r="X148" s="22" t="n">
        <f aca="false">100*(X14-X13)</f>
        <v>-9.8031832714288</v>
      </c>
      <c r="Y148" s="22" t="n">
        <f aca="false">100*(Y14-Y13)</f>
        <v>-9.6032597473952</v>
      </c>
      <c r="Z148" s="22" t="n">
        <f aca="false">100*(Z14-Z13)</f>
        <v>-9.40719477348089</v>
      </c>
      <c r="AA148" s="22" t="n">
        <f aca="false">100*(AA14-AA13)</f>
        <v>-9.217185726454</v>
      </c>
      <c r="AB148" s="22" t="n">
        <f aca="false">100*(AB14-AB13)</f>
        <v>-9.03524947774241</v>
      </c>
      <c r="AC148" s="22" t="n">
        <f aca="false">100*(AC14-AC13)</f>
        <v>-8.8630513837384</v>
      </c>
      <c r="AD148" s="22" t="n">
        <f aca="false">100*(AD14-AD13)</f>
        <v>-8.70185278391351</v>
      </c>
      <c r="AE148" s="22" t="n">
        <f aca="false">100*(AE14-AE13)</f>
        <v>-8.5525691663384</v>
      </c>
      <c r="AF148" s="22" t="n">
        <f aca="false">100*(AF14-AF13)</f>
        <v>-8.41582256941091</v>
      </c>
      <c r="AG148" s="22" t="n">
        <f aca="false">100*(AG14-AG13)</f>
        <v>-8.29198158936348</v>
      </c>
      <c r="AH148" s="22" t="n">
        <f aca="false">100*(AH14-AH13)</f>
        <v>-8.18112215196747</v>
      </c>
      <c r="AI148" s="22" t="n">
        <f aca="false">100*(AI14-AI13)</f>
        <v>-8.0830166807484</v>
      </c>
      <c r="AJ148" s="22" t="n">
        <f aca="false">100*(AJ14-AJ13)</f>
        <v>-7.9972260417533</v>
      </c>
      <c r="AK148" s="22" t="n">
        <f aca="false">100*(AK14-AK13)</f>
        <v>-7.92314033236607</v>
      </c>
      <c r="AL148" s="22" t="n">
        <f aca="false">100*(AL14-AL13)</f>
        <v>-7.86002028114639</v>
      </c>
      <c r="AM148" s="22" t="n">
        <f aca="false">100*(AM14-AM13)</f>
        <v>-7.80704777809711</v>
      </c>
      <c r="AN148" s="22" t="n">
        <f aca="false">100*(AN14-AN13)</f>
        <v>-7.76335510637449</v>
      </c>
      <c r="AO148" s="22" t="n">
        <f aca="false">100*(AO14-AO13)</f>
        <v>-7.72804524652448</v>
      </c>
      <c r="AP148" s="22" t="n">
        <f aca="false">100*(AP14-AP13)</f>
        <v>-7.7002066271858</v>
      </c>
      <c r="AQ148" s="22" t="n">
        <f aca="false">100*(AQ14-AQ13)</f>
        <v>-7.67893359876268</v>
      </c>
      <c r="AR148" s="22" t="n">
        <f aca="false">100*(AR14-AR13)</f>
        <v>-7.6633363693067</v>
      </c>
      <c r="AS148" s="22" t="n">
        <f aca="false">100*(AS14-AS13)</f>
        <v>-7.6525614000829</v>
      </c>
      <c r="AT148" s="22" t="n">
        <f aca="false">100*(AT14-AT13)</f>
        <v>-7.64580067462499</v>
      </c>
      <c r="AU148" s="22" t="n">
        <f aca="false">100*(AU14-AU13)</f>
        <v>-7.64230465894569</v>
      </c>
      <c r="AV148" s="22" t="n">
        <f aca="false">100*(AV14-AV13)</f>
        <v>-7.64138553127252</v>
      </c>
      <c r="AW148" s="22" t="n">
        <f aca="false">100*(AW14-AW13)</f>
        <v>-7.6424222237423</v>
      </c>
      <c r="AX148" s="22" t="n">
        <f aca="false">100*(AX14-AX13)</f>
        <v>-7.6448592207627</v>
      </c>
      <c r="AY148" s="22" t="n">
        <f aca="false">100*(AY14-AY13)</f>
        <v>-7.64820497411531</v>
      </c>
      <c r="AZ148" s="22" t="n">
        <f aca="false">100*(AZ14-AZ13)</f>
        <v>-7.6520344203221</v>
      </c>
      <c r="BA148" s="22" t="n">
        <f aca="false">100*(BA14-BA13)</f>
        <v>-7.65598531617522</v>
      </c>
      <c r="BB148" s="22" t="n">
        <f aca="false">100*(BB14-BB13)</f>
        <v>-7.65975402606471</v>
      </c>
      <c r="BC148" s="22" t="n">
        <f aca="false">100*(BC14-BC13)</f>
        <v>-7.66309484161749</v>
      </c>
      <c r="BD148" s="22" t="n">
        <f aca="false">100*(BD14-BD13)</f>
        <v>-7.66581694013742</v>
      </c>
      <c r="BE148" s="22" t="n">
        <f aca="false">100*(BE14-BE13)</f>
        <v>-7.6677807973458</v>
      </c>
      <c r="BF148" s="22" t="n">
        <f aca="false">100*(BF14-BF13)</f>
        <v>-7.66889485552771</v>
      </c>
      <c r="BG148" s="22" t="n">
        <f aca="false">100*(BG14-BG13)</f>
        <v>-7.66911132539931</v>
      </c>
      <c r="BH148" s="22" t="n">
        <f aca="false">AVERAGE(C148:BG148)</f>
        <v>-9.57026824094024</v>
      </c>
    </row>
    <row r="149" customFormat="false" ht="15" hidden="false" customHeight="false" outlineLevel="0" collapsed="false">
      <c r="A149" s="20" t="n">
        <f aca="false">A15</f>
        <v>-110</v>
      </c>
      <c r="B149" s="21" t="n">
        <f aca="false">B15</f>
        <v>44677</v>
      </c>
      <c r="C149" s="22" t="n">
        <f aca="false">100*(C15-C14)</f>
        <v>-6.0094640665411</v>
      </c>
      <c r="D149" s="22" t="n">
        <f aca="false">100*(D15-D14)</f>
        <v>-6.17722482159711</v>
      </c>
      <c r="E149" s="22" t="n">
        <f aca="false">100*(E15-E14)</f>
        <v>-6.16377751654029</v>
      </c>
      <c r="F149" s="22" t="n">
        <f aca="false">100*(F15-F14)</f>
        <v>-6.07139607154141</v>
      </c>
      <c r="G149" s="22" t="n">
        <f aca="false">100*(G15-G14)</f>
        <v>-5.94687539851999</v>
      </c>
      <c r="H149" s="22" t="n">
        <f aca="false">100*(H15-H14)</f>
        <v>-5.81381975815241</v>
      </c>
      <c r="I149" s="22" t="n">
        <f aca="false">100*(I15-I14)</f>
        <v>-5.684603506665</v>
      </c>
      <c r="J149" s="22" t="n">
        <f aca="false">100*(J15-J14)</f>
        <v>-5.5655943978989</v>
      </c>
      <c r="K149" s="22" t="n">
        <f aca="false">100*(K15-K14)</f>
        <v>-5.4594695432062</v>
      </c>
      <c r="L149" s="22" t="n">
        <f aca="false">100*(L15-L14)</f>
        <v>-5.36654503170919</v>
      </c>
      <c r="M149" s="22" t="n">
        <f aca="false">100*(M15-M14)</f>
        <v>-5.28576915221171</v>
      </c>
      <c r="N149" s="22" t="n">
        <f aca="false">100*(N15-N14)</f>
        <v>-5.21542168013731</v>
      </c>
      <c r="O149" s="22" t="n">
        <f aca="false">100*(O15-O14)</f>
        <v>-5.1536379533502</v>
      </c>
      <c r="P149" s="22" t="n">
        <f aca="false">100*(P15-P14)</f>
        <v>-5.0987285782887</v>
      </c>
      <c r="Q149" s="22" t="n">
        <f aca="false">100*(Q15-Q14)</f>
        <v>-5.04930062572671</v>
      </c>
      <c r="R149" s="22" t="n">
        <f aca="false">100*(R15-R14)</f>
        <v>-5.0042631542522</v>
      </c>
      <c r="S149" s="22" t="n">
        <f aca="false">100*(S15-S14)</f>
        <v>-4.9628170679396</v>
      </c>
      <c r="T149" s="22" t="n">
        <f aca="false">100*(T15-T14)</f>
        <v>-4.92439150350721</v>
      </c>
      <c r="U149" s="22" t="n">
        <f aca="false">100*(U15-U14)</f>
        <v>-4.88858931127909</v>
      </c>
      <c r="V149" s="22" t="n">
        <f aca="false">100*(V15-V14)</f>
        <v>-4.8551321407956</v>
      </c>
      <c r="W149" s="22" t="n">
        <f aca="false">100*(W15-W14)</f>
        <v>-4.82384061536261</v>
      </c>
      <c r="X149" s="22" t="n">
        <f aca="false">100*(X15-X14)</f>
        <v>-4.79461456087611</v>
      </c>
      <c r="Y149" s="22" t="n">
        <f aca="false">100*(Y15-Y14)</f>
        <v>-4.7674116983875</v>
      </c>
      <c r="Z149" s="22" t="n">
        <f aca="false">100*(Z15-Z14)</f>
        <v>-4.7422294345346</v>
      </c>
      <c r="AA149" s="22" t="n">
        <f aca="false">100*(AA15-AA14)</f>
        <v>-4.71909983448791</v>
      </c>
      <c r="AB149" s="22" t="n">
        <f aca="false">100*(AB15-AB14)</f>
        <v>-4.6980699075851</v>
      </c>
      <c r="AC149" s="22" t="n">
        <f aca="false">100*(AC15-AC14)</f>
        <v>-4.67918090109911</v>
      </c>
      <c r="AD149" s="22" t="n">
        <f aca="false">100*(AD15-AD14)</f>
        <v>-4.662452250989</v>
      </c>
      <c r="AE149" s="22" t="n">
        <f aca="false">100*(AE15-AE14)</f>
        <v>-4.64788371995131</v>
      </c>
      <c r="AF149" s="22" t="n">
        <f aca="false">100*(AF15-AF14)</f>
        <v>-4.6354583782168</v>
      </c>
      <c r="AG149" s="22" t="n">
        <f aca="false">100*(AG15-AG14)</f>
        <v>-4.62514670660832</v>
      </c>
      <c r="AH149" s="22" t="n">
        <f aca="false">100*(AH15-AH14)</f>
        <v>-4.61690984215561</v>
      </c>
      <c r="AI149" s="22" t="n">
        <f aca="false">100*(AI15-AI14)</f>
        <v>-4.61068813444832</v>
      </c>
      <c r="AJ149" s="22" t="n">
        <f aca="false">100*(AJ15-AJ14)</f>
        <v>-4.60641418215699</v>
      </c>
      <c r="AK149" s="22" t="n">
        <f aca="false">100*(AK15-AK14)</f>
        <v>-4.6040174687092</v>
      </c>
      <c r="AL149" s="22" t="n">
        <f aca="false">100*(AL15-AL14)</f>
        <v>-4.60342834621841</v>
      </c>
      <c r="AM149" s="22" t="n">
        <f aca="false">100*(AM15-AM14)</f>
        <v>-4.60458348541089</v>
      </c>
      <c r="AN149" s="22" t="n">
        <f aca="false">100*(AN15-AN14)</f>
        <v>-4.60742347041352</v>
      </c>
      <c r="AO149" s="22" t="n">
        <f aca="false">100*(AO15-AO14)</f>
        <v>-4.61188994259651</v>
      </c>
      <c r="AP149" s="22" t="n">
        <f aca="false">100*(AP15-AP14)</f>
        <v>-4.61792202133191</v>
      </c>
      <c r="AQ149" s="22" t="n">
        <f aca="false">100*(AQ15-AQ14)</f>
        <v>-4.6254519258438</v>
      </c>
      <c r="AR149" s="22" t="n">
        <f aca="false">100*(AR15-AR14)</f>
        <v>-4.63440445195731</v>
      </c>
      <c r="AS149" s="22" t="n">
        <f aca="false">100*(AS15-AS14)</f>
        <v>-4.64469655194948</v>
      </c>
      <c r="AT149" s="22" t="n">
        <f aca="false">100*(AT15-AT14)</f>
        <v>-4.65623898046321</v>
      </c>
      <c r="AU149" s="22" t="n">
        <f aca="false">100*(AU15-AU14)</f>
        <v>-4.66894025986739</v>
      </c>
      <c r="AV149" s="22" t="n">
        <f aca="false">100*(AV15-AV14)</f>
        <v>-4.68270960393238</v>
      </c>
      <c r="AW149" s="22" t="n">
        <f aca="false">100*(AW15-AW14)</f>
        <v>-4.69746246227709</v>
      </c>
      <c r="AX149" s="22" t="n">
        <f aca="false">100*(AX15-AX14)</f>
        <v>-4.7131237825865</v>
      </c>
      <c r="AY149" s="22" t="n">
        <f aca="false">100*(AY15-AY14)</f>
        <v>-4.72962947170799</v>
      </c>
      <c r="AZ149" s="22" t="n">
        <f aca="false">100*(AZ15-AZ14)</f>
        <v>-4.74692322386721</v>
      </c>
      <c r="BA149" s="22" t="n">
        <f aca="false">100*(BA15-BA14)</f>
        <v>-4.76495461534952</v>
      </c>
      <c r="BB149" s="22" t="n">
        <f aca="false">100*(BB15-BB14)</f>
        <v>-4.78367677979699</v>
      </c>
      <c r="BC149" s="22" t="n">
        <f aca="false">100*(BC15-BC14)</f>
        <v>-4.80304043583659</v>
      </c>
      <c r="BD149" s="22" t="n">
        <f aca="false">100*(BD15-BD14)</f>
        <v>-4.8229911158227</v>
      </c>
      <c r="BE149" s="22" t="n">
        <f aca="false">100*(BE15-BE14)</f>
        <v>-4.84346789544441</v>
      </c>
      <c r="BF149" s="22" t="n">
        <f aca="false">100*(BF15-BF14)</f>
        <v>-4.8644037096065</v>
      </c>
      <c r="BG149" s="22" t="n">
        <f aca="false">100*(BG15-BG14)</f>
        <v>-4.88572595988679</v>
      </c>
      <c r="BH149" s="22" t="n">
        <f aca="false">AVERAGE(C149:BG149)</f>
        <v>-4.95690048083501</v>
      </c>
    </row>
    <row r="150" customFormat="false" ht="15" hidden="false" customHeight="false" outlineLevel="0" collapsed="false">
      <c r="A150" s="20" t="n">
        <f aca="false">A16</f>
        <v>-109</v>
      </c>
      <c r="B150" s="21" t="n">
        <f aca="false">B16</f>
        <v>44678</v>
      </c>
      <c r="C150" s="22" t="n">
        <f aca="false">100*(C16-C15)</f>
        <v>0.196724908600698</v>
      </c>
      <c r="D150" s="22" t="n">
        <f aca="false">100*(D16-D15)</f>
        <v>-0.0288663986097948</v>
      </c>
      <c r="E150" s="22" t="n">
        <f aca="false">100*(E16-E15)</f>
        <v>-0.0290596566334012</v>
      </c>
      <c r="F150" s="22" t="n">
        <f aca="false">100*(F16-F15)</f>
        <v>0.104424134752001</v>
      </c>
      <c r="G150" s="22" t="n">
        <f aca="false">100*(G16-G15)</f>
        <v>0.313140699084791</v>
      </c>
      <c r="H150" s="22" t="n">
        <f aca="false">100*(H16-H15)</f>
        <v>0.559473229879992</v>
      </c>
      <c r="I150" s="22" t="n">
        <f aca="false">100*(I16-I15)</f>
        <v>0.819401638873307</v>
      </c>
      <c r="J150" s="22" t="n">
        <f aca="false">100*(J16-J15)</f>
        <v>1.0776322983195</v>
      </c>
      <c r="K150" s="22" t="n">
        <f aca="false">100*(K16-K15)</f>
        <v>1.32468525103469</v>
      </c>
      <c r="L150" s="22" t="n">
        <f aca="false">100*(L16-L15)</f>
        <v>1.55526127311889</v>
      </c>
      <c r="M150" s="22" t="n">
        <f aca="false">100*(M16-M15)</f>
        <v>1.76706444676691</v>
      </c>
      <c r="N150" s="22" t="n">
        <f aca="false">100*(N16-N15)</f>
        <v>1.95992199742772</v>
      </c>
      <c r="O150" s="22" t="n">
        <f aca="false">100*(O16-O15)</f>
        <v>2.13498151209999</v>
      </c>
      <c r="P150" s="22" t="n">
        <f aca="false">100*(P16-P15)</f>
        <v>2.29402718584599</v>
      </c>
      <c r="Q150" s="22" t="n">
        <f aca="false">100*(Q16-Q15)</f>
        <v>2.43905253063739</v>
      </c>
      <c r="R150" s="22" t="n">
        <f aca="false">100*(R16-R15)</f>
        <v>2.5720238551824</v>
      </c>
      <c r="S150" s="22" t="n">
        <f aca="false">100*(S16-S15)</f>
        <v>2.6947361581239</v>
      </c>
      <c r="T150" s="22" t="n">
        <f aca="false">100*(T16-T15)</f>
        <v>2.80878198078469</v>
      </c>
      <c r="U150" s="22" t="n">
        <f aca="false">100*(U16-U15)</f>
        <v>2.9155347812144</v>
      </c>
      <c r="V150" s="22" t="n">
        <f aca="false">100*(V16-V15)</f>
        <v>3.01603213960111</v>
      </c>
      <c r="W150" s="22" t="n">
        <f aca="false">100*(W16-W15)</f>
        <v>3.1110053987804</v>
      </c>
      <c r="X150" s="22" t="n">
        <f aca="false">100*(X16-X15)</f>
        <v>3.2009408208695</v>
      </c>
      <c r="Y150" s="22" t="n">
        <f aca="false">100*(Y16-Y15)</f>
        <v>3.2861177583781</v>
      </c>
      <c r="Z150" s="22" t="n">
        <f aca="false">100*(Z16-Z15)</f>
        <v>3.3665758289984</v>
      </c>
      <c r="AA150" s="22" t="n">
        <f aca="false">100*(AA16-AA15)</f>
        <v>3.44213361192491</v>
      </c>
      <c r="AB150" s="22" t="n">
        <f aca="false">100*(AB16-AB15)</f>
        <v>3.5125190516597</v>
      </c>
      <c r="AC150" s="22" t="n">
        <f aca="false">100*(AC16-AC15)</f>
        <v>3.57750143654878</v>
      </c>
      <c r="AD150" s="22" t="n">
        <f aca="false">100*(AD16-AD15)</f>
        <v>3.63694332612541</v>
      </c>
      <c r="AE150" s="22" t="n">
        <f aca="false">100*(AE16-AE15)</f>
        <v>3.69078875996312</v>
      </c>
      <c r="AF150" s="22" t="n">
        <f aca="false">100*(AF16-AF15)</f>
        <v>3.7390509122146</v>
      </c>
      <c r="AG150" s="22" t="n">
        <f aca="false">100*(AG16-AG15)</f>
        <v>3.78180334743992</v>
      </c>
      <c r="AH150" s="22" t="n">
        <f aca="false">100*(AH16-AH15)</f>
        <v>3.81921803291352</v>
      </c>
      <c r="AI150" s="22" t="n">
        <f aca="false">100*(AI16-AI15)</f>
        <v>3.8515928224669</v>
      </c>
      <c r="AJ150" s="22" t="n">
        <f aca="false">100*(AJ16-AJ15)</f>
        <v>3.8793146008691</v>
      </c>
      <c r="AK150" s="22" t="n">
        <f aca="false">100*(AK16-AK15)</f>
        <v>3.9028460697113</v>
      </c>
      <c r="AL150" s="22" t="n">
        <f aca="false">100*(AL16-AL15)</f>
        <v>3.92270769920211</v>
      </c>
      <c r="AM150" s="22" t="n">
        <f aca="false">100*(AM16-AM15)</f>
        <v>3.93945624391137</v>
      </c>
      <c r="AN150" s="22" t="n">
        <f aca="false">100*(AN16-AN15)</f>
        <v>3.95367325455989</v>
      </c>
      <c r="AO150" s="22" t="n">
        <f aca="false">100*(AO16-AO15)</f>
        <v>3.96595728868632</v>
      </c>
      <c r="AP150" s="22" t="n">
        <f aca="false">100*(AP16-AP15)</f>
        <v>3.97692301184542</v>
      </c>
      <c r="AQ150" s="22" t="n">
        <f aca="false">100*(AQ16-AQ15)</f>
        <v>3.98720089059081</v>
      </c>
      <c r="AR150" s="22" t="n">
        <f aca="false">100*(AR16-AR15)</f>
        <v>3.99743240732471</v>
      </c>
      <c r="AS150" s="22" t="n">
        <f aca="false">100*(AS16-AS15)</f>
        <v>4.00825880436819</v>
      </c>
      <c r="AT150" s="22" t="n">
        <f aca="false">100*(AT16-AT15)</f>
        <v>4.02030763733439</v>
      </c>
      <c r="AU150" s="22" t="n">
        <f aca="false">100*(AU16-AU15)</f>
        <v>4.03416330416599</v>
      </c>
      <c r="AV150" s="22" t="n">
        <f aca="false">100*(AV16-AV15)</f>
        <v>4.0503516105316</v>
      </c>
      <c r="AW150" s="22" t="n">
        <f aca="false">100*(AW16-AW15)</f>
        <v>4.0693126944725</v>
      </c>
      <c r="AX150" s="22" t="n">
        <f aca="false">100*(AX16-AX15)</f>
        <v>4.09139127178051</v>
      </c>
      <c r="AY150" s="22" t="n">
        <f aca="false">100*(AY16-AY15)</f>
        <v>4.11683395955689</v>
      </c>
      <c r="AZ150" s="22" t="n">
        <f aca="false">100*(AZ16-AZ15)</f>
        <v>4.1457935901478</v>
      </c>
      <c r="BA150" s="22" t="n">
        <f aca="false">100*(BA16-BA15)</f>
        <v>4.17833714337752</v>
      </c>
      <c r="BB150" s="22" t="n">
        <f aca="false">100*(BB16-BB15)</f>
        <v>4.214451904116</v>
      </c>
      <c r="BC150" s="22" t="n">
        <f aca="false">100*(BC16-BC15)</f>
        <v>4.25404755493379</v>
      </c>
      <c r="BD150" s="22" t="n">
        <f aca="false">100*(BD16-BD15)</f>
        <v>4.29695977869649</v>
      </c>
      <c r="BE150" s="22" t="n">
        <f aca="false">100*(BE16-BE15)</f>
        <v>4.34295370882432</v>
      </c>
      <c r="BF150" s="22" t="n">
        <f aca="false">100*(BF16-BF15)</f>
        <v>4.3917289692869</v>
      </c>
      <c r="BG150" s="22" t="n">
        <f aca="false">100*(BG16-BG15)</f>
        <v>4.44292404660469</v>
      </c>
      <c r="BH150" s="22" t="n">
        <f aca="false">AVERAGE(C150:BG150)</f>
        <v>3.06481565823311</v>
      </c>
    </row>
    <row r="151" customFormat="false" ht="15" hidden="false" customHeight="false" outlineLevel="0" collapsed="false">
      <c r="A151" s="20" t="n">
        <f aca="false">A17</f>
        <v>-108</v>
      </c>
      <c r="B151" s="21" t="n">
        <f aca="false">B17</f>
        <v>44679</v>
      </c>
      <c r="C151" s="22" t="n">
        <f aca="false">100*(C17-C16)</f>
        <v>4.51196039333219</v>
      </c>
      <c r="D151" s="22" t="n">
        <f aca="false">100*(D17-D16)</f>
        <v>4.52023449612811</v>
      </c>
      <c r="E151" s="22" t="n">
        <f aca="false">100*(E17-E16)</f>
        <v>4.50536308146179</v>
      </c>
      <c r="F151" s="22" t="n">
        <f aca="false">100*(F17-F16)</f>
        <v>4.4893974405682</v>
      </c>
      <c r="G151" s="22" t="n">
        <f aca="false">100*(G17-G16)</f>
        <v>4.48262728077471</v>
      </c>
      <c r="H151" s="22" t="n">
        <f aca="false">100*(H17-H16)</f>
        <v>4.49075443024101</v>
      </c>
      <c r="I151" s="22" t="n">
        <f aca="false">100*(I17-I16)</f>
        <v>4.51718518001389</v>
      </c>
      <c r="J151" s="22" t="n">
        <f aca="false">100*(J17-J16)</f>
        <v>4.56351603394412</v>
      </c>
      <c r="K151" s="22" t="n">
        <f aca="false">100*(K17-K16)</f>
        <v>4.6295749289418</v>
      </c>
      <c r="L151" s="22" t="n">
        <f aca="false">100*(L17-L16)</f>
        <v>4.71359745491351</v>
      </c>
      <c r="M151" s="22" t="n">
        <f aca="false">100*(M17-M16)</f>
        <v>4.81246595720308</v>
      </c>
      <c r="N151" s="22" t="n">
        <f aca="false">100*(N17-N16)</f>
        <v>4.9221556530149</v>
      </c>
      <c r="O151" s="22" t="n">
        <f aca="false">100*(O17-O16)</f>
        <v>5.03832473206352</v>
      </c>
      <c r="P151" s="22" t="n">
        <f aca="false">100*(P17-P16)</f>
        <v>5.15694003366569</v>
      </c>
      <c r="Q151" s="22" t="n">
        <f aca="false">100*(Q17-Q16)</f>
        <v>5.27460093852081</v>
      </c>
      <c r="R151" s="22" t="n">
        <f aca="false">100*(R17-R16)</f>
        <v>5.3887560611342</v>
      </c>
      <c r="S151" s="22" t="n">
        <f aca="false">100*(S17-S16)</f>
        <v>5.4977266139606</v>
      </c>
      <c r="T151" s="22" t="n">
        <f aca="false">100*(T17-T16)</f>
        <v>5.6005964775925</v>
      </c>
      <c r="U151" s="22" t="n">
        <f aca="false">100*(U17-U16)</f>
        <v>5.69707811992939</v>
      </c>
      <c r="V151" s="22" t="n">
        <f aca="false">100*(V17-V16)</f>
        <v>5.7872269205461</v>
      </c>
      <c r="W151" s="22" t="n">
        <f aca="false">100*(W17-W16)</f>
        <v>5.8713299353512</v>
      </c>
      <c r="X151" s="22" t="n">
        <f aca="false">100*(X17-X16)</f>
        <v>5.94985945238311</v>
      </c>
      <c r="Y151" s="22" t="n">
        <f aca="false">100*(Y17-Y16)</f>
        <v>6.02341435078029</v>
      </c>
      <c r="Z151" s="22" t="n">
        <f aca="false">100*(Z17-Z16)</f>
        <v>6.09255462321208</v>
      </c>
      <c r="AA151" s="22" t="n">
        <f aca="false">100*(AA17-AA16)</f>
        <v>6.15771813690651</v>
      </c>
      <c r="AB151" s="22" t="n">
        <f aca="false">100*(AB17-AB16)</f>
        <v>6.2192254068683</v>
      </c>
      <c r="AC151" s="22" t="n">
        <f aca="false">100*(AC17-AC16)</f>
        <v>6.2773045695208</v>
      </c>
      <c r="AD151" s="22" t="n">
        <f aca="false">100*(AD17-AD16)</f>
        <v>6.33212032833761</v>
      </c>
      <c r="AE151" s="22" t="n">
        <f aca="false">100*(AE17-AE16)</f>
        <v>6.38378493418048</v>
      </c>
      <c r="AF151" s="22" t="n">
        <f aca="false">100*(AF17-AF16)</f>
        <v>6.4323661326648</v>
      </c>
      <c r="AG151" s="22" t="n">
        <f aca="false">100*(AG17-AG16)</f>
        <v>6.47789291953211</v>
      </c>
      <c r="AH151" s="22" t="n">
        <f aca="false">100*(AH17-AH16)</f>
        <v>6.52037355023278</v>
      </c>
      <c r="AI151" s="22" t="n">
        <f aca="false">100*(AI17-AI16)</f>
        <v>6.55982552972412</v>
      </c>
      <c r="AJ151" s="22" t="n">
        <f aca="false">100*(AJ17-AJ16)</f>
        <v>6.59628444120979</v>
      </c>
      <c r="AK151" s="22" t="n">
        <f aca="false">100*(AK17-AK16)</f>
        <v>6.62981083657988</v>
      </c>
      <c r="AL151" s="22" t="n">
        <f aca="false">100*(AL17-AL16)</f>
        <v>6.66049286867967</v>
      </c>
      <c r="AM151" s="22" t="n">
        <f aca="false">100*(AM17-AM16)</f>
        <v>6.6884524632802</v>
      </c>
      <c r="AN151" s="22" t="n">
        <f aca="false">100*(AN17-AN16)</f>
        <v>6.71384511591762</v>
      </c>
      <c r="AO151" s="22" t="n">
        <f aca="false">100*(AO17-AO16)</f>
        <v>6.7368579364302</v>
      </c>
      <c r="AP151" s="22" t="n">
        <f aca="false">100*(AP17-AP16)</f>
        <v>6.75771110324557</v>
      </c>
      <c r="AQ151" s="22" t="n">
        <f aca="false">100*(AQ17-AQ16)</f>
        <v>6.77666146365348</v>
      </c>
      <c r="AR151" s="22" t="n">
        <f aca="false">100*(AR17-AR16)</f>
        <v>6.79400134904271</v>
      </c>
      <c r="AS151" s="22" t="n">
        <f aca="false">100*(AS17-AS16)</f>
        <v>6.810059374097</v>
      </c>
      <c r="AT151" s="22" t="n">
        <f aca="false">100*(AT17-AT16)</f>
        <v>6.82519391483059</v>
      </c>
      <c r="AU151" s="22" t="n">
        <f aca="false">100*(AU17-AU16)</f>
        <v>6.83977815626968</v>
      </c>
      <c r="AV151" s="22" t="n">
        <f aca="false">100*(AV17-AV16)</f>
        <v>6.85418959101429</v>
      </c>
      <c r="AW151" s="22" t="n">
        <f aca="false">100*(AW17-AW16)</f>
        <v>6.86879231170821</v>
      </c>
      <c r="AX151" s="22" t="n">
        <f aca="false">100*(AX17-AX16)</f>
        <v>6.88393053568581</v>
      </c>
      <c r="AY151" s="22" t="n">
        <f aca="false">100*(AY17-AY16)</f>
        <v>6.89992340558441</v>
      </c>
      <c r="AZ151" s="22" t="n">
        <f aca="false">100*(AZ17-AZ16)</f>
        <v>6.91705445789352</v>
      </c>
      <c r="BA151" s="22" t="n">
        <f aca="false">100*(BA17-BA16)</f>
        <v>6.93557115794801</v>
      </c>
      <c r="BB151" s="22" t="n">
        <f aca="false">100*(BB17-BB16)</f>
        <v>6.95568379751821</v>
      </c>
      <c r="BC151" s="22" t="n">
        <f aca="false">100*(BC17-BC16)</f>
        <v>6.97755565518112</v>
      </c>
      <c r="BD151" s="22" t="n">
        <f aca="false">100*(BD17-BD16)</f>
        <v>7.00129853833071</v>
      </c>
      <c r="BE151" s="22" t="n">
        <f aca="false">100*(BE17-BE16)</f>
        <v>7.02696908575569</v>
      </c>
      <c r="BF151" s="22" t="n">
        <f aca="false">100*(BF17-BF16)</f>
        <v>7.0545662368448</v>
      </c>
      <c r="BG151" s="22" t="n">
        <f aca="false">100*(BG17-BG16)</f>
        <v>7.0840281931666</v>
      </c>
      <c r="BH151" s="22" t="n">
        <f aca="false">AVERAGE(C151:BG151)</f>
        <v>6.03836077346512</v>
      </c>
    </row>
    <row r="152" customFormat="false" ht="15" hidden="false" customHeight="false" outlineLevel="0" collapsed="false">
      <c r="A152" s="20" t="n">
        <f aca="false">A18</f>
        <v>-107</v>
      </c>
      <c r="B152" s="21" t="n">
        <f aca="false">B18</f>
        <v>44680</v>
      </c>
      <c r="C152" s="22" t="n">
        <f aca="false">100*(C18-C17)</f>
        <v>6.1263537597342</v>
      </c>
      <c r="D152" s="22" t="n">
        <f aca="false">100*(D18-D17)</f>
        <v>6.14817416078659</v>
      </c>
      <c r="E152" s="22" t="n">
        <f aca="false">100*(E18-E17)</f>
        <v>6.09837713185231</v>
      </c>
      <c r="F152" s="22" t="n">
        <f aca="false">100*(F18-F17)</f>
        <v>6.00055505952821</v>
      </c>
      <c r="G152" s="22" t="n">
        <f aca="false">100*(G18-G17)</f>
        <v>5.86618487196728</v>
      </c>
      <c r="H152" s="22" t="n">
        <f aca="false">100*(H18-H17)</f>
        <v>5.7043736398263</v>
      </c>
      <c r="I152" s="22" t="n">
        <f aca="false">100*(I18-I17)</f>
        <v>5.5243181077274</v>
      </c>
      <c r="J152" s="22" t="n">
        <f aca="false">100*(J18-J17)</f>
        <v>5.3351297061613</v>
      </c>
      <c r="K152" s="22" t="n">
        <f aca="false">100*(K18-K17)</f>
        <v>5.14481297780129</v>
      </c>
      <c r="L152" s="22" t="n">
        <f aca="false">100*(L18-L17)</f>
        <v>4.9601648381189</v>
      </c>
      <c r="M152" s="22" t="n">
        <f aca="false">100*(M18-M17)</f>
        <v>4.78646648918641</v>
      </c>
      <c r="N152" s="22" t="n">
        <f aca="false">100*(N18-N17)</f>
        <v>4.6274909178641</v>
      </c>
      <c r="O152" s="22" t="n">
        <f aca="false">100*(O18-O17)</f>
        <v>4.4855354760903</v>
      </c>
      <c r="P152" s="22" t="n">
        <f aca="false">100*(P18-P17)</f>
        <v>4.36166686787312</v>
      </c>
      <c r="Q152" s="22" t="n">
        <f aca="false">100*(Q18-Q17)</f>
        <v>4.2558971468464</v>
      </c>
      <c r="R152" s="22" t="n">
        <f aca="false">100*(R18-R17)</f>
        <v>4.1674893967387</v>
      </c>
      <c r="S152" s="22" t="n">
        <f aca="false">100*(S18-S17)</f>
        <v>4.0951682380677</v>
      </c>
      <c r="T152" s="22" t="n">
        <f aca="false">100*(T18-T17)</f>
        <v>4.03735967950891</v>
      </c>
      <c r="U152" s="22" t="n">
        <f aca="false">100*(U18-U17)</f>
        <v>3.9923076714067</v>
      </c>
      <c r="V152" s="22" t="n">
        <f aca="false">100*(V18-V17)</f>
        <v>3.9583296344093</v>
      </c>
      <c r="W152" s="22" t="n">
        <f aca="false">100*(W18-W17)</f>
        <v>3.93381443803942</v>
      </c>
      <c r="X152" s="22" t="n">
        <f aca="false">100*(X18-X17)</f>
        <v>3.91720822382557</v>
      </c>
      <c r="Y152" s="22" t="n">
        <f aca="false">100*(Y18-Y17)</f>
        <v>3.90704547464851</v>
      </c>
      <c r="Z152" s="22" t="n">
        <f aca="false">100*(Z18-Z17)</f>
        <v>3.90205275593294</v>
      </c>
      <c r="AA152" s="22" t="n">
        <f aca="false">100*(AA18-AA17)</f>
        <v>3.90112936269378</v>
      </c>
      <c r="AB152" s="22" t="n">
        <f aca="false">100*(AB18-AB17)</f>
        <v>3.90327496663061</v>
      </c>
      <c r="AC152" s="22" t="n">
        <f aca="false">100*(AC18-AC17)</f>
        <v>3.9075910567524</v>
      </c>
      <c r="AD152" s="22" t="n">
        <f aca="false">100*(AD18-AD17)</f>
        <v>3.913314581101</v>
      </c>
      <c r="AE152" s="22" t="n">
        <f aca="false">100*(AE18-AE17)</f>
        <v>3.91980056722732</v>
      </c>
      <c r="AF152" s="22" t="n">
        <f aca="false">100*(AF18-AF17)</f>
        <v>3.92650423135668</v>
      </c>
      <c r="AG152" s="22" t="n">
        <f aca="false">100*(AG18-AG17)</f>
        <v>3.93296000266439</v>
      </c>
      <c r="AH152" s="22" t="n">
        <f aca="false">100*(AH18-AH17)</f>
        <v>3.93877205239099</v>
      </c>
      <c r="AI152" s="22" t="n">
        <f aca="false">100*(AI18-AI17)</f>
        <v>3.94365952700499</v>
      </c>
      <c r="AJ152" s="22" t="n">
        <f aca="false">100*(AJ18-AJ17)</f>
        <v>3.94742337996861</v>
      </c>
      <c r="AK152" s="22" t="n">
        <f aca="false">100*(AK18-AK17)</f>
        <v>3.94993528277903</v>
      </c>
      <c r="AL152" s="22" t="n">
        <f aca="false">100*(AL18-AL17)</f>
        <v>3.95112763778833</v>
      </c>
      <c r="AM152" s="22" t="n">
        <f aca="false">100*(AM18-AM17)</f>
        <v>3.95098479746183</v>
      </c>
      <c r="AN152" s="22" t="n">
        <f aca="false">100*(AN18-AN17)</f>
        <v>3.94953079390752</v>
      </c>
      <c r="AO152" s="22" t="n">
        <f aca="false">100*(AO18-AO17)</f>
        <v>3.94681767639198</v>
      </c>
      <c r="AP152" s="22" t="n">
        <f aca="false">100*(AP18-AP17)</f>
        <v>3.94291699493494</v>
      </c>
      <c r="AQ152" s="22" t="n">
        <f aca="false">100*(AQ18-AQ17)</f>
        <v>3.93790556984692</v>
      </c>
      <c r="AR152" s="22" t="n">
        <f aca="false">100*(AR18-AR17)</f>
        <v>3.93186068887967</v>
      </c>
      <c r="AS152" s="22" t="n">
        <f aca="false">100*(AS18-AS17)</f>
        <v>3.92485369450428</v>
      </c>
      <c r="AT152" s="22" t="n">
        <f aca="false">100*(AT18-AT17)</f>
        <v>3.91694802531943</v>
      </c>
      <c r="AU152" s="22" t="n">
        <f aca="false">100*(AU18-AU17)</f>
        <v>3.90820164520083</v>
      </c>
      <c r="AV152" s="22" t="n">
        <f aca="false">100*(AV18-AV17)</f>
        <v>3.89866751433838</v>
      </c>
      <c r="AW152" s="22" t="n">
        <f aca="false">100*(AW18-AW17)</f>
        <v>3.88839200030797</v>
      </c>
      <c r="AX152" s="22" t="n">
        <f aca="false">100*(AX18-AX17)</f>
        <v>3.87741578651788</v>
      </c>
      <c r="AY152" s="22" t="n">
        <f aca="false">100*(AY18-AY17)</f>
        <v>3.8657753790686</v>
      </c>
      <c r="AZ152" s="22" t="n">
        <f aca="false">100*(AZ18-AZ17)</f>
        <v>3.85350630763979</v>
      </c>
      <c r="BA152" s="22" t="n">
        <f aca="false">100*(BA18-BA17)</f>
        <v>3.84064525423318</v>
      </c>
      <c r="BB152" s="22" t="n">
        <f aca="false">100*(BB18-BB17)</f>
        <v>3.82723073360678</v>
      </c>
      <c r="BC152" s="22" t="n">
        <f aca="false">100*(BC18-BC17)</f>
        <v>3.81330617260587</v>
      </c>
      <c r="BD152" s="22" t="n">
        <f aca="false">100*(BD18-BD17)</f>
        <v>3.7989209224415</v>
      </c>
      <c r="BE152" s="22" t="n">
        <f aca="false">100*(BE18-BE17)</f>
        <v>3.784129834168</v>
      </c>
      <c r="BF152" s="22" t="n">
        <f aca="false">100*(BF18-BF17)</f>
        <v>3.76899407274391</v>
      </c>
      <c r="BG152" s="22" t="n">
        <f aca="false">100*(BG18-BG17)</f>
        <v>3.7535823611129</v>
      </c>
      <c r="BH152" s="22" t="n">
        <f aca="false">AVERAGE(C152:BG152)</f>
        <v>4.27811150065846</v>
      </c>
    </row>
    <row r="153" customFormat="false" ht="15" hidden="false" customHeight="false" outlineLevel="0" collapsed="false">
      <c r="A153" s="20" t="n">
        <f aca="false">A19</f>
        <v>-106</v>
      </c>
      <c r="B153" s="21" t="n">
        <f aca="false">B19</f>
        <v>44684</v>
      </c>
      <c r="C153" s="22" t="n">
        <f aca="false">100*(C19-C18)</f>
        <v>3.71712783687259</v>
      </c>
      <c r="D153" s="22" t="n">
        <f aca="false">100*(D19-D18)</f>
        <v>3.7258914809875</v>
      </c>
      <c r="E153" s="22" t="n">
        <f aca="false">100*(E19-E18)</f>
        <v>3.7337574830741</v>
      </c>
      <c r="F153" s="22" t="n">
        <f aca="false">100*(F19-F18)</f>
        <v>3.7396495425629</v>
      </c>
      <c r="G153" s="22" t="n">
        <f aca="false">100*(G19-G18)</f>
        <v>3.74232526006471</v>
      </c>
      <c r="H153" s="22" t="n">
        <f aca="false">100*(H19-H18)</f>
        <v>3.74082506943001</v>
      </c>
      <c r="I153" s="22" t="n">
        <f aca="false">100*(I19-I18)</f>
        <v>3.7341351886464</v>
      </c>
      <c r="J153" s="22" t="n">
        <f aca="false">100*(J19-J18)</f>
        <v>3.72145257040368</v>
      </c>
      <c r="K153" s="22" t="n">
        <f aca="false">100*(K19-K18)</f>
        <v>3.70224657309821</v>
      </c>
      <c r="L153" s="22" t="n">
        <f aca="false">100*(L19-L18)</f>
        <v>3.67636338806949</v>
      </c>
      <c r="M153" s="22" t="n">
        <f aca="false">100*(M19-M18)</f>
        <v>3.64402785052849</v>
      </c>
      <c r="N153" s="22" t="n">
        <f aca="false">100*(N19-N18)</f>
        <v>3.60578783292849</v>
      </c>
      <c r="O153" s="22" t="n">
        <f aca="false">100*(O19-O18)</f>
        <v>3.56239074437821</v>
      </c>
      <c r="P153" s="22" t="n">
        <f aca="false">100*(P19-P18)</f>
        <v>3.51463974374631</v>
      </c>
      <c r="Q153" s="22" t="n">
        <f aca="false">100*(Q19-Q18)</f>
        <v>3.4633073266247</v>
      </c>
      <c r="R153" s="22" t="n">
        <f aca="false">100*(R19-R18)</f>
        <v>3.4090988254369</v>
      </c>
      <c r="S153" s="22" t="n">
        <f aca="false">100*(S19-S18)</f>
        <v>3.35263523365521</v>
      </c>
      <c r="T153" s="22" t="n">
        <f aca="false">100*(T19-T18)</f>
        <v>3.29452233431748</v>
      </c>
      <c r="U153" s="22" t="n">
        <f aca="false">100*(U19-U18)</f>
        <v>3.23539219613689</v>
      </c>
      <c r="V153" s="22" t="n">
        <f aca="false">100*(V19-V18)</f>
        <v>3.17587102850772</v>
      </c>
      <c r="W153" s="22" t="n">
        <f aca="false">100*(W19-W18)</f>
        <v>3.11656610706019</v>
      </c>
      <c r="X153" s="22" t="n">
        <f aca="false">100*(X19-X18)</f>
        <v>3.05806956958121</v>
      </c>
      <c r="Y153" s="22" t="n">
        <f aca="false">100*(Y19-Y18)</f>
        <v>3.00096370653331</v>
      </c>
      <c r="Z153" s="22" t="n">
        <f aca="false">100*(Z19-Z18)</f>
        <v>2.94581103735498</v>
      </c>
      <c r="AA153" s="22" t="n">
        <f aca="false">100*(AA19-AA18)</f>
        <v>2.89313472751371</v>
      </c>
      <c r="AB153" s="22" t="n">
        <f aca="false">100*(AB19-AB18)</f>
        <v>2.84339072748687</v>
      </c>
      <c r="AC153" s="22" t="n">
        <f aca="false">100*(AC19-AC18)</f>
        <v>2.79693529261391</v>
      </c>
      <c r="AD153" s="22" t="n">
        <f aca="false">100*(AD19-AD18)</f>
        <v>2.75403078529259</v>
      </c>
      <c r="AE153" s="22" t="n">
        <f aca="false">100*(AE19-AE18)</f>
        <v>2.71486047835396</v>
      </c>
      <c r="AF153" s="22" t="n">
        <f aca="false">100*(AF19-AF18)</f>
        <v>2.67954053832922</v>
      </c>
      <c r="AG153" s="22" t="n">
        <f aca="false">100*(AG19-AG18)</f>
        <v>2.6481268725675</v>
      </c>
      <c r="AH153" s="22" t="n">
        <f aca="false">100*(AH19-AH18)</f>
        <v>2.62060486426803</v>
      </c>
      <c r="AI153" s="22" t="n">
        <f aca="false">100*(AI19-AI18)</f>
        <v>2.59690316292502</v>
      </c>
      <c r="AJ153" s="22" t="n">
        <f aca="false">100*(AJ19-AJ18)</f>
        <v>2.5769052911425</v>
      </c>
      <c r="AK153" s="22" t="n">
        <f aca="false">100*(AK19-AK18)</f>
        <v>2.5604572709335</v>
      </c>
      <c r="AL153" s="22" t="n">
        <f aca="false">100*(AL19-AL18)</f>
        <v>2.54737368342979</v>
      </c>
      <c r="AM153" s="22" t="n">
        <f aca="false">100*(AM19-AM18)</f>
        <v>2.53744358590859</v>
      </c>
      <c r="AN153" s="22" t="n">
        <f aca="false">100*(AN19-AN18)</f>
        <v>2.53043280866097</v>
      </c>
      <c r="AO153" s="22" t="n">
        <f aca="false">100*(AO19-AO18)</f>
        <v>2.526085597141</v>
      </c>
      <c r="AP153" s="22" t="n">
        <f aca="false">100*(AP19-AP18)</f>
        <v>2.52413125443218</v>
      </c>
      <c r="AQ153" s="22" t="n">
        <f aca="false">100*(AQ19-AQ18)</f>
        <v>2.52429163033141</v>
      </c>
      <c r="AR153" s="22" t="n">
        <f aca="false">100*(AR19-AR18)</f>
        <v>2.52628704173983</v>
      </c>
      <c r="AS153" s="22" t="n">
        <f aca="false">100*(AS19-AS18)</f>
        <v>2.52984785121182</v>
      </c>
      <c r="AT153" s="22" t="n">
        <f aca="false">100*(AT19-AT18)</f>
        <v>2.5347194919489</v>
      </c>
      <c r="AU153" s="22" t="n">
        <f aca="false">100*(AU19-AU18)</f>
        <v>2.54066928394581</v>
      </c>
      <c r="AV153" s="22" t="n">
        <f aca="false">100*(AV19-AV18)</f>
        <v>2.54748832944682</v>
      </c>
      <c r="AW153" s="22" t="n">
        <f aca="false">100*(AW19-AW18)</f>
        <v>2.55499410482662</v>
      </c>
      <c r="AX153" s="22" t="n">
        <f aca="false">100*(AX19-AX18)</f>
        <v>2.56303091322541</v>
      </c>
      <c r="AY153" s="22" t="n">
        <f aca="false">100*(AY19-AY18)</f>
        <v>2.57146925590077</v>
      </c>
      <c r="AZ153" s="22" t="n">
        <f aca="false">100*(AZ19-AZ18)</f>
        <v>2.58020413939719</v>
      </c>
      <c r="BA153" s="22" t="n">
        <f aca="false">100*(BA19-BA18)</f>
        <v>2.58915322203412</v>
      </c>
      <c r="BB153" s="22" t="n">
        <f aca="false">100*(BB19-BB18)</f>
        <v>2.59825414750319</v>
      </c>
      <c r="BC153" s="22" t="n">
        <f aca="false">100*(BC19-BC18)</f>
        <v>2.60746117617381</v>
      </c>
      <c r="BD153" s="22" t="n">
        <f aca="false">100*(BD19-BD18)</f>
        <v>2.61674154185521</v>
      </c>
      <c r="BE153" s="22" t="n">
        <f aca="false">100*(BE19-BE18)</f>
        <v>2.62607115921241</v>
      </c>
      <c r="BF153" s="22" t="n">
        <f aca="false">100*(BF19-BF18)</f>
        <v>2.63543096926848</v>
      </c>
      <c r="BG153" s="22" t="n">
        <f aca="false">100*(BG19-BG18)</f>
        <v>2.6448028294991</v>
      </c>
      <c r="BH153" s="22" t="n">
        <f aca="false">AVERAGE(C153:BG153)</f>
        <v>2.97814266593895</v>
      </c>
    </row>
    <row r="154" customFormat="false" ht="15" hidden="false" customHeight="false" outlineLevel="0" collapsed="false">
      <c r="A154" s="20" t="n">
        <f aca="false">A20</f>
        <v>-105</v>
      </c>
      <c r="B154" s="21" t="n">
        <f aca="false">B20</f>
        <v>44685</v>
      </c>
      <c r="C154" s="22" t="n">
        <f aca="false">100*(C20-C19)</f>
        <v>1.2818284711541</v>
      </c>
      <c r="D154" s="22" t="n">
        <f aca="false">100*(D20-D19)</f>
        <v>1.18751580711611</v>
      </c>
      <c r="E154" s="22" t="n">
        <f aca="false">100*(E20-E19)</f>
        <v>1.22789564061401</v>
      </c>
      <c r="F154" s="22" t="n">
        <f aca="false">100*(F20-F19)</f>
        <v>1.34502341029419</v>
      </c>
      <c r="G154" s="22" t="n">
        <f aca="false">100*(G20-G19)</f>
        <v>1.49977846634231</v>
      </c>
      <c r="H154" s="22" t="n">
        <f aca="false">100*(H20-H19)</f>
        <v>1.66774280333588</v>
      </c>
      <c r="I154" s="22" t="n">
        <f aca="false">100*(I20-I19)</f>
        <v>1.8340555134678</v>
      </c>
      <c r="J154" s="22" t="n">
        <f aca="false">100*(J20-J19)</f>
        <v>1.9897487465381</v>
      </c>
      <c r="K154" s="22" t="n">
        <f aca="false">100*(K20-K19)</f>
        <v>2.1293756979208</v>
      </c>
      <c r="L154" s="22" t="n">
        <f aca="false">100*(L20-L19)</f>
        <v>2.24982216506959</v>
      </c>
      <c r="M154" s="22" t="n">
        <f aca="false">100*(M20-M19)</f>
        <v>2.34969438171151</v>
      </c>
      <c r="N154" s="22" t="n">
        <f aca="false">100*(N20-N19)</f>
        <v>2.42887872916471</v>
      </c>
      <c r="O154" s="22" t="n">
        <f aca="false">100*(O20-O19)</f>
        <v>2.48818756262819</v>
      </c>
      <c r="P154" s="22" t="n">
        <f aca="false">100*(P20-P19)</f>
        <v>2.52899447776029</v>
      </c>
      <c r="Q154" s="22" t="n">
        <f aca="false">100*(Q20-Q19)</f>
        <v>2.55302300664031</v>
      </c>
      <c r="R154" s="22" t="n">
        <f aca="false">100*(R20-R19)</f>
        <v>2.5621879878442</v>
      </c>
      <c r="S154" s="22" t="n">
        <f aca="false">100*(S20-S19)</f>
        <v>2.55842570601339</v>
      </c>
      <c r="T154" s="22" t="n">
        <f aca="false">100*(T20-T19)</f>
        <v>2.54365694419871</v>
      </c>
      <c r="U154" s="22" t="n">
        <f aca="false">100*(U20-U19)</f>
        <v>2.51978901075312</v>
      </c>
      <c r="V154" s="22" t="n">
        <f aca="false">100*(V20-V19)</f>
        <v>2.48859558329637</v>
      </c>
      <c r="W154" s="22" t="n">
        <f aca="false">100*(W20-W19)</f>
        <v>2.45171304846639</v>
      </c>
      <c r="X154" s="22" t="n">
        <f aca="false">100*(X20-X19)</f>
        <v>2.41066791917839</v>
      </c>
      <c r="Y154" s="22" t="n">
        <f aca="false">100*(Y20-Y19)</f>
        <v>2.36688510859189</v>
      </c>
      <c r="Z154" s="22" t="n">
        <f aca="false">100*(Z20-Z19)</f>
        <v>2.32162310382731</v>
      </c>
      <c r="AA154" s="22" t="n">
        <f aca="false">100*(AA20-AA19)</f>
        <v>2.27595327430179</v>
      </c>
      <c r="AB154" s="22" t="n">
        <f aca="false">100*(AB20-AB19)</f>
        <v>2.2307800694914</v>
      </c>
      <c r="AC154" s="22" t="n">
        <f aca="false">100*(AC20-AC19)</f>
        <v>2.18682733110902</v>
      </c>
      <c r="AD154" s="22" t="n">
        <f aca="false">100*(AD20-AD19)</f>
        <v>2.1446546207633</v>
      </c>
      <c r="AE154" s="22" t="n">
        <f aca="false">100*(AE20-AE19)</f>
        <v>2.10468294417669</v>
      </c>
      <c r="AF154" s="22" t="n">
        <f aca="false">100*(AF20-AF19)</f>
        <v>2.0672157445035</v>
      </c>
      <c r="AG154" s="22" t="n">
        <f aca="false">100*(AG20-AG19)</f>
        <v>2.0324528834446</v>
      </c>
      <c r="AH154" s="22" t="n">
        <f aca="false">100*(AH20-AH19)</f>
        <v>2.00048245530149</v>
      </c>
      <c r="AI154" s="22" t="n">
        <f aca="false">100*(AI20-AI19)</f>
        <v>1.97129359697947</v>
      </c>
      <c r="AJ154" s="22" t="n">
        <f aca="false">100*(AJ20-AJ19)</f>
        <v>1.94478823357671</v>
      </c>
      <c r="AK154" s="22" t="n">
        <f aca="false">100*(AK20-AK19)</f>
        <v>1.92079195074739</v>
      </c>
      <c r="AL154" s="22" t="n">
        <f aca="false">100*(AL20-AL19)</f>
        <v>1.8990669704817</v>
      </c>
      <c r="AM154" s="22" t="n">
        <f aca="false">100*(AM20-AM19)</f>
        <v>1.87932665787649</v>
      </c>
      <c r="AN154" s="22" t="n">
        <f aca="false">100*(AN20-AN19)</f>
        <v>1.86125569799223</v>
      </c>
      <c r="AO154" s="22" t="n">
        <f aca="false">100*(AO20-AO19)</f>
        <v>1.8445255643265</v>
      </c>
      <c r="AP154" s="22" t="n">
        <f aca="false">100*(AP20-AP19)</f>
        <v>1.8288043702031</v>
      </c>
      <c r="AQ154" s="22" t="n">
        <f aca="false">100*(AQ20-AQ19)</f>
        <v>1.81376781128728</v>
      </c>
      <c r="AR154" s="22" t="n">
        <f aca="false">100*(AR20-AR19)</f>
        <v>1.79910231866849</v>
      </c>
      <c r="AS154" s="22" t="n">
        <f aca="false">100*(AS20-AS19)</f>
        <v>1.78450999656059</v>
      </c>
      <c r="AT154" s="22" t="n">
        <f aca="false">100*(AT20-AT19)</f>
        <v>1.76971135673649</v>
      </c>
      <c r="AU154" s="22" t="n">
        <f aca="false">100*(AU20-AU19)</f>
        <v>1.75445148418847</v>
      </c>
      <c r="AV154" s="22" t="n">
        <f aca="false">100*(AV20-AV19)</f>
        <v>1.7385022920811</v>
      </c>
      <c r="AW154" s="22" t="n">
        <f aca="false">100*(AW20-AW19)</f>
        <v>1.7216672190596</v>
      </c>
      <c r="AX154" s="22" t="n">
        <f aca="false">100*(AX20-AX19)</f>
        <v>1.70378395389741</v>
      </c>
      <c r="AY154" s="22" t="n">
        <f aca="false">100*(AY20-AY19)</f>
        <v>1.68472910352362</v>
      </c>
      <c r="AZ154" s="22" t="n">
        <f aca="false">100*(AZ20-AZ19)</f>
        <v>1.6644237097823</v>
      </c>
      <c r="BA154" s="22" t="n">
        <f aca="false">100*(BA20-BA19)</f>
        <v>1.64283191527708</v>
      </c>
      <c r="BB154" s="22" t="n">
        <f aca="false">100*(BB20-BB19)</f>
        <v>1.61995837450122</v>
      </c>
      <c r="BC154" s="22" t="n">
        <f aca="false">100*(BC20-BC19)</f>
        <v>1.59584838952132</v>
      </c>
      <c r="BD154" s="22" t="n">
        <f aca="false">100*(BD20-BD19)</f>
        <v>1.57058260636269</v>
      </c>
      <c r="BE154" s="22" t="n">
        <f aca="false">100*(BE20-BE19)</f>
        <v>1.54426869515931</v>
      </c>
      <c r="BF154" s="22" t="n">
        <f aca="false">100*(BF20-BF19)</f>
        <v>1.51703333229229</v>
      </c>
      <c r="BG154" s="22" t="n">
        <f aca="false">100*(BG20-BG19)</f>
        <v>1.48901459207882</v>
      </c>
      <c r="BH154" s="22" t="n">
        <f aca="false">AVERAGE(C154:BG154)</f>
        <v>1.95775787382774</v>
      </c>
    </row>
    <row r="155" customFormat="false" ht="15" hidden="false" customHeight="false" outlineLevel="0" collapsed="false">
      <c r="A155" s="20" t="n">
        <f aca="false">A21</f>
        <v>-104</v>
      </c>
      <c r="B155" s="21" t="n">
        <f aca="false">B21</f>
        <v>44686</v>
      </c>
      <c r="C155" s="22" t="n">
        <f aca="false">100*(C21-C20)</f>
        <v>-11.7231517593639</v>
      </c>
      <c r="D155" s="22" t="n">
        <f aca="false">100*(D21-D20)</f>
        <v>-11.2563606208856</v>
      </c>
      <c r="E155" s="22" t="n">
        <f aca="false">100*(E21-E20)</f>
        <v>-10.6568478964707</v>
      </c>
      <c r="F155" s="22" t="n">
        <f aca="false">100*(F21-F20)</f>
        <v>-9.9707979195971</v>
      </c>
      <c r="G155" s="22" t="n">
        <f aca="false">100*(G21-G20)</f>
        <v>-9.23297232707749</v>
      </c>
      <c r="H155" s="22" t="n">
        <f aca="false">100*(H21-H20)</f>
        <v>-8.46894274425198</v>
      </c>
      <c r="I155" s="22" t="n">
        <f aca="false">100*(I21-I20)</f>
        <v>-7.69812572229451</v>
      </c>
      <c r="J155" s="22" t="n">
        <f aca="false">100*(J21-J20)</f>
        <v>-6.93559738491358</v>
      </c>
      <c r="K155" s="22" t="n">
        <f aca="false">100*(K21-K20)</f>
        <v>-6.1929097002879</v>
      </c>
      <c r="L155" s="22" t="n">
        <f aca="false">100*(L21-L20)</f>
        <v>-5.47844408694029</v>
      </c>
      <c r="M155" s="22" t="n">
        <f aca="false">100*(M21-M20)</f>
        <v>-4.79767427453581</v>
      </c>
      <c r="N155" s="22" t="n">
        <f aca="false">100*(N21-N20)</f>
        <v>-4.1536035109337</v>
      </c>
      <c r="O155" s="22" t="n">
        <f aca="false">100*(O21-O20)</f>
        <v>-3.54722988513139</v>
      </c>
      <c r="P155" s="22" t="n">
        <f aca="false">100*(P21-P20)</f>
        <v>-2.9782266610463</v>
      </c>
      <c r="Q155" s="22" t="n">
        <f aca="false">100*(Q21-Q20)</f>
        <v>-2.4453851947239</v>
      </c>
      <c r="R155" s="22" t="n">
        <f aca="false">100*(R21-R20)</f>
        <v>-1.9470580004405</v>
      </c>
      <c r="S155" s="22" t="n">
        <f aca="false">100*(S21-S20)</f>
        <v>-1.48140429969179</v>
      </c>
      <c r="T155" s="22" t="n">
        <f aca="false">100*(T21-T20)</f>
        <v>-1.04659409000452</v>
      </c>
      <c r="U155" s="22" t="n">
        <f aca="false">100*(U21-U20)</f>
        <v>-0.640852373170597</v>
      </c>
      <c r="V155" s="22" t="n">
        <f aca="false">100*(V21-V20)</f>
        <v>-0.262653585261896</v>
      </c>
      <c r="W155" s="22" t="n">
        <f aca="false">100*(W21-W20)</f>
        <v>0.0892836302976097</v>
      </c>
      <c r="X155" s="22" t="n">
        <f aca="false">100*(X21-X20)</f>
        <v>0.416045211779625</v>
      </c>
      <c r="Y155" s="22" t="n">
        <f aca="false">100*(Y21-Y20)</f>
        <v>0.718544640470897</v>
      </c>
      <c r="Z155" s="22" t="n">
        <f aca="false">100*(Z21-Z20)</f>
        <v>0.997465787749086</v>
      </c>
      <c r="AA155" s="22" t="n">
        <f aca="false">100*(AA21-AA20)</f>
        <v>1.25330293687562</v>
      </c>
      <c r="AB155" s="22" t="n">
        <f aca="false">100*(AB21-AB20)</f>
        <v>1.48655589858522</v>
      </c>
      <c r="AC155" s="22" t="n">
        <f aca="false">100*(AC21-AC20)</f>
        <v>1.69786858514018</v>
      </c>
      <c r="AD155" s="22" t="n">
        <f aca="false">100*(AD21-AD20)</f>
        <v>1.8880610857638</v>
      </c>
      <c r="AE155" s="22" t="n">
        <f aca="false">100*(AE21-AE20)</f>
        <v>2.05810434531091</v>
      </c>
      <c r="AF155" s="22" t="n">
        <f aca="false">100*(AF21-AF20)</f>
        <v>2.20909730735301</v>
      </c>
      <c r="AG155" s="22" t="n">
        <f aca="false">100*(AG21-AG20)</f>
        <v>2.34224820436348</v>
      </c>
      <c r="AH155" s="22" t="n">
        <f aca="false">100*(AH21-AH20)</f>
        <v>2.4588824929106</v>
      </c>
      <c r="AI155" s="22" t="n">
        <f aca="false">100*(AI21-AI20)</f>
        <v>2.56044193838392</v>
      </c>
      <c r="AJ155" s="22" t="n">
        <f aca="false">100*(AJ21-AJ20)</f>
        <v>2.64842966369439</v>
      </c>
      <c r="AK155" s="22" t="n">
        <f aca="false">100*(AK21-AK20)</f>
        <v>2.72438661930341</v>
      </c>
      <c r="AL155" s="22" t="n">
        <f aca="false">100*(AL21-AL20)</f>
        <v>2.78985041515649</v>
      </c>
      <c r="AM155" s="22" t="n">
        <f aca="false">100*(AM21-AM20)</f>
        <v>2.84629772897849</v>
      </c>
      <c r="AN155" s="22" t="n">
        <f aca="false">100*(AN21-AN20)</f>
        <v>2.89511119979737</v>
      </c>
      <c r="AO155" s="22" t="n">
        <f aca="false">100*(AO21-AO20)</f>
        <v>2.9375614312265</v>
      </c>
      <c r="AP155" s="22" t="n">
        <f aca="false">100*(AP21-AP20)</f>
        <v>2.97480523422902</v>
      </c>
      <c r="AQ155" s="22" t="n">
        <f aca="false">100*(AQ21-AQ20)</f>
        <v>3.00787782373382</v>
      </c>
      <c r="AR155" s="22" t="n">
        <f aca="false">100*(AR21-AR20)</f>
        <v>3.0376974693791</v>
      </c>
      <c r="AS155" s="22" t="n">
        <f aca="false">100*(AS21-AS20)</f>
        <v>3.06506292579751</v>
      </c>
      <c r="AT155" s="22" t="n">
        <f aca="false">100*(AT21-AT20)</f>
        <v>3.09065591893059</v>
      </c>
      <c r="AU155" s="22" t="n">
        <f aca="false">100*(AU21-AU20)</f>
        <v>3.11503806535502</v>
      </c>
      <c r="AV155" s="22" t="n">
        <f aca="false">100*(AV21-AV20)</f>
        <v>3.1386569786938</v>
      </c>
      <c r="AW155" s="22" t="n">
        <f aca="false">100*(AW21-AW20)</f>
        <v>3.16185301578091</v>
      </c>
      <c r="AX155" s="22" t="n">
        <f aca="false">100*(AX21-AX20)</f>
        <v>3.18487134605339</v>
      </c>
      <c r="AY155" s="22" t="n">
        <f aca="false">100*(AY21-AY20)</f>
        <v>3.20787780302778</v>
      </c>
      <c r="AZ155" s="22" t="n">
        <f aca="false">100*(AZ21-AZ20)</f>
        <v>3.23097322638248</v>
      </c>
      <c r="BA155" s="22" t="n">
        <f aca="false">100*(BA21-BA20)</f>
        <v>3.2542015892195</v>
      </c>
      <c r="BB155" s="22" t="n">
        <f aca="false">100*(BB21-BB20)</f>
        <v>3.2775594490269</v>
      </c>
      <c r="BC155" s="22" t="n">
        <f aca="false">100*(BC21-BC20)</f>
        <v>3.30101218530787</v>
      </c>
      <c r="BD155" s="22" t="n">
        <f aca="false">100*(BD21-BD20)</f>
        <v>3.32450097390162</v>
      </c>
      <c r="BE155" s="22" t="n">
        <f aca="false">100*(BE21-BE20)</f>
        <v>3.34794573323949</v>
      </c>
      <c r="BF155" s="22" t="n">
        <f aca="false">100*(BF21-BF20)</f>
        <v>3.37124607059423</v>
      </c>
      <c r="BG155" s="22" t="n">
        <f aca="false">100*(BG21-BG20)</f>
        <v>3.39428434303009</v>
      </c>
      <c r="BH155" s="22" t="n">
        <f aca="false">AVERAGE(C155:BG155)</f>
        <v>-0.287915311617539</v>
      </c>
    </row>
    <row r="156" customFormat="false" ht="15" hidden="false" customHeight="false" outlineLevel="0" collapsed="false">
      <c r="A156" s="20" t="n">
        <f aca="false">A22</f>
        <v>-103</v>
      </c>
      <c r="B156" s="21" t="n">
        <f aca="false">B22</f>
        <v>44687</v>
      </c>
      <c r="C156" s="22" t="n">
        <f aca="false">100*(C22-C21)</f>
        <v>-2.53230018832851</v>
      </c>
      <c r="D156" s="22" t="n">
        <f aca="false">100*(D22-D21)</f>
        <v>-2.11408030604641</v>
      </c>
      <c r="E156" s="22" t="n">
        <f aca="false">100*(E22-E21)</f>
        <v>-1.55716605275011</v>
      </c>
      <c r="F156" s="22" t="n">
        <f aca="false">100*(F22-F21)</f>
        <v>-0.936939571040196</v>
      </c>
      <c r="G156" s="22" t="n">
        <f aca="false">100*(G22-G21)</f>
        <v>-0.292212417446813</v>
      </c>
      <c r="H156" s="22" t="n">
        <f aca="false">100*(H22-H21)</f>
        <v>0.354894506013093</v>
      </c>
      <c r="I156" s="22" t="n">
        <f aca="false">100*(I22-I21)</f>
        <v>0.990513473989618</v>
      </c>
      <c r="J156" s="22" t="n">
        <f aca="false">100*(J22-J21)</f>
        <v>1.60525144610228</v>
      </c>
      <c r="K156" s="22" t="n">
        <f aca="false">100*(K22-K21)</f>
        <v>2.19239797922111</v>
      </c>
      <c r="L156" s="22" t="n">
        <f aca="false">100*(L22-L21)</f>
        <v>2.7471955621091</v>
      </c>
      <c r="M156" s="22" t="n">
        <f aca="false">100*(M22-M21)</f>
        <v>3.26648260775881</v>
      </c>
      <c r="N156" s="22" t="n">
        <f aca="false">100*(N22-N21)</f>
        <v>3.74826703857281</v>
      </c>
      <c r="O156" s="22" t="n">
        <f aca="false">100*(O22-O21)</f>
        <v>4.19124296292859</v>
      </c>
      <c r="P156" s="22" t="n">
        <f aca="false">100*(P22-P21)</f>
        <v>4.5948125404349</v>
      </c>
      <c r="Q156" s="22" t="n">
        <f aca="false">100*(Q22-Q21)</f>
        <v>4.95910170593918</v>
      </c>
      <c r="R156" s="22" t="n">
        <f aca="false">100*(R22-R21)</f>
        <v>5.28485045851461</v>
      </c>
      <c r="S156" s="22" t="n">
        <f aca="false">100*(S22-S21)</f>
        <v>5.57360500854569</v>
      </c>
      <c r="T156" s="22" t="n">
        <f aca="false">100*(T22-T21)</f>
        <v>5.8274021923683</v>
      </c>
      <c r="U156" s="22" t="n">
        <f aca="false">100*(U22-U21)</f>
        <v>6.04875862509688</v>
      </c>
      <c r="V156" s="22" t="n">
        <f aca="false">100*(V22-V21)</f>
        <v>6.24035558494311</v>
      </c>
      <c r="W156" s="22" t="n">
        <f aca="false">100*(W22-W21)</f>
        <v>6.4049375909407</v>
      </c>
      <c r="X156" s="22" t="n">
        <f aca="false">100*(X22-X21)</f>
        <v>6.5452997726235</v>
      </c>
      <c r="Y156" s="22" t="n">
        <f aca="false">100*(Y22-Y21)</f>
        <v>6.66426563474252</v>
      </c>
      <c r="Z156" s="22" t="n">
        <f aca="false">100*(Z22-Z21)</f>
        <v>6.76456571616821</v>
      </c>
      <c r="AA156" s="22" t="n">
        <f aca="false">100*(AA22-AA21)</f>
        <v>6.84877060238818</v>
      </c>
      <c r="AB156" s="22" t="n">
        <f aca="false">100*(AB22-AB21)</f>
        <v>6.91927161836898</v>
      </c>
      <c r="AC156" s="22" t="n">
        <f aca="false">100*(AC22-AC21)</f>
        <v>6.97823444550441</v>
      </c>
      <c r="AD156" s="22" t="n">
        <f aca="false">100*(AD22-AD21)</f>
        <v>7.02762564711708</v>
      </c>
      <c r="AE156" s="22" t="n">
        <f aca="false">100*(AE22-AE21)</f>
        <v>7.06924475987392</v>
      </c>
      <c r="AF156" s="22" t="n">
        <f aca="false">100*(AF22-AF21)</f>
        <v>7.10474960085437</v>
      </c>
      <c r="AG156" s="22" t="n">
        <f aca="false">100*(AG22-AG21)</f>
        <v>7.1356670546876</v>
      </c>
      <c r="AH156" s="22" t="n">
        <f aca="false">100*(AH22-AH21)</f>
        <v>7.16334894809889</v>
      </c>
      <c r="AI156" s="22" t="n">
        <f aca="false">100*(AI22-AI21)</f>
        <v>7.18899001751319</v>
      </c>
      <c r="AJ156" s="22" t="n">
        <f aca="false">100*(AJ22-AJ21)</f>
        <v>7.21362808390733</v>
      </c>
      <c r="AK156" s="22" t="n">
        <f aca="false">100*(AK22-AK21)</f>
        <v>7.2381547709591</v>
      </c>
      <c r="AL156" s="22" t="n">
        <f aca="false">100*(AL22-AL21)</f>
        <v>7.26331384497181</v>
      </c>
      <c r="AM156" s="22" t="n">
        <f aca="false">100*(AM22-AM21)</f>
        <v>7.28969101608752</v>
      </c>
      <c r="AN156" s="22" t="n">
        <f aca="false">100*(AN22-AN21)</f>
        <v>7.31771773609582</v>
      </c>
      <c r="AO156" s="22" t="n">
        <f aca="false">100*(AO22-AO21)</f>
        <v>7.3476793137969</v>
      </c>
      <c r="AP156" s="22" t="n">
        <f aca="false">100*(AP22-AP21)</f>
        <v>7.37972849637028</v>
      </c>
      <c r="AQ156" s="22" t="n">
        <f aca="false">100*(AQ22-AQ21)</f>
        <v>7.41389371518677</v>
      </c>
      <c r="AR156" s="22" t="n">
        <f aca="false">100*(AR22-AR21)</f>
        <v>7.45009614290511</v>
      </c>
      <c r="AS156" s="22" t="n">
        <f aca="false">100*(AS22-AS21)</f>
        <v>7.48817206662418</v>
      </c>
      <c r="AT156" s="22" t="n">
        <f aca="false">100*(AT22-AT21)</f>
        <v>7.52789189570531</v>
      </c>
      <c r="AU156" s="22" t="n">
        <f aca="false">100*(AU22-AU21)</f>
        <v>7.5689878368876</v>
      </c>
      <c r="AV156" s="22" t="n">
        <f aca="false">100*(AV22-AV21)</f>
        <v>7.6111696800401</v>
      </c>
      <c r="AW156" s="22" t="n">
        <f aca="false">100*(AW22-AW21)</f>
        <v>7.65414458449598</v>
      </c>
      <c r="AX156" s="22" t="n">
        <f aca="false">100*(AX22-AX21)</f>
        <v>7.69762921186801</v>
      </c>
      <c r="AY156" s="22" t="n">
        <f aca="false">100*(AY22-AY21)</f>
        <v>7.74135985484303</v>
      </c>
      <c r="AZ156" s="22" t="n">
        <f aca="false">100*(AZ22-AZ21)</f>
        <v>7.78509918419301</v>
      </c>
      <c r="BA156" s="22" t="n">
        <f aca="false">100*(BA22-BA21)</f>
        <v>7.8286365836636</v>
      </c>
      <c r="BB156" s="22" t="n">
        <f aca="false">100*(BB22-BB21)</f>
        <v>7.87178792939152</v>
      </c>
      <c r="BC156" s="22" t="n">
        <f aca="false">100*(BC22-BC21)</f>
        <v>7.91439905028413</v>
      </c>
      <c r="BD156" s="22" t="n">
        <f aca="false">100*(BD22-BD21)</f>
        <v>7.95634195848978</v>
      </c>
      <c r="BE156" s="22" t="n">
        <f aca="false">100*(BE22-BE21)</f>
        <v>7.997507575188</v>
      </c>
      <c r="BF156" s="22" t="n">
        <f aca="false">100*(BF22-BF21)</f>
        <v>8.03779719374189</v>
      </c>
      <c r="BG156" s="22" t="n">
        <f aca="false">100*(BG22-BG21)</f>
        <v>8.0771167258086</v>
      </c>
      <c r="BH156" s="22" t="n">
        <f aca="false">AVERAGE(C156:BG156)</f>
        <v>5.66104121083005</v>
      </c>
    </row>
    <row r="157" customFormat="false" ht="15" hidden="false" customHeight="false" outlineLevel="0" collapsed="false">
      <c r="A157" s="20" t="n">
        <f aca="false">A23</f>
        <v>-102</v>
      </c>
      <c r="B157" s="21" t="n">
        <f aca="false">B23</f>
        <v>44690</v>
      </c>
      <c r="C157" s="22" t="n">
        <f aca="false">100*(C23-C22)</f>
        <v>-11.6569694773816</v>
      </c>
      <c r="D157" s="22" t="n">
        <f aca="false">100*(D23-D22)</f>
        <v>-11.345912870794</v>
      </c>
      <c r="E157" s="22" t="n">
        <f aca="false">100*(E23-E22)</f>
        <v>-10.9071662481804</v>
      </c>
      <c r="F157" s="22" t="n">
        <f aca="false">100*(F23-F22)</f>
        <v>-10.4336555792663</v>
      </c>
      <c r="G157" s="22" t="n">
        <f aca="false">100*(G23-G22)</f>
        <v>-9.95712006028309</v>
      </c>
      <c r="H157" s="22" t="n">
        <f aca="false">100*(H23-H22)</f>
        <v>-9.48817130132911</v>
      </c>
      <c r="I157" s="22" t="n">
        <f aca="false">100*(I23-I22)</f>
        <v>-9.02976300982221</v>
      </c>
      <c r="J157" s="22" t="n">
        <f aca="false">100*(J23-J22)</f>
        <v>-8.58240093946741</v>
      </c>
      <c r="K157" s="22" t="n">
        <f aca="false">100*(K23-K22)</f>
        <v>-8.14617888382352</v>
      </c>
      <c r="L157" s="22" t="n">
        <f aca="false">100*(L23-L22)</f>
        <v>-7.72179258525279</v>
      </c>
      <c r="M157" s="22" t="n">
        <f aca="false">100*(M23-M22)</f>
        <v>-7.31070195396391</v>
      </c>
      <c r="N157" s="22" t="n">
        <f aca="false">100*(N23-N22)</f>
        <v>-6.91496818373409</v>
      </c>
      <c r="O157" s="22" t="n">
        <f aca="false">100*(O23-O22)</f>
        <v>-6.5369316779422</v>
      </c>
      <c r="P157" s="22" t="n">
        <f aca="false">100*(P23-P22)</f>
        <v>-6.17882881222089</v>
      </c>
      <c r="Q157" s="22" t="n">
        <f aca="false">100*(Q23-Q22)</f>
        <v>-5.842591389817</v>
      </c>
      <c r="R157" s="22" t="n">
        <f aca="false">100*(R23-R22)</f>
        <v>-5.52964916823482</v>
      </c>
      <c r="S157" s="22" t="n">
        <f aca="false">100*(S23-S22)</f>
        <v>-5.24087680873329</v>
      </c>
      <c r="T157" s="22" t="n">
        <f aca="false">100*(T23-T22)</f>
        <v>-4.97662761571047</v>
      </c>
      <c r="U157" s="22" t="n">
        <f aca="false">100*(U23-U22)</f>
        <v>-4.7367331252933</v>
      </c>
      <c r="V157" s="22" t="n">
        <f aca="false">100*(V23-V22)</f>
        <v>-4.5206855655056</v>
      </c>
      <c r="W157" s="22" t="n">
        <f aca="false">100*(W23-W22)</f>
        <v>-4.3277315459993</v>
      </c>
      <c r="X157" s="22" t="n">
        <f aca="false">100*(X23-X22)</f>
        <v>-4.15692116443251</v>
      </c>
      <c r="Y157" s="22" t="n">
        <f aca="false">100*(Y23-Y22)</f>
        <v>-4.00714922054841</v>
      </c>
      <c r="Z157" s="22" t="n">
        <f aca="false">100*(Z23-Z22)</f>
        <v>-3.87721726548111</v>
      </c>
      <c r="AA157" s="22" t="n">
        <f aca="false">100*(AA23-AA22)</f>
        <v>-3.76584625500418</v>
      </c>
      <c r="AB157" s="22" t="n">
        <f aca="false">100*(AB23-AB22)</f>
        <v>-3.67164016344659</v>
      </c>
      <c r="AC157" s="22" t="n">
        <f aca="false">100*(AC23-AC22)</f>
        <v>-3.59315665580913</v>
      </c>
      <c r="AD157" s="22" t="n">
        <f aca="false">100*(AD23-AD22)</f>
        <v>-3.52894015480487</v>
      </c>
      <c r="AE157" s="22" t="n">
        <f aca="false">100*(AE23-AE22)</f>
        <v>-3.47752424018708</v>
      </c>
      <c r="AF157" s="22" t="n">
        <f aca="false">100*(AF23-AF22)</f>
        <v>-3.43743329162027</v>
      </c>
      <c r="AG157" s="22" t="n">
        <f aca="false">100*(AG23-AG22)</f>
        <v>-3.40719164202361</v>
      </c>
      <c r="AH157" s="22" t="n">
        <f aca="false">100*(AH23-AH22)</f>
        <v>-3.38539469301717</v>
      </c>
      <c r="AI157" s="22" t="n">
        <f aca="false">100*(AI23-AI22)</f>
        <v>-3.37072070391038</v>
      </c>
      <c r="AJ157" s="22" t="n">
        <f aca="false">100*(AJ23-AJ22)</f>
        <v>-3.36192989051751</v>
      </c>
      <c r="AK157" s="22" t="n">
        <f aca="false">100*(AK23-AK22)</f>
        <v>-3.3578665187123</v>
      </c>
      <c r="AL157" s="22" t="n">
        <f aca="false">100*(AL23-AL22)</f>
        <v>-3.357469079147</v>
      </c>
      <c r="AM157" s="22" t="n">
        <f aca="false">100*(AM23-AM22)</f>
        <v>-3.3597889995109</v>
      </c>
      <c r="AN157" s="22" t="n">
        <f aca="false">100*(AN23-AN22)</f>
        <v>-3.36399512402088</v>
      </c>
      <c r="AO157" s="22" t="n">
        <f aca="false">100*(AO23-AO22)</f>
        <v>-3.36937204051999</v>
      </c>
      <c r="AP157" s="22" t="n">
        <f aca="false">100*(AP23-AP22)</f>
        <v>-3.37531661664099</v>
      </c>
      <c r="AQ157" s="22" t="n">
        <f aca="false">100*(AQ23-AQ22)</f>
        <v>-3.38133973481907</v>
      </c>
      <c r="AR157" s="22" t="n">
        <f aca="false">100*(AR23-AR22)</f>
        <v>-3.38706045214581</v>
      </c>
      <c r="AS157" s="22" t="n">
        <f aca="false">100*(AS23-AS22)</f>
        <v>-3.39220653233179</v>
      </c>
      <c r="AT157" s="22" t="n">
        <f aca="false">100*(AT23-AT22)</f>
        <v>-3.39660695227999</v>
      </c>
      <c r="AU157" s="22" t="n">
        <f aca="false">100*(AU23-AU22)</f>
        <v>-3.4001825169538</v>
      </c>
      <c r="AV157" s="22" t="n">
        <f aca="false">100*(AV23-AV22)</f>
        <v>-3.40293377608409</v>
      </c>
      <c r="AW157" s="22" t="n">
        <f aca="false">100*(AW23-AW22)</f>
        <v>-3.40492404072079</v>
      </c>
      <c r="AX157" s="22" t="n">
        <f aca="false">100*(AX23-AX22)</f>
        <v>-3.4062664430861</v>
      </c>
      <c r="AY157" s="22" t="n">
        <f aca="false">100*(AY23-AY22)</f>
        <v>-3.4071059799051</v>
      </c>
      <c r="AZ157" s="22" t="n">
        <f aca="false">100*(AZ23-AZ22)</f>
        <v>-3.40759571904199</v>
      </c>
      <c r="BA157" s="22" t="n">
        <f aca="false">100*(BA23-BA22)</f>
        <v>-3.4078901883714</v>
      </c>
      <c r="BB157" s="22" t="n">
        <f aca="false">100*(BB23-BB22)</f>
        <v>-3.40813835683553</v>
      </c>
      <c r="BC157" s="22" t="n">
        <f aca="false">100*(BC23-BC22)</f>
        <v>-3.40846609024563</v>
      </c>
      <c r="BD157" s="22" t="n">
        <f aca="false">100*(BD23-BD22)</f>
        <v>-3.40897132668179</v>
      </c>
      <c r="BE157" s="22" t="n">
        <f aca="false">100*(BE23-BE22)</f>
        <v>-3.4097238584526</v>
      </c>
      <c r="BF157" s="22" t="n">
        <f aca="false">100*(BF23-BF22)</f>
        <v>-3.41076779650691</v>
      </c>
      <c r="BG157" s="22" t="n">
        <f aca="false">100*(BG23-BG22)</f>
        <v>-3.41212123728321</v>
      </c>
      <c r="BH157" s="22" t="n">
        <f aca="false">AVERAGE(C157:BG157)</f>
        <v>-4.99057248287466</v>
      </c>
    </row>
    <row r="158" customFormat="false" ht="15" hidden="false" customHeight="false" outlineLevel="0" collapsed="false">
      <c r="A158" s="20" t="n">
        <f aca="false">A24</f>
        <v>-101</v>
      </c>
      <c r="B158" s="21" t="n">
        <f aca="false">B24</f>
        <v>44691</v>
      </c>
      <c r="C158" s="22" t="n">
        <f aca="false">100*(C24-C23)</f>
        <v>-6.73509807013011</v>
      </c>
      <c r="D158" s="22" t="n">
        <f aca="false">100*(D24-D23)</f>
        <v>-7.2162439375939</v>
      </c>
      <c r="E158" s="22" t="n">
        <f aca="false">100*(E24-E23)</f>
        <v>-7.61245640192079</v>
      </c>
      <c r="F158" s="22" t="n">
        <f aca="false">100*(F24-F23)</f>
        <v>-7.99598016459939</v>
      </c>
      <c r="G158" s="22" t="n">
        <f aca="false">100*(G24-G23)</f>
        <v>-8.38093038500891</v>
      </c>
      <c r="H158" s="22" t="n">
        <f aca="false">100*(H24-H23)</f>
        <v>-8.76122902886258</v>
      </c>
      <c r="I158" s="22" t="n">
        <f aca="false">100*(I24-I23)</f>
        <v>-9.124823761454</v>
      </c>
      <c r="J158" s="22" t="n">
        <f aca="false">100*(J24-J23)</f>
        <v>-9.4598059047925</v>
      </c>
      <c r="K158" s="22" t="n">
        <f aca="false">100*(K24-K23)</f>
        <v>-9.7568407428686</v>
      </c>
      <c r="L158" s="22" t="n">
        <f aca="false">100*(L24-L23)</f>
        <v>-10.0102357177481</v>
      </c>
      <c r="M158" s="22" t="n">
        <f aca="false">100*(M24-M23)</f>
        <v>-10.2177934017237</v>
      </c>
      <c r="N158" s="22" t="n">
        <f aca="false">100*(N24-N23)</f>
        <v>-10.380276800439</v>
      </c>
      <c r="O158" s="22" t="n">
        <f aca="false">100*(O24-O23)</f>
        <v>-10.500658937487</v>
      </c>
      <c r="P158" s="22" t="n">
        <f aca="false">100*(P24-P23)</f>
        <v>-10.5833003084972</v>
      </c>
      <c r="Q158" s="22" t="n">
        <f aca="false">100*(Q24-Q23)</f>
        <v>-10.6334305158012</v>
      </c>
      <c r="R158" s="22" t="n">
        <f aca="false">100*(R24-R23)</f>
        <v>-10.6566790846218</v>
      </c>
      <c r="S158" s="22" t="n">
        <f aca="false">100*(S24-S23)</f>
        <v>-10.6587184845841</v>
      </c>
      <c r="T158" s="22" t="n">
        <f aca="false">100*(T24-T23)</f>
        <v>-10.6450799375256</v>
      </c>
      <c r="U158" s="22" t="n">
        <f aca="false">100*(U24-U23)</f>
        <v>-10.6209364645652</v>
      </c>
      <c r="V158" s="22" t="n">
        <f aca="false">100*(V24-V23)</f>
        <v>-10.590611017932</v>
      </c>
      <c r="W158" s="22" t="n">
        <f aca="false">100*(W24-W23)</f>
        <v>-10.5576687053695</v>
      </c>
      <c r="X158" s="22" t="n">
        <f aca="false">100*(X24-X23)</f>
        <v>-10.5250679091593</v>
      </c>
      <c r="Y158" s="22" t="n">
        <f aca="false">100*(Y24-Y23)</f>
        <v>-10.495185511508</v>
      </c>
      <c r="Z158" s="22" t="n">
        <f aca="false">100*(Z24-Z23)</f>
        <v>-10.4695445062586</v>
      </c>
      <c r="AA158" s="22" t="n">
        <f aca="false">100*(AA24-AA23)</f>
        <v>-10.4488223463057</v>
      </c>
      <c r="AB158" s="22" t="n">
        <f aca="false">100*(AB24-AB23)</f>
        <v>-10.433105957612</v>
      </c>
      <c r="AC158" s="22" t="n">
        <f aca="false">100*(AC24-AC23)</f>
        <v>-10.4221711607893</v>
      </c>
      <c r="AD158" s="22" t="n">
        <f aca="false">100*(AD24-AD23)</f>
        <v>-10.4155987549077</v>
      </c>
      <c r="AE158" s="22" t="n">
        <f aca="false">100*(AE24-AE23)</f>
        <v>-10.4128064218348</v>
      </c>
      <c r="AF158" s="22" t="n">
        <f aca="false">100*(AF24-AF23)</f>
        <v>-10.4130734409637</v>
      </c>
      <c r="AG158" s="22" t="n">
        <f aca="false">100*(AG24-AG23)</f>
        <v>-10.4155754473372</v>
      </c>
      <c r="AH158" s="22" t="n">
        <f aca="false">100*(AH24-AH23)</f>
        <v>-10.4195437732125</v>
      </c>
      <c r="AI158" s="22" t="n">
        <f aca="false">100*(AI24-AI23)</f>
        <v>-10.424300546991</v>
      </c>
      <c r="AJ158" s="22" t="n">
        <f aca="false">100*(AJ24-AJ23)</f>
        <v>-10.4292287082239</v>
      </c>
      <c r="AK158" s="22" t="n">
        <f aca="false">100*(AK24-AK23)</f>
        <v>-10.4337726411929</v>
      </c>
      <c r="AL158" s="22" t="n">
        <f aca="false">100*(AL24-AL23)</f>
        <v>-10.4374356516123</v>
      </c>
      <c r="AM158" s="22" t="n">
        <f aca="false">100*(AM24-AM23)</f>
        <v>-10.43977926282</v>
      </c>
      <c r="AN158" s="22" t="n">
        <f aca="false">100*(AN24-AN23)</f>
        <v>-10.4404231051265</v>
      </c>
      <c r="AO158" s="22" t="n">
        <f aca="false">100*(AO24-AO23)</f>
        <v>-10.4390432850787</v>
      </c>
      <c r="AP158" s="22" t="n">
        <f aca="false">100*(AP24-AP23)</f>
        <v>-10.4353701406294</v>
      </c>
      <c r="AQ158" s="22" t="n">
        <f aca="false">100*(AQ24-AQ23)</f>
        <v>-10.4291886340925</v>
      </c>
      <c r="AR158" s="22" t="n">
        <f aca="false">100*(AR24-AR23)</f>
        <v>-10.420333775863</v>
      </c>
      <c r="AS158" s="22" t="n">
        <f aca="false">100*(AS24-AS23)</f>
        <v>-10.408686833683</v>
      </c>
      <c r="AT158" s="22" t="n">
        <f aca="false">100*(AT24-AT23)</f>
        <v>-10.3941723586692</v>
      </c>
      <c r="AU158" s="22" t="n">
        <f aca="false">100*(AU24-AU23)</f>
        <v>-10.3767571315148</v>
      </c>
      <c r="AV158" s="22" t="n">
        <f aca="false">100*(AV24-AV23)</f>
        <v>-10.3564468628084</v>
      </c>
      <c r="AW158" s="22" t="n">
        <f aca="false">100*(AW24-AW23)</f>
        <v>-10.3332824520842</v>
      </c>
      <c r="AX158" s="22" t="n">
        <f aca="false">100*(AX24-AX23)</f>
        <v>-10.3073346580886</v>
      </c>
      <c r="AY158" s="22" t="n">
        <f aca="false">100*(AY24-AY23)</f>
        <v>-10.2786987781022</v>
      </c>
      <c r="AZ158" s="22" t="n">
        <f aca="false">100*(AZ24-AZ23)</f>
        <v>-10.247492166312</v>
      </c>
      <c r="BA158" s="22" t="n">
        <f aca="false">100*(BA24-BA23)</f>
        <v>-10.2138521114548</v>
      </c>
      <c r="BB158" s="22" t="n">
        <f aca="false">100*(BB24-BB23)</f>
        <v>-10.1779340774774</v>
      </c>
      <c r="BC158" s="22" t="n">
        <f aca="false">100*(BC24-BC23)</f>
        <v>-10.1399105331515</v>
      </c>
      <c r="BD158" s="22" t="n">
        <f aca="false">100*(BD24-BD23)</f>
        <v>-10.0999711304893</v>
      </c>
      <c r="BE158" s="22" t="n">
        <f aca="false">100*(BE24-BE23)</f>
        <v>-10.0583235499838</v>
      </c>
      <c r="BF158" s="22" t="n">
        <f aca="false">100*(BF24-BF23)</f>
        <v>-10.0151935893326</v>
      </c>
      <c r="BG158" s="22" t="n">
        <f aca="false">100*(BG24-BG23)</f>
        <v>-9.97082558615281</v>
      </c>
      <c r="BH158" s="22" t="n">
        <f aca="false">AVERAGE(C158:BG158)</f>
        <v>-10.0645096591991</v>
      </c>
    </row>
    <row r="159" customFormat="false" ht="15" hidden="false" customHeight="false" outlineLevel="0" collapsed="false">
      <c r="A159" s="20" t="n">
        <f aca="false">A25</f>
        <v>-100</v>
      </c>
      <c r="B159" s="21" t="n">
        <f aca="false">B25</f>
        <v>44692</v>
      </c>
      <c r="C159" s="22" t="n">
        <f aca="false">100*(C25-C24)</f>
        <v>0.0518501817257988</v>
      </c>
      <c r="D159" s="22" t="n">
        <f aca="false">100*(D25-D24)</f>
        <v>-0.387946623412683</v>
      </c>
      <c r="E159" s="22" t="n">
        <f aca="false">100*(E25-E24)</f>
        <v>-0.494834925640597</v>
      </c>
      <c r="F159" s="22" t="n">
        <f aca="false">100*(F25-F24)</f>
        <v>-0.420758780893404</v>
      </c>
      <c r="G159" s="22" t="n">
        <f aca="false">100*(G25-G24)</f>
        <v>-0.2496404540276</v>
      </c>
      <c r="H159" s="22" t="n">
        <f aca="false">100*(H25-H24)</f>
        <v>-0.0300545115629047</v>
      </c>
      <c r="I159" s="22" t="n">
        <f aca="false">100*(I25-I24)</f>
        <v>0.209350829750399</v>
      </c>
      <c r="J159" s="22" t="n">
        <f aca="false">100*(J25-J24)</f>
        <v>0.451642282082099</v>
      </c>
      <c r="K159" s="22" t="n">
        <f aca="false">100*(K25-K24)</f>
        <v>0.687128538770709</v>
      </c>
      <c r="L159" s="22" t="n">
        <f aca="false">100*(L25-L24)</f>
        <v>0.910784190048997</v>
      </c>
      <c r="M159" s="22" t="n">
        <f aca="false">100*(M25-M24)</f>
        <v>1.12063216964922</v>
      </c>
      <c r="N159" s="22" t="n">
        <f aca="false">100*(N25-N24)</f>
        <v>1.31683247155949</v>
      </c>
      <c r="O159" s="22" t="n">
        <f aca="false">100*(O25-O24)</f>
        <v>1.5010591385906</v>
      </c>
      <c r="P159" s="22" t="n">
        <f aca="false">100*(P25-P24)</f>
        <v>1.67565117409669</v>
      </c>
      <c r="Q159" s="22" t="n">
        <f aca="false">100*(Q25-Q24)</f>
        <v>1.843040282689</v>
      </c>
      <c r="R159" s="22" t="n">
        <f aca="false">100*(R25-R24)</f>
        <v>2.00531967581712</v>
      </c>
      <c r="S159" s="22" t="n">
        <f aca="false">100*(S25-S24)</f>
        <v>2.1640070353997</v>
      </c>
      <c r="T159" s="22" t="n">
        <f aca="false">100*(T25-T24)</f>
        <v>2.3199669389165</v>
      </c>
      <c r="U159" s="22" t="n">
        <f aca="false">100*(U25-U24)</f>
        <v>2.47351681506109</v>
      </c>
      <c r="V159" s="22" t="n">
        <f aca="false">100*(V25-V24)</f>
        <v>2.6246805332274</v>
      </c>
      <c r="W159" s="22" t="n">
        <f aca="false">100*(W25-W24)</f>
        <v>2.77326625396541</v>
      </c>
      <c r="X159" s="22" t="n">
        <f aca="false">100*(X25-X24)</f>
        <v>2.91890979455762</v>
      </c>
      <c r="Y159" s="22" t="n">
        <f aca="false">100*(Y25-Y24)</f>
        <v>3.06114389873637</v>
      </c>
      <c r="Z159" s="22" t="n">
        <f aca="false">100*(Z25-Z24)</f>
        <v>3.199549052915</v>
      </c>
      <c r="AA159" s="22" t="n">
        <f aca="false">100*(AA25-AA24)</f>
        <v>3.33377142275793</v>
      </c>
      <c r="AB159" s="22" t="n">
        <f aca="false">100*(AB25-AB24)</f>
        <v>3.46345003843913</v>
      </c>
      <c r="AC159" s="22" t="n">
        <f aca="false">100*(AC25-AC24)</f>
        <v>3.5882462220294</v>
      </c>
      <c r="AD159" s="22" t="n">
        <f aca="false">100*(AD25-AD24)</f>
        <v>3.70787123816672</v>
      </c>
      <c r="AE159" s="22" t="n">
        <f aca="false">100*(AE25-AE24)</f>
        <v>3.82207982581742</v>
      </c>
      <c r="AF159" s="22" t="n">
        <f aca="false">100*(AF25-AF24)</f>
        <v>3.93066361125669</v>
      </c>
      <c r="AG159" s="22" t="n">
        <f aca="false">100*(AG25-AG24)</f>
        <v>4.03344450032339</v>
      </c>
      <c r="AH159" s="22" t="n">
        <f aca="false">100*(AH25-AH24)</f>
        <v>4.1302852097894</v>
      </c>
      <c r="AI159" s="22" t="n">
        <f aca="false">100*(AI25-AI24)</f>
        <v>4.22111774085718</v>
      </c>
      <c r="AJ159" s="22" t="n">
        <f aca="false">100*(AJ25-AJ24)</f>
        <v>4.30596958761838</v>
      </c>
      <c r="AK159" s="22" t="n">
        <f aca="false">100*(AK25-AK24)</f>
        <v>4.38497212470397</v>
      </c>
      <c r="AL159" s="22" t="n">
        <f aca="false">100*(AL25-AL24)</f>
        <v>4.45835642937409</v>
      </c>
      <c r="AM159" s="22" t="n">
        <f aca="false">100*(AM25-AM24)</f>
        <v>4.52645403154919</v>
      </c>
      <c r="AN159" s="22" t="n">
        <f aca="false">100*(AN25-AN24)</f>
        <v>4.58968381219691</v>
      </c>
      <c r="AO159" s="22" t="n">
        <f aca="false">100*(AO25-AO24)</f>
        <v>4.64853916669403</v>
      </c>
      <c r="AP159" s="22" t="n">
        <f aca="false">100*(AP25-AP24)</f>
        <v>4.70357534844119</v>
      </c>
      <c r="AQ159" s="22" t="n">
        <f aca="false">100*(AQ25-AQ24)</f>
        <v>4.7553960172813</v>
      </c>
      <c r="AR159" s="22" t="n">
        <f aca="false">100*(AR25-AR24)</f>
        <v>4.80463717879549</v>
      </c>
      <c r="AS159" s="22" t="n">
        <f aca="false">100*(AS25-AS24)</f>
        <v>4.8519388038974</v>
      </c>
      <c r="AT159" s="22" t="n">
        <f aca="false">100*(AT25-AT24)</f>
        <v>4.89792757946241</v>
      </c>
      <c r="AU159" s="22" t="n">
        <f aca="false">100*(AU25-AU24)</f>
        <v>4.94319267687078</v>
      </c>
      <c r="AV159" s="22" t="n">
        <f aca="false">100*(AV25-AV24)</f>
        <v>4.98827658029239</v>
      </c>
      <c r="AW159" s="22" t="n">
        <f aca="false">100*(AW25-AW24)</f>
        <v>5.03366274154162</v>
      </c>
      <c r="AX159" s="22" t="n">
        <f aca="false">100*(AX25-AX24)</f>
        <v>5.07977473013059</v>
      </c>
      <c r="AY159" s="22" t="n">
        <f aca="false">100*(AY25-AY24)</f>
        <v>5.12697358921379</v>
      </c>
      <c r="AZ159" s="22" t="n">
        <f aca="false">100*(AZ25-AZ24)</f>
        <v>5.17554827261799</v>
      </c>
      <c r="BA159" s="22" t="n">
        <f aca="false">100*(BA25-BA24)</f>
        <v>5.22571828072342</v>
      </c>
      <c r="BB159" s="22" t="n">
        <f aca="false">100*(BB25-BB24)</f>
        <v>5.27763507534278</v>
      </c>
      <c r="BC159" s="22" t="n">
        <f aca="false">100*(BC25-BC24)</f>
        <v>5.3313752518684</v>
      </c>
      <c r="BD159" s="22" t="n">
        <f aca="false">100*(BD25-BD24)</f>
        <v>5.38693990304981</v>
      </c>
      <c r="BE159" s="22" t="n">
        <f aca="false">100*(BE25-BE24)</f>
        <v>5.4442554321251</v>
      </c>
      <c r="BF159" s="22" t="n">
        <f aca="false">100*(BF25-BF24)</f>
        <v>5.50317491639438</v>
      </c>
      <c r="BG159" s="22" t="n">
        <f aca="false">100*(BG25-BG24)</f>
        <v>5.5634802437277</v>
      </c>
      <c r="BH159" s="22" t="n">
        <f aca="false">AVERAGE(C159:BG159)</f>
        <v>3.24497339553285</v>
      </c>
    </row>
    <row r="160" customFormat="false" ht="15" hidden="false" customHeight="false" outlineLevel="0" collapsed="false">
      <c r="A160" s="20" t="n">
        <f aca="false">A26</f>
        <v>-99</v>
      </c>
      <c r="B160" s="21" t="n">
        <f aca="false">B26</f>
        <v>44693</v>
      </c>
      <c r="C160" s="22" t="n">
        <f aca="false">100*(C26-C25)</f>
        <v>-11.1898455765645</v>
      </c>
      <c r="D160" s="22" t="n">
        <f aca="false">100*(D26-D25)</f>
        <v>-11.881609463365</v>
      </c>
      <c r="E160" s="22" t="n">
        <f aca="false">100*(E26-E25)</f>
        <v>-12.4746481548295</v>
      </c>
      <c r="F160" s="22" t="n">
        <f aca="false">100*(F26-F25)</f>
        <v>-13.0296504374312</v>
      </c>
      <c r="G160" s="22" t="n">
        <f aca="false">100*(G26-G25)</f>
        <v>-13.5585989791286</v>
      </c>
      <c r="H160" s="22" t="n">
        <f aca="false">100*(H26-H25)</f>
        <v>-14.0591032142717</v>
      </c>
      <c r="I160" s="22" t="n">
        <f aca="false">100*(I26-I25)</f>
        <v>-14.5239135354602</v>
      </c>
      <c r="J160" s="22" t="n">
        <f aca="false">100*(J26-J25)</f>
        <v>-14.9450516146396</v>
      </c>
      <c r="K160" s="22" t="n">
        <f aca="false">100*(K26-K25)</f>
        <v>-15.3159147087287</v>
      </c>
      <c r="L160" s="22" t="n">
        <f aca="false">100*(L26-L25)</f>
        <v>-15.6324530769756</v>
      </c>
      <c r="M160" s="22" t="n">
        <f aca="false">100*(M26-M25)</f>
        <v>-15.8931601477475</v>
      </c>
      <c r="N160" s="22" t="n">
        <f aca="false">100*(N26-N25)</f>
        <v>-16.0987127414354</v>
      </c>
      <c r="O160" s="22" t="n">
        <f aca="false">100*(O26-O25)</f>
        <v>-16.2515278956286</v>
      </c>
      <c r="P160" s="22" t="n">
        <f aca="false">100*(P26-P25)</f>
        <v>-16.3553362647632</v>
      </c>
      <c r="Q160" s="22" t="n">
        <f aca="false">100*(Q26-Q25)</f>
        <v>-16.414839190562</v>
      </c>
      <c r="R160" s="22" t="n">
        <f aca="false">100*(R26-R25)</f>
        <v>-16.4353332503229</v>
      </c>
      <c r="S160" s="22" t="n">
        <f aca="false">100*(S26-S25)</f>
        <v>-16.422316470629</v>
      </c>
      <c r="T160" s="22" t="n">
        <f aca="false">100*(T26-T25)</f>
        <v>-16.381211823894</v>
      </c>
      <c r="U160" s="22" t="n">
        <f aca="false">100*(U26-U25)</f>
        <v>-16.3171899432662</v>
      </c>
      <c r="V160" s="22" t="n">
        <f aca="false">100*(V26-V25)</f>
        <v>-16.2348950804358</v>
      </c>
      <c r="W160" s="22" t="n">
        <f aca="false">100*(W26-W25)</f>
        <v>-16.1385116889994</v>
      </c>
      <c r="X160" s="22" t="n">
        <f aca="false">100*(X26-X25)</f>
        <v>-16.0318560029078</v>
      </c>
      <c r="Y160" s="22" t="n">
        <f aca="false">100*(Y26-Y25)</f>
        <v>-15.9183816007046</v>
      </c>
      <c r="Z160" s="22" t="n">
        <f aca="false">100*(Z26-Z25)</f>
        <v>-15.8009950562878</v>
      </c>
      <c r="AA160" s="22" t="n">
        <f aca="false">100*(AA26-AA25)</f>
        <v>-15.6820707438316</v>
      </c>
      <c r="AB160" s="22" t="n">
        <f aca="false">100*(AB26-AB25)</f>
        <v>-15.5635891486039</v>
      </c>
      <c r="AC160" s="22" t="n">
        <f aca="false">100*(AC26-AC25)</f>
        <v>-15.4471573854559</v>
      </c>
      <c r="AD160" s="22" t="n">
        <f aca="false">100*(AD26-AD25)</f>
        <v>-15.3340326415307</v>
      </c>
      <c r="AE160" s="22" t="n">
        <f aca="false">100*(AE26-AE25)</f>
        <v>-15.2251754147619</v>
      </c>
      <c r="AF160" s="22" t="n">
        <f aca="false">100*(AF26-AF25)</f>
        <v>-15.1212944667845</v>
      </c>
      <c r="AG160" s="22" t="n">
        <f aca="false">100*(AG26-AG25)</f>
        <v>-15.0228847629037</v>
      </c>
      <c r="AH160" s="22" t="n">
        <f aca="false">100*(AH26-AH25)</f>
        <v>-14.9302423296059</v>
      </c>
      <c r="AI160" s="22" t="n">
        <f aca="false">100*(AI26-AI25)</f>
        <v>-14.843478018322</v>
      </c>
      <c r="AJ160" s="22" t="n">
        <f aca="false">100*(AJ26-AJ25)</f>
        <v>-14.7625729248254</v>
      </c>
      <c r="AK160" s="22" t="n">
        <f aca="false">100*(AK26-AK25)</f>
        <v>-14.6874058228094</v>
      </c>
      <c r="AL160" s="22" t="n">
        <f aca="false">100*(AL26-AL25)</f>
        <v>-14.6177839222363</v>
      </c>
      <c r="AM160" s="22" t="n">
        <f aca="false">100*(AM26-AM25)</f>
        <v>-14.5534749377309</v>
      </c>
      <c r="AN160" s="22" t="n">
        <f aca="false">100*(AN26-AN25)</f>
        <v>-14.4942149773388</v>
      </c>
      <c r="AO160" s="22" t="n">
        <f aca="false">100*(AO26-AO25)</f>
        <v>-14.4397119896935</v>
      </c>
      <c r="AP160" s="22" t="n">
        <f aca="false">100*(AP26-AP25)</f>
        <v>-14.3896481712162</v>
      </c>
      <c r="AQ160" s="22" t="n">
        <f aca="false">100*(AQ26-AQ25)</f>
        <v>-14.3436823860456</v>
      </c>
      <c r="AR160" s="22" t="n">
        <f aca="false">100*(AR26-AR25)</f>
        <v>-14.3014560390549</v>
      </c>
      <c r="AS160" s="22" t="n">
        <f aca="false">100*(AS26-AS25)</f>
        <v>-14.2626034252225</v>
      </c>
      <c r="AT160" s="22" t="n">
        <f aca="false">100*(AT26-AT25)</f>
        <v>-14.2267604998511</v>
      </c>
      <c r="AU160" s="22" t="n">
        <f aca="false">100*(AU26-AU25)</f>
        <v>-14.1935788616176</v>
      </c>
      <c r="AV160" s="22" t="n">
        <f aca="false">100*(AV26-AV25)</f>
        <v>-14.1627325445114</v>
      </c>
      <c r="AW160" s="22" t="n">
        <f aca="false">100*(AW26-AW25)</f>
        <v>-14.1339287806906</v>
      </c>
      <c r="AX160" s="22" t="n">
        <f aca="false">100*(AX26-AX25)</f>
        <v>-14.1069109889282</v>
      </c>
      <c r="AY160" s="22" t="n">
        <f aca="false">100*(AY26-AY25)</f>
        <v>-14.0814592121499</v>
      </c>
      <c r="AZ160" s="22" t="n">
        <f aca="false">100*(AZ26-AZ25)</f>
        <v>-14.0573873040126</v>
      </c>
      <c r="BA160" s="22" t="n">
        <f aca="false">100*(BA26-BA25)</f>
        <v>-14.0345396109883</v>
      </c>
      <c r="BB160" s="22" t="n">
        <f aca="false">100*(BB26-BB25)</f>
        <v>-14.0127867656937</v>
      </c>
      <c r="BC160" s="22" t="n">
        <f aca="false">100*(BC26-BC25)</f>
        <v>-13.9920198182558</v>
      </c>
      <c r="BD160" s="22" t="n">
        <f aca="false">100*(BD26-BD25)</f>
        <v>-13.9721479870341</v>
      </c>
      <c r="BE160" s="22" t="n">
        <f aca="false">100*(BE26-BE25)</f>
        <v>-13.953097975545</v>
      </c>
      <c r="BF160" s="22" t="n">
        <f aca="false">100*(BF26-BF25)</f>
        <v>-13.9348150058214</v>
      </c>
      <c r="BG160" s="22" t="n">
        <f aca="false">100*(BG26-BG25)</f>
        <v>-13.9172609497999</v>
      </c>
      <c r="BH160" s="22" t="n">
        <f aca="false">AVERAGE(C160:BG160)</f>
        <v>-14.7738063461728</v>
      </c>
    </row>
    <row r="161" customFormat="false" ht="15" hidden="false" customHeight="false" outlineLevel="0" collapsed="false">
      <c r="A161" s="20" t="n">
        <f aca="false">A27</f>
        <v>-98</v>
      </c>
      <c r="B161" s="21" t="n">
        <f aca="false">B27</f>
        <v>44694</v>
      </c>
      <c r="C161" s="22" t="n">
        <f aca="false">100*(C27-C26)</f>
        <v>3.7046506122326</v>
      </c>
      <c r="D161" s="22" t="n">
        <f aca="false">100*(D27-D26)</f>
        <v>3.6345708867771</v>
      </c>
      <c r="E161" s="22" t="n">
        <f aca="false">100*(E27-E26)</f>
        <v>3.6277677817351</v>
      </c>
      <c r="F161" s="22" t="n">
        <f aca="false">100*(F27-F26)</f>
        <v>3.66776605718959</v>
      </c>
      <c r="G161" s="22" t="n">
        <f aca="false">100*(G27-G26)</f>
        <v>3.73810294898689</v>
      </c>
      <c r="H161" s="22" t="n">
        <f aca="false">100*(H27-H26)</f>
        <v>3.825559815492</v>
      </c>
      <c r="I161" s="22" t="n">
        <f aca="false">100*(I27-I26)</f>
        <v>3.920218063701</v>
      </c>
      <c r="J161" s="22" t="n">
        <f aca="false">100*(J27-J26)</f>
        <v>4.0146471953241</v>
      </c>
      <c r="K161" s="22" t="n">
        <f aca="false">100*(K27-K26)</f>
        <v>4.103535125744</v>
      </c>
      <c r="L161" s="22" t="n">
        <f aca="false">100*(L27-L26)</f>
        <v>4.1832618883153</v>
      </c>
      <c r="M161" s="22" t="n">
        <f aca="false">100*(M27-M26)</f>
        <v>4.25161632869251</v>
      </c>
      <c r="N161" s="22" t="n">
        <f aca="false">100*(N27-N26)</f>
        <v>4.30758418356869</v>
      </c>
      <c r="O161" s="22" t="n">
        <f aca="false">100*(O27-O26)</f>
        <v>4.35097555199502</v>
      </c>
      <c r="P161" s="22" t="n">
        <f aca="false">100*(P27-P26)</f>
        <v>4.382035898381</v>
      </c>
      <c r="Q161" s="22" t="n">
        <f aca="false">100*(Q27-Q26)</f>
        <v>4.40125148149051</v>
      </c>
      <c r="R161" s="22" t="n">
        <f aca="false">100*(R27-R26)</f>
        <v>4.4093955724249</v>
      </c>
      <c r="S161" s="22" t="n">
        <f aca="false">100*(S27-S26)</f>
        <v>4.4074571617152</v>
      </c>
      <c r="T161" s="22" t="n">
        <f aca="false">100*(T27-T26)</f>
        <v>4.39660857589781</v>
      </c>
      <c r="U161" s="22" t="n">
        <f aca="false">100*(U27-U26)</f>
        <v>4.37813649883569</v>
      </c>
      <c r="V161" s="22" t="n">
        <f aca="false">100*(V27-V26)</f>
        <v>4.35336709695211</v>
      </c>
      <c r="W161" s="22" t="n">
        <f aca="false">100*(W27-W26)</f>
        <v>4.3236305821774</v>
      </c>
      <c r="X161" s="22" t="n">
        <f aca="false">100*(X27-X26)</f>
        <v>4.29026068526279</v>
      </c>
      <c r="Y161" s="22" t="n">
        <f aca="false">100*(Y27-Y26)</f>
        <v>4.25459360262059</v>
      </c>
      <c r="Z161" s="22" t="n">
        <f aca="false">100*(Z27-Z26)</f>
        <v>4.21788224033179</v>
      </c>
      <c r="AA161" s="22" t="n">
        <f aca="false">100*(AA27-AA26)</f>
        <v>4.1812194285036</v>
      </c>
      <c r="AB161" s="22" t="n">
        <f aca="false">100*(AB27-AB26)</f>
        <v>4.14548473122169</v>
      </c>
      <c r="AC161" s="22" t="n">
        <f aca="false">100*(AC27-AC26)</f>
        <v>4.11133440763789</v>
      </c>
      <c r="AD161" s="22" t="n">
        <f aca="false">100*(AD27-AD26)</f>
        <v>4.07924868194503</v>
      </c>
      <c r="AE161" s="22" t="n">
        <f aca="false">100*(AE27-AE26)</f>
        <v>4.04956074452159</v>
      </c>
      <c r="AF161" s="22" t="n">
        <f aca="false">100*(AF27-AF26)</f>
        <v>4.02247902978163</v>
      </c>
      <c r="AG161" s="22" t="n">
        <f aca="false">100*(AG27-AG26)</f>
        <v>3.99809647641352</v>
      </c>
      <c r="AH161" s="22" t="n">
        <f aca="false">100*(AH27-AH26)</f>
        <v>3.97638919023109</v>
      </c>
      <c r="AI161" s="22" t="n">
        <f aca="false">100*(AI27-AI26)</f>
        <v>3.95727545013558</v>
      </c>
      <c r="AJ161" s="22" t="n">
        <f aca="false">100*(AJ27-AJ26)</f>
        <v>3.94061552540608</v>
      </c>
      <c r="AK161" s="22" t="n">
        <f aca="false">100*(AK27-AK26)</f>
        <v>3.9262197967235</v>
      </c>
      <c r="AL161" s="22" t="n">
        <f aca="false">100*(AL27-AL26)</f>
        <v>3.91385644941979</v>
      </c>
      <c r="AM161" s="22" t="n">
        <f aca="false">100*(AM27-AM26)</f>
        <v>3.90326275845969</v>
      </c>
      <c r="AN161" s="22" t="n">
        <f aca="false">100*(AN27-AN26)</f>
        <v>3.89414785121698</v>
      </c>
      <c r="AO161" s="22" t="n">
        <f aca="false">100*(AO27-AO26)</f>
        <v>3.8861950994165</v>
      </c>
      <c r="AP161" s="22" t="n">
        <f aca="false">100*(AP27-AP26)</f>
        <v>3.87906932151521</v>
      </c>
      <c r="AQ161" s="22" t="n">
        <f aca="false">100*(AQ27-AQ26)</f>
        <v>3.87242298143038</v>
      </c>
      <c r="AR161" s="22" t="n">
        <f aca="false">100*(AR27-AR26)</f>
        <v>3.8659023665446</v>
      </c>
      <c r="AS161" s="22" t="n">
        <f aca="false">100*(AS27-AS26)</f>
        <v>3.85915848497103</v>
      </c>
      <c r="AT161" s="22" t="n">
        <f aca="false">100*(AT27-AT26)</f>
        <v>3.85185194932292</v>
      </c>
      <c r="AU161" s="22" t="n">
        <f aca="false">100*(AU27-AU26)</f>
        <v>3.84366064194439</v>
      </c>
      <c r="AV161" s="22" t="n">
        <f aca="false">100*(AV27-AV26)</f>
        <v>3.8342842641403</v>
      </c>
      <c r="AW161" s="22" t="n">
        <f aca="false">100*(AW27-AW26)</f>
        <v>3.82345251075851</v>
      </c>
      <c r="AX161" s="22" t="n">
        <f aca="false">100*(AX27-AX26)</f>
        <v>3.8109254318194</v>
      </c>
      <c r="AY161" s="22" t="n">
        <f aca="false">100*(AY27-AY26)</f>
        <v>3.7964945218393</v>
      </c>
      <c r="AZ161" s="22" t="n">
        <f aca="false">100*(AZ27-AZ26)</f>
        <v>3.7799923362144</v>
      </c>
      <c r="BA161" s="22" t="n">
        <f aca="false">100*(BA27-BA26)</f>
        <v>3.76129258041868</v>
      </c>
      <c r="BB161" s="22" t="n">
        <f aca="false">100*(BB27-BB26)</f>
        <v>3.74031029074089</v>
      </c>
      <c r="BC161" s="22" t="n">
        <f aca="false">100*(BC27-BC26)</f>
        <v>3.71700732807052</v>
      </c>
      <c r="BD161" s="22" t="n">
        <f aca="false">100*(BD27-BD26)</f>
        <v>3.69139149011402</v>
      </c>
      <c r="BE161" s="22" t="n">
        <f aca="false">100*(BE27-BE26)</f>
        <v>3.66351398196809</v>
      </c>
      <c r="BF161" s="22" t="n">
        <f aca="false">100*(BF27-BF26)</f>
        <v>3.6334646645924</v>
      </c>
      <c r="BG161" s="22" t="n">
        <f aca="false">100*(BG27-BG26)</f>
        <v>3.6013683872258</v>
      </c>
      <c r="BH161" s="22" t="n">
        <f aca="false">AVERAGE(C161:BG161)</f>
        <v>3.98518991211419</v>
      </c>
    </row>
    <row r="162" customFormat="false" ht="15" hidden="false" customHeight="false" outlineLevel="0" collapsed="false">
      <c r="A162" s="20" t="n">
        <f aca="false">A28</f>
        <v>-97</v>
      </c>
      <c r="B162" s="21" t="n">
        <f aca="false">B28</f>
        <v>44697</v>
      </c>
      <c r="C162" s="22" t="n">
        <f aca="false">100*(C28-C27)</f>
        <v>0.0557764991055976</v>
      </c>
      <c r="D162" s="22" t="n">
        <f aca="false">100*(D28-D27)</f>
        <v>0.2460842865595</v>
      </c>
      <c r="E162" s="22" t="n">
        <f aca="false">100*(E28-E27)</f>
        <v>0.275924056648891</v>
      </c>
      <c r="F162" s="22" t="n">
        <f aca="false">100*(F28-F27)</f>
        <v>0.225695356778211</v>
      </c>
      <c r="G162" s="22" t="n">
        <f aca="false">100*(G28-G27)</f>
        <v>0.136486061617114</v>
      </c>
      <c r="H162" s="22" t="n">
        <f aca="false">100*(H28-H27)</f>
        <v>0.0308759405172054</v>
      </c>
      <c r="I162" s="22" t="n">
        <f aca="false">100*(I28-I27)</f>
        <v>-0.0778152297520096</v>
      </c>
      <c r="J162" s="22" t="n">
        <f aca="false">100*(J28-J27)</f>
        <v>-0.181641280970002</v>
      </c>
      <c r="K162" s="22" t="n">
        <f aca="false">100*(K28-K27)</f>
        <v>-0.276135146243295</v>
      </c>
      <c r="L162" s="22" t="n">
        <f aca="false">100*(L28-L27)</f>
        <v>-0.359231824846296</v>
      </c>
      <c r="M162" s="22" t="n">
        <f aca="false">100*(M28-M27)</f>
        <v>-0.430471282576006</v>
      </c>
      <c r="N162" s="22" t="n">
        <f aca="false">100*(N28-N27)</f>
        <v>-0.4904229623099</v>
      </c>
      <c r="O162" s="22" t="n">
        <f aca="false">100*(O28-O27)</f>
        <v>-0.540320211712819</v>
      </c>
      <c r="P162" s="22" t="n">
        <f aca="false">100*(P28-P27)</f>
        <v>-0.581847574287098</v>
      </c>
      <c r="Q162" s="22" t="n">
        <f aca="false">100*(Q28-Q27)</f>
        <v>-0.616980014073798</v>
      </c>
      <c r="R162" s="22" t="n">
        <f aca="false">100*(R28-R27)</f>
        <v>-0.647788573550301</v>
      </c>
      <c r="S162" s="22" t="n">
        <f aca="false">100*(S28-S27)</f>
        <v>-0.676217123132794</v>
      </c>
      <c r="T162" s="22" t="n">
        <f aca="false">100*(T28-T27)</f>
        <v>-0.703916229107215</v>
      </c>
      <c r="U162" s="22" t="n">
        <f aca="false">100*(U28-U27)</f>
        <v>-0.732179236132802</v>
      </c>
      <c r="V162" s="22" t="n">
        <f aca="false">100*(V28-V27)</f>
        <v>-0.761877659178811</v>
      </c>
      <c r="W162" s="22" t="n">
        <f aca="false">100*(W28-W27)</f>
        <v>-0.793536615698609</v>
      </c>
      <c r="X162" s="22" t="n">
        <f aca="false">100*(X28-X27)</f>
        <v>-0.827403890697487</v>
      </c>
      <c r="Y162" s="22" t="n">
        <f aca="false">100*(Y28-Y27)</f>
        <v>-0.863483866982606</v>
      </c>
      <c r="Z162" s="22" t="n">
        <f aca="false">100*(Z28-Z27)</f>
        <v>-0.901531593245397</v>
      </c>
      <c r="AA162" s="22" t="n">
        <f aca="false">100*(AA28-AA27)</f>
        <v>-0.941090724563298</v>
      </c>
      <c r="AB162" s="22" t="n">
        <f aca="false">100*(AB28-AB27)</f>
        <v>-0.981568021306289</v>
      </c>
      <c r="AC162" s="22" t="n">
        <f aca="false">100*(AC28-AC27)</f>
        <v>-1.0223398806728</v>
      </c>
      <c r="AD162" s="22" t="n">
        <f aca="false">100*(AD28-AD27)</f>
        <v>-1.0627838574313</v>
      </c>
      <c r="AE162" s="22" t="n">
        <f aca="false">100*(AE28-AE27)</f>
        <v>-1.1022787540556</v>
      </c>
      <c r="AF162" s="22" t="n">
        <f aca="false">100*(AF28-AF27)</f>
        <v>-1.14020443167631</v>
      </c>
      <c r="AG162" s="22" t="n">
        <f aca="false">100*(AG28-AG27)</f>
        <v>-1.17595088980873</v>
      </c>
      <c r="AH162" s="22" t="n">
        <f aca="false">100*(AH28-AH27)</f>
        <v>-1.2089891938353</v>
      </c>
      <c r="AI162" s="22" t="n">
        <f aca="false">100*(AI28-AI27)</f>
        <v>-1.23888885829788</v>
      </c>
      <c r="AJ162" s="22" t="n">
        <f aca="false">100*(AJ28-AJ27)</f>
        <v>-1.26535494124109</v>
      </c>
      <c r="AK162" s="22" t="n">
        <f aca="false">100*(AK28-AK27)</f>
        <v>-1.28823872843</v>
      </c>
      <c r="AL162" s="22" t="n">
        <f aca="false">100*(AL28-AL27)</f>
        <v>-1.30754193867859</v>
      </c>
      <c r="AM162" s="22" t="n">
        <f aca="false">100*(AM28-AM27)</f>
        <v>-1.32342599926281</v>
      </c>
      <c r="AN162" s="22" t="n">
        <f aca="false">100*(AN28-AN27)</f>
        <v>-1.33619434887589</v>
      </c>
      <c r="AO162" s="22" t="n">
        <f aca="false">100*(AO28-AO27)</f>
        <v>-1.34627321900909</v>
      </c>
      <c r="AP162" s="22" t="n">
        <f aca="false">100*(AP28-AP27)</f>
        <v>-1.35418617053791</v>
      </c>
      <c r="AQ162" s="22" t="n">
        <f aca="false">100*(AQ28-AQ27)</f>
        <v>-1.36052840278977</v>
      </c>
      <c r="AR162" s="22" t="n">
        <f aca="false">100*(AR28-AR27)</f>
        <v>-1.36594480754169</v>
      </c>
      <c r="AS162" s="22" t="n">
        <f aca="false">100*(AS28-AS27)</f>
        <v>-1.37109626593692</v>
      </c>
      <c r="AT162" s="22" t="n">
        <f aca="false">100*(AT28-AT27)</f>
        <v>-1.37664200211498</v>
      </c>
      <c r="AU162" s="22" t="n">
        <f aca="false">100*(AU28-AU27)</f>
        <v>-1.38321780660893</v>
      </c>
      <c r="AV162" s="22" t="n">
        <f aca="false">100*(AV28-AV27)</f>
        <v>-1.39142461264661</v>
      </c>
      <c r="AW162" s="22" t="n">
        <f aca="false">100*(AW28-AW27)</f>
        <v>-1.40181021688788</v>
      </c>
      <c r="AX162" s="22" t="n">
        <f aca="false">100*(AX28-AX27)</f>
        <v>-1.41486262188799</v>
      </c>
      <c r="AY162" s="22" t="n">
        <f aca="false">100*(AY28-AY27)</f>
        <v>-1.43099973638789</v>
      </c>
      <c r="AZ162" s="22" t="n">
        <f aca="false">100*(AZ28-AZ27)</f>
        <v>-1.4505540797189</v>
      </c>
      <c r="BA162" s="22" t="n">
        <f aca="false">100*(BA28-BA27)</f>
        <v>-1.47377509081017</v>
      </c>
      <c r="BB162" s="22" t="n">
        <f aca="false">100*(BB28-BB27)</f>
        <v>-1.50082907246949</v>
      </c>
      <c r="BC162" s="22" t="n">
        <f aca="false">100*(BC28-BC27)</f>
        <v>-1.53178844075221</v>
      </c>
      <c r="BD162" s="22" t="n">
        <f aca="false">100*(BD28-BD27)</f>
        <v>-1.56663258652352</v>
      </c>
      <c r="BE162" s="22" t="n">
        <f aca="false">100*(BE28-BE27)</f>
        <v>-1.60525200276269</v>
      </c>
      <c r="BF162" s="22" t="n">
        <f aca="false">100*(BF28-BF27)</f>
        <v>-1.64745515533129</v>
      </c>
      <c r="BG162" s="22" t="n">
        <f aca="false">100*(BG28-BG27)</f>
        <v>-1.6929741079216</v>
      </c>
      <c r="BH162" s="22" t="n">
        <f aca="false">AVERAGE(C162:BG162)</f>
        <v>-0.939527282106072</v>
      </c>
    </row>
    <row r="163" customFormat="false" ht="15" hidden="false" customHeight="false" outlineLevel="0" collapsed="false">
      <c r="A163" s="20" t="n">
        <f aca="false">A29</f>
        <v>-96</v>
      </c>
      <c r="B163" s="21" t="n">
        <f aca="false">B29</f>
        <v>44698</v>
      </c>
      <c r="C163" s="22" t="n">
        <f aca="false">100*(C29-C28)</f>
        <v>19.4748490861628</v>
      </c>
      <c r="D163" s="22" t="n">
        <f aca="false">100*(D29-D28)</f>
        <v>19.4739063221012</v>
      </c>
      <c r="E163" s="22" t="n">
        <f aca="false">100*(E29-E28)</f>
        <v>19.2282049152632</v>
      </c>
      <c r="F163" s="22" t="n">
        <f aca="false">100*(F29-F28)</f>
        <v>18.8768687428872</v>
      </c>
      <c r="G163" s="22" t="n">
        <f aca="false">100*(G29-G28)</f>
        <v>18.4712620857106</v>
      </c>
      <c r="H163" s="22" t="n">
        <f aca="false">100*(H29-H28)</f>
        <v>18.0338421811787</v>
      </c>
      <c r="I163" s="22" t="n">
        <f aca="false">100*(I29-I28)</f>
        <v>17.5777707358062</v>
      </c>
      <c r="J163" s="22" t="n">
        <f aca="false">100*(J29-J28)</f>
        <v>17.1133886905245</v>
      </c>
      <c r="K163" s="22" t="n">
        <f aca="false">100*(K29-K28)</f>
        <v>16.6500005275141</v>
      </c>
      <c r="L163" s="22" t="n">
        <f aca="false">100*(L29-L28)</f>
        <v>16.1959656783251</v>
      </c>
      <c r="M163" s="22" t="n">
        <f aca="false">100*(M29-M28)</f>
        <v>15.7578242957649</v>
      </c>
      <c r="N163" s="22" t="n">
        <f aca="false">100*(N29-N28)</f>
        <v>15.3400065370578</v>
      </c>
      <c r="O163" s="22" t="n">
        <f aca="false">100*(O29-O28)</f>
        <v>14.9450795238323</v>
      </c>
      <c r="P163" s="22" t="n">
        <f aca="false">100*(P29-P28)</f>
        <v>14.5741842492166</v>
      </c>
      <c r="Q163" s="22" t="n">
        <f aca="false">100*(Q29-Q28)</f>
        <v>14.2274320819979</v>
      </c>
      <c r="R163" s="22" t="n">
        <f aca="false">100*(R29-R28)</f>
        <v>13.9042595045015</v>
      </c>
      <c r="S163" s="22" t="n">
        <f aca="false">100*(S29-S28)</f>
        <v>13.6037877907113</v>
      </c>
      <c r="T163" s="22" t="n">
        <f aca="false">100*(T29-T28)</f>
        <v>13.3251047269018</v>
      </c>
      <c r="U163" s="22" t="n">
        <f aca="false">100*(U29-U28)</f>
        <v>13.067345760206</v>
      </c>
      <c r="V163" s="22" t="n">
        <f aca="false">100*(V29-V28)</f>
        <v>12.8296666633289</v>
      </c>
      <c r="W163" s="22" t="n">
        <f aca="false">100*(W29-W28)</f>
        <v>12.6112285031762</v>
      </c>
      <c r="X163" s="22" t="n">
        <f aca="false">100*(X29-X28)</f>
        <v>12.41119669804</v>
      </c>
      <c r="Y163" s="22" t="n">
        <f aca="false">100*(Y29-Y28)</f>
        <v>12.2287404605792</v>
      </c>
      <c r="Z163" s="22" t="n">
        <f aca="false">100*(Z29-Z28)</f>
        <v>12.0630052418741</v>
      </c>
      <c r="AA163" s="22" t="n">
        <f aca="false">100*(AA29-AA28)</f>
        <v>11.9130736786278</v>
      </c>
      <c r="AB163" s="22" t="n">
        <f aca="false">100*(AB29-AB28)</f>
        <v>11.7779259079804</v>
      </c>
      <c r="AC163" s="22" t="n">
        <f aca="false">100*(AC29-AC28)</f>
        <v>11.6564761297556</v>
      </c>
      <c r="AD163" s="22" t="n">
        <f aca="false">100*(AD29-AD28)</f>
        <v>11.5476058586007</v>
      </c>
      <c r="AE163" s="22" t="n">
        <f aca="false">100*(AE29-AE28)</f>
        <v>11.4501699720398</v>
      </c>
      <c r="AF163" s="22" t="n">
        <f aca="false">100*(AF29-AF28)</f>
        <v>11.3630007464008</v>
      </c>
      <c r="AG163" s="22" t="n">
        <f aca="false">100*(AG29-AG28)</f>
        <v>11.2849134119018</v>
      </c>
      <c r="AH163" s="22" t="n">
        <f aca="false">100*(AH29-AH28)</f>
        <v>11.214759730823</v>
      </c>
      <c r="AI163" s="22" t="n">
        <f aca="false">100*(AI29-AI28)</f>
        <v>11.1514601132502</v>
      </c>
      <c r="AJ163" s="22" t="n">
        <f aca="false">100*(AJ29-AJ28)</f>
        <v>11.0940009478625</v>
      </c>
      <c r="AK163" s="22" t="n">
        <f aca="false">100*(AK29-AK28)</f>
        <v>11.0414381065196</v>
      </c>
      <c r="AL163" s="22" t="n">
        <f aca="false">100*(AL29-AL28)</f>
        <v>10.9929058950648</v>
      </c>
      <c r="AM163" s="22" t="n">
        <f aca="false">100*(AM29-AM28)</f>
        <v>10.947633431984</v>
      </c>
      <c r="AN163" s="22" t="n">
        <f aca="false">100*(AN29-AN28)</f>
        <v>10.904945668868</v>
      </c>
      <c r="AO163" s="22" t="n">
        <f aca="false">100*(AO29-AO28)</f>
        <v>10.864258730919</v>
      </c>
      <c r="AP163" s="22" t="n">
        <f aca="false">100*(AP29-AP28)</f>
        <v>10.825062428625</v>
      </c>
      <c r="AQ163" s="22" t="n">
        <f aca="false">100*(AQ29-AQ28)</f>
        <v>10.7869011050958</v>
      </c>
      <c r="AR163" s="22" t="n">
        <f aca="false">100*(AR29-AR28)</f>
        <v>10.749362270087</v>
      </c>
      <c r="AS163" s="22" t="n">
        <f aca="false">100*(AS29-AS28)</f>
        <v>10.7120626316119</v>
      </c>
      <c r="AT163" s="22" t="n">
        <f aca="false">100*(AT29-AT28)</f>
        <v>10.6746454953315</v>
      </c>
      <c r="AU163" s="22" t="n">
        <f aca="false">100*(AU29-AU28)</f>
        <v>10.636785305464</v>
      </c>
      <c r="AV163" s="22" t="n">
        <f aca="false">100*(AV29-AV28)</f>
        <v>10.5981878581809</v>
      </c>
      <c r="AW163" s="22" t="n">
        <f aca="false">100*(AW29-AW28)</f>
        <v>10.5585906760073</v>
      </c>
      <c r="AX163" s="22" t="n">
        <f aca="false">100*(AX29-AX28)</f>
        <v>10.5177577577009</v>
      </c>
      <c r="AY163" s="22" t="n">
        <f aca="false">100*(AY29-AY28)</f>
        <v>10.475478981508</v>
      </c>
      <c r="AZ163" s="22" t="n">
        <f aca="false">100*(AZ29-AZ28)</f>
        <v>10.4315825845474</v>
      </c>
      <c r="BA163" s="22" t="n">
        <f aca="false">100*(BA29-BA28)</f>
        <v>10.3859356864</v>
      </c>
      <c r="BB163" s="22" t="n">
        <f aca="false">100*(BB29-BB28)</f>
        <v>10.3384459839666</v>
      </c>
      <c r="BC163" s="22" t="n">
        <f aca="false">100*(BC29-BC28)</f>
        <v>10.2890703478611</v>
      </c>
      <c r="BD163" s="22" t="n">
        <f aca="false">100*(BD29-BD28)</f>
        <v>10.2378182407059</v>
      </c>
      <c r="BE163" s="22" t="n">
        <f aca="false">100*(BE29-BE28)</f>
        <v>10.184754283849</v>
      </c>
      <c r="BF163" s="22" t="n">
        <f aca="false">100*(BF29-BF28)</f>
        <v>10.1299989051064</v>
      </c>
      <c r="BG163" s="22" t="n">
        <f aca="false">100*(BG29-BG28)</f>
        <v>10.0737275613066</v>
      </c>
      <c r="BH163" s="22" t="n">
        <f aca="false">AVERAGE(C163:BG163)</f>
        <v>12.8034325866073</v>
      </c>
    </row>
    <row r="164" customFormat="false" ht="15" hidden="false" customHeight="false" outlineLevel="0" collapsed="false">
      <c r="A164" s="20" t="n">
        <f aca="false">A30</f>
        <v>-95</v>
      </c>
      <c r="B164" s="21" t="n">
        <f aca="false">B30</f>
        <v>44699</v>
      </c>
      <c r="C164" s="22" t="n">
        <f aca="false">100*(C30-C29)</f>
        <v>1.28798754523261</v>
      </c>
      <c r="D164" s="22" t="n">
        <f aca="false">100*(D30-D29)</f>
        <v>1.2690944006255</v>
      </c>
      <c r="E164" s="22" t="n">
        <f aca="false">100*(E30-E29)</f>
        <v>1.1488701017248</v>
      </c>
      <c r="F164" s="22" t="n">
        <f aca="false">100*(F30-F29)</f>
        <v>0.97138975027149</v>
      </c>
      <c r="G164" s="22" t="n">
        <f aca="false">100*(G30-G29)</f>
        <v>0.75572485624229</v>
      </c>
      <c r="H164" s="22" t="n">
        <f aca="false">100*(H30-H29)</f>
        <v>0.511495520220295</v>
      </c>
      <c r="I164" s="22" t="n">
        <f aca="false">100*(I30-I29)</f>
        <v>0.244820952680502</v>
      </c>
      <c r="J164" s="22" t="n">
        <f aca="false">100*(J30-J29)</f>
        <v>-0.038850426055892</v>
      </c>
      <c r="K164" s="22" t="n">
        <f aca="false">100*(K30-K29)</f>
        <v>-0.333361781610408</v>
      </c>
      <c r="L164" s="22" t="n">
        <f aca="false">100*(L30-L29)</f>
        <v>-0.631247583371697</v>
      </c>
      <c r="M164" s="22" t="n">
        <f aca="false">100*(M30-M29)</f>
        <v>-0.9242965438234</v>
      </c>
      <c r="N164" s="22" t="n">
        <f aca="false">100*(N30-N29)</f>
        <v>-1.20420804466059</v>
      </c>
      <c r="O164" s="22" t="n">
        <f aca="false">100*(O30-O29)</f>
        <v>-1.46326164549389</v>
      </c>
      <c r="P164" s="22" t="n">
        <f aca="false">100*(P30-P29)</f>
        <v>-1.69493718576801</v>
      </c>
      <c r="Q164" s="22" t="n">
        <f aca="false">100*(Q30-Q29)</f>
        <v>-1.89411609636729</v>
      </c>
      <c r="R164" s="22" t="n">
        <f aca="false">100*(R30-R29)</f>
        <v>-2.05732582297922</v>
      </c>
      <c r="S164" s="22" t="n">
        <f aca="false">100*(S30-S29)</f>
        <v>-2.18284721660831</v>
      </c>
      <c r="T164" s="22" t="n">
        <f aca="false">100*(T30-T29)</f>
        <v>-2.27071917111539</v>
      </c>
      <c r="U164" s="22" t="n">
        <f aca="false">100*(U30-U29)</f>
        <v>-2.32252769097649</v>
      </c>
      <c r="V164" s="22" t="n">
        <f aca="false">100*(V30-V29)</f>
        <v>-2.3408489955379</v>
      </c>
      <c r="W164" s="22" t="n">
        <f aca="false">100*(W30-W29)</f>
        <v>-2.32901129284833</v>
      </c>
      <c r="X164" s="22" t="n">
        <f aca="false">100*(X30-X29)</f>
        <v>-2.29094373386869</v>
      </c>
      <c r="Y164" s="22" t="n">
        <f aca="false">100*(Y30-Y29)</f>
        <v>-2.2309727627353</v>
      </c>
      <c r="Z164" s="22" t="n">
        <f aca="false">100*(Z30-Z29)</f>
        <v>-2.1534305468089</v>
      </c>
      <c r="AA164" s="22" t="n">
        <f aca="false">100*(AA30-AA29)</f>
        <v>-2.06251672048441</v>
      </c>
      <c r="AB164" s="22" t="n">
        <f aca="false">100*(AB30-AB29)</f>
        <v>-1.96222510692019</v>
      </c>
      <c r="AC164" s="22" t="n">
        <f aca="false">100*(AC30-AC29)</f>
        <v>-1.85610490711539</v>
      </c>
      <c r="AD164" s="22" t="n">
        <f aca="false">100*(AD30-AD29)</f>
        <v>-1.74721245730769</v>
      </c>
      <c r="AE164" s="22" t="n">
        <f aca="false">100*(AE30-AE29)</f>
        <v>-1.63818504864142</v>
      </c>
      <c r="AF164" s="22" t="n">
        <f aca="false">100*(AF30-AF29)</f>
        <v>-1.53130441884861</v>
      </c>
      <c r="AG164" s="22" t="n">
        <f aca="false">100*(AG30-AG29)</f>
        <v>-1.42853542915691</v>
      </c>
      <c r="AH164" s="22" t="n">
        <f aca="false">100*(AH30-AH29)</f>
        <v>-1.33140951995241</v>
      </c>
      <c r="AI164" s="22" t="n">
        <f aca="false">100*(AI30-AI29)</f>
        <v>-1.241030852229</v>
      </c>
      <c r="AJ164" s="22" t="n">
        <f aca="false">100*(AJ30-AJ29)</f>
        <v>-1.15818489689392</v>
      </c>
      <c r="AK164" s="22" t="n">
        <f aca="false">100*(AK30-AK29)</f>
        <v>-1.08338201978553</v>
      </c>
      <c r="AL164" s="22" t="n">
        <f aca="false">100*(AL30-AL29)</f>
        <v>-1.01690944019013</v>
      </c>
      <c r="AM164" s="22" t="n">
        <f aca="false">100*(AM30-AM29)</f>
        <v>-0.958881547815516</v>
      </c>
      <c r="AN164" s="22" t="n">
        <f aca="false">100*(AN30-AN29)</f>
        <v>-0.90927978856219</v>
      </c>
      <c r="AO164" s="22" t="n">
        <f aca="false">100*(AO30-AO29)</f>
        <v>-0.867981020950115</v>
      </c>
      <c r="AP164" s="22" t="n">
        <f aca="false">100*(AP30-AP29)</f>
        <v>-0.834776111789015</v>
      </c>
      <c r="AQ164" s="22" t="n">
        <f aca="false">100*(AQ30-AQ29)</f>
        <v>-0.809387937807715</v>
      </c>
      <c r="AR164" s="22" t="n">
        <f aca="false">100*(AR30-AR29)</f>
        <v>-0.791479968846476</v>
      </c>
      <c r="AS164" s="22" t="n">
        <f aca="false">100*(AS30-AS29)</f>
        <v>-0.780663038543716</v>
      </c>
      <c r="AT164" s="22" t="n">
        <f aca="false">100*(AT30-AT29)</f>
        <v>-0.776506814740197</v>
      </c>
      <c r="AU164" s="22" t="n">
        <f aca="false">100*(AU30-AU29)</f>
        <v>-0.778557470976704</v>
      </c>
      <c r="AV164" s="22" t="n">
        <f aca="false">100*(AV30-AV29)</f>
        <v>-0.786349134350273</v>
      </c>
      <c r="AW164" s="22" t="n">
        <f aca="false">100*(AW30-AW29)</f>
        <v>-0.799420169923693</v>
      </c>
      <c r="AX164" s="22" t="n">
        <f aca="false">100*(AX30-AX29)</f>
        <v>-0.817318604319173</v>
      </c>
      <c r="AY164" s="22" t="n">
        <f aca="false">100*(AY30-AY29)</f>
        <v>-0.839603721979998</v>
      </c>
      <c r="AZ164" s="22" t="n">
        <f aca="false">100*(AZ30-AZ29)</f>
        <v>-0.86584574993358</v>
      </c>
      <c r="BA164" s="22" t="n">
        <f aca="false">100*(BA30-BA29)</f>
        <v>-0.895624922681604</v>
      </c>
      <c r="BB164" s="22" t="n">
        <f aca="false">100*(BB30-BB29)</f>
        <v>-0.928530414144602</v>
      </c>
      <c r="BC164" s="22" t="n">
        <f aca="false">100*(BC30-BC29)</f>
        <v>-0.964159767378625</v>
      </c>
      <c r="BD164" s="22" t="n">
        <f aca="false">100*(BD30-BD29)</f>
        <v>-1.00211861430921</v>
      </c>
      <c r="BE164" s="22" t="n">
        <f aca="false">100*(BE30-BE29)</f>
        <v>-1.04202060328329</v>
      </c>
      <c r="BF164" s="22" t="n">
        <f aca="false">100*(BF30-BF29)</f>
        <v>-1.08348899116026</v>
      </c>
      <c r="BG164" s="22" t="n">
        <f aca="false">100*(BG30-BG29)</f>
        <v>-1.12615720368403</v>
      </c>
      <c r="BH164" s="22" t="n">
        <f aca="false">AVERAGE(C164:BG164)</f>
        <v>-1.03313466365505</v>
      </c>
    </row>
    <row r="165" customFormat="false" ht="15" hidden="false" customHeight="false" outlineLevel="0" collapsed="false">
      <c r="A165" s="20" t="n">
        <f aca="false">A31</f>
        <v>-94</v>
      </c>
      <c r="B165" s="21" t="n">
        <f aca="false">B31</f>
        <v>44700</v>
      </c>
      <c r="C165" s="22" t="n">
        <f aca="false">100*(C31-C30)</f>
        <v>3.3669769112997</v>
      </c>
      <c r="D165" s="22" t="n">
        <f aca="false">100*(D31-D30)</f>
        <v>2.98421969955869</v>
      </c>
      <c r="E165" s="22" t="n">
        <f aca="false">100*(E31-E30)</f>
        <v>2.5678952458392</v>
      </c>
      <c r="F165" s="22" t="n">
        <f aca="false">100*(F31-F30)</f>
        <v>2.1771067583054</v>
      </c>
      <c r="G165" s="22" t="n">
        <f aca="false">100*(G31-G30)</f>
        <v>1.83471520882301</v>
      </c>
      <c r="H165" s="22" t="n">
        <f aca="false">100*(H31-H30)</f>
        <v>1.54628940632382</v>
      </c>
      <c r="I165" s="22" t="n">
        <f aca="false">100*(I31-I30)</f>
        <v>1.30873136834671</v>
      </c>
      <c r="J165" s="22" t="n">
        <f aca="false">100*(J31-J30)</f>
        <v>1.1152277971646</v>
      </c>
      <c r="K165" s="22" t="n">
        <f aca="false">100*(K31-K30)</f>
        <v>0.957859898062496</v>
      </c>
      <c r="L165" s="22" t="n">
        <f aca="false">100*(L31-L30)</f>
        <v>0.829235758781599</v>
      </c>
      <c r="M165" s="22" t="n">
        <f aca="false">100*(M31-M30)</f>
        <v>0.723189204067709</v>
      </c>
      <c r="N165" s="22" t="n">
        <f aca="false">100*(N31-N30)</f>
        <v>0.634998373746387</v>
      </c>
      <c r="O165" s="22" t="n">
        <f aca="false">100*(O31-O30)</f>
        <v>0.561165203746095</v>
      </c>
      <c r="P165" s="22" t="n">
        <f aca="false">100*(P31-P30)</f>
        <v>0.499131971841993</v>
      </c>
      <c r="Q165" s="22" t="n">
        <f aca="false">100*(Q31-Q30)</f>
        <v>0.447054377691192</v>
      </c>
      <c r="R165" s="22" t="n">
        <f aca="false">100*(R31-R30)</f>
        <v>0.403668069363805</v>
      </c>
      <c r="S165" s="22" t="n">
        <f aca="false">100*(S31-S30)</f>
        <v>0.368108734248906</v>
      </c>
      <c r="T165" s="22" t="n">
        <f aca="false">100*(T31-T30)</f>
        <v>0.339763878645694</v>
      </c>
      <c r="U165" s="22" t="n">
        <f aca="false">100*(U31-U30)</f>
        <v>0.318140816326884</v>
      </c>
      <c r="V165" s="22" t="n">
        <f aca="false">100*(V31-V30)</f>
        <v>0.302711709345416</v>
      </c>
      <c r="W165" s="22" t="n">
        <f aca="false">100*(W31-W30)</f>
        <v>0.2928963384218</v>
      </c>
      <c r="X165" s="22" t="n">
        <f aca="false">100*(X31-X30)</f>
        <v>0.288072702264497</v>
      </c>
      <c r="Y165" s="22" t="n">
        <f aca="false">100*(Y31-Y30)</f>
        <v>0.287581400136983</v>
      </c>
      <c r="Z165" s="22" t="n">
        <f aca="false">100*(Z31-Z30)</f>
        <v>0.290687643430765</v>
      </c>
      <c r="AA165" s="22" t="n">
        <f aca="false">100*(AA31-AA30)</f>
        <v>0.296584307857728</v>
      </c>
      <c r="AB165" s="22" t="n">
        <f aca="false">100*(AB31-AB30)</f>
        <v>0.304463878360606</v>
      </c>
      <c r="AC165" s="22" t="n">
        <f aca="false">100*(AC31-AC30)</f>
        <v>0.313595800102195</v>
      </c>
      <c r="AD165" s="22" t="n">
        <f aca="false">100*(AD31-AD30)</f>
        <v>0.323347816433106</v>
      </c>
      <c r="AE165" s="22" t="n">
        <f aca="false">100*(AE31-AE30)</f>
        <v>0.333171682778399</v>
      </c>
      <c r="AF165" s="22" t="n">
        <f aca="false">100*(AF31-AF30)</f>
        <v>0.342590437536128</v>
      </c>
      <c r="AG165" s="22" t="n">
        <f aca="false">100*(AG31-AG30)</f>
        <v>0.351190290391168</v>
      </c>
      <c r="AH165" s="22" t="n">
        <f aca="false">100*(AH31-AH30)</f>
        <v>0.358659719955901</v>
      </c>
      <c r="AI165" s="22" t="n">
        <f aca="false">100*(AI31-AI30)</f>
        <v>0.364806178131571</v>
      </c>
      <c r="AJ165" s="22" t="n">
        <f aca="false">100*(AJ31-AJ30)</f>
        <v>0.3695335306932</v>
      </c>
      <c r="AK165" s="22" t="n">
        <f aca="false">100*(AK31-AK30)</f>
        <v>0.372833441324794</v>
      </c>
      <c r="AL165" s="22" t="n">
        <f aca="false">100*(AL31-AL30)</f>
        <v>0.374772739913487</v>
      </c>
      <c r="AM165" s="22" t="n">
        <f aca="false">100*(AM31-AM30)</f>
        <v>0.375483835901491</v>
      </c>
      <c r="AN165" s="22" t="n">
        <f aca="false">100*(AN31-AN30)</f>
        <v>0.375156870580584</v>
      </c>
      <c r="AO165" s="22" t="n">
        <f aca="false">100*(AO31-AO30)</f>
        <v>0.374033187508127</v>
      </c>
      <c r="AP165" s="22" t="n">
        <f aca="false">100*(AP31-AP30)</f>
        <v>0.372400494636294</v>
      </c>
      <c r="AQ165" s="22" t="n">
        <f aca="false">100*(AQ31-AQ30)</f>
        <v>0.370588351998036</v>
      </c>
      <c r="AR165" s="22" t="n">
        <f aca="false">100*(AR31-AR30)</f>
        <v>0.368961249586475</v>
      </c>
      <c r="AS165" s="22" t="n">
        <f aca="false">100*(AS31-AS30)</f>
        <v>0.36790898109671</v>
      </c>
      <c r="AT165" s="22" t="n">
        <f aca="false">100*(AT31-AT30)</f>
        <v>0.367837554955086</v>
      </c>
      <c r="AU165" s="22" t="n">
        <f aca="false">100*(AU31-AU30)</f>
        <v>0.369156338020282</v>
      </c>
      <c r="AV165" s="22" t="n">
        <f aca="false">100*(AV31-AV30)</f>
        <v>0.372269639909284</v>
      </c>
      <c r="AW165" s="22" t="n">
        <f aca="false">100*(AW31-AW30)</f>
        <v>0.377563145208981</v>
      </c>
      <c r="AX165" s="22" t="n">
        <f aca="false">100*(AX31-AX30)</f>
        <v>0.385396654084191</v>
      </c>
      <c r="AY165" s="22" t="n">
        <f aca="false">100*(AY31-AY30)</f>
        <v>0.396090405464022</v>
      </c>
      <c r="AZ165" s="22" t="n">
        <f aca="false">100*(AZ31-AZ30)</f>
        <v>0.409906935084203</v>
      </c>
      <c r="BA165" s="22" t="n">
        <f aca="false">100*(BA31-BA30)</f>
        <v>0.427051156018399</v>
      </c>
      <c r="BB165" s="22" t="n">
        <f aca="false">100*(BB31-BB30)</f>
        <v>0.44766741778659</v>
      </c>
      <c r="BC165" s="22" t="n">
        <f aca="false">100*(BC31-BC30)</f>
        <v>0.471825223078826</v>
      </c>
      <c r="BD165" s="22" t="n">
        <f aca="false">100*(BD31-BD30)</f>
        <v>0.499517780432113</v>
      </c>
      <c r="BE165" s="22" t="n">
        <f aca="false">100*(BE31-BE30)</f>
        <v>0.5306645229886</v>
      </c>
      <c r="BF165" s="22" t="n">
        <f aca="false">100*(BF31-BF30)</f>
        <v>0.56511630030629</v>
      </c>
      <c r="BG165" s="22" t="n">
        <f aca="false">100*(BG31-BG30)</f>
        <v>0.602659957491536</v>
      </c>
      <c r="BH165" s="22" t="n">
        <f aca="false">AVERAGE(C165:BG165)</f>
        <v>0.65575849651575</v>
      </c>
    </row>
    <row r="166" customFormat="false" ht="15" hidden="false" customHeight="false" outlineLevel="0" collapsed="false">
      <c r="A166" s="20" t="n">
        <f aca="false">A32</f>
        <v>-93</v>
      </c>
      <c r="B166" s="21" t="n">
        <f aca="false">B32</f>
        <v>44701</v>
      </c>
      <c r="C166" s="22" t="n">
        <f aca="false">100*(C32-C31)</f>
        <v>1.3534599519941</v>
      </c>
      <c r="D166" s="22" t="n">
        <f aca="false">100*(D32-D31)</f>
        <v>1.26637151074671</v>
      </c>
      <c r="E166" s="22" t="n">
        <f aca="false">100*(E32-E31)</f>
        <v>1.2598187781689</v>
      </c>
      <c r="F166" s="22" t="n">
        <f aca="false">100*(F32-F31)</f>
        <v>1.3062872163226</v>
      </c>
      <c r="G166" s="22" t="n">
        <f aca="false">100*(G32-G31)</f>
        <v>1.3900793329408</v>
      </c>
      <c r="H166" s="22" t="n">
        <f aca="false">100*(H32-H31)</f>
        <v>1.50047477514239</v>
      </c>
      <c r="I166" s="22" t="n">
        <f aca="false">100*(I32-I31)</f>
        <v>1.6286892829906</v>
      </c>
      <c r="J166" s="22" t="n">
        <f aca="false">100*(J32-J31)</f>
        <v>1.76728145595559</v>
      </c>
      <c r="K166" s="22" t="n">
        <f aca="false">100*(K32-K31)</f>
        <v>1.90958491275071</v>
      </c>
      <c r="L166" s="22" t="n">
        <f aca="false">100*(L32-L31)</f>
        <v>2.0499911096439</v>
      </c>
      <c r="M166" s="22" t="n">
        <f aca="false">100*(M32-M31)</f>
        <v>2.18416178090319</v>
      </c>
      <c r="N166" s="22" t="n">
        <f aca="false">100*(N32-N31)</f>
        <v>2.30903727263931</v>
      </c>
      <c r="O166" s="22" t="n">
        <f aca="false">100*(O32-O31)</f>
        <v>2.42266544615719</v>
      </c>
      <c r="P166" s="22" t="n">
        <f aca="false">100*(P32-P31)</f>
        <v>2.5240334603809</v>
      </c>
      <c r="Q166" s="22" t="n">
        <f aca="false">100*(Q32-Q31)</f>
        <v>2.61287556898611</v>
      </c>
      <c r="R166" s="22" t="n">
        <f aca="false">100*(R32-R31)</f>
        <v>2.68960324436711</v>
      </c>
      <c r="S166" s="22" t="n">
        <f aca="false">100*(S32-S31)</f>
        <v>2.75510058848361</v>
      </c>
      <c r="T166" s="22" t="n">
        <f aca="false">100*(T32-T31)</f>
        <v>2.81057375670699</v>
      </c>
      <c r="U166" s="22" t="n">
        <f aca="false">100*(U32-U31)</f>
        <v>2.8574280490562</v>
      </c>
      <c r="V166" s="22" t="n">
        <f aca="false">100*(V32-V31)</f>
        <v>2.89703538261719</v>
      </c>
      <c r="W166" s="22" t="n">
        <f aca="false">100*(W32-W31)</f>
        <v>2.93069412248261</v>
      </c>
      <c r="X166" s="22" t="n">
        <f aca="false">100*(X32-X31)</f>
        <v>2.9596441426369</v>
      </c>
      <c r="Y166" s="22" t="n">
        <f aca="false">100*(Y32-Y31)</f>
        <v>2.98506074980232</v>
      </c>
      <c r="Z166" s="22" t="n">
        <f aca="false">100*(Z32-Z31)</f>
        <v>3.0079126212323</v>
      </c>
      <c r="AA166" s="22" t="n">
        <f aca="false">100*(AA32-AA31)</f>
        <v>3.02892748516288</v>
      </c>
      <c r="AB166" s="22" t="n">
        <f aca="false">100*(AB32-AB31)</f>
        <v>3.0486661983133</v>
      </c>
      <c r="AC166" s="22" t="n">
        <f aca="false">100*(AC32-AC31)</f>
        <v>3.06753819685377</v>
      </c>
      <c r="AD166" s="22" t="n">
        <f aca="false">100*(AD32-AD31)</f>
        <v>3.08583416913022</v>
      </c>
      <c r="AE166" s="22" t="n">
        <f aca="false">100*(AE32-AE31)</f>
        <v>3.10374560652482</v>
      </c>
      <c r="AF166" s="22" t="n">
        <f aca="false">100*(AF32-AF31)</f>
        <v>3.12137983329839</v>
      </c>
      <c r="AG166" s="22" t="n">
        <f aca="false">100*(AG32-AG31)</f>
        <v>3.13876313878452</v>
      </c>
      <c r="AH166" s="22" t="n">
        <f aca="false">100*(AH32-AH31)</f>
        <v>3.15583236667711</v>
      </c>
      <c r="AI166" s="22" t="n">
        <f aca="false">100*(AI32-AI31)</f>
        <v>3.17247909311362</v>
      </c>
      <c r="AJ166" s="22" t="n">
        <f aca="false">100*(AJ32-AJ31)</f>
        <v>3.18855361976009</v>
      </c>
      <c r="AK166" s="22" t="n">
        <f aca="false">100*(AK32-AK31)</f>
        <v>3.20387418040573</v>
      </c>
      <c r="AL166" s="22" t="n">
        <f aca="false">100*(AL32-AL31)</f>
        <v>3.21823593979014</v>
      </c>
      <c r="AM166" s="22" t="n">
        <f aca="false">100*(AM32-AM31)</f>
        <v>3.23142650984209</v>
      </c>
      <c r="AN166" s="22" t="n">
        <f aca="false">100*(AN32-AN31)</f>
        <v>3.24323975405472</v>
      </c>
      <c r="AO166" s="22" t="n">
        <f aca="false">100*(AO32-AO31)</f>
        <v>3.2534846110202</v>
      </c>
      <c r="AP166" s="22" t="n">
        <f aca="false">100*(AP32-AP31)</f>
        <v>3.2619962232701</v>
      </c>
      <c r="AQ166" s="22" t="n">
        <f aca="false">100*(AQ32-AQ31)</f>
        <v>3.26864686335839</v>
      </c>
      <c r="AR166" s="22" t="n">
        <f aca="false">100*(AR32-AR31)</f>
        <v>3.27334895824802</v>
      </c>
      <c r="AS166" s="22" t="n">
        <f aca="false">100*(AS32-AS31)</f>
        <v>3.27606168911152</v>
      </c>
      <c r="AT166" s="22" t="n">
        <f aca="false">100*(AT32-AT31)</f>
        <v>3.2767873789993</v>
      </c>
      <c r="AU166" s="22" t="n">
        <f aca="false">100*(AU32-AU31)</f>
        <v>3.27556604849812</v>
      </c>
      <c r="AV166" s="22" t="n">
        <f aca="false">100*(AV32-AV31)</f>
        <v>3.27247009422829</v>
      </c>
      <c r="AW166" s="22" t="n">
        <f aca="false">100*(AW32-AW31)</f>
        <v>3.26759752761321</v>
      </c>
      <c r="AX166" s="22" t="n">
        <f aca="false">100*(AX32-AX31)</f>
        <v>3.2610665453769</v>
      </c>
      <c r="AY166" s="22" t="n">
        <f aca="false">100*(AY32-AY31)</f>
        <v>3.25300804825188</v>
      </c>
      <c r="AZ166" s="22" t="n">
        <f aca="false">100*(AZ32-AZ31)</f>
        <v>3.24355933084397</v>
      </c>
      <c r="BA166" s="22" t="n">
        <f aca="false">100*(BA32-BA31)</f>
        <v>3.2328626016624</v>
      </c>
      <c r="BB166" s="22" t="n">
        <f aca="false">100*(BB32-BB31)</f>
        <v>3.22106295615821</v>
      </c>
      <c r="BC166" s="22" t="n">
        <f aca="false">100*(BC32-BC31)</f>
        <v>3.20830354598569</v>
      </c>
      <c r="BD166" s="22" t="n">
        <f aca="false">100*(BD32-BD31)</f>
        <v>3.19472426499479</v>
      </c>
      <c r="BE166" s="22" t="n">
        <f aca="false">100*(BE32-BE31)</f>
        <v>3.18046164754979</v>
      </c>
      <c r="BF166" s="22" t="n">
        <f aca="false">100*(BF32-BF31)</f>
        <v>3.16564710849687</v>
      </c>
      <c r="BG166" s="22" t="n">
        <f aca="false">100*(BG32-BG31)</f>
        <v>3.15040802920739</v>
      </c>
      <c r="BH166" s="22" t="n">
        <f aca="false">AVERAGE(C166:BG166)</f>
        <v>2.7881302469771</v>
      </c>
    </row>
    <row r="167" customFormat="false" ht="15" hidden="false" customHeight="false" outlineLevel="0" collapsed="false">
      <c r="A167" s="20" t="n">
        <f aca="false">A33</f>
        <v>-92</v>
      </c>
      <c r="B167" s="21" t="n">
        <f aca="false">B33</f>
        <v>44704</v>
      </c>
      <c r="C167" s="22" t="n">
        <f aca="false">100*(C33-C32)</f>
        <v>7.22598970184021</v>
      </c>
      <c r="D167" s="22" t="n">
        <f aca="false">100*(D33-D32)</f>
        <v>7.30420778933201</v>
      </c>
      <c r="E167" s="22" t="n">
        <f aca="false">100*(E33-E32)</f>
        <v>7.3671252353499</v>
      </c>
      <c r="F167" s="22" t="n">
        <f aca="false">100*(F33-F32)</f>
        <v>7.44858523223579</v>
      </c>
      <c r="G167" s="22" t="n">
        <f aca="false">100*(G33-G32)</f>
        <v>7.5556489666017</v>
      </c>
      <c r="H167" s="22" t="n">
        <f aca="false">100*(H33-H32)</f>
        <v>7.68530873192841</v>
      </c>
      <c r="I167" s="22" t="n">
        <f aca="false">100*(I33-I32)</f>
        <v>7.8304596641265</v>
      </c>
      <c r="J167" s="22" t="n">
        <f aca="false">100*(J33-J32)</f>
        <v>7.98286607766821</v>
      </c>
      <c r="K167" s="22" t="n">
        <f aca="false">100*(K33-K32)</f>
        <v>8.134323039295</v>
      </c>
      <c r="L167" s="22" t="n">
        <f aca="false">100*(L33-L32)</f>
        <v>8.2773089761311</v>
      </c>
      <c r="M167" s="22" t="n">
        <f aca="false">100*(M33-M32)</f>
        <v>8.4053883514134</v>
      </c>
      <c r="N167" s="22" t="n">
        <f aca="false">100*(N33-N32)</f>
        <v>8.51339637265869</v>
      </c>
      <c r="O167" s="22" t="n">
        <f aca="false">100*(O33-O32)</f>
        <v>8.5975453577815</v>
      </c>
      <c r="P167" s="22" t="n">
        <f aca="false">100*(P33-P32)</f>
        <v>8.65551087868131</v>
      </c>
      <c r="Q167" s="22" t="n">
        <f aca="false">100*(Q33-Q32)</f>
        <v>8.6864046216016</v>
      </c>
      <c r="R167" s="22" t="n">
        <f aca="false">100*(R33-R32)</f>
        <v>8.6907027315327</v>
      </c>
      <c r="S167" s="22" t="n">
        <f aca="false">100*(S33-S32)</f>
        <v>8.66993707448609</v>
      </c>
      <c r="T167" s="22" t="n">
        <f aca="false">100*(T33-T32)</f>
        <v>8.62650107157941</v>
      </c>
      <c r="U167" s="22" t="n">
        <f aca="false">100*(U33-U32)</f>
        <v>8.56336100960533</v>
      </c>
      <c r="V167" s="22" t="n">
        <f aca="false">100*(V33-V32)</f>
        <v>8.48366841100052</v>
      </c>
      <c r="W167" s="22" t="n">
        <f aca="false">100*(W33-W32)</f>
        <v>8.39068093466362</v>
      </c>
      <c r="X167" s="22" t="n">
        <f aca="false">100*(X33-X32)</f>
        <v>8.28774084824371</v>
      </c>
      <c r="Y167" s="22" t="n">
        <f aca="false">100*(Y33-Y32)</f>
        <v>8.1781955192302</v>
      </c>
      <c r="Z167" s="22" t="n">
        <f aca="false">100*(Z33-Z32)</f>
        <v>8.06513631318961</v>
      </c>
      <c r="AA167" s="22" t="n">
        <f aca="false">100*(AA33-AA32)</f>
        <v>7.95132605713662</v>
      </c>
      <c r="AB167" s="22" t="n">
        <f aca="false">100*(AB33-AB32)</f>
        <v>7.8391914279718</v>
      </c>
      <c r="AC167" s="22" t="n">
        <f aca="false">100*(AC33-AC32)</f>
        <v>7.73070663093542</v>
      </c>
      <c r="AD167" s="22" t="n">
        <f aca="false">100*(AD33-AD32)</f>
        <v>7.62740529904349</v>
      </c>
      <c r="AE167" s="22" t="n">
        <f aca="false">100*(AE33-AE32)</f>
        <v>7.53044832874168</v>
      </c>
      <c r="AF167" s="22" t="n">
        <f aca="false">100*(AF33-AF32)</f>
        <v>7.44068035514411</v>
      </c>
      <c r="AG167" s="22" t="n">
        <f aca="false">100*(AG33-AG32)</f>
        <v>7.358664467837</v>
      </c>
      <c r="AH167" s="22" t="n">
        <f aca="false">100*(AH33-AH32)</f>
        <v>7.28463715160408</v>
      </c>
      <c r="AI167" s="22" t="n">
        <f aca="false">100*(AI33-AI32)</f>
        <v>7.2185525142892</v>
      </c>
      <c r="AJ167" s="22" t="n">
        <f aca="false">100*(AJ33-AJ32)</f>
        <v>7.1601632540522</v>
      </c>
      <c r="AK167" s="22" t="n">
        <f aca="false">100*(AK33-AK32)</f>
        <v>7.10905978214607</v>
      </c>
      <c r="AL167" s="22" t="n">
        <f aca="false">100*(AL33-AL32)</f>
        <v>7.0647144694449</v>
      </c>
      <c r="AM167" s="22" t="n">
        <f aca="false">100*(AM33-AM32)</f>
        <v>7.02652906086749</v>
      </c>
      <c r="AN167" s="22" t="n">
        <f aca="false">100*(AN33-AN32)</f>
        <v>6.9938647270718</v>
      </c>
      <c r="AO167" s="22" t="n">
        <f aca="false">100*(AO33-AO32)</f>
        <v>6.96606052091298</v>
      </c>
      <c r="AP167" s="22" t="n">
        <f aca="false">100*(AP33-AP32)</f>
        <v>6.94244963658859</v>
      </c>
      <c r="AQ167" s="22" t="n">
        <f aca="false">100*(AQ33-AQ32)</f>
        <v>6.922375667971</v>
      </c>
      <c r="AR167" s="22" t="n">
        <f aca="false">100*(AR33-AR32)</f>
        <v>6.90520026082631</v>
      </c>
      <c r="AS167" s="22" t="n">
        <f aca="false">100*(AS33-AS32)</f>
        <v>6.8903158106199</v>
      </c>
      <c r="AT167" s="22" t="n">
        <f aca="false">100*(AT33-AT32)</f>
        <v>6.87715127323791</v>
      </c>
      <c r="AU167" s="22" t="n">
        <f aca="false">100*(AU33-AU32)</f>
        <v>6.86518173591129</v>
      </c>
      <c r="AV167" s="22" t="n">
        <f aca="false">100*(AV33-AV32)</f>
        <v>6.85393028848513</v>
      </c>
      <c r="AW167" s="22" t="n">
        <f aca="false">100*(AW33-AW32)</f>
        <v>6.84297157307241</v>
      </c>
      <c r="AX167" s="22" t="n">
        <f aca="false">100*(AX33-AX32)</f>
        <v>6.83193015507779</v>
      </c>
      <c r="AY167" s="22" t="n">
        <f aca="false">100*(AY33-AY32)</f>
        <v>6.82048004083162</v>
      </c>
      <c r="AZ167" s="22" t="n">
        <f aca="false">100*(AZ33-AZ32)</f>
        <v>6.80834692983261</v>
      </c>
      <c r="BA167" s="22" t="n">
        <f aca="false">100*(BA33-BA32)</f>
        <v>6.79530513818007</v>
      </c>
      <c r="BB167" s="22" t="n">
        <f aca="false">100*(BB33-BB32)</f>
        <v>6.78117538386078</v>
      </c>
      <c r="BC167" s="22" t="n">
        <f aca="false">100*(BC33-BC32)</f>
        <v>6.76582531488181</v>
      </c>
      <c r="BD167" s="22" t="n">
        <f aca="false">100*(BD33-BD32)</f>
        <v>6.7491680714237</v>
      </c>
      <c r="BE167" s="22" t="n">
        <f aca="false">100*(BE33-BE32)</f>
        <v>6.73116068195632</v>
      </c>
      <c r="BF167" s="22" t="n">
        <f aca="false">100*(BF33-BF32)</f>
        <v>6.71180206985853</v>
      </c>
      <c r="BG167" s="22" t="n">
        <f aca="false">100*(BG33-BG32)</f>
        <v>6.6911306323588</v>
      </c>
      <c r="BH167" s="22" t="n">
        <f aca="false">AVERAGE(C167:BG167)</f>
        <v>7.52129644951491</v>
      </c>
    </row>
    <row r="168" customFormat="false" ht="15" hidden="false" customHeight="false" outlineLevel="0" collapsed="false">
      <c r="A168" s="20" t="n">
        <f aca="false">A34</f>
        <v>-91</v>
      </c>
      <c r="B168" s="21" t="n">
        <f aca="false">B34</f>
        <v>44705</v>
      </c>
      <c r="C168" s="22" t="n">
        <f aca="false">100*(C34-C33)</f>
        <v>-14.457225004985</v>
      </c>
      <c r="D168" s="22" t="n">
        <f aca="false">100*(D34-D33)</f>
        <v>-14.3789959379855</v>
      </c>
      <c r="E168" s="22" t="n">
        <f aca="false">100*(E34-E33)</f>
        <v>-14.1738496721417</v>
      </c>
      <c r="F168" s="22" t="n">
        <f aca="false">100*(F34-F33)</f>
        <v>-13.9176614998374</v>
      </c>
      <c r="G168" s="22" t="n">
        <f aca="false">100*(G34-G33)</f>
        <v>-13.6433871092493</v>
      </c>
      <c r="H168" s="22" t="n">
        <f aca="false">100*(H34-H33)</f>
        <v>-13.3670543998923</v>
      </c>
      <c r="I168" s="22" t="n">
        <f aca="false">100*(I34-I33)</f>
        <v>-13.0965931821811</v>
      </c>
      <c r="J168" s="22" t="n">
        <f aca="false">100*(J34-J33)</f>
        <v>-12.835626189512</v>
      </c>
      <c r="K168" s="22" t="n">
        <f aca="false">100*(K34-K33)</f>
        <v>-12.5853018832106</v>
      </c>
      <c r="L168" s="22" t="n">
        <f aca="false">100*(L34-L33)</f>
        <v>-12.3452724834954</v>
      </c>
      <c r="M168" s="22" t="n">
        <f aca="false">100*(M34-M33)</f>
        <v>-12.1143604370307</v>
      </c>
      <c r="N168" s="22" t="n">
        <f aca="false">100*(N34-N33)</f>
        <v>-11.8910554505756</v>
      </c>
      <c r="O168" s="22" t="n">
        <f aca="false">100*(O34-O33)</f>
        <v>-11.6738238931927</v>
      </c>
      <c r="P168" s="22" t="n">
        <f aca="false">100*(P34-P33)</f>
        <v>-11.4613806019128</v>
      </c>
      <c r="Q168" s="22" t="n">
        <f aca="false">100*(Q34-Q33)</f>
        <v>-11.2527901536467</v>
      </c>
      <c r="R168" s="22" t="n">
        <f aca="false">100*(R34-R33)</f>
        <v>-11.0475492320473</v>
      </c>
      <c r="S168" s="22" t="n">
        <f aca="false">100*(S34-S33)</f>
        <v>-10.8456303642461</v>
      </c>
      <c r="T168" s="22" t="n">
        <f aca="false">100*(T34-T33)</f>
        <v>-10.647415976468</v>
      </c>
      <c r="U168" s="22" t="n">
        <f aca="false">100*(U34-U33)</f>
        <v>-10.4535735717514</v>
      </c>
      <c r="V168" s="22" t="n">
        <f aca="false">100*(V34-V33)</f>
        <v>-10.2649309666582</v>
      </c>
      <c r="W168" s="22" t="n">
        <f aca="false">100*(W34-W33)</f>
        <v>-10.0824412789624</v>
      </c>
      <c r="X168" s="22" t="n">
        <f aca="false">100*(X34-X33)</f>
        <v>-9.90715742166901</v>
      </c>
      <c r="Y168" s="22" t="n">
        <f aca="false">100*(Y34-Y33)</f>
        <v>-9.7401741718874</v>
      </c>
      <c r="Z168" s="22" t="n">
        <f aca="false">100*(Z34-Z33)</f>
        <v>-9.58250462095629</v>
      </c>
      <c r="AA168" s="22" t="n">
        <f aca="false">100*(AA34-AA33)</f>
        <v>-9.43503600913043</v>
      </c>
      <c r="AB168" s="22" t="n">
        <f aca="false">100*(AB34-AB33)</f>
        <v>-9.29847669006318</v>
      </c>
      <c r="AC168" s="22" t="n">
        <f aca="false">100*(AC34-AC33)</f>
        <v>-9.17326292056599</v>
      </c>
      <c r="AD168" s="22" t="n">
        <f aca="false">100*(AD34-AD33)</f>
        <v>-9.05955204669571</v>
      </c>
      <c r="AE168" s="22" t="n">
        <f aca="false">100*(AE34-AE33)</f>
        <v>-8.95726477100398</v>
      </c>
      <c r="AF168" s="22" t="n">
        <f aca="false">100*(AF34-AF33)</f>
        <v>-8.86612100761512</v>
      </c>
      <c r="AG168" s="22" t="n">
        <f aca="false">100*(AG34-AG33)</f>
        <v>-8.78566688059208</v>
      </c>
      <c r="AH168" s="22" t="n">
        <f aca="false">100*(AH34-AH33)</f>
        <v>-8.71525518997478</v>
      </c>
      <c r="AI168" s="22" t="n">
        <f aca="false">100*(AI34-AI33)</f>
        <v>-8.65406919766101</v>
      </c>
      <c r="AJ168" s="22" t="n">
        <f aca="false">100*(AJ34-AJ33)</f>
        <v>-8.60120898987806</v>
      </c>
      <c r="AK168" s="22" t="n">
        <f aca="false">100*(AK34-AK33)</f>
        <v>-8.55572279514476</v>
      </c>
      <c r="AL168" s="22" t="n">
        <f aca="false">100*(AL34-AL33)</f>
        <v>-8.51664777707462</v>
      </c>
      <c r="AM168" s="22" t="n">
        <f aca="false">100*(AM34-AM33)</f>
        <v>-8.48305334117137</v>
      </c>
      <c r="AN168" s="22" t="n">
        <f aca="false">100*(AN34-AN33)</f>
        <v>-8.45405703049251</v>
      </c>
      <c r="AO168" s="22" t="n">
        <f aca="false">100*(AO34-AO33)</f>
        <v>-8.42882938219018</v>
      </c>
      <c r="AP168" s="22" t="n">
        <f aca="false">100*(AP34-AP33)</f>
        <v>-8.40658781798416</v>
      </c>
      <c r="AQ168" s="22" t="n">
        <f aca="false">100*(AQ34-AQ33)</f>
        <v>-8.38659156818702</v>
      </c>
      <c r="AR168" s="22" t="n">
        <f aca="false">100*(AR34-AR33)</f>
        <v>-8.36813641296152</v>
      </c>
      <c r="AS168" s="22" t="n">
        <f aca="false">100*(AS34-AS33)</f>
        <v>-8.35055003094452</v>
      </c>
      <c r="AT168" s="22" t="n">
        <f aca="false">100*(AT34-AT33)</f>
        <v>-8.33319607506389</v>
      </c>
      <c r="AU168" s="22" t="n">
        <f aca="false">100*(AU34-AU33)</f>
        <v>-8.31548665484871</v>
      </c>
      <c r="AV168" s="22" t="n">
        <f aca="false">100*(AV34-AV33)</f>
        <v>-8.29688718891322</v>
      </c>
      <c r="AW168" s="22" t="n">
        <f aca="false">100*(AW34-AW33)</f>
        <v>-8.27692579463641</v>
      </c>
      <c r="AX168" s="22" t="n">
        <f aca="false">100*(AX34-AX33)</f>
        <v>-8.25519357266029</v>
      </c>
      <c r="AY168" s="22" t="n">
        <f aca="false">100*(AY34-AY33)</f>
        <v>-8.2313477667753</v>
      </c>
      <c r="AZ168" s="22" t="n">
        <f aca="false">100*(AZ34-AZ33)</f>
        <v>-8.20511835286579</v>
      </c>
      <c r="BA168" s="22" t="n">
        <f aca="false">100*(BA34-BA33)</f>
        <v>-8.17630415721649</v>
      </c>
      <c r="BB168" s="22" t="n">
        <f aca="false">100*(BB34-BB33)</f>
        <v>-8.14477045923088</v>
      </c>
      <c r="BC168" s="22" t="n">
        <f aca="false">100*(BC34-BC33)</f>
        <v>-8.1104520364895</v>
      </c>
      <c r="BD168" s="22" t="n">
        <f aca="false">100*(BD34-BD33)</f>
        <v>-8.07335261369118</v>
      </c>
      <c r="BE168" s="22" t="n">
        <f aca="false">100*(BE34-BE33)</f>
        <v>-8.0335437721978</v>
      </c>
      <c r="BF168" s="22" t="n">
        <f aca="false">100*(BF34-BF33)</f>
        <v>-7.9911639381991</v>
      </c>
      <c r="BG168" s="22" t="n">
        <f aca="false">100*(BG34-BG33)</f>
        <v>-7.94641622903631</v>
      </c>
      <c r="BH168" s="22" t="n">
        <f aca="false">AVERAGE(C168:BG168)</f>
        <v>-9.92371936797633</v>
      </c>
    </row>
    <row r="169" customFormat="false" ht="15" hidden="false" customHeight="false" outlineLevel="0" collapsed="false">
      <c r="A169" s="20" t="n">
        <f aca="false">A35</f>
        <v>-90</v>
      </c>
      <c r="B169" s="21" t="n">
        <f aca="false">B35</f>
        <v>44706</v>
      </c>
      <c r="C169" s="22" t="n">
        <f aca="false">100*(C35-C34)</f>
        <v>0.234824978002601</v>
      </c>
      <c r="D169" s="22" t="n">
        <f aca="false">100*(D35-D34)</f>
        <v>0.336779612280491</v>
      </c>
      <c r="E169" s="22" t="n">
        <f aca="false">100*(E35-E34)</f>
        <v>0.536019519364905</v>
      </c>
      <c r="F169" s="22" t="n">
        <f aca="false">100*(F35-F34)</f>
        <v>0.799314227485803</v>
      </c>
      <c r="G169" s="22" t="n">
        <f aca="false">100*(G35-G34)</f>
        <v>1.10328764376191</v>
      </c>
      <c r="H169" s="22" t="n">
        <f aca="false">100*(H35-H34)</f>
        <v>1.43154577426521</v>
      </c>
      <c r="I169" s="22" t="n">
        <f aca="false">100*(I35-I34)</f>
        <v>1.7720225547539</v>
      </c>
      <c r="J169" s="22" t="n">
        <f aca="false">100*(J35-J34)</f>
        <v>2.1157292754681</v>
      </c>
      <c r="K169" s="22" t="n">
        <f aca="false">100*(K35-K34)</f>
        <v>2.45601459258329</v>
      </c>
      <c r="L169" s="22" t="n">
        <f aca="false">100*(L35-L34)</f>
        <v>2.78802860760501</v>
      </c>
      <c r="M169" s="22" t="n">
        <f aca="false">100*(M35-M34)</f>
        <v>3.1080907207637</v>
      </c>
      <c r="N169" s="22" t="n">
        <f aca="false">100*(N35-N34)</f>
        <v>3.41309371590381</v>
      </c>
      <c r="O169" s="22" t="n">
        <f aca="false">100*(O35-O34)</f>
        <v>3.70024475025139</v>
      </c>
      <c r="P169" s="22" t="n">
        <f aca="false">100*(P35-P34)</f>
        <v>3.96716101639469</v>
      </c>
      <c r="Q169" s="22" t="n">
        <f aca="false">100*(Q35-Q34)</f>
        <v>4.2119607032709</v>
      </c>
      <c r="R169" s="22" t="n">
        <f aca="false">100*(R35-R34)</f>
        <v>4.43339331802628</v>
      </c>
      <c r="S169" s="22" t="n">
        <f aca="false">100*(S35-S34)</f>
        <v>4.63083005494112</v>
      </c>
      <c r="T169" s="22" t="n">
        <f aca="false">100*(T35-T34)</f>
        <v>4.80431711055789</v>
      </c>
      <c r="U169" s="22" t="n">
        <f aca="false">100*(U35-U34)</f>
        <v>4.95455187612701</v>
      </c>
      <c r="V169" s="22" t="n">
        <f aca="false">100*(V35-V34)</f>
        <v>5.08267982072788</v>
      </c>
      <c r="W169" s="22" t="n">
        <f aca="false">100*(W35-W34)</f>
        <v>5.19018344574227</v>
      </c>
      <c r="X169" s="22" t="n">
        <f aca="false">100*(X35-X34)</f>
        <v>5.27881488029371</v>
      </c>
      <c r="Y169" s="22" t="n">
        <f aca="false">100*(Y35-Y34)</f>
        <v>5.35052326308478</v>
      </c>
      <c r="Z169" s="22" t="n">
        <f aca="false">100*(Z35-Z34)</f>
        <v>5.40731788541828</v>
      </c>
      <c r="AA169" s="22" t="n">
        <f aca="false">100*(AA35-AA34)</f>
        <v>5.45121076348609</v>
      </c>
      <c r="AB169" s="22" t="n">
        <f aca="false">100*(AB35-AB34)</f>
        <v>5.48417951857148</v>
      </c>
      <c r="AC169" s="22" t="n">
        <f aca="false">100*(AC35-AC34)</f>
        <v>5.50805530500851</v>
      </c>
      <c r="AD169" s="22" t="n">
        <f aca="false">100*(AD35-AD34)</f>
        <v>5.5245070570805</v>
      </c>
      <c r="AE169" s="22" t="n">
        <f aca="false">100*(AE35-AE34)</f>
        <v>5.53506632009788</v>
      </c>
      <c r="AF169" s="22" t="n">
        <f aca="false">100*(AF35-AF34)</f>
        <v>5.5411480669096</v>
      </c>
      <c r="AG169" s="22" t="n">
        <f aca="false">100*(AG35-AG34)</f>
        <v>5.54405528705599</v>
      </c>
      <c r="AH169" s="22" t="n">
        <f aca="false">100*(AH35-AH34)</f>
        <v>5.54490617892718</v>
      </c>
      <c r="AI169" s="22" t="n">
        <f aca="false">100*(AI35-AI34)</f>
        <v>5.54464725898818</v>
      </c>
      <c r="AJ169" s="22" t="n">
        <f aca="false">100*(AJ35-AJ34)</f>
        <v>5.54408450465256</v>
      </c>
      <c r="AK169" s="22" t="n">
        <f aca="false">100*(AK35-AK34)</f>
        <v>5.54389893556908</v>
      </c>
      <c r="AL169" s="22" t="n">
        <f aca="false">100*(AL35-AL34)</f>
        <v>5.54465801478989</v>
      </c>
      <c r="AM169" s="22" t="n">
        <f aca="false">100*(AM35-AM34)</f>
        <v>5.54682619118188</v>
      </c>
      <c r="AN169" s="22" t="n">
        <f aca="false">100*(AN35-AN34)</f>
        <v>5.55077782656692</v>
      </c>
      <c r="AO169" s="22" t="n">
        <f aca="false">100*(AO35-AO34)</f>
        <v>5.55680868103612</v>
      </c>
      <c r="AP169" s="22" t="n">
        <f aca="false">100*(AP35-AP34)</f>
        <v>5.56514679715789</v>
      </c>
      <c r="AQ169" s="22" t="n">
        <f aca="false">100*(AQ35-AQ34)</f>
        <v>5.5759612587527</v>
      </c>
      <c r="AR169" s="22" t="n">
        <f aca="false">100*(AR35-AR34)</f>
        <v>5.58936624459663</v>
      </c>
      <c r="AS169" s="22" t="n">
        <f aca="false">100*(AS35-AS34)</f>
        <v>5.60542090361209</v>
      </c>
      <c r="AT169" s="22" t="n">
        <f aca="false">100*(AT35-AT34)</f>
        <v>5.62413165476117</v>
      </c>
      <c r="AU169" s="22" t="n">
        <f aca="false">100*(AU35-AU34)</f>
        <v>5.6454537337423</v>
      </c>
      <c r="AV169" s="22" t="n">
        <f aca="false">100*(AV35-AV34)</f>
        <v>5.66929539441889</v>
      </c>
      <c r="AW169" s="22" t="n">
        <f aca="false">100*(AW35-AW34)</f>
        <v>5.69552233305029</v>
      </c>
      <c r="AX169" s="22" t="n">
        <f aca="false">100*(AX35-AX34)</f>
        <v>5.72396182313568</v>
      </c>
      <c r="AY169" s="22" t="n">
        <f aca="false">100*(AY35-AY34)</f>
        <v>5.7544092542027</v>
      </c>
      <c r="AZ169" s="22" t="n">
        <f aca="false">100*(AZ35-AZ34)</f>
        <v>5.78663792310152</v>
      </c>
      <c r="BA169" s="22" t="n">
        <f aca="false">100*(BA35-BA34)</f>
        <v>5.8204027999941</v>
      </c>
      <c r="BB169" s="22" t="n">
        <f aca="false">100*(BB35-BB34)</f>
        <v>5.8554452883119</v>
      </c>
      <c r="BC169" s="22" t="n">
        <f aca="false">100*(BC35-BC34)</f>
        <v>5.89150086155938</v>
      </c>
      <c r="BD169" s="22" t="n">
        <f aca="false">100*(BD35-BD34)</f>
        <v>5.92830117679379</v>
      </c>
      <c r="BE169" s="22" t="n">
        <f aca="false">100*(BE35-BE34)</f>
        <v>5.9655746879999</v>
      </c>
      <c r="BF169" s="22" t="n">
        <f aca="false">100*(BF35-BF34)</f>
        <v>6.00304737456239</v>
      </c>
      <c r="BG169" s="22" t="n">
        <f aca="false">100*(BG35-BG34)</f>
        <v>6.04044496023199</v>
      </c>
      <c r="BH169" s="22" t="n">
        <f aca="false">AVERAGE(C169:BG169)</f>
        <v>4.62827339871899</v>
      </c>
    </row>
    <row r="170" customFormat="false" ht="15" hidden="false" customHeight="false" outlineLevel="0" collapsed="false">
      <c r="A170" s="20" t="n">
        <f aca="false">A36</f>
        <v>-89</v>
      </c>
      <c r="B170" s="21" t="n">
        <f aca="false">B36</f>
        <v>44707</v>
      </c>
      <c r="C170" s="22" t="n">
        <f aca="false">100*(C36-C35)</f>
        <v>2.97484355210871</v>
      </c>
      <c r="D170" s="22" t="n">
        <f aca="false">100*(D36-D35)</f>
        <v>3.21688846081001</v>
      </c>
      <c r="E170" s="22" t="n">
        <f aca="false">100*(E36-E35)</f>
        <v>3.52021808370711</v>
      </c>
      <c r="F170" s="22" t="n">
        <f aca="false">100*(F36-F35)</f>
        <v>3.8683295890926</v>
      </c>
      <c r="G170" s="22" t="n">
        <f aca="false">100*(G36-G35)</f>
        <v>4.2375671952702</v>
      </c>
      <c r="H170" s="22" t="n">
        <f aca="false">100*(H36-H35)</f>
        <v>4.60866613226041</v>
      </c>
      <c r="I170" s="22" t="n">
        <f aca="false">100*(I36-I35)</f>
        <v>4.9678917841306</v>
      </c>
      <c r="J170" s="22" t="n">
        <f aca="false">100*(J36-J35)</f>
        <v>5.30595843250319</v>
      </c>
      <c r="K170" s="22" t="n">
        <f aca="false">100*(K36-K35)</f>
        <v>5.6169632793261</v>
      </c>
      <c r="L170" s="22" t="n">
        <f aca="false">100*(L36-L35)</f>
        <v>5.89773302157088</v>
      </c>
      <c r="M170" s="22" t="n">
        <f aca="false">100*(M36-M35)</f>
        <v>6.14737222797419</v>
      </c>
      <c r="N170" s="22" t="n">
        <f aca="false">100*(N36-N35)</f>
        <v>6.3667841530205</v>
      </c>
      <c r="O170" s="22" t="n">
        <f aca="false">100*(O36-O35)</f>
        <v>6.55809137358081</v>
      </c>
      <c r="P170" s="22" t="n">
        <f aca="false">100*(P36-P35)</f>
        <v>6.7240837505804</v>
      </c>
      <c r="Q170" s="22" t="n">
        <f aca="false">100*(Q36-Q35)</f>
        <v>6.8678644919566</v>
      </c>
      <c r="R170" s="22" t="n">
        <f aca="false">100*(R36-R35)</f>
        <v>6.992479353305</v>
      </c>
      <c r="S170" s="22" t="n">
        <f aca="false">100*(S36-S35)</f>
        <v>7.1008303695532</v>
      </c>
      <c r="T170" s="22" t="n">
        <f aca="false">100*(T36-T35)</f>
        <v>7.19547075079638</v>
      </c>
      <c r="U170" s="22" t="n">
        <f aca="false">100*(U36-U35)</f>
        <v>7.27861412534669</v>
      </c>
      <c r="V170" s="22" t="n">
        <f aca="false">100*(V36-V35)</f>
        <v>7.35206825305972</v>
      </c>
      <c r="W170" s="22" t="n">
        <f aca="false">100*(W36-W35)</f>
        <v>7.41729462121841</v>
      </c>
      <c r="X170" s="22" t="n">
        <f aca="false">100*(X36-X35)</f>
        <v>7.47547773035038</v>
      </c>
      <c r="Y170" s="22" t="n">
        <f aca="false">100*(Y36-Y35)</f>
        <v>7.52756217207922</v>
      </c>
      <c r="Z170" s="22" t="n">
        <f aca="false">100*(Z36-Z35)</f>
        <v>7.57421446244031</v>
      </c>
      <c r="AA170" s="22" t="n">
        <f aca="false">100*(AA36-AA35)</f>
        <v>7.61580837164981</v>
      </c>
      <c r="AB170" s="22" t="n">
        <f aca="false">100*(AB36-AB35)</f>
        <v>7.65245384793318</v>
      </c>
      <c r="AC170" s="22" t="n">
        <f aca="false">100*(AC36-AC35)</f>
        <v>7.68416800910838</v>
      </c>
      <c r="AD170" s="22" t="n">
        <f aca="false">100*(AD36-AD35)</f>
        <v>7.71095054578832</v>
      </c>
      <c r="AE170" s="22" t="n">
        <f aca="false">100*(AE36-AE35)</f>
        <v>7.73278787943919</v>
      </c>
      <c r="AF170" s="22" t="n">
        <f aca="false">100*(AF36-AF35)</f>
        <v>7.74965517285722</v>
      </c>
      <c r="AG170" s="22" t="n">
        <f aca="false">100*(AG36-AG35)</f>
        <v>7.76152698052282</v>
      </c>
      <c r="AH170" s="22" t="n">
        <f aca="false">100*(AH36-AH35)</f>
        <v>7.76848117556579</v>
      </c>
      <c r="AI170" s="22" t="n">
        <f aca="false">100*(AI36-AI35)</f>
        <v>7.77072681494402</v>
      </c>
      <c r="AJ170" s="22" t="n">
        <f aca="false">100*(AJ36-AJ35)</f>
        <v>7.76858161693563</v>
      </c>
      <c r="AK170" s="22" t="n">
        <f aca="false">100*(AK36-AK35)</f>
        <v>7.76246745151639</v>
      </c>
      <c r="AL170" s="22" t="n">
        <f aca="false">100*(AL36-AL35)</f>
        <v>7.75289949639939</v>
      </c>
      <c r="AM170" s="22" t="n">
        <f aca="false">100*(AM36-AM35)</f>
        <v>7.74047793058359</v>
      </c>
      <c r="AN170" s="22" t="n">
        <f aca="false">100*(AN36-AN35)</f>
        <v>7.72587027270908</v>
      </c>
      <c r="AO170" s="22" t="n">
        <f aca="false">100*(AO36-AO35)</f>
        <v>7.70979700634658</v>
      </c>
      <c r="AP170" s="22" t="n">
        <f aca="false">100*(AP36-AP35)</f>
        <v>7.69300963924628</v>
      </c>
      <c r="AQ170" s="22" t="n">
        <f aca="false">100*(AQ36-AQ35)</f>
        <v>7.67626712661942</v>
      </c>
      <c r="AR170" s="22" t="n">
        <f aca="false">100*(AR36-AR35)</f>
        <v>7.66031811103529</v>
      </c>
      <c r="AS170" s="22" t="n">
        <f aca="false">100*(AS36-AS35)</f>
        <v>7.645870905379</v>
      </c>
      <c r="AT170" s="22" t="n">
        <f aca="false">100*(AT36-AT35)</f>
        <v>7.63357802928431</v>
      </c>
      <c r="AU170" s="22" t="n">
        <f aca="false">100*(AU36-AU35)</f>
        <v>7.62401511875561</v>
      </c>
      <c r="AV170" s="22" t="n">
        <f aca="false">100*(AV36-AV35)</f>
        <v>7.61767334523471</v>
      </c>
      <c r="AW170" s="22" t="n">
        <f aca="false">100*(AW36-AW35)</f>
        <v>7.61494552468411</v>
      </c>
      <c r="AX170" s="22" t="n">
        <f aca="false">100*(AX36-AX35)</f>
        <v>7.61612460976662</v>
      </c>
      <c r="AY170" s="22" t="n">
        <f aca="false">100*(AY36-AY35)</f>
        <v>7.62140250929808</v>
      </c>
      <c r="AZ170" s="22" t="n">
        <f aca="false">100*(AZ36-AZ35)</f>
        <v>7.63087089666237</v>
      </c>
      <c r="BA170" s="22" t="n">
        <f aca="false">100*(BA36-BA35)</f>
        <v>7.64452872303019</v>
      </c>
      <c r="BB170" s="22" t="n">
        <f aca="false">100*(BB36-BB35)</f>
        <v>7.662286904745</v>
      </c>
      <c r="BC170" s="22" t="n">
        <f aca="false">100*(BC36-BC35)</f>
        <v>7.68396801596829</v>
      </c>
      <c r="BD170" s="22" t="n">
        <f aca="false">100*(BD36-BD35)</f>
        <v>7.70931375444488</v>
      </c>
      <c r="BE170" s="22" t="n">
        <f aca="false">100*(BE36-BE35)</f>
        <v>7.73799486378932</v>
      </c>
      <c r="BF170" s="22" t="n">
        <f aca="false">100*(BF36-BF35)</f>
        <v>7.7696237452261</v>
      </c>
      <c r="BG170" s="22" t="n">
        <f aca="false">100*(BG36-BG35)</f>
        <v>7.80376454256313</v>
      </c>
      <c r="BH170" s="22" t="n">
        <f aca="false">AVERAGE(C170:BG170)</f>
        <v>6.96044695270305</v>
      </c>
    </row>
    <row r="171" customFormat="false" ht="15" hidden="false" customHeight="false" outlineLevel="0" collapsed="false">
      <c r="A171" s="20" t="n">
        <f aca="false">A37</f>
        <v>-88</v>
      </c>
      <c r="B171" s="21" t="n">
        <f aca="false">B37</f>
        <v>44708</v>
      </c>
      <c r="C171" s="22" t="n">
        <f aca="false">100*(C37-C36)</f>
        <v>-1.09260100358259</v>
      </c>
      <c r="D171" s="22" t="n">
        <f aca="false">100*(D37-D36)</f>
        <v>-1.3787218674443</v>
      </c>
      <c r="E171" s="22" t="n">
        <f aca="false">100*(E37-E36)</f>
        <v>-1.7460780651203</v>
      </c>
      <c r="F171" s="22" t="n">
        <f aca="false">100*(F37-F36)</f>
        <v>-2.1566556137075</v>
      </c>
      <c r="G171" s="22" t="n">
        <f aca="false">100*(G37-G36)</f>
        <v>-2.57853221422331</v>
      </c>
      <c r="H171" s="22" t="n">
        <f aca="false">100*(H37-H36)</f>
        <v>-2.98891789330091</v>
      </c>
      <c r="I171" s="22" t="n">
        <f aca="false">100*(I37-I36)</f>
        <v>-3.3724140967395</v>
      </c>
      <c r="J171" s="22" t="n">
        <f aca="false">100*(J37-J36)</f>
        <v>-3.71929518594969</v>
      </c>
      <c r="K171" s="22" t="n">
        <f aca="false">100*(K37-K36)</f>
        <v>-4.02374417956299</v>
      </c>
      <c r="L171" s="22" t="n">
        <f aca="false">100*(L37-L36)</f>
        <v>-4.28319772446248</v>
      </c>
      <c r="M171" s="22" t="n">
        <f aca="false">100*(M37-M36)</f>
        <v>-4.49757017708679</v>
      </c>
      <c r="N171" s="22" t="n">
        <f aca="false">100*(N37-N36)</f>
        <v>-4.6685846175109</v>
      </c>
      <c r="O171" s="22" t="n">
        <f aca="false">100*(O37-O36)</f>
        <v>-4.79913822784641</v>
      </c>
      <c r="P171" s="22" t="n">
        <f aca="false">100*(P37-P36)</f>
        <v>-4.89271327463701</v>
      </c>
      <c r="Q171" s="22" t="n">
        <f aca="false">100*(Q37-Q36)</f>
        <v>-4.9531665066529</v>
      </c>
      <c r="R171" s="22" t="n">
        <f aca="false">100*(R37-R36)</f>
        <v>-4.98465133231198</v>
      </c>
      <c r="S171" s="22" t="n">
        <f aca="false">100*(S37-S36)</f>
        <v>-4.9912690482131</v>
      </c>
      <c r="T171" s="22" t="n">
        <f aca="false">100*(T37-T36)</f>
        <v>-4.97719416730229</v>
      </c>
      <c r="U171" s="22" t="n">
        <f aca="false">100*(U37-U36)</f>
        <v>-4.946359362228</v>
      </c>
      <c r="V171" s="22" t="n">
        <f aca="false">100*(V37-V36)</f>
        <v>-4.90234893316881</v>
      </c>
      <c r="W171" s="22" t="n">
        <f aca="false">100*(W37-W36)</f>
        <v>-4.84848233242978</v>
      </c>
      <c r="X171" s="22" t="n">
        <f aca="false">100*(X37-X36)</f>
        <v>-4.78786541751197</v>
      </c>
      <c r="Y171" s="22" t="n">
        <f aca="false">100*(Y37-Y36)</f>
        <v>-4.7233232946077</v>
      </c>
      <c r="Z171" s="22" t="n">
        <f aca="false">100*(Z37-Z36)</f>
        <v>-4.65718355776841</v>
      </c>
      <c r="AA171" s="22" t="n">
        <f aca="false">100*(AA37-AA36)</f>
        <v>-4.59130330085169</v>
      </c>
      <c r="AB171" s="22" t="n">
        <f aca="false">100*(AB37-AB36)</f>
        <v>-4.52716639687067</v>
      </c>
      <c r="AC171" s="22" t="n">
        <f aca="false">100*(AC37-AC36)</f>
        <v>-4.46589830996449</v>
      </c>
      <c r="AD171" s="22" t="n">
        <f aca="false">100*(AD37-AD36)</f>
        <v>-4.40828154769961</v>
      </c>
      <c r="AE171" s="22" t="n">
        <f aca="false">100*(AE37-AE36)</f>
        <v>-4.35480758007958</v>
      </c>
      <c r="AF171" s="22" t="n">
        <f aca="false">100*(AF37-AF36)</f>
        <v>-4.3057209361447</v>
      </c>
      <c r="AG171" s="22" t="n">
        <f aca="false">100*(AG37-AG36)</f>
        <v>-4.26106749661743</v>
      </c>
      <c r="AH171" s="22" t="n">
        <f aca="false">100*(AH37-AH36)</f>
        <v>-4.22073405026517</v>
      </c>
      <c r="AI171" s="22" t="n">
        <f aca="false">100*(AI37-AI36)</f>
        <v>-4.18444158327151</v>
      </c>
      <c r="AJ171" s="22" t="n">
        <f aca="false">100*(AJ37-AJ36)</f>
        <v>-4.15180011192859</v>
      </c>
      <c r="AK171" s="22" t="n">
        <f aca="false">100*(AK37-AK36)</f>
        <v>-4.12232823282288</v>
      </c>
      <c r="AL171" s="22" t="n">
        <f aca="false">100*(AL37-AL36)</f>
        <v>-4.09547834338206</v>
      </c>
      <c r="AM171" s="22" t="n">
        <f aca="false">100*(AM37-AM36)</f>
        <v>-4.07065485687816</v>
      </c>
      <c r="AN171" s="22" t="n">
        <f aca="false">100*(AN37-AN36)</f>
        <v>-4.0472299179688</v>
      </c>
      <c r="AO171" s="22" t="n">
        <f aca="false">100*(AO37-AO36)</f>
        <v>-4.02455318811827</v>
      </c>
      <c r="AP171" s="22" t="n">
        <f aca="false">100*(AP37-AP36)</f>
        <v>-4.0019637265273</v>
      </c>
      <c r="AQ171" s="22" t="n">
        <f aca="false">100*(AQ37-AQ36)</f>
        <v>-3.97880464477502</v>
      </c>
      <c r="AR171" s="22" t="n">
        <f aca="false">100*(AR37-AR36)</f>
        <v>-3.95443036179128</v>
      </c>
      <c r="AS171" s="22" t="n">
        <f aca="false">100*(AS37-AS36)</f>
        <v>-3.92821873035731</v>
      </c>
      <c r="AT171" s="22" t="n">
        <f aca="false">100*(AT37-AT36)</f>
        <v>-3.89958276675029</v>
      </c>
      <c r="AU171" s="22" t="n">
        <f aca="false">100*(AU37-AU36)</f>
        <v>-3.8679869654958</v>
      </c>
      <c r="AV171" s="22" t="n">
        <f aca="false">100*(AV37-AV36)</f>
        <v>-3.83295459204982</v>
      </c>
      <c r="AW171" s="22" t="n">
        <f aca="false">100*(AW37-AW36)</f>
        <v>-3.79408044662357</v>
      </c>
      <c r="AX171" s="22" t="n">
        <f aca="false">100*(AX37-AX36)</f>
        <v>-3.75103391684588</v>
      </c>
      <c r="AY171" s="22" t="n">
        <f aca="false">100*(AY37-AY36)</f>
        <v>-3.70356905639468</v>
      </c>
      <c r="AZ171" s="22" t="n">
        <f aca="false">100*(AZ37-AZ36)</f>
        <v>-3.65153630551287</v>
      </c>
      <c r="BA171" s="22" t="n">
        <f aca="false">100*(BA37-BA36)</f>
        <v>-3.5948773349856</v>
      </c>
      <c r="BB171" s="22" t="n">
        <f aca="false">100*(BB37-BB36)</f>
        <v>-3.53362405457429</v>
      </c>
      <c r="BC171" s="22" t="n">
        <f aca="false">100*(BC37-BC36)</f>
        <v>-3.46790631267537</v>
      </c>
      <c r="BD171" s="22" t="n">
        <f aca="false">100*(BD37-BD36)</f>
        <v>-3.3979482059054</v>
      </c>
      <c r="BE171" s="22" t="n">
        <f aca="false">100*(BE37-BE36)</f>
        <v>-3.32406099859663</v>
      </c>
      <c r="BF171" s="22" t="n">
        <f aca="false">100*(BF37-BF36)</f>
        <v>-3.24663260484748</v>
      </c>
      <c r="BG171" s="22" t="n">
        <f aca="false">100*(BG37-BG36)</f>
        <v>-3.16611657206503</v>
      </c>
      <c r="BH171" s="22" t="n">
        <f aca="false">AVERAGE(C171:BG171)</f>
        <v>-3.94555792180714</v>
      </c>
    </row>
    <row r="172" customFormat="false" ht="15" hidden="false" customHeight="false" outlineLevel="0" collapsed="false">
      <c r="A172" s="20" t="n">
        <f aca="false">A38</f>
        <v>-87</v>
      </c>
      <c r="B172" s="21" t="n">
        <f aca="false">B38</f>
        <v>44711</v>
      </c>
      <c r="C172" s="22" t="n">
        <f aca="false">100*(C38-C37)</f>
        <v>3.70771397011449</v>
      </c>
      <c r="D172" s="22" t="n">
        <f aca="false">100*(D38-D37)</f>
        <v>3.53016650683289</v>
      </c>
      <c r="E172" s="22" t="n">
        <f aca="false">100*(E38-E37)</f>
        <v>3.42112359481399</v>
      </c>
      <c r="F172" s="22" t="n">
        <f aca="false">100*(F38-F37)</f>
        <v>3.39284899253931</v>
      </c>
      <c r="G172" s="22" t="n">
        <f aca="false">100*(G38-G37)</f>
        <v>3.44198253448189</v>
      </c>
      <c r="H172" s="22" t="n">
        <f aca="false">100*(H38-H37)</f>
        <v>3.55676076988731</v>
      </c>
      <c r="I172" s="22" t="n">
        <f aca="false">100*(I38-I37)</f>
        <v>3.72168341969119</v>
      </c>
      <c r="J172" s="22" t="n">
        <f aca="false">100*(J38-J37)</f>
        <v>3.9207458565637</v>
      </c>
      <c r="K172" s="22" t="n">
        <f aca="false">100*(K38-K37)</f>
        <v>4.13899788613819</v>
      </c>
      <c r="L172" s="22" t="n">
        <f aca="false">100*(L38-L37)</f>
        <v>4.36347309195848</v>
      </c>
      <c r="M172" s="22" t="n">
        <f aca="false">100*(M38-M37)</f>
        <v>4.58349166985519</v>
      </c>
      <c r="N172" s="22" t="n">
        <f aca="false">100*(N38-N37)</f>
        <v>4.79069828477059</v>
      </c>
      <c r="O172" s="22" t="n">
        <f aca="false">100*(O38-O37)</f>
        <v>4.9789159001884</v>
      </c>
      <c r="P172" s="22" t="n">
        <f aca="false">100*(P38-P37)</f>
        <v>5.14402053290062</v>
      </c>
      <c r="Q172" s="22" t="n">
        <f aca="false">100*(Q38-Q37)</f>
        <v>5.28369404511251</v>
      </c>
      <c r="R172" s="22" t="n">
        <f aca="false">100*(R38-R37)</f>
        <v>5.39725133848938</v>
      </c>
      <c r="S172" s="22" t="n">
        <f aca="false">100*(S38-S37)</f>
        <v>5.48534255017839</v>
      </c>
      <c r="T172" s="22" t="n">
        <f aca="false">100*(T38-T37)</f>
        <v>5.54970930329879</v>
      </c>
      <c r="U172" s="22" t="n">
        <f aca="false">100*(U38-U37)</f>
        <v>5.59284239681941</v>
      </c>
      <c r="V172" s="22" t="n">
        <f aca="false">100*(V38-V37)</f>
        <v>5.6174280601855</v>
      </c>
      <c r="W172" s="22" t="n">
        <f aca="false">100*(W38-W37)</f>
        <v>5.62625947248288</v>
      </c>
      <c r="X172" s="22" t="n">
        <f aca="false">100*(X38-X37)</f>
        <v>5.62221440878261</v>
      </c>
      <c r="Y172" s="22" t="n">
        <f aca="false">100*(Y38-Y37)</f>
        <v>5.60813806546787</v>
      </c>
      <c r="Z172" s="22" t="n">
        <f aca="false">100*(Z38-Z37)</f>
        <v>5.58651129917753</v>
      </c>
      <c r="AA172" s="22" t="n">
        <f aca="false">100*(AA38-AA37)</f>
        <v>5.5593823769565</v>
      </c>
      <c r="AB172" s="22" t="n">
        <f aca="false">100*(AB38-AB37)</f>
        <v>5.5284160518092</v>
      </c>
      <c r="AC172" s="22" t="n">
        <f aca="false">100*(AC38-AC37)</f>
        <v>5.49494551958158</v>
      </c>
      <c r="AD172" s="22" t="n">
        <f aca="false">100*(AD38-AD37)</f>
        <v>5.4600232500452</v>
      </c>
      <c r="AE172" s="22" t="n">
        <f aca="false">100*(AE38-AE37)</f>
        <v>5.42446480518111</v>
      </c>
      <c r="AF172" s="22" t="n">
        <f aca="false">100*(AF38-AF37)</f>
        <v>5.38888473429879</v>
      </c>
      <c r="AG172" s="22" t="n">
        <f aca="false">100*(AG38-AG37)</f>
        <v>5.35372987302183</v>
      </c>
      <c r="AH172" s="22" t="n">
        <f aca="false">100*(AH38-AH37)</f>
        <v>5.319332293822</v>
      </c>
      <c r="AI172" s="22" t="n">
        <f aca="false">100*(AI38-AI37)</f>
        <v>5.28593054505251</v>
      </c>
      <c r="AJ172" s="22" t="n">
        <f aca="false">100*(AJ38-AJ37)</f>
        <v>5.25368650173208</v>
      </c>
      <c r="AK172" s="22" t="n">
        <f aca="false">100*(AK38-AK37)</f>
        <v>5.22270012708499</v>
      </c>
      <c r="AL172" s="22" t="n">
        <f aca="false">100*(AL38-AL37)</f>
        <v>5.19302088581686</v>
      </c>
      <c r="AM172" s="22" t="n">
        <f aca="false">100*(AM38-AM37)</f>
        <v>5.16465888732838</v>
      </c>
      <c r="AN172" s="22" t="n">
        <f aca="false">100*(AN38-AN37)</f>
        <v>5.13759647153931</v>
      </c>
      <c r="AO172" s="22" t="n">
        <f aca="false">100*(AO38-AO37)</f>
        <v>5.11179548872116</v>
      </c>
      <c r="AP172" s="22" t="n">
        <f aca="false">100*(AP38-AP37)</f>
        <v>5.08719730007918</v>
      </c>
      <c r="AQ172" s="22" t="n">
        <f aca="false">100*(AQ38-AQ37)</f>
        <v>5.0637219834992</v>
      </c>
      <c r="AR172" s="22" t="n">
        <f aca="false">100*(AR38-AR37)</f>
        <v>5.04126571221399</v>
      </c>
      <c r="AS172" s="22" t="n">
        <f aca="false">100*(AS38-AS37)</f>
        <v>5.01969421269211</v>
      </c>
      <c r="AT172" s="22" t="n">
        <f aca="false">100*(AT38-AT37)</f>
        <v>4.99884587037158</v>
      </c>
      <c r="AU172" s="22" t="n">
        <f aca="false">100*(AU38-AU37)</f>
        <v>4.97853829932011</v>
      </c>
      <c r="AV172" s="22" t="n">
        <f aca="false">100*(AV38-AV37)</f>
        <v>4.95857453527151</v>
      </c>
      <c r="AW172" s="22" t="n">
        <f aca="false">100*(AW38-AW37)</f>
        <v>4.93875201174179</v>
      </c>
      <c r="AX172" s="22" t="n">
        <f aca="false">100*(AX38-AX37)</f>
        <v>4.91886749025801</v>
      </c>
      <c r="AY172" s="22" t="n">
        <f aca="false">100*(AY38-AY37)</f>
        <v>4.89872614337248</v>
      </c>
      <c r="AZ172" s="22" t="n">
        <f aca="false">100*(AZ38-AZ37)</f>
        <v>4.87815331675519</v>
      </c>
      <c r="BA172" s="22" t="n">
        <f aca="false">100*(BA38-BA37)</f>
        <v>4.85699540158953</v>
      </c>
      <c r="BB172" s="22" t="n">
        <f aca="false">100*(BB38-BB37)</f>
        <v>4.83512366935828</v>
      </c>
      <c r="BC172" s="22" t="n">
        <f aca="false">100*(BC38-BC37)</f>
        <v>4.8124438852502</v>
      </c>
      <c r="BD172" s="22" t="n">
        <f aca="false">100*(BD38-BD37)</f>
        <v>4.78889833864673</v>
      </c>
      <c r="BE172" s="22" t="n">
        <f aca="false">100*(BE38-BE37)</f>
        <v>4.76446580564711</v>
      </c>
      <c r="BF172" s="22" t="n">
        <f aca="false">100*(BF38-BF37)</f>
        <v>4.73915980471107</v>
      </c>
      <c r="BG172" s="22" t="n">
        <f aca="false">100*(BG38-BG37)</f>
        <v>4.7130264312381</v>
      </c>
      <c r="BH172" s="22" t="n">
        <f aca="false">AVERAGE(C172:BG172)</f>
        <v>4.91671985920594</v>
      </c>
    </row>
    <row r="173" customFormat="false" ht="15" hidden="false" customHeight="false" outlineLevel="0" collapsed="false">
      <c r="A173" s="20" t="n">
        <f aca="false">A39</f>
        <v>-86</v>
      </c>
      <c r="B173" s="21" t="n">
        <f aca="false">B39</f>
        <v>44712</v>
      </c>
      <c r="C173" s="22" t="n">
        <f aca="false">100*(C39-C38)</f>
        <v>11.902993493495</v>
      </c>
      <c r="D173" s="22" t="n">
        <f aca="false">100*(D39-D38)</f>
        <v>11.5991435661845</v>
      </c>
      <c r="E173" s="22" t="n">
        <f aca="false">100*(E39-E38)</f>
        <v>11.1550511229451</v>
      </c>
      <c r="F173" s="22" t="n">
        <f aca="false">100*(F39-F38)</f>
        <v>10.735659619774</v>
      </c>
      <c r="G173" s="22" t="n">
        <f aca="false">100*(G39-G38)</f>
        <v>10.4170752229046</v>
      </c>
      <c r="H173" s="22" t="n">
        <f aca="false">100*(H39-H38)</f>
        <v>10.2271738017258</v>
      </c>
      <c r="I173" s="22" t="n">
        <f aca="false">100*(I39-I38)</f>
        <v>10.1671322260635</v>
      </c>
      <c r="J173" s="22" t="n">
        <f aca="false">100*(J39-J38)</f>
        <v>10.2246289880581</v>
      </c>
      <c r="K173" s="22" t="n">
        <f aca="false">100*(K39-K38)</f>
        <v>10.3809289565323</v>
      </c>
      <c r="L173" s="22" t="n">
        <f aca="false">100*(L39-L38)</f>
        <v>10.6147942362677</v>
      </c>
      <c r="M173" s="22" t="n">
        <f aca="false">100*(M39-M38)</f>
        <v>10.9051171668528</v>
      </c>
      <c r="N173" s="22" t="n">
        <f aca="false">100*(N39-N38)</f>
        <v>11.232545926001</v>
      </c>
      <c r="O173" s="22" t="n">
        <f aca="false">100*(O39-O38)</f>
        <v>11.5803700033004</v>
      </c>
      <c r="P173" s="22" t="n">
        <f aca="false">100*(P39-P38)</f>
        <v>11.9350256998624</v>
      </c>
      <c r="Q173" s="22" t="n">
        <f aca="false">100*(Q39-Q38)</f>
        <v>12.2860063671736</v>
      </c>
      <c r="R173" s="22" t="n">
        <f aca="false">100*(R39-R38)</f>
        <v>12.6258129221403</v>
      </c>
      <c r="S173" s="22" t="n">
        <f aca="false">100*(S39-S38)</f>
        <v>12.9494663986114</v>
      </c>
      <c r="T173" s="22" t="n">
        <f aca="false">100*(T39-T38)</f>
        <v>13.2539721517405</v>
      </c>
      <c r="U173" s="22" t="n">
        <f aca="false">100*(U39-U38)</f>
        <v>13.5378290314147</v>
      </c>
      <c r="V173" s="22" t="n">
        <f aca="false">100*(V39-V38)</f>
        <v>13.8004021905786</v>
      </c>
      <c r="W173" s="22" t="n">
        <f aca="false">100*(W39-W38)</f>
        <v>14.0417008193828</v>
      </c>
      <c r="X173" s="22" t="n">
        <f aca="false">100*(X39-X38)</f>
        <v>14.2622489884228</v>
      </c>
      <c r="Y173" s="22" t="n">
        <f aca="false">100*(Y39-Y38)</f>
        <v>14.4629327671997</v>
      </c>
      <c r="Z173" s="22" t="n">
        <f aca="false">100*(Z39-Z38)</f>
        <v>14.644733186016</v>
      </c>
      <c r="AA173" s="22" t="n">
        <f aca="false">100*(AA39-AA38)</f>
        <v>14.8086497662153</v>
      </c>
      <c r="AB173" s="22" t="n">
        <f aca="false">100*(AB39-AB38)</f>
        <v>14.9557210074134</v>
      </c>
      <c r="AC173" s="22" t="n">
        <f aca="false">100*(AC39-AC38)</f>
        <v>15.0869894990974</v>
      </c>
      <c r="AD173" s="22" t="n">
        <f aca="false">100*(AD39-AD38)</f>
        <v>15.2034934417599</v>
      </c>
      <c r="AE173" s="22" t="n">
        <f aca="false">100*(AE39-AE38)</f>
        <v>15.3062674076603</v>
      </c>
      <c r="AF173" s="22" t="n">
        <f aca="false">100*(AF39-AF38)</f>
        <v>15.3963428905581</v>
      </c>
      <c r="AG173" s="22" t="n">
        <f aca="false">100*(AG39-AG38)</f>
        <v>15.4747421239925</v>
      </c>
      <c r="AH173" s="22" t="n">
        <f aca="false">100*(AH39-AH38)</f>
        <v>15.542444965517</v>
      </c>
      <c r="AI173" s="22" t="n">
        <f aca="false">100*(AI39-AI38)</f>
        <v>15.6003866707737</v>
      </c>
      <c r="AJ173" s="22" t="n">
        <f aca="false">100*(AJ39-AJ38)</f>
        <v>15.6494549609103</v>
      </c>
      <c r="AK173" s="22" t="n">
        <f aca="false">100*(AK39-AK38)</f>
        <v>15.6904926370558</v>
      </c>
      <c r="AL173" s="22" t="n">
        <f aca="false">100*(AL39-AL38)</f>
        <v>15.7242927925468</v>
      </c>
      <c r="AM173" s="22" t="n">
        <f aca="false">100*(AM39-AM38)</f>
        <v>15.7515951582815</v>
      </c>
      <c r="AN173" s="22" t="n">
        <f aca="false">100*(AN39-AN38)</f>
        <v>15.7730924045273</v>
      </c>
      <c r="AO173" s="22" t="n">
        <f aca="false">100*(AO39-AO38)</f>
        <v>15.7894363381075</v>
      </c>
      <c r="AP173" s="22" t="n">
        <f aca="false">100*(AP39-AP38)</f>
        <v>15.8012411963407</v>
      </c>
      <c r="AQ173" s="22" t="n">
        <f aca="false">100*(AQ39-AQ38)</f>
        <v>15.809085518114</v>
      </c>
      <c r="AR173" s="22" t="n">
        <f aca="false">100*(AR39-AR38)</f>
        <v>15.8135113051765</v>
      </c>
      <c r="AS173" s="22" t="n">
        <f aca="false">100*(AS39-AS38)</f>
        <v>15.8150190025702</v>
      </c>
      <c r="AT173" s="22" t="n">
        <f aca="false">100*(AT39-AT38)</f>
        <v>15.8140662755012</v>
      </c>
      <c r="AU173" s="22" t="n">
        <f aca="false">100*(AU39-AU38)</f>
        <v>15.811065749462</v>
      </c>
      <c r="AV173" s="22" t="n">
        <f aca="false">100*(AV39-AV38)</f>
        <v>15.8063864727293</v>
      </c>
      <c r="AW173" s="22" t="n">
        <f aca="false">100*(AW39-AW38)</f>
        <v>15.8003545139054</v>
      </c>
      <c r="AX173" s="22" t="n">
        <f aca="false">100*(AX39-AX38)</f>
        <v>15.7932552298014</v>
      </c>
      <c r="AY173" s="22" t="n">
        <f aca="false">100*(AY39-AY38)</f>
        <v>15.7853380480658</v>
      </c>
      <c r="AZ173" s="22" t="n">
        <f aca="false">100*(AZ39-AZ38)</f>
        <v>15.7768247032856</v>
      </c>
      <c r="BA173" s="22" t="n">
        <f aca="false">100*(BA39-BA38)</f>
        <v>15.7679130475569</v>
      </c>
      <c r="BB173" s="22" t="n">
        <f aca="false">100*(BB39-BB38)</f>
        <v>15.7587821977026</v>
      </c>
      <c r="BC173" s="22" t="n">
        <f aca="false">100*(BC39-BC38)</f>
        <v>15.7495999889779</v>
      </c>
      <c r="BD173" s="22" t="n">
        <f aca="false">100*(BD39-BD38)</f>
        <v>15.7405250303313</v>
      </c>
      <c r="BE173" s="22" t="n">
        <f aca="false">100*(BE39-BE38)</f>
        <v>15.7317068009037</v>
      </c>
      <c r="BF173" s="22" t="n">
        <f aca="false">100*(BF39-BF38)</f>
        <v>15.723282738415</v>
      </c>
      <c r="BG173" s="22" t="n">
        <f aca="false">100*(BG39-BG38)</f>
        <v>15.7153763488171</v>
      </c>
      <c r="BH173" s="22" t="n">
        <f aca="false">AVERAGE(C173:BG173)</f>
        <v>14.1177101944688</v>
      </c>
    </row>
    <row r="174" customFormat="false" ht="15" hidden="false" customHeight="false" outlineLevel="0" collapsed="false">
      <c r="A174" s="20" t="n">
        <f aca="false">A40</f>
        <v>-85</v>
      </c>
      <c r="B174" s="21" t="n">
        <f aca="false">B40</f>
        <v>44713</v>
      </c>
      <c r="C174" s="22" t="n">
        <f aca="false">100*(C40-C39)</f>
        <v>6.24599132933301</v>
      </c>
      <c r="D174" s="22" t="n">
        <f aca="false">100*(D40-D39)</f>
        <v>6.2221499689175</v>
      </c>
      <c r="E174" s="22" t="n">
        <f aca="false">100*(E40-E39)</f>
        <v>6.02082158867341</v>
      </c>
      <c r="F174" s="22" t="n">
        <f aca="false">100*(F40-F39)</f>
        <v>5.71582349027882</v>
      </c>
      <c r="G174" s="22" t="n">
        <f aca="false">100*(G40-G39)</f>
        <v>5.35270122372451</v>
      </c>
      <c r="H174" s="22" t="n">
        <f aca="false">100*(H40-H39)</f>
        <v>4.96029937310749</v>
      </c>
      <c r="I174" s="22" t="n">
        <f aca="false">100*(I40-I39)</f>
        <v>4.55858459040159</v>
      </c>
      <c r="J174" s="22" t="n">
        <f aca="false">100*(J40-J39)</f>
        <v>4.16142810824309</v>
      </c>
      <c r="K174" s="22" t="n">
        <f aca="false">100*(K40-K39)</f>
        <v>3.7784903325659</v>
      </c>
      <c r="L174" s="22" t="n">
        <f aca="false">100*(L40-L39)</f>
        <v>3.41611761353569</v>
      </c>
      <c r="M174" s="22" t="n">
        <f aca="false">100*(M40-M39)</f>
        <v>3.07786320665511</v>
      </c>
      <c r="N174" s="22" t="n">
        <f aca="false">100*(N40-N39)</f>
        <v>2.76505665339359</v>
      </c>
      <c r="O174" s="22" t="n">
        <f aca="false">100*(O40-O39)</f>
        <v>2.4773863040942</v>
      </c>
      <c r="P174" s="22" t="n">
        <f aca="false">100*(P40-P39)</f>
        <v>2.21333716605332</v>
      </c>
      <c r="Q174" s="22" t="n">
        <f aca="false">100*(Q40-Q39)</f>
        <v>1.97054291959797</v>
      </c>
      <c r="R174" s="22" t="n">
        <f aca="false">100*(R40-R39)</f>
        <v>1.74634356584829</v>
      </c>
      <c r="S174" s="22" t="n">
        <f aca="false">100*(S40-S39)</f>
        <v>1.53804357319451</v>
      </c>
      <c r="T174" s="22" t="n">
        <f aca="false">100*(T40-T39)</f>
        <v>1.34317424884021</v>
      </c>
      <c r="U174" s="22" t="n">
        <f aca="false">100*(U40-U39)</f>
        <v>1.15971522626488</v>
      </c>
      <c r="V174" s="22" t="n">
        <f aca="false">100*(V40-V39)</f>
        <v>0.986160964534211</v>
      </c>
      <c r="W174" s="22" t="n">
        <f aca="false">100*(W40-W39)</f>
        <v>0.8214083074781</v>
      </c>
      <c r="X174" s="22" t="n">
        <f aca="false">100*(X40-X39)</f>
        <v>0.66467774845953</v>
      </c>
      <c r="Y174" s="22" t="n">
        <f aca="false">100*(Y40-Y39)</f>
        <v>0.515524393179412</v>
      </c>
      <c r="Z174" s="22" t="n">
        <f aca="false">100*(Z40-Z39)</f>
        <v>0.373902709550533</v>
      </c>
      <c r="AA174" s="22" t="n">
        <f aca="false">100*(AA40-AA39)</f>
        <v>0.24003377926709</v>
      </c>
      <c r="AB174" s="22" t="n">
        <f aca="false">100*(AB40-AB39)</f>
        <v>0.114165174959924</v>
      </c>
      <c r="AC174" s="22" t="n">
        <f aca="false">100*(AC40-AC39)</f>
        <v>-0.00353242486710315</v>
      </c>
      <c r="AD174" s="22" t="n">
        <f aca="false">100*(AD40-AD39)</f>
        <v>-0.112947976040578</v>
      </c>
      <c r="AE174" s="22" t="n">
        <f aca="false">100*(AE40-AE39)</f>
        <v>-0.214019679448496</v>
      </c>
      <c r="AF174" s="22" t="n">
        <f aca="false">100*(AF40-AF39)</f>
        <v>-0.306727519665806</v>
      </c>
      <c r="AG174" s="22" t="n">
        <f aca="false">100*(AG40-AG39)</f>
        <v>-0.39110795324877</v>
      </c>
      <c r="AH174" s="22" t="n">
        <f aca="false">100*(AH40-AH39)</f>
        <v>-0.467301334260117</v>
      </c>
      <c r="AI174" s="22" t="n">
        <f aca="false">100*(AI40-AI39)</f>
        <v>-0.535520636407316</v>
      </c>
      <c r="AJ174" s="22" t="n">
        <f aca="false">100*(AJ40-AJ39)</f>
        <v>-0.596041469626796</v>
      </c>
      <c r="AK174" s="22" t="n">
        <f aca="false">100*(AK40-AK39)</f>
        <v>-0.649184225494093</v>
      </c>
      <c r="AL174" s="22" t="n">
        <f aca="false">100*(AL40-AL39)</f>
        <v>-0.695304589996981</v>
      </c>
      <c r="AM174" s="22" t="n">
        <f aca="false">100*(AM40-AM39)</f>
        <v>-0.734774626446777</v>
      </c>
      <c r="AN174" s="22" t="n">
        <f aca="false">100*(AN40-AN39)</f>
        <v>-0.767969652412814</v>
      </c>
      <c r="AO174" s="22" t="n">
        <f aca="false">100*(AO40-AO39)</f>
        <v>-0.795261309811979</v>
      </c>
      <c r="AP174" s="22" t="n">
        <f aca="false">100*(AP40-AP39)</f>
        <v>-0.817020102053112</v>
      </c>
      <c r="AQ174" s="22" t="n">
        <f aca="false">100*(AQ40-AQ39)</f>
        <v>-0.833620775703237</v>
      </c>
      <c r="AR174" s="22" t="n">
        <f aca="false">100*(AR40-AR39)</f>
        <v>-0.845444609693402</v>
      </c>
      <c r="AS174" s="22" t="n">
        <f aca="false">100*(AS40-AS39)</f>
        <v>-0.852882175543313</v>
      </c>
      <c r="AT174" s="22" t="n">
        <f aca="false">100*(AT40-AT39)</f>
        <v>-0.856328941380991</v>
      </c>
      <c r="AU174" s="22" t="n">
        <f aca="false">100*(AU40-AU39)</f>
        <v>-0.856172264578881</v>
      </c>
      <c r="AV174" s="22" t="n">
        <f aca="false">100*(AV40-AV39)</f>
        <v>-0.852786636751102</v>
      </c>
      <c r="AW174" s="22" t="n">
        <f aca="false">100*(AW40-AW39)</f>
        <v>-0.846527331861768</v>
      </c>
      <c r="AX174" s="22" t="n">
        <f aca="false">100*(AX40-AX39)</f>
        <v>-0.837724462401912</v>
      </c>
      <c r="AY174" s="22" t="n">
        <f aca="false">100*(AY40-AY39)</f>
        <v>-0.826679892963211</v>
      </c>
      <c r="AZ174" s="22" t="n">
        <f aca="false">100*(AZ40-AZ39)</f>
        <v>-0.81366828583489</v>
      </c>
      <c r="BA174" s="22" t="n">
        <f aca="false">100*(BA40-BA39)</f>
        <v>-0.798938858044007</v>
      </c>
      <c r="BB174" s="22" t="n">
        <f aca="false">100*(BB40-BB39)</f>
        <v>-0.78271640812293</v>
      </c>
      <c r="BC174" s="22" t="n">
        <f aca="false">100*(BC40-BC39)</f>
        <v>-0.765202203902105</v>
      </c>
      <c r="BD174" s="22" t="n">
        <f aca="false">100*(BD40-BD39)</f>
        <v>-0.746575641371106</v>
      </c>
      <c r="BE174" s="22" t="n">
        <f aca="false">100*(BE40-BE39)</f>
        <v>-0.726995477316317</v>
      </c>
      <c r="BF174" s="22" t="n">
        <f aca="false">100*(BF40-BF39)</f>
        <v>-0.706599758481419</v>
      </c>
      <c r="BG174" s="22" t="n">
        <f aca="false">100*(BG40-BG39)</f>
        <v>-0.685507071745795</v>
      </c>
      <c r="BH174" s="22" t="n">
        <f aca="false">AVERAGE(C174:BG174)</f>
        <v>0.907344899380259</v>
      </c>
    </row>
    <row r="175" customFormat="false" ht="15" hidden="false" customHeight="false" outlineLevel="0" collapsed="false">
      <c r="A175" s="20" t="n">
        <f aca="false">A41</f>
        <v>-84</v>
      </c>
      <c r="B175" s="21" t="n">
        <f aca="false">B41</f>
        <v>44718</v>
      </c>
      <c r="C175" s="22" t="n">
        <f aca="false">100*(C41-C40)</f>
        <v>12.9500023229663</v>
      </c>
      <c r="D175" s="22" t="n">
        <f aca="false">100*(D41-D40)</f>
        <v>13.0959518031181</v>
      </c>
      <c r="E175" s="22" t="n">
        <f aca="false">100*(E41-E40)</f>
        <v>13.0803340522286</v>
      </c>
      <c r="F175" s="22" t="n">
        <f aca="false">100*(F41-F40)</f>
        <v>12.9867432490698</v>
      </c>
      <c r="G175" s="22" t="n">
        <f aca="false">100*(G41-G40)</f>
        <v>12.8528007572782</v>
      </c>
      <c r="H175" s="22" t="n">
        <f aca="false">100*(H41-H40)</f>
        <v>12.6969599273033</v>
      </c>
      <c r="I175" s="22" t="n">
        <f aca="false">100*(I41-I40)</f>
        <v>12.5293371268182</v>
      </c>
      <c r="J175" s="22" t="n">
        <f aca="false">100*(J41-J40)</f>
        <v>12.3559077766157</v>
      </c>
      <c r="K175" s="22" t="n">
        <f aca="false">100*(K41-K40)</f>
        <v>12.1802652698452</v>
      </c>
      <c r="L175" s="22" t="n">
        <f aca="false">100*(L41-L40)</f>
        <v>12.0046084611532</v>
      </c>
      <c r="M175" s="22" t="n">
        <f aca="false">100*(M41-M40)</f>
        <v>11.8301661923593</v>
      </c>
      <c r="N175" s="22" t="n">
        <f aca="false">100*(N41-N40)</f>
        <v>11.6575397974898</v>
      </c>
      <c r="O175" s="22" t="n">
        <f aca="false">100*(O41-O40)</f>
        <v>11.486902538803</v>
      </c>
      <c r="P175" s="22" t="n">
        <f aca="false">100*(P41-P40)</f>
        <v>11.3181702948446</v>
      </c>
      <c r="Q175" s="22" t="n">
        <f aca="false">100*(Q41-Q40)</f>
        <v>11.1511235215391</v>
      </c>
      <c r="R175" s="22" t="n">
        <f aca="false">100*(R41-R40)</f>
        <v>10.9855634334324</v>
      </c>
      <c r="S175" s="22" t="n">
        <f aca="false">100*(S41-S40)</f>
        <v>10.8214693727287</v>
      </c>
      <c r="T175" s="22" t="n">
        <f aca="false">100*(T41-T40)</f>
        <v>10.65916044096</v>
      </c>
      <c r="U175" s="22" t="n">
        <f aca="false">100*(U41-U40)</f>
        <v>10.4992544837701</v>
      </c>
      <c r="V175" s="22" t="n">
        <f aca="false">100*(V41-V40)</f>
        <v>10.3424883017306</v>
      </c>
      <c r="W175" s="22" t="n">
        <f aca="false">100*(W41-W40)</f>
        <v>10.1896756195872</v>
      </c>
      <c r="X175" s="22" t="n">
        <f aca="false">100*(X41-X40)</f>
        <v>10.041691441904</v>
      </c>
      <c r="Y175" s="22" t="n">
        <f aca="false">100*(Y41-Y40)</f>
        <v>9.89942108493911</v>
      </c>
      <c r="Z175" s="22" t="n">
        <f aca="false">100*(Z41-Z40)</f>
        <v>9.76361584676679</v>
      </c>
      <c r="AA175" s="22" t="n">
        <f aca="false">100*(AA41-AA40)</f>
        <v>9.63483102163623</v>
      </c>
      <c r="AB175" s="22" t="n">
        <f aca="false">100*(AB41-AB40)</f>
        <v>9.51339489914469</v>
      </c>
      <c r="AC175" s="22" t="n">
        <f aca="false">100*(AC41-AC40)</f>
        <v>9.39944098917414</v>
      </c>
      <c r="AD175" s="22" t="n">
        <f aca="false">100*(AD41-AD40)</f>
        <v>9.29294723102601</v>
      </c>
      <c r="AE175" s="22" t="n">
        <f aca="false">100*(AE41-AE40)</f>
        <v>9.19376059907151</v>
      </c>
      <c r="AF175" s="22" t="n">
        <f aca="false">100*(AF41-AF40)</f>
        <v>9.10161694592184</v>
      </c>
      <c r="AG175" s="22" t="n">
        <f aca="false">100*(AG41-AG40)</f>
        <v>9.01615858266709</v>
      </c>
      <c r="AH175" s="22" t="n">
        <f aca="false">100*(AH41-AH40)</f>
        <v>8.93697761110142</v>
      </c>
      <c r="AI175" s="22" t="n">
        <f aca="false">100*(AI41-AI40)</f>
        <v>8.86363975866531</v>
      </c>
      <c r="AJ175" s="22" t="n">
        <f aca="false">100*(AJ41-AJ40)</f>
        <v>8.79570234222391</v>
      </c>
      <c r="AK175" s="22" t="n">
        <f aca="false">100*(AK41-AK40)</f>
        <v>8.7327263404577</v>
      </c>
      <c r="AL175" s="22" t="n">
        <f aca="false">100*(AL41-AL40)</f>
        <v>8.67429472316288</v>
      </c>
      <c r="AM175" s="22" t="n">
        <f aca="false">100*(AM41-AM40)</f>
        <v>8.62003233528048</v>
      </c>
      <c r="AN175" s="22" t="n">
        <f aca="false">100*(AN41-AN40)</f>
        <v>8.56961145918191</v>
      </c>
      <c r="AO175" s="22" t="n">
        <f aca="false">100*(AO41-AO40)</f>
        <v>8.52275132961426</v>
      </c>
      <c r="AP175" s="22" t="n">
        <f aca="false">100*(AP41-AP40)</f>
        <v>8.47921146409032</v>
      </c>
      <c r="AQ175" s="22" t="n">
        <f aca="false">100*(AQ41-AQ40)</f>
        <v>8.43878496467614</v>
      </c>
      <c r="AR175" s="22" t="n">
        <f aca="false">100*(AR41-AR40)</f>
        <v>8.40129096098079</v>
      </c>
      <c r="AS175" s="22" t="n">
        <f aca="false">100*(AS41-AS40)</f>
        <v>8.3665653353481</v>
      </c>
      <c r="AT175" s="22" t="n">
        <f aca="false">100*(AT41-AT40)</f>
        <v>8.3344580368494</v>
      </c>
      <c r="AU175" s="22" t="n">
        <f aca="false">100*(AU41-AU40)</f>
        <v>8.30483301007927</v>
      </c>
      <c r="AV175" s="22" t="n">
        <f aca="false">100*(AV41-AV40)</f>
        <v>8.27756671371027</v>
      </c>
      <c r="AW175" s="22" t="n">
        <f aca="false">100*(AW41-AW40)</f>
        <v>8.2525462404536</v>
      </c>
      <c r="AX175" s="22" t="n">
        <f aca="false">100*(AX41-AX40)</f>
        <v>8.22966675878334</v>
      </c>
      <c r="AY175" s="22" t="n">
        <f aca="false">100*(AY41-AY40)</f>
        <v>8.20882805950109</v>
      </c>
      <c r="AZ175" s="22" t="n">
        <f aca="false">100*(AZ41-AZ40)</f>
        <v>8.18993243891319</v>
      </c>
      <c r="BA175" s="22" t="n">
        <f aca="false">100*(BA41-BA40)</f>
        <v>8.1728842099889</v>
      </c>
      <c r="BB175" s="22" t="n">
        <f aca="false">100*(BB41-BB40)</f>
        <v>8.15758755448242</v>
      </c>
      <c r="BC175" s="22" t="n">
        <f aca="false">100*(BC41-BC40)</f>
        <v>8.14394271664432</v>
      </c>
      <c r="BD175" s="22" t="n">
        <f aca="false">100*(BD41-BD40)</f>
        <v>8.1318467069424</v>
      </c>
      <c r="BE175" s="22" t="n">
        <f aca="false">100*(BE41-BE40)</f>
        <v>8.12119552214892</v>
      </c>
      <c r="BF175" s="22" t="n">
        <f aca="false">100*(BF41-BF40)</f>
        <v>8.11188864704153</v>
      </c>
      <c r="BG175" s="22" t="n">
        <f aca="false">100*(BG41-BG40)</f>
        <v>8.10383085303053</v>
      </c>
      <c r="BH175" s="22" t="n">
        <f aca="false">AVERAGE(C175:BG175)</f>
        <v>9.83638420139027</v>
      </c>
    </row>
    <row r="176" customFormat="false" ht="15" hidden="false" customHeight="false" outlineLevel="0" collapsed="false">
      <c r="A176" s="20" t="n">
        <f aca="false">A42</f>
        <v>-83</v>
      </c>
      <c r="B176" s="21" t="n">
        <f aca="false">B42</f>
        <v>44719</v>
      </c>
      <c r="C176" s="22" t="n">
        <f aca="false">100*(C42-C41)</f>
        <v>-4.42847192231972</v>
      </c>
      <c r="D176" s="22" t="n">
        <f aca="false">100*(D42-D41)</f>
        <v>-4.00735921034769</v>
      </c>
      <c r="E176" s="22" t="n">
        <f aca="false">100*(E42-E41)</f>
        <v>-3.7303291802081</v>
      </c>
      <c r="F176" s="22" t="n">
        <f aca="false">100*(F42-F41)</f>
        <v>-3.57204927131529</v>
      </c>
      <c r="G176" s="22" t="n">
        <f aca="false">100*(G42-G41)</f>
        <v>-3.5070544585758</v>
      </c>
      <c r="H176" s="22" t="n">
        <f aca="false">100*(H42-H41)</f>
        <v>-3.51304735645381</v>
      </c>
      <c r="I176" s="22" t="n">
        <f aca="false">100*(I42-I41)</f>
        <v>-3.57046587837981</v>
      </c>
      <c r="J176" s="22" t="n">
        <f aca="false">100*(J42-J41)</f>
        <v>-3.66333672292669</v>
      </c>
      <c r="K176" s="22" t="n">
        <f aca="false">100*(K42-K41)</f>
        <v>-3.77962747446758</v>
      </c>
      <c r="L176" s="22" t="n">
        <f aca="false">100*(L42-L41)</f>
        <v>-3.91094522149571</v>
      </c>
      <c r="M176" s="22" t="n">
        <f aca="false">100*(M42-M41)</f>
        <v>-4.05175138006069</v>
      </c>
      <c r="N176" s="22" t="n">
        <f aca="false">100*(N42-N41)</f>
        <v>-4.19854926213512</v>
      </c>
      <c r="O176" s="22" t="n">
        <f aca="false">100*(O42-O41)</f>
        <v>-4.34927168177408</v>
      </c>
      <c r="P176" s="22" t="n">
        <f aca="false">100*(P42-P41)</f>
        <v>-4.50280228247961</v>
      </c>
      <c r="Q176" s="22" t="n">
        <f aca="false">100*(Q42-Q41)</f>
        <v>-4.65863714073183</v>
      </c>
      <c r="R176" s="22" t="n">
        <f aca="false">100*(R42-R41)</f>
        <v>-4.81655598953763</v>
      </c>
      <c r="S176" s="22" t="n">
        <f aca="false">100*(S42-S41)</f>
        <v>-4.97635719680711</v>
      </c>
      <c r="T176" s="22" t="n">
        <f aca="false">100*(T42-T41)</f>
        <v>-5.13765748517856</v>
      </c>
      <c r="U176" s="22" t="n">
        <f aca="false">100*(U42-U41)</f>
        <v>-5.29983420918829</v>
      </c>
      <c r="V176" s="22" t="n">
        <f aca="false">100*(V42-V41)</f>
        <v>-5.4620398271811</v>
      </c>
      <c r="W176" s="22" t="n">
        <f aca="false">100*(W42-W41)</f>
        <v>-5.62324958666669</v>
      </c>
      <c r="X176" s="22" t="n">
        <f aca="false">100*(X42-X41)</f>
        <v>-5.7822969010128</v>
      </c>
      <c r="Y176" s="22" t="n">
        <f aca="false">100*(Y42-Y41)</f>
        <v>-5.93791172973601</v>
      </c>
      <c r="Z176" s="22" t="n">
        <f aca="false">100*(Z42-Z41)</f>
        <v>-6.08879325743241</v>
      </c>
      <c r="AA176" s="22" t="n">
        <f aca="false">100*(AA42-AA41)</f>
        <v>-6.2336466073436</v>
      </c>
      <c r="AB176" s="22" t="n">
        <f aca="false">100*(AB42-AB41)</f>
        <v>-6.37125301243922</v>
      </c>
      <c r="AC176" s="22" t="n">
        <f aca="false">100*(AC42-AC41)</f>
        <v>-6.50062031302543</v>
      </c>
      <c r="AD176" s="22" t="n">
        <f aca="false">100*(AD42-AD41)</f>
        <v>-6.62099388132043</v>
      </c>
      <c r="AE176" s="22" t="n">
        <f aca="false">100*(AE42-AE41)</f>
        <v>-6.73181997453241</v>
      </c>
      <c r="AF176" s="22" t="n">
        <f aca="false">100*(AF42-AF41)</f>
        <v>-6.8327152977413</v>
      </c>
      <c r="AG176" s="22" t="n">
        <f aca="false">100*(AG42-AG41)</f>
        <v>-6.9234624934563</v>
      </c>
      <c r="AH176" s="22" t="n">
        <f aca="false">100*(AH42-AH41)</f>
        <v>-7.00410832243539</v>
      </c>
      <c r="AI176" s="22" t="n">
        <f aca="false">100*(AI42-AI41)</f>
        <v>-7.07493428188162</v>
      </c>
      <c r="AJ176" s="22" t="n">
        <f aca="false">100*(AJ42-AJ41)</f>
        <v>-7.13641399641021</v>
      </c>
      <c r="AK176" s="22" t="n">
        <f aca="false">100*(AK42-AK41)</f>
        <v>-7.18918940469089</v>
      </c>
      <c r="AL176" s="22" t="n">
        <f aca="false">100*(AL42-AL41)</f>
        <v>-7.23403203203747</v>
      </c>
      <c r="AM176" s="22" t="n">
        <f aca="false">100*(AM42-AM41)</f>
        <v>-7.27180272446968</v>
      </c>
      <c r="AN176" s="22" t="n">
        <f aca="false">100*(AN42-AN41)</f>
        <v>-7.30341089004192</v>
      </c>
      <c r="AO176" s="22" t="n">
        <f aca="false">100*(AO42-AO41)</f>
        <v>-7.32978989099977</v>
      </c>
      <c r="AP176" s="22" t="n">
        <f aca="false">100*(AP42-AP41)</f>
        <v>-7.35186879363141</v>
      </c>
      <c r="AQ176" s="22" t="n">
        <f aca="false">100*(AQ42-AQ41)</f>
        <v>-7.37054692616703</v>
      </c>
      <c r="AR176" s="22" t="n">
        <f aca="false">100*(AR42-AR41)</f>
        <v>-7.3866802890088</v>
      </c>
      <c r="AS176" s="22" t="n">
        <f aca="false">100*(AS42-AS41)</f>
        <v>-7.40105986006769</v>
      </c>
      <c r="AT176" s="22" t="n">
        <f aca="false">100*(AT42-AT41)</f>
        <v>-7.41440351204892</v>
      </c>
      <c r="AU176" s="22" t="n">
        <f aca="false">100*(AU42-AU41)</f>
        <v>-7.42734416819317</v>
      </c>
      <c r="AV176" s="22" t="n">
        <f aca="false">100*(AV42-AV41)</f>
        <v>-7.44042905011479</v>
      </c>
      <c r="AW176" s="22" t="n">
        <f aca="false">100*(AW42-AW41)</f>
        <v>-7.4541162491593</v>
      </c>
      <c r="AX176" s="22" t="n">
        <f aca="false">100*(AX42-AX41)</f>
        <v>-7.46877735879621</v>
      </c>
      <c r="AY176" s="22" t="n">
        <f aca="false">100*(AY42-AY41)</f>
        <v>-7.4847015393523</v>
      </c>
      <c r="AZ176" s="22" t="n">
        <f aca="false">100*(AZ42-AZ41)</f>
        <v>-7.50210132533251</v>
      </c>
      <c r="BA176" s="22" t="n">
        <f aca="false">100*(BA42-BA41)</f>
        <v>-7.52111928359311</v>
      </c>
      <c r="BB176" s="22" t="n">
        <f aca="false">100*(BB42-BB41)</f>
        <v>-7.54183355137821</v>
      </c>
      <c r="BC176" s="22" t="n">
        <f aca="false">100*(BC42-BC41)</f>
        <v>-7.56426246926671</v>
      </c>
      <c r="BD176" s="22" t="n">
        <f aca="false">100*(BD42-BD41)</f>
        <v>-7.5883718992058</v>
      </c>
      <c r="BE176" s="22" t="n">
        <f aca="false">100*(BE42-BE41)</f>
        <v>-7.61408287595828</v>
      </c>
      <c r="BF176" s="22" t="n">
        <f aca="false">100*(BF42-BF41)</f>
        <v>-7.64127984755971</v>
      </c>
      <c r="BG176" s="22" t="n">
        <f aca="false">100*(BG42-BG41)</f>
        <v>-7.66981838790981</v>
      </c>
      <c r="BH176" s="22" t="n">
        <f aca="false">AVERAGE(C176:BG176)</f>
        <v>-6.09069096729792</v>
      </c>
    </row>
    <row r="177" customFormat="false" ht="15" hidden="false" customHeight="false" outlineLevel="0" collapsed="false">
      <c r="A177" s="20" t="n">
        <f aca="false">A43</f>
        <v>-82</v>
      </c>
      <c r="B177" s="21" t="n">
        <f aca="false">B43</f>
        <v>44720</v>
      </c>
      <c r="C177" s="22" t="n">
        <f aca="false">100*(C43-C42)</f>
        <v>3.44496928671851</v>
      </c>
      <c r="D177" s="22" t="n">
        <f aca="false">100*(D43-D42)</f>
        <v>3.69007719395649</v>
      </c>
      <c r="E177" s="22" t="n">
        <f aca="false">100*(E43-E42)</f>
        <v>3.85619258738361</v>
      </c>
      <c r="F177" s="22" t="n">
        <f aca="false">100*(F43-F42)</f>
        <v>3.9558293497177</v>
      </c>
      <c r="G177" s="22" t="n">
        <f aca="false">100*(G43-G42)</f>
        <v>4.00555709026009</v>
      </c>
      <c r="H177" s="22" t="n">
        <f aca="false">100*(H43-H42)</f>
        <v>4.01901762110861</v>
      </c>
      <c r="I177" s="22" t="n">
        <f aca="false">100*(I43-I42)</f>
        <v>4.00720204094101</v>
      </c>
      <c r="J177" s="22" t="n">
        <f aca="false">100*(J43-J42)</f>
        <v>3.97877971669181</v>
      </c>
      <c r="K177" s="22" t="n">
        <f aca="false">100*(K43-K42)</f>
        <v>3.94038998575519</v>
      </c>
      <c r="L177" s="22" t="n">
        <f aca="false">100*(L43-L42)</f>
        <v>3.8970795021829</v>
      </c>
      <c r="M177" s="22" t="n">
        <f aca="false">100*(M43-M42)</f>
        <v>3.8526595471267</v>
      </c>
      <c r="N177" s="22" t="n">
        <f aca="false">100*(N43-N42)</f>
        <v>3.80999543669329</v>
      </c>
      <c r="O177" s="22" t="n">
        <f aca="false">100*(O43-O42)</f>
        <v>3.77120389619461</v>
      </c>
      <c r="P177" s="22" t="n">
        <f aca="false">100*(P43-P42)</f>
        <v>3.73775645150349</v>
      </c>
      <c r="Q177" s="22" t="n">
        <f aca="false">100*(Q43-Q42)</f>
        <v>3.71059670358811</v>
      </c>
      <c r="R177" s="22" t="n">
        <f aca="false">100*(R43-R42)</f>
        <v>3.69020376528981</v>
      </c>
      <c r="S177" s="22" t="n">
        <f aca="false">100*(S43-S42)</f>
        <v>3.67665118938962</v>
      </c>
      <c r="T177" s="22" t="n">
        <f aca="false">100*(T43-T42)</f>
        <v>3.66964490578958</v>
      </c>
      <c r="U177" s="22" t="n">
        <f aca="false">100*(U43-U42)</f>
        <v>3.66862173467428</v>
      </c>
      <c r="V177" s="22" t="n">
        <f aca="false">100*(V43-V42)</f>
        <v>3.67290964427012</v>
      </c>
      <c r="W177" s="22" t="n">
        <f aca="false">100*(W43-W42)</f>
        <v>3.6817577893153</v>
      </c>
      <c r="X177" s="22" t="n">
        <f aca="false">100*(X43-X42)</f>
        <v>3.69435289978761</v>
      </c>
      <c r="Y177" s="22" t="n">
        <f aca="false">100*(Y43-Y42)</f>
        <v>3.709863860754</v>
      </c>
      <c r="Z177" s="22" t="n">
        <f aca="false">100*(Z43-Z42)</f>
        <v>3.72752348861343</v>
      </c>
      <c r="AA177" s="22" t="n">
        <f aca="false">100*(AA43-AA42)</f>
        <v>3.74665041185498</v>
      </c>
      <c r="AB177" s="22" t="n">
        <f aca="false">100*(AB43-AB42)</f>
        <v>3.76665989195071</v>
      </c>
      <c r="AC177" s="22" t="n">
        <f aca="false">100*(AC43-AC42)</f>
        <v>3.78706771713353</v>
      </c>
      <c r="AD177" s="22" t="n">
        <f aca="false">100*(AD43-AD42)</f>
        <v>3.8074848148558</v>
      </c>
      <c r="AE177" s="22" t="n">
        <f aca="false">100*(AE43-AE42)</f>
        <v>3.82760272665079</v>
      </c>
      <c r="AF177" s="22" t="n">
        <f aca="false">100*(AF43-AF42)</f>
        <v>3.84718139387799</v>
      </c>
      <c r="AG177" s="22" t="n">
        <f aca="false">100*(AG43-AG42)</f>
        <v>3.86603525000591</v>
      </c>
      <c r="AH177" s="22" t="n">
        <f aca="false">100*(AH43-AH42)</f>
        <v>3.88402612064298</v>
      </c>
      <c r="AI177" s="22" t="n">
        <f aca="false">100*(AI43-AI42)</f>
        <v>3.90107345035049</v>
      </c>
      <c r="AJ177" s="22" t="n">
        <f aca="false">100*(AJ43-AJ42)</f>
        <v>3.91714456295218</v>
      </c>
      <c r="AK177" s="22" t="n">
        <f aca="false">100*(AK43-AK42)</f>
        <v>3.93224845090518</v>
      </c>
      <c r="AL177" s="22" t="n">
        <f aca="false">100*(AL43-AL42)</f>
        <v>3.94642556953988</v>
      </c>
      <c r="AM177" s="22" t="n">
        <f aca="false">100*(AM43-AM42)</f>
        <v>3.9597386017638</v>
      </c>
      <c r="AN177" s="22" t="n">
        <f aca="false">100*(AN43-AN42)</f>
        <v>3.97225975225313</v>
      </c>
      <c r="AO177" s="22" t="n">
        <f aca="false">100*(AO43-AO42)</f>
        <v>3.98406353388059</v>
      </c>
      <c r="AP177" s="22" t="n">
        <f aca="false">100*(AP43-AP42)</f>
        <v>3.99522244320791</v>
      </c>
      <c r="AQ177" s="22" t="n">
        <f aca="false">100*(AQ43-AQ42)</f>
        <v>4.0058025543082</v>
      </c>
      <c r="AR177" s="22" t="n">
        <f aca="false">100*(AR43-AR42)</f>
        <v>4.01586402451368</v>
      </c>
      <c r="AS177" s="22" t="n">
        <f aca="false">100*(AS43-AS42)</f>
        <v>4.02546212872599</v>
      </c>
      <c r="AT177" s="22" t="n">
        <f aca="false">100*(AT43-AT42)</f>
        <v>4.03464836873191</v>
      </c>
      <c r="AU177" s="22" t="n">
        <f aca="false">100*(AU43-AU42)</f>
        <v>4.043472470708</v>
      </c>
      <c r="AV177" s="22" t="n">
        <f aca="false">100*(AV43-AV42)</f>
        <v>4.05198339099382</v>
      </c>
      <c r="AW177" s="22" t="n">
        <f aca="false">100*(AW43-AW42)</f>
        <v>4.06023068251669</v>
      </c>
      <c r="AX177" s="22" t="n">
        <f aca="false">100*(AX43-AX42)</f>
        <v>4.06826566507017</v>
      </c>
      <c r="AY177" s="22" t="n">
        <f aca="false">100*(AY43-AY42)</f>
        <v>4.0761412225355</v>
      </c>
      <c r="AZ177" s="22" t="n">
        <f aca="false">100*(AZ43-AZ42)</f>
        <v>4.08391050285704</v>
      </c>
      <c r="BA177" s="22" t="n">
        <f aca="false">100*(BA43-BA42)</f>
        <v>4.09162672857293</v>
      </c>
      <c r="BB177" s="22" t="n">
        <f aca="false">100*(BB43-BB42)</f>
        <v>4.0993422328266</v>
      </c>
      <c r="BC177" s="22" t="n">
        <f aca="false">100*(BC43-BC42)</f>
        <v>4.107106373222</v>
      </c>
      <c r="BD177" s="22" t="n">
        <f aca="false">100*(BD43-BD42)</f>
        <v>4.11496299349619</v>
      </c>
      <c r="BE177" s="22" t="n">
        <f aca="false">100*(BE43-BE42)</f>
        <v>4.12294818151957</v>
      </c>
      <c r="BF177" s="22" t="n">
        <f aca="false">100*(BF43-BF42)</f>
        <v>4.13108938334359</v>
      </c>
      <c r="BG177" s="22" t="n">
        <f aca="false">100*(BG43-BG42)</f>
        <v>4.13940473504901</v>
      </c>
      <c r="BH177" s="22" t="n">
        <f aca="false">AVERAGE(C177:BG177)</f>
        <v>3.8996838950618</v>
      </c>
    </row>
    <row r="178" customFormat="false" ht="15" hidden="false" customHeight="false" outlineLevel="0" collapsed="false">
      <c r="A178" s="20" t="n">
        <f aca="false">A44</f>
        <v>-81</v>
      </c>
      <c r="B178" s="21" t="n">
        <f aca="false">B44</f>
        <v>44721</v>
      </c>
      <c r="C178" s="22" t="n">
        <f aca="false">100*(C44-C43)</f>
        <v>8.45472562591261</v>
      </c>
      <c r="D178" s="22" t="n">
        <f aca="false">100*(D44-D43)</f>
        <v>8.72756698589421</v>
      </c>
      <c r="E178" s="22" t="n">
        <f aca="false">100*(E44-E43)</f>
        <v>8.88037446096739</v>
      </c>
      <c r="F178" s="22" t="n">
        <f aca="false">100*(F44-F43)</f>
        <v>8.9687142439516</v>
      </c>
      <c r="G178" s="22" t="n">
        <f aca="false">100*(G44-G43)</f>
        <v>9.0144030730531</v>
      </c>
      <c r="H178" s="22" t="n">
        <f aca="false">100*(H44-H43)</f>
        <v>9.02772660869731</v>
      </c>
      <c r="I178" s="22" t="n">
        <f aca="false">100*(I44-I43)</f>
        <v>9.0143287332171</v>
      </c>
      <c r="J178" s="22" t="n">
        <f aca="false">100*(J44-J43)</f>
        <v>8.9775951583438</v>
      </c>
      <c r="K178" s="22" t="n">
        <f aca="false">100*(K44-K43)</f>
        <v>8.9192999762725</v>
      </c>
      <c r="L178" s="22" t="n">
        <f aca="false">100*(L44-L43)</f>
        <v>8.84022767666992</v>
      </c>
      <c r="M178" s="22" t="n">
        <f aca="false">100*(M44-M43)</f>
        <v>8.74062580579298</v>
      </c>
      <c r="N178" s="22" t="n">
        <f aca="false">100*(N44-N43)</f>
        <v>8.62054136909372</v>
      </c>
      <c r="O178" s="22" t="n">
        <f aca="false">100*(O44-O43)</f>
        <v>8.4800612548094</v>
      </c>
      <c r="P178" s="22" t="n">
        <f aca="false">100*(P44-P43)</f>
        <v>8.31958587588351</v>
      </c>
      <c r="Q178" s="22" t="n">
        <f aca="false">100*(Q44-Q43)</f>
        <v>8.13995437336041</v>
      </c>
      <c r="R178" s="22" t="n">
        <f aca="false">100*(R44-R43)</f>
        <v>7.94263379993461</v>
      </c>
      <c r="S178" s="22" t="n">
        <f aca="false">100*(S44-S43)</f>
        <v>7.72976047514149</v>
      </c>
      <c r="T178" s="22" t="n">
        <f aca="false">100*(T44-T43)</f>
        <v>7.50421406173851</v>
      </c>
      <c r="U178" s="22" t="n">
        <f aca="false">100*(U44-U43)</f>
        <v>7.26936972961552</v>
      </c>
      <c r="V178" s="22" t="n">
        <f aca="false">100*(V44-V43)</f>
        <v>7.02863251923387</v>
      </c>
      <c r="W178" s="22" t="n">
        <f aca="false">100*(W44-W43)</f>
        <v>6.78539027643779</v>
      </c>
      <c r="X178" s="22" t="n">
        <f aca="false">100*(X44-X43)</f>
        <v>6.54301578321452</v>
      </c>
      <c r="Y178" s="22" t="n">
        <f aca="false">100*(Y44-Y43)</f>
        <v>6.30475520712368</v>
      </c>
      <c r="Z178" s="22" t="n">
        <f aca="false">100*(Z44-Z43)</f>
        <v>6.07339434221577</v>
      </c>
      <c r="AA178" s="22" t="n">
        <f aca="false">100*(AA44-AA43)</f>
        <v>5.8512058793688</v>
      </c>
      <c r="AB178" s="22" t="n">
        <f aca="false">100*(AB44-AB43)</f>
        <v>5.6399696023222</v>
      </c>
      <c r="AC178" s="22" t="n">
        <f aca="false">100*(AC44-AC43)</f>
        <v>5.44094356205429</v>
      </c>
      <c r="AD178" s="22" t="n">
        <f aca="false">100*(AD44-AD43)</f>
        <v>5.25492006199881</v>
      </c>
      <c r="AE178" s="22" t="n">
        <f aca="false">100*(AE44-AE43)</f>
        <v>5.08229825868063</v>
      </c>
      <c r="AF178" s="22" t="n">
        <f aca="false">100*(AF44-AF43)</f>
        <v>4.92314372942921</v>
      </c>
      <c r="AG178" s="22" t="n">
        <f aca="false">100*(AG44-AG43)</f>
        <v>4.77722907171487</v>
      </c>
      <c r="AH178" s="22" t="n">
        <f aca="false">100*(AH44-AH43)</f>
        <v>4.6440476160877</v>
      </c>
      <c r="AI178" s="22" t="n">
        <f aca="false">100*(AI44-AI43)</f>
        <v>4.52287836696073</v>
      </c>
      <c r="AJ178" s="22" t="n">
        <f aca="false">100*(AJ44-AJ43)</f>
        <v>4.41284442023653</v>
      </c>
      <c r="AK178" s="22" t="n">
        <f aca="false">100*(AK44-AK43)</f>
        <v>4.31294447297681</v>
      </c>
      <c r="AL178" s="22" t="n">
        <f aca="false">100*(AL44-AL43)</f>
        <v>4.22209639131079</v>
      </c>
      <c r="AM178" s="22" t="n">
        <f aca="false">100*(AM44-AM43)</f>
        <v>4.13917995183981</v>
      </c>
      <c r="AN178" s="22" t="n">
        <f aca="false">100*(AN44-AN43)</f>
        <v>4.06306451481129</v>
      </c>
      <c r="AO178" s="22" t="n">
        <f aca="false">100*(AO44-AO43)</f>
        <v>3.99262284040112</v>
      </c>
      <c r="AP178" s="22" t="n">
        <f aca="false">100*(AP44-AP43)</f>
        <v>3.92674012830119</v>
      </c>
      <c r="AQ178" s="22" t="n">
        <f aca="false">100*(AQ44-AQ43)</f>
        <v>3.8643212851841</v>
      </c>
      <c r="AR178" s="22" t="n">
        <f aca="false">100*(AR44-AR43)</f>
        <v>3.80429526793114</v>
      </c>
      <c r="AS178" s="22" t="n">
        <f aca="false">100*(AS44-AS43)</f>
        <v>3.7456229407284</v>
      </c>
      <c r="AT178" s="22" t="n">
        <f aca="false">100*(AT44-AT43)</f>
        <v>3.68730891797888</v>
      </c>
      <c r="AU178" s="22" t="n">
        <f aca="false">100*(AU44-AU43)</f>
        <v>3.62842203924507</v>
      </c>
      <c r="AV178" s="22" t="n">
        <f aca="false">100*(AV44-AV43)</f>
        <v>3.5681049783479</v>
      </c>
      <c r="AW178" s="22" t="n">
        <f aca="false">100*(AW44-AW43)</f>
        <v>3.50559017070839</v>
      </c>
      <c r="AX178" s="22" t="n">
        <f aca="false">100*(AX44-AX43)</f>
        <v>3.44020080875711</v>
      </c>
      <c r="AY178" s="22" t="n">
        <f aca="false">100*(AY44-AY43)</f>
        <v>3.37136013231079</v>
      </c>
      <c r="AZ178" s="22" t="n">
        <f aca="false">100*(AZ44-AZ43)</f>
        <v>3.29860656205367</v>
      </c>
      <c r="BA178" s="22" t="n">
        <f aca="false">100*(BA44-BA43)</f>
        <v>3.22158793819232</v>
      </c>
      <c r="BB178" s="22" t="n">
        <f aca="false">100*(BB44-BB43)</f>
        <v>3.14006205608282</v>
      </c>
      <c r="BC178" s="22" t="n">
        <f aca="false">100*(BC44-BC43)</f>
        <v>3.0539059969362</v>
      </c>
      <c r="BD178" s="22" t="n">
        <f aca="false">100*(BD44-BD43)</f>
        <v>2.96311513070502</v>
      </c>
      <c r="BE178" s="22" t="n">
        <f aca="false">100*(BE44-BE43)</f>
        <v>2.86780014820383</v>
      </c>
      <c r="BF178" s="22" t="n">
        <f aca="false">100*(BF44-BF43)</f>
        <v>2.76818389846563</v>
      </c>
      <c r="BG178" s="22" t="n">
        <f aca="false">100*(BG44-BG43)</f>
        <v>2.66459615753396</v>
      </c>
      <c r="BH178" s="22" t="n">
        <f aca="false">AVERAGE(C178:BG178)</f>
        <v>5.72115983709536</v>
      </c>
    </row>
    <row r="179" customFormat="false" ht="15" hidden="false" customHeight="false" outlineLevel="0" collapsed="false">
      <c r="A179" s="20" t="n">
        <f aca="false">A45</f>
        <v>-80</v>
      </c>
      <c r="B179" s="21" t="n">
        <f aca="false">B45</f>
        <v>44722</v>
      </c>
      <c r="C179" s="22" t="n">
        <f aca="false">100*(C45-C44)</f>
        <v>18.0246614055129</v>
      </c>
      <c r="D179" s="22" t="n">
        <f aca="false">100*(D45-D44)</f>
        <v>18.0787147695379</v>
      </c>
      <c r="E179" s="22" t="n">
        <f aca="false">100*(E45-E44)</f>
        <v>17.8362009456078</v>
      </c>
      <c r="F179" s="22" t="n">
        <f aca="false">100*(F45-F44)</f>
        <v>17.4327084410933</v>
      </c>
      <c r="G179" s="22" t="n">
        <f aca="false">100*(G45-G44)</f>
        <v>16.9244415275436</v>
      </c>
      <c r="H179" s="22" t="n">
        <f aca="false">100*(H45-H44)</f>
        <v>16.342721418002</v>
      </c>
      <c r="I179" s="22" t="n">
        <f aca="false">100*(I45-I44)</f>
        <v>15.7101109272119</v>
      </c>
      <c r="J179" s="22" t="n">
        <f aca="false">100*(J45-J44)</f>
        <v>15.045574892973</v>
      </c>
      <c r="K179" s="22" t="n">
        <f aca="false">100*(K45-K44)</f>
        <v>14.3652545209426</v>
      </c>
      <c r="L179" s="22" t="n">
        <f aca="false">100*(L45-L44)</f>
        <v>13.6831871302635</v>
      </c>
      <c r="M179" s="22" t="n">
        <f aca="false">100*(M45-M44)</f>
        <v>13.0115323070988</v>
      </c>
      <c r="N179" s="22" t="n">
        <f aca="false">100*(N45-N44)</f>
        <v>12.3605094215258</v>
      </c>
      <c r="O179" s="22" t="n">
        <f aca="false">100*(O45-O44)</f>
        <v>11.738254104189</v>
      </c>
      <c r="P179" s="22" t="n">
        <f aca="false">100*(P45-P44)</f>
        <v>11.1507172169033</v>
      </c>
      <c r="Q179" s="22" t="n">
        <f aca="false">100*(Q45-Q44)</f>
        <v>10.6018249080971</v>
      </c>
      <c r="R179" s="22" t="n">
        <f aca="false">100*(R45-R44)</f>
        <v>10.0936246931042</v>
      </c>
      <c r="S179" s="22" t="n">
        <f aca="false">100*(S45-S44)</f>
        <v>9.62662189571142</v>
      </c>
      <c r="T179" s="22" t="n">
        <f aca="false">100*(T45-T44)</f>
        <v>9.20003049757479</v>
      </c>
      <c r="U179" s="22" t="n">
        <f aca="false">100*(U45-U44)</f>
        <v>8.8121405451572</v>
      </c>
      <c r="V179" s="22" t="n">
        <f aca="false">100*(V45-V44)</f>
        <v>8.46080893176899</v>
      </c>
      <c r="W179" s="22" t="n">
        <f aca="false">100*(W45-W44)</f>
        <v>8.143569118113</v>
      </c>
      <c r="X179" s="22" t="n">
        <f aca="false">100*(X45-X44)</f>
        <v>7.85769792283668</v>
      </c>
      <c r="Y179" s="22" t="n">
        <f aca="false">100*(Y45-Y44)</f>
        <v>7.6003714299445</v>
      </c>
      <c r="Z179" s="22" t="n">
        <f aca="false">100*(Z45-Z44)</f>
        <v>7.36893947220203</v>
      </c>
      <c r="AA179" s="22" t="n">
        <f aca="false">100*(AA45-AA44)</f>
        <v>7.16095537760961</v>
      </c>
      <c r="AB179" s="22" t="n">
        <f aca="false">100*(AB45-AB44)</f>
        <v>6.9741383723708</v>
      </c>
      <c r="AC179" s="22" t="n">
        <f aca="false">100*(AC45-AC44)</f>
        <v>6.80641005526961</v>
      </c>
      <c r="AD179" s="22" t="n">
        <f aca="false">100*(AD45-AD44)</f>
        <v>6.65590051570368</v>
      </c>
      <c r="AE179" s="22" t="n">
        <f aca="false">100*(AE45-AE44)</f>
        <v>6.52091678967248</v>
      </c>
      <c r="AF179" s="22" t="n">
        <f aca="false">100*(AF45-AF44)</f>
        <v>6.39991604968428</v>
      </c>
      <c r="AG179" s="22" t="n">
        <f aca="false">100*(AG45-AG44)</f>
        <v>6.29147737174152</v>
      </c>
      <c r="AH179" s="22" t="n">
        <f aca="false">100*(AH45-AH44)</f>
        <v>6.19432188071469</v>
      </c>
      <c r="AI179" s="22" t="n">
        <f aca="false">100*(AI45-AI44)</f>
        <v>6.10733134918848</v>
      </c>
      <c r="AJ179" s="22" t="n">
        <f aca="false">100*(AJ45-AJ44)</f>
        <v>6.02950261851167</v>
      </c>
      <c r="AK179" s="22" t="n">
        <f aca="false">100*(AK45-AK44)</f>
        <v>5.95993169177649</v>
      </c>
      <c r="AL179" s="22" t="n">
        <f aca="false">100*(AL45-AL44)</f>
        <v>5.89780274015181</v>
      </c>
      <c r="AM179" s="22" t="n">
        <f aca="false">100*(AM45-AM44)</f>
        <v>5.84238198434268</v>
      </c>
      <c r="AN179" s="22" t="n">
        <f aca="false">100*(AN45-AN44)</f>
        <v>5.79300807331959</v>
      </c>
      <c r="AO179" s="22" t="n">
        <f aca="false">100*(AO45-AO44)</f>
        <v>5.7490826878603</v>
      </c>
      <c r="AP179" s="22" t="n">
        <f aca="false">100*(AP45-AP44)</f>
        <v>5.71005857891662</v>
      </c>
      <c r="AQ179" s="22" t="n">
        <f aca="false">100*(AQ45-AQ44)</f>
        <v>5.67542709236952</v>
      </c>
      <c r="AR179" s="22" t="n">
        <f aca="false">100*(AR45-AR44)</f>
        <v>5.64471522468928</v>
      </c>
      <c r="AS179" s="22" t="n">
        <f aca="false">100*(AS45-AS44)</f>
        <v>5.6174848373074</v>
      </c>
      <c r="AT179" s="22" t="n">
        <f aca="false">100*(AT45-AT44)</f>
        <v>5.59333628454213</v>
      </c>
      <c r="AU179" s="22" t="n">
        <f aca="false">100*(AU45-AU44)</f>
        <v>5.57191748402861</v>
      </c>
      <c r="AV179" s="22" t="n">
        <f aca="false">100*(AV45-AV44)</f>
        <v>5.55292491793482</v>
      </c>
      <c r="AW179" s="22" t="n">
        <f aca="false">100*(AW45-AW44)</f>
        <v>5.53610572036991</v>
      </c>
      <c r="AX179" s="22" t="n">
        <f aca="false">100*(AX45-AX44)</f>
        <v>5.52125562448063</v>
      </c>
      <c r="AY179" s="22" t="n">
        <f aca="false">100*(AY45-AY44)</f>
        <v>5.5082125497147</v>
      </c>
      <c r="AZ179" s="22" t="n">
        <f aca="false">100*(AZ45-AZ44)</f>
        <v>5.49684811251092</v>
      </c>
      <c r="BA179" s="22" t="n">
        <f aca="false">100*(BA45-BA44)</f>
        <v>5.48706364136287</v>
      </c>
      <c r="BB179" s="22" t="n">
        <f aca="false">100*(BB45-BB44)</f>
        <v>5.478782453853</v>
      </c>
      <c r="BC179" s="22" t="n">
        <f aca="false">100*(BC45-BC44)</f>
        <v>5.47193779512512</v>
      </c>
      <c r="BD179" s="22" t="n">
        <f aca="false">100*(BD45-BD44)</f>
        <v>5.46646816177989</v>
      </c>
      <c r="BE179" s="22" t="n">
        <f aca="false">100*(BE45-BE44)</f>
        <v>5.46231527868648</v>
      </c>
      <c r="BF179" s="22" t="n">
        <f aca="false">100*(BF45-BF44)</f>
        <v>5.45942534482768</v>
      </c>
      <c r="BG179" s="22" t="n">
        <f aca="false">100*(BG45-BG44)</f>
        <v>5.45774735151294</v>
      </c>
      <c r="BH179" s="22" t="n">
        <f aca="false">AVERAGE(C179:BG179)</f>
        <v>8.65904074482185</v>
      </c>
    </row>
    <row r="180" customFormat="false" ht="15" hidden="false" customHeight="false" outlineLevel="0" collapsed="false">
      <c r="A180" s="20" t="n">
        <f aca="false">A46</f>
        <v>-79</v>
      </c>
      <c r="B180" s="21" t="n">
        <f aca="false">B46</f>
        <v>44725</v>
      </c>
      <c r="C180" s="22" t="n">
        <f aca="false">100*(C46-C45)</f>
        <v>7.25842932754781</v>
      </c>
      <c r="D180" s="22" t="n">
        <f aca="false">100*(D46-D45)</f>
        <v>7.34487936004351</v>
      </c>
      <c r="E180" s="22" t="n">
        <f aca="false">100*(E46-E45)</f>
        <v>7.48339624496541</v>
      </c>
      <c r="F180" s="22" t="n">
        <f aca="false">100*(F46-F45)</f>
        <v>7.63445957245961</v>
      </c>
      <c r="G180" s="22" t="n">
        <f aca="false">100*(G46-G45)</f>
        <v>7.78277415064133</v>
      </c>
      <c r="H180" s="22" t="n">
        <f aca="false">100*(H46-H45)</f>
        <v>7.91832217648314</v>
      </c>
      <c r="I180" s="22" t="n">
        <f aca="false">100*(I46-I45)</f>
        <v>8.03294172107654</v>
      </c>
      <c r="J180" s="22" t="n">
        <f aca="false">100*(J46-J45)</f>
        <v>8.12076856813491</v>
      </c>
      <c r="K180" s="22" t="n">
        <f aca="false">100*(K46-K45)</f>
        <v>8.17856967545541</v>
      </c>
      <c r="L180" s="22" t="n">
        <f aca="false">100*(L46-L45)</f>
        <v>8.20577939293559</v>
      </c>
      <c r="M180" s="22" t="n">
        <f aca="false">100*(M46-M45)</f>
        <v>8.20412663158288</v>
      </c>
      <c r="N180" s="22" t="n">
        <f aca="false">100*(N46-N45)</f>
        <v>8.17707340928782</v>
      </c>
      <c r="O180" s="22" t="n">
        <f aca="false">100*(O46-O45)</f>
        <v>8.12914459216998</v>
      </c>
      <c r="P180" s="22" t="n">
        <f aca="false">100*(P46-P45)</f>
        <v>8.06520901978742</v>
      </c>
      <c r="Q180" s="22" t="n">
        <f aca="false">100*(Q46-Q45)</f>
        <v>7.99014679374461</v>
      </c>
      <c r="R180" s="22" t="n">
        <f aca="false">100*(R46-R45)</f>
        <v>7.90846384397539</v>
      </c>
      <c r="S180" s="22" t="n">
        <f aca="false">100*(S46-S45)</f>
        <v>7.82400351254937</v>
      </c>
      <c r="T180" s="22" t="n">
        <f aca="false">100*(T46-T45)</f>
        <v>7.73983972663772</v>
      </c>
      <c r="U180" s="22" t="n">
        <f aca="false">100*(U46-U45)</f>
        <v>7.65824103139599</v>
      </c>
      <c r="V180" s="22" t="n">
        <f aca="false">100*(V46-V45)</f>
        <v>7.5807366695785</v>
      </c>
      <c r="W180" s="22" t="n">
        <f aca="false">100*(W46-W45)</f>
        <v>7.50825927395149</v>
      </c>
      <c r="X180" s="22" t="n">
        <f aca="false">100*(X46-X45)</f>
        <v>7.44126437880408</v>
      </c>
      <c r="Y180" s="22" t="n">
        <f aca="false">100*(Y46-Y45)</f>
        <v>7.3798191650595</v>
      </c>
      <c r="Z180" s="22" t="n">
        <f aca="false">100*(Z46-Z45)</f>
        <v>7.32364857819459</v>
      </c>
      <c r="AA180" s="22" t="n">
        <f aca="false">100*(AA46-AA45)</f>
        <v>7.27221493888637</v>
      </c>
      <c r="AB180" s="22" t="n">
        <f aca="false">100*(AB46-AB45)</f>
        <v>7.2248533931734</v>
      </c>
      <c r="AC180" s="22" t="n">
        <f aca="false">100*(AC46-AC45)</f>
        <v>7.1809161674552</v>
      </c>
      <c r="AD180" s="22" t="n">
        <f aca="false">100*(AD46-AD45)</f>
        <v>7.13980997020092</v>
      </c>
      <c r="AE180" s="22" t="n">
        <f aca="false">100*(AE46-AE45)</f>
        <v>7.10098810459519</v>
      </c>
      <c r="AF180" s="22" t="n">
        <f aca="false">100*(AF46-AF45)</f>
        <v>7.06394340872589</v>
      </c>
      <c r="AG180" s="22" t="n">
        <f aca="false">100*(AG46-AG45)</f>
        <v>7.02821221148069</v>
      </c>
      <c r="AH180" s="22" t="n">
        <f aca="false">100*(AH46-AH45)</f>
        <v>6.9934548708646</v>
      </c>
      <c r="AI180" s="22" t="n">
        <f aca="false">100*(AI46-AI45)</f>
        <v>6.95945518970929</v>
      </c>
      <c r="AJ180" s="22" t="n">
        <f aca="false">100*(AJ46-AJ45)</f>
        <v>6.92608365822411</v>
      </c>
      <c r="AK180" s="22" t="n">
        <f aca="false">100*(AK46-AK45)</f>
        <v>6.89328574429062</v>
      </c>
      <c r="AL180" s="22" t="n">
        <f aca="false">100*(AL46-AL45)</f>
        <v>6.8610654123062</v>
      </c>
      <c r="AM180" s="22" t="n">
        <f aca="false">100*(AM46-AM45)</f>
        <v>6.8294706316776</v>
      </c>
      <c r="AN180" s="22" t="n">
        <f aca="false">100*(AN46-AN45)</f>
        <v>6.7985788889831</v>
      </c>
      <c r="AO180" s="22" t="n">
        <f aca="false">100*(AO46-AO45)</f>
        <v>6.76848785424578</v>
      </c>
      <c r="AP180" s="22" t="n">
        <f aca="false">100*(AP46-AP45)</f>
        <v>6.73930279030226</v>
      </c>
      <c r="AQ180" s="22" t="n">
        <f aca="false">100*(AQ46-AQ45)</f>
        <v>6.7111250775441</v>
      </c>
      <c r="AR180" s="22" t="n">
        <f aca="false">100*(AR46-AR45)</f>
        <v>6.6840475557131</v>
      </c>
      <c r="AS180" s="22" t="n">
        <f aca="false">100*(AS46-AS45)</f>
        <v>6.65814826732913</v>
      </c>
      <c r="AT180" s="22" t="n">
        <f aca="false">100*(AT46-AT45)</f>
        <v>6.6334901113748</v>
      </c>
      <c r="AU180" s="22" t="n">
        <f aca="false">100*(AU46-AU45)</f>
        <v>6.61012150269711</v>
      </c>
      <c r="AV180" s="22" t="n">
        <f aca="false">100*(AV46-AV45)</f>
        <v>6.58807791061009</v>
      </c>
      <c r="AW180" s="22" t="n">
        <f aca="false">100*(AW46-AW45)</f>
        <v>6.56738368990388</v>
      </c>
      <c r="AX180" s="22" t="n">
        <f aca="false">100*(AX46-AX45)</f>
        <v>6.54805425365548</v>
      </c>
      <c r="AY180" s="22" t="n">
        <f aca="false">100*(AY46-AY45)</f>
        <v>6.53009882205122</v>
      </c>
      <c r="AZ180" s="22" t="n">
        <f aca="false">100*(AZ46-AZ45)</f>
        <v>6.51352308018329</v>
      </c>
      <c r="BA180" s="22" t="n">
        <f aca="false">100*(BA46-BA45)</f>
        <v>6.49832987542349</v>
      </c>
      <c r="BB180" s="22" t="n">
        <f aca="false">100*(BB46-BB45)</f>
        <v>6.48451872087468</v>
      </c>
      <c r="BC180" s="22" t="n">
        <f aca="false">100*(BC46-BC45)</f>
        <v>6.4720842718057</v>
      </c>
      <c r="BD180" s="22" t="n">
        <f aca="false">100*(BD46-BD45)</f>
        <v>6.46101392039968</v>
      </c>
      <c r="BE180" s="22" t="n">
        <f aca="false">100*(BE46-BE45)</f>
        <v>6.4512856373129</v>
      </c>
      <c r="BF180" s="22" t="n">
        <f aca="false">100*(BF46-BF45)</f>
        <v>6.44286674001759</v>
      </c>
      <c r="BG180" s="22" t="n">
        <f aca="false">100*(BG46-BG45)</f>
        <v>6.43571107818026</v>
      </c>
      <c r="BH180" s="22" t="n">
        <f aca="false">AVERAGE(C180:BG180)</f>
        <v>7.19228597485369</v>
      </c>
    </row>
    <row r="181" customFormat="false" ht="15" hidden="false" customHeight="false" outlineLevel="0" collapsed="false">
      <c r="A181" s="20" t="n">
        <f aca="false">A47</f>
        <v>-78</v>
      </c>
      <c r="B181" s="21" t="n">
        <f aca="false">B47</f>
        <v>44726</v>
      </c>
      <c r="C181" s="22" t="n">
        <f aca="false">100*(C47-C46)</f>
        <v>-0.211764548427817</v>
      </c>
      <c r="D181" s="22" t="n">
        <f aca="false">100*(D47-D46)</f>
        <v>-0.525838971276027</v>
      </c>
      <c r="E181" s="22" t="n">
        <f aca="false">100*(E47-E46)</f>
        <v>-0.602112869123728</v>
      </c>
      <c r="F181" s="22" t="n">
        <f aca="false">100*(F47-F46)</f>
        <v>-0.49173126836819</v>
      </c>
      <c r="G181" s="22" t="n">
        <f aca="false">100*(G47-G46)</f>
        <v>-0.236104115810321</v>
      </c>
      <c r="H181" s="22" t="n">
        <f aca="false">100*(H47-H46)</f>
        <v>0.128167661901868</v>
      </c>
      <c r="I181" s="22" t="n">
        <f aca="false">100*(I47-I46)</f>
        <v>0.568684058945301</v>
      </c>
      <c r="J181" s="22" t="n">
        <f aca="false">100*(J47-J46)</f>
        <v>1.058020994734</v>
      </c>
      <c r="K181" s="22" t="n">
        <f aca="false">100*(K47-K46)</f>
        <v>1.57384233200002</v>
      </c>
      <c r="L181" s="22" t="n">
        <f aca="false">100*(L47-L46)</f>
        <v>2.09863166297861</v>
      </c>
      <c r="M181" s="22" t="n">
        <f aca="false">100*(M47-M46)</f>
        <v>2.61901026687861</v>
      </c>
      <c r="N181" s="22" t="n">
        <f aca="false">100*(N47-N46)</f>
        <v>3.12510162544708</v>
      </c>
      <c r="O181" s="22" t="n">
        <f aca="false">100*(O47-O46)</f>
        <v>3.609912851487</v>
      </c>
      <c r="P181" s="22" t="n">
        <f aca="false">100*(P47-P46)</f>
        <v>4.06872869769659</v>
      </c>
      <c r="Q181" s="22" t="n">
        <f aca="false">100*(Q47-Q46)</f>
        <v>4.49868749244908</v>
      </c>
      <c r="R181" s="22" t="n">
        <f aca="false">100*(R47-R46)</f>
        <v>4.89841157892181</v>
      </c>
      <c r="S181" s="22" t="n">
        <f aca="false">100*(S47-S46)</f>
        <v>5.26745313244943</v>
      </c>
      <c r="T181" s="22" t="n">
        <f aca="false">100*(T47-T46)</f>
        <v>5.6059498707826</v>
      </c>
      <c r="U181" s="22" t="n">
        <f aca="false">100*(U47-U46)</f>
        <v>5.91440402143051</v>
      </c>
      <c r="V181" s="22" t="n">
        <f aca="false">100*(V47-V46)</f>
        <v>6.19358259533733</v>
      </c>
      <c r="W181" s="22" t="n">
        <f aca="false">100*(W47-W46)</f>
        <v>6.44445823897732</v>
      </c>
      <c r="X181" s="22" t="n">
        <f aca="false">100*(X47-X46)</f>
        <v>6.66816836176882</v>
      </c>
      <c r="Y181" s="22" t="n">
        <f aca="false">100*(Y47-Y46)</f>
        <v>6.86598452809273</v>
      </c>
      <c r="Z181" s="22" t="n">
        <f aca="false">100*(Z47-Z46)</f>
        <v>7.03927444872901</v>
      </c>
      <c r="AA181" s="22" t="n">
        <f aca="false">100*(AA47-AA46)</f>
        <v>7.18952725355821</v>
      </c>
      <c r="AB181" s="22" t="n">
        <f aca="false">100*(AB47-AB46)</f>
        <v>7.31838649981089</v>
      </c>
      <c r="AC181" s="22" t="n">
        <f aca="false">100*(AC47-AC46)</f>
        <v>7.4275533205022</v>
      </c>
      <c r="AD181" s="22" t="n">
        <f aca="false">100*(AD47-AD46)</f>
        <v>7.51875606408929</v>
      </c>
      <c r="AE181" s="22" t="n">
        <f aca="false">100*(AE47-AE46)</f>
        <v>7.59374596470042</v>
      </c>
      <c r="AF181" s="22" t="n">
        <f aca="false">100*(AF47-AF46)</f>
        <v>7.6542936745827</v>
      </c>
      <c r="AG181" s="22" t="n">
        <f aca="false">100*(AG47-AG46)</f>
        <v>7.70216548281453</v>
      </c>
      <c r="AH181" s="22" t="n">
        <f aca="false">100*(AH47-AH46)</f>
        <v>7.73901794477561</v>
      </c>
      <c r="AI181" s="22" t="n">
        <f aca="false">100*(AI47-AI46)</f>
        <v>7.76640572380001</v>
      </c>
      <c r="AJ181" s="22" t="n">
        <f aca="false">100*(AJ47-AJ46)</f>
        <v>7.78577675832071</v>
      </c>
      <c r="AK181" s="22" t="n">
        <f aca="false">100*(AK47-AK46)</f>
        <v>7.79847347769689</v>
      </c>
      <c r="AL181" s="22" t="n">
        <f aca="false">100*(AL47-AL46)</f>
        <v>7.80572173484631</v>
      </c>
      <c r="AM181" s="22" t="n">
        <f aca="false">100*(AM47-AM46)</f>
        <v>7.8086200146223</v>
      </c>
      <c r="AN181" s="22" t="n">
        <f aca="false">100*(AN47-AN46)</f>
        <v>7.80813594358198</v>
      </c>
      <c r="AO181" s="22" t="n">
        <f aca="false">100*(AO47-AO46)</f>
        <v>7.80511197717742</v>
      </c>
      <c r="AP181" s="22" t="n">
        <f aca="false">100*(AP47-AP46)</f>
        <v>7.80027466544451</v>
      </c>
      <c r="AQ181" s="22" t="n">
        <f aca="false">100*(AQ47-AQ46)</f>
        <v>7.79424245946867</v>
      </c>
      <c r="AR181" s="22" t="n">
        <f aca="false">100*(AR47-AR46)</f>
        <v>7.7875354954656</v>
      </c>
      <c r="AS181" s="22" t="n">
        <f aca="false">100*(AS47-AS46)</f>
        <v>7.78058309993126</v>
      </c>
      <c r="AT181" s="22" t="n">
        <f aca="false">100*(AT47-AT46)</f>
        <v>7.7737301163233</v>
      </c>
      <c r="AU181" s="22" t="n">
        <f aca="false">100*(AU47-AU46)</f>
        <v>7.767241211203</v>
      </c>
      <c r="AV181" s="22" t="n">
        <f aca="false">100*(AV47-AV46)</f>
        <v>7.76130921885767</v>
      </c>
      <c r="AW181" s="22" t="n">
        <f aca="false">100*(AW47-AW46)</f>
        <v>7.75606444182242</v>
      </c>
      <c r="AX181" s="22" t="n">
        <f aca="false">100*(AX47-AX46)</f>
        <v>7.7515845839125</v>
      </c>
      <c r="AY181" s="22" t="n">
        <f aca="false">100*(AY47-AY46)</f>
        <v>7.74790568519501</v>
      </c>
      <c r="AZ181" s="22" t="n">
        <f aca="false">100*(AZ47-AZ46)</f>
        <v>7.74503109281071</v>
      </c>
      <c r="BA181" s="22" t="n">
        <f aca="false">100*(BA47-BA46)</f>
        <v>7.74293548928524</v>
      </c>
      <c r="BB181" s="22" t="n">
        <f aca="false">100*(BB47-BB46)</f>
        <v>7.74157087047609</v>
      </c>
      <c r="BC181" s="22" t="n">
        <f aca="false">100*(BC47-BC46)</f>
        <v>7.7408740654735</v>
      </c>
      <c r="BD181" s="22" t="n">
        <f aca="false">100*(BD47-BD46)</f>
        <v>7.74076972616973</v>
      </c>
      <c r="BE181" s="22" t="n">
        <f aca="false">100*(BE47-BE46)</f>
        <v>7.74117189764931</v>
      </c>
      <c r="BF181" s="22" t="n">
        <f aca="false">100*(BF47-BF46)</f>
        <v>7.74198379242641</v>
      </c>
      <c r="BG181" s="22" t="n">
        <f aca="false">100*(BG47-BG46)</f>
        <v>7.74309918033342</v>
      </c>
      <c r="BH181" s="22" t="n">
        <f aca="false">AVERAGE(C181:BG181)</f>
        <v>5.7992723083356</v>
      </c>
    </row>
    <row r="182" customFormat="false" ht="15" hidden="false" customHeight="false" outlineLevel="0" collapsed="false">
      <c r="A182" s="20" t="n">
        <f aca="false">A48</f>
        <v>-77</v>
      </c>
      <c r="B182" s="21" t="n">
        <f aca="false">B48</f>
        <v>44727</v>
      </c>
      <c r="C182" s="22" t="n">
        <f aca="false">100*(C48-C47)</f>
        <v>-15.2682810997894</v>
      </c>
      <c r="D182" s="22" t="n">
        <f aca="false">100*(D48-D47)</f>
        <v>-16.140510402041</v>
      </c>
      <c r="E182" s="22" t="n">
        <f aca="false">100*(E48-E47)</f>
        <v>-16.3726733492614</v>
      </c>
      <c r="F182" s="22" t="n">
        <f aca="false">100*(F48-F47)</f>
        <v>-16.2329952684707</v>
      </c>
      <c r="G182" s="22" t="n">
        <f aca="false">100*(G48-G47)</f>
        <v>-15.8662848748019</v>
      </c>
      <c r="H182" s="22" t="n">
        <f aca="false">100*(H48-H47)</f>
        <v>-15.3604982350212</v>
      </c>
      <c r="I182" s="22" t="n">
        <f aca="false">100*(I48-I47)</f>
        <v>-14.7737776926834</v>
      </c>
      <c r="J182" s="22" t="n">
        <f aca="false">100*(J48-J47)</f>
        <v>-14.1463356591641</v>
      </c>
      <c r="K182" s="22" t="n">
        <f aca="false">100*(K48-K47)</f>
        <v>-13.506248225182</v>
      </c>
      <c r="L182" s="22" t="n">
        <f aca="false">100*(L48-L47)</f>
        <v>-12.8724788191447</v>
      </c>
      <c r="M182" s="22" t="n">
        <f aca="false">100*(M48-M47)</f>
        <v>-12.2569715160659</v>
      </c>
      <c r="N182" s="22" t="n">
        <f aca="false">100*(N48-N47)</f>
        <v>-11.6664612715027</v>
      </c>
      <c r="O182" s="22" t="n">
        <f aca="false">100*(O48-O47)</f>
        <v>-11.1043094850452</v>
      </c>
      <c r="P182" s="22" t="n">
        <f aca="false">100*(P48-P47)</f>
        <v>-10.5721429731738</v>
      </c>
      <c r="Q182" s="22" t="n">
        <f aca="false">100*(Q48-Q47)</f>
        <v>-10.0707529264042</v>
      </c>
      <c r="R182" s="22" t="n">
        <f aca="false">100*(R48-R47)</f>
        <v>-9.60075273795362</v>
      </c>
      <c r="S182" s="22" t="n">
        <f aca="false">100*(S48-S47)</f>
        <v>-9.1626392559601</v>
      </c>
      <c r="T182" s="22" t="n">
        <f aca="false">100*(T48-T47)</f>
        <v>-8.75668235268203</v>
      </c>
      <c r="U182" s="22" t="n">
        <f aca="false">100*(U48-U47)</f>
        <v>-8.38278450225758</v>
      </c>
      <c r="V182" s="22" t="n">
        <f aca="false">100*(V48-V47)</f>
        <v>-8.04049707026682</v>
      </c>
      <c r="W182" s="22" t="n">
        <f aca="false">100*(W48-W47)</f>
        <v>-7.7290938223594</v>
      </c>
      <c r="X182" s="22" t="n">
        <f aca="false">100*(X48-X47)</f>
        <v>-7.44762602423701</v>
      </c>
      <c r="Y182" s="22" t="n">
        <f aca="false">100*(Y48-Y47)</f>
        <v>-7.19495415534621</v>
      </c>
      <c r="Z182" s="22" t="n">
        <f aca="false">100*(Z48-Z47)</f>
        <v>-6.96977068396683</v>
      </c>
      <c r="AA182" s="22" t="n">
        <f aca="false">100*(AA48-AA47)</f>
        <v>-6.77062434704161</v>
      </c>
      <c r="AB182" s="22" t="n">
        <f aca="false">100*(AB48-AB47)</f>
        <v>-6.5959550341574</v>
      </c>
      <c r="AC182" s="22" t="n">
        <f aca="false">100*(AC48-AC47)</f>
        <v>-6.44415259753073</v>
      </c>
      <c r="AD182" s="22" t="n">
        <f aca="false">100*(AD48-AD47)</f>
        <v>-6.313571957214</v>
      </c>
      <c r="AE182" s="22" t="n">
        <f aca="false">100*(AE48-AE47)</f>
        <v>-6.20253847551142</v>
      </c>
      <c r="AF182" s="22" t="n">
        <f aca="false">100*(AF48-AF47)</f>
        <v>-6.1093524354936</v>
      </c>
      <c r="AG182" s="22" t="n">
        <f aca="false">100*(AG48-AG47)</f>
        <v>-6.03230729498612</v>
      </c>
      <c r="AH182" s="22" t="n">
        <f aca="false">100*(AH48-AH47)</f>
        <v>-5.96975501593908</v>
      </c>
      <c r="AI182" s="22" t="n">
        <f aca="false">100*(AI48-AI47)</f>
        <v>-5.92010265241281</v>
      </c>
      <c r="AJ182" s="22" t="n">
        <f aca="false">100*(AJ48-AJ47)</f>
        <v>-5.88182605617589</v>
      </c>
      <c r="AK182" s="22" t="n">
        <f aca="false">100*(AK48-AK47)</f>
        <v>-5.85347187501841</v>
      </c>
      <c r="AL182" s="22" t="n">
        <f aca="false">100*(AL48-AL47)</f>
        <v>-5.83367681085663</v>
      </c>
      <c r="AM182" s="22" t="n">
        <f aca="false">100*(AM48-AM47)</f>
        <v>-5.82118345481559</v>
      </c>
      <c r="AN182" s="22" t="n">
        <f aca="false">100*(AN48-AN47)</f>
        <v>-5.81483962195288</v>
      </c>
      <c r="AO182" s="22" t="n">
        <f aca="false">100*(AO48-AO47)</f>
        <v>-5.81359197361673</v>
      </c>
      <c r="AP182" s="22" t="n">
        <f aca="false">100*(AP48-AP47)</f>
        <v>-5.81648203185057</v>
      </c>
      <c r="AQ182" s="22" t="n">
        <f aca="false">100*(AQ48-AQ47)</f>
        <v>-5.82264323125536</v>
      </c>
      <c r="AR182" s="22" t="n">
        <f aca="false">100*(AR48-AR47)</f>
        <v>-5.83130048893881</v>
      </c>
      <c r="AS182" s="22" t="n">
        <f aca="false">100*(AS48-AS47)</f>
        <v>-5.841775490306</v>
      </c>
      <c r="AT182" s="22" t="n">
        <f aca="false">100*(AT48-AT47)</f>
        <v>-5.85348397764021</v>
      </c>
      <c r="AU182" s="22" t="n">
        <f aca="false">100*(AU48-AU47)</f>
        <v>-5.86593417810959</v>
      </c>
      <c r="AV182" s="22" t="n">
        <f aca="false">100*(AV48-AV47)</f>
        <v>-5.87872018800879</v>
      </c>
      <c r="AW182" s="22" t="n">
        <f aca="false">100*(AW48-AW47)</f>
        <v>-5.8915158824699</v>
      </c>
      <c r="AX182" s="22" t="n">
        <f aca="false">100*(AX48-AX47)</f>
        <v>-5.90406636094549</v>
      </c>
      <c r="AY182" s="22" t="n">
        <f aca="false">100*(AY48-AY47)</f>
        <v>-5.91617664784101</v>
      </c>
      <c r="AZ182" s="22" t="n">
        <f aca="false">100*(AZ48-AZ47)</f>
        <v>-5.92770003438541</v>
      </c>
      <c r="BA182" s="22" t="n">
        <f aca="false">100*(BA48-BA47)</f>
        <v>-5.93853232078052</v>
      </c>
      <c r="BB182" s="22" t="n">
        <f aca="false">100*(BB48-BB47)</f>
        <v>-5.94860197511458</v>
      </c>
      <c r="BC182" s="22" t="n">
        <f aca="false">100*(BC48-BC47)</f>
        <v>-5.957857531057</v>
      </c>
      <c r="BD182" s="22" t="n">
        <f aca="false">100*(BD48-BD47)</f>
        <v>-5.96626382744949</v>
      </c>
      <c r="BE182" s="22" t="n">
        <f aca="false">100*(BE48-BE47)</f>
        <v>-5.9738006226524</v>
      </c>
      <c r="BF182" s="22" t="n">
        <f aca="false">100*(BF48-BF47)</f>
        <v>-5.98046338246321</v>
      </c>
      <c r="BG182" s="22" t="n">
        <f aca="false">100*(BG48-BG47)</f>
        <v>-5.98626224417731</v>
      </c>
      <c r="BH182" s="22" t="n">
        <f aca="false">AVERAGE(C182:BG182)</f>
        <v>-8.37147460387631</v>
      </c>
    </row>
    <row r="183" customFormat="false" ht="15" hidden="false" customHeight="false" outlineLevel="0" collapsed="false">
      <c r="A183" s="20" t="n">
        <f aca="false">A49</f>
        <v>-76</v>
      </c>
      <c r="B183" s="21" t="n">
        <f aca="false">B49</f>
        <v>44728</v>
      </c>
      <c r="C183" s="22" t="n">
        <f aca="false">100*(C49-C48)</f>
        <v>16.0030899206897</v>
      </c>
      <c r="D183" s="22" t="n">
        <f aca="false">100*(D49-D48)</f>
        <v>15.4853397107652</v>
      </c>
      <c r="E183" s="22" t="n">
        <f aca="false">100*(E49-E48)</f>
        <v>14.7771054121558</v>
      </c>
      <c r="F183" s="22" t="n">
        <f aca="false">100*(F49-F48)</f>
        <v>14.0112803851064</v>
      </c>
      <c r="G183" s="22" t="n">
        <f aca="false">100*(G49-G48)</f>
        <v>13.2269925996439</v>
      </c>
      <c r="H183" s="22" t="n">
        <f aca="false">100*(H49-H48)</f>
        <v>12.4430594565928</v>
      </c>
      <c r="I183" s="22" t="n">
        <f aca="false">100*(I49-I48)</f>
        <v>11.6731774052365</v>
      </c>
      <c r="J183" s="22" t="n">
        <f aca="false">100*(J49-J48)</f>
        <v>10.9279705827603</v>
      </c>
      <c r="K183" s="22" t="n">
        <f aca="false">100*(K49-K48)</f>
        <v>10.2153765905147</v>
      </c>
      <c r="L183" s="22" t="n">
        <f aca="false">100*(L49-L48)</f>
        <v>9.540709135221</v>
      </c>
      <c r="M183" s="22" t="n">
        <f aca="false">100*(M49-M48)</f>
        <v>8.9071235036156</v>
      </c>
      <c r="N183" s="22" t="n">
        <f aca="false">100*(N49-N48)</f>
        <v>8.3158773998504</v>
      </c>
      <c r="O183" s="22" t="n">
        <f aca="false">100*(O49-O48)</f>
        <v>7.7668511232396</v>
      </c>
      <c r="P183" s="22" t="n">
        <f aca="false">100*(P49-P48)</f>
        <v>7.25945488336182</v>
      </c>
      <c r="Q183" s="22" t="n">
        <f aca="false">100*(Q49-Q48)</f>
        <v>6.7929902804809</v>
      </c>
      <c r="R183" s="22" t="n">
        <f aca="false">100*(R49-R48)</f>
        <v>6.36679340520789</v>
      </c>
      <c r="S183" s="22" t="n">
        <f aca="false">100*(S49-S48)</f>
        <v>5.98018562224989</v>
      </c>
      <c r="T183" s="22" t="n">
        <f aca="false">100*(T49-T48)</f>
        <v>5.63214709011781</v>
      </c>
      <c r="U183" s="22" t="n">
        <f aca="false">100*(U49-U48)</f>
        <v>5.32133493828839</v>
      </c>
      <c r="V183" s="22" t="n">
        <f aca="false">100*(V49-V48)</f>
        <v>5.04614611678651</v>
      </c>
      <c r="W183" s="22" t="n">
        <f aca="false">100*(W49-W48)</f>
        <v>4.80476754474357</v>
      </c>
      <c r="X183" s="22" t="n">
        <f aca="false">100*(X49-X48)</f>
        <v>4.59521914268919</v>
      </c>
      <c r="Y183" s="22" t="n">
        <f aca="false">100*(Y49-Y48)</f>
        <v>4.41543285737911</v>
      </c>
      <c r="Z183" s="22" t="n">
        <f aca="false">100*(Z49-Z48)</f>
        <v>4.26337687300924</v>
      </c>
      <c r="AA183" s="22" t="n">
        <f aca="false">100*(AA49-AA48)</f>
        <v>4.13706716287252</v>
      </c>
      <c r="AB183" s="22" t="n">
        <f aca="false">100*(AB49-AB48)</f>
        <v>4.03453693754829</v>
      </c>
      <c r="AC183" s="22" t="n">
        <f aca="false">100*(AC49-AC48)</f>
        <v>3.95383014493262</v>
      </c>
      <c r="AD183" s="22" t="n">
        <f aca="false">100*(AD49-AD48)</f>
        <v>3.89300528005569</v>
      </c>
      <c r="AE183" s="22" t="n">
        <f aca="false">100*(AE49-AE48)</f>
        <v>3.85013332642692</v>
      </c>
      <c r="AF183" s="22" t="n">
        <f aca="false">100*(AF49-AF48)</f>
        <v>3.8232958637177</v>
      </c>
      <c r="AG183" s="22" t="n">
        <f aca="false">100*(AG49-AG48)</f>
        <v>3.81058348309722</v>
      </c>
      <c r="AH183" s="22" t="n">
        <f aca="false">100*(AH49-AH48)</f>
        <v>3.81012016757478</v>
      </c>
      <c r="AI183" s="22" t="n">
        <f aca="false">100*(AI49-AI48)</f>
        <v>3.82007724638611</v>
      </c>
      <c r="AJ183" s="22" t="n">
        <f aca="false">100*(AJ49-AJ48)</f>
        <v>3.83868112988797</v>
      </c>
      <c r="AK183" s="22" t="n">
        <f aca="false">100*(AK49-AK48)</f>
        <v>3.86421620908179</v>
      </c>
      <c r="AL183" s="22" t="n">
        <f aca="false">100*(AL49-AL48)</f>
        <v>3.89504406866634</v>
      </c>
      <c r="AM183" s="22" t="n">
        <f aca="false">100*(AM49-AM48)</f>
        <v>3.92962502297087</v>
      </c>
      <c r="AN183" s="22" t="n">
        <f aca="false">100*(AN49-AN48)</f>
        <v>3.96653408668719</v>
      </c>
      <c r="AO183" s="22" t="n">
        <f aca="false">100*(AO49-AO48)</f>
        <v>4.00446347172392</v>
      </c>
      <c r="AP183" s="22" t="n">
        <f aca="false">100*(AP49-AP48)</f>
        <v>4.04223278317839</v>
      </c>
      <c r="AQ183" s="22" t="n">
        <f aca="false">100*(AQ49-AQ48)</f>
        <v>4.07879668842908</v>
      </c>
      <c r="AR183" s="22" t="n">
        <f aca="false">100*(AR49-AR48)</f>
        <v>4.11324731430569</v>
      </c>
      <c r="AS183" s="22" t="n">
        <f aca="false">100*(AS49-AS48)</f>
        <v>4.14482459152032</v>
      </c>
      <c r="AT183" s="22" t="n">
        <f aca="false">100*(AT49-AT48)</f>
        <v>4.17290911722552</v>
      </c>
      <c r="AU183" s="22" t="n">
        <f aca="false">100*(AU49-AU48)</f>
        <v>4.19701509330208</v>
      </c>
      <c r="AV183" s="22" t="n">
        <f aca="false">100*(AV49-AV48)</f>
        <v>4.21677844662081</v>
      </c>
      <c r="AW183" s="22" t="n">
        <f aca="false">100*(AW49-AW48)</f>
        <v>4.2319452863977</v>
      </c>
      <c r="AX183" s="22" t="n">
        <f aca="false">100*(AX49-AX48)</f>
        <v>4.24235929475678</v>
      </c>
      <c r="AY183" s="22" t="n">
        <f aca="false">100*(AY49-AY48)</f>
        <v>4.24794864976201</v>
      </c>
      <c r="AZ183" s="22" t="n">
        <f aca="false">100*(AZ49-AZ48)</f>
        <v>4.24871513842029</v>
      </c>
      <c r="BA183" s="22" t="n">
        <f aca="false">100*(BA49-BA48)</f>
        <v>4.24472683756361</v>
      </c>
      <c r="BB183" s="22" t="n">
        <f aca="false">100*(BB49-BB48)</f>
        <v>4.23611021861299</v>
      </c>
      <c r="BC183" s="22" t="n">
        <f aca="false">100*(BC49-BC48)</f>
        <v>4.22304151206929</v>
      </c>
      <c r="BD183" s="22" t="n">
        <f aca="false">100*(BD49-BD48)</f>
        <v>4.20574297491498</v>
      </c>
      <c r="BE183" s="22" t="n">
        <f aca="false">100*(BE49-BE48)</f>
        <v>4.18448039723889</v>
      </c>
      <c r="BF183" s="22" t="n">
        <f aca="false">100*(BF49-BF48)</f>
        <v>4.15956078089512</v>
      </c>
      <c r="BG183" s="22" t="n">
        <f aca="false">100*(BG49-BG48)</f>
        <v>4.13133033126178</v>
      </c>
      <c r="BH183" s="22" t="n">
        <f aca="false">AVERAGE(C183:BG183)</f>
        <v>6.10043475504932</v>
      </c>
    </row>
    <row r="184" customFormat="false" ht="15" hidden="false" customHeight="false" outlineLevel="0" collapsed="false">
      <c r="A184" s="20" t="n">
        <f aca="false">A50</f>
        <v>-75</v>
      </c>
      <c r="B184" s="21" t="n">
        <f aca="false">B50</f>
        <v>44729</v>
      </c>
      <c r="C184" s="22" t="n">
        <f aca="false">100*(C50-C49)</f>
        <v>8.89610113920152</v>
      </c>
      <c r="D184" s="22" t="n">
        <f aca="false">100*(D50-D49)</f>
        <v>8.31650581239511</v>
      </c>
      <c r="E184" s="22" t="n">
        <f aca="false">100*(E50-E49)</f>
        <v>7.45336483400938</v>
      </c>
      <c r="F184" s="22" t="n">
        <f aca="false">100*(F50-F49)</f>
        <v>6.43220826725059</v>
      </c>
      <c r="G184" s="22" t="n">
        <f aca="false">100*(G50-G49)</f>
        <v>5.34622750156411</v>
      </c>
      <c r="H184" s="22" t="n">
        <f aca="false">100*(H50-H49)</f>
        <v>4.25937713341873</v>
      </c>
      <c r="I184" s="22" t="n">
        <f aca="false">100*(I50-I49)</f>
        <v>3.21465143802322</v>
      </c>
      <c r="J184" s="22" t="n">
        <f aca="false">100*(J50-J49)</f>
        <v>2.24068035161382</v>
      </c>
      <c r="K184" s="22" t="n">
        <f aca="false">100*(K50-K49)</f>
        <v>1.35632279361491</v>
      </c>
      <c r="L184" s="22" t="n">
        <f aca="false">100*(L50-L49)</f>
        <v>0.572585088211985</v>
      </c>
      <c r="M184" s="22" t="n">
        <f aca="false">100*(M50-M49)</f>
        <v>-0.105600033533593</v>
      </c>
      <c r="N184" s="22" t="n">
        <f aca="false">100*(N50-N49)</f>
        <v>-0.678011438009607</v>
      </c>
      <c r="O184" s="22" t="n">
        <f aca="false">100*(O50-O49)</f>
        <v>-1.14785925167982</v>
      </c>
      <c r="P184" s="22" t="n">
        <f aca="false">100*(P50-P49)</f>
        <v>-1.52077092333092</v>
      </c>
      <c r="Q184" s="22" t="n">
        <f aca="false">100*(Q50-Q49)</f>
        <v>-1.80423942173023</v>
      </c>
      <c r="R184" s="22" t="n">
        <f aca="false">100*(R50-R49)</f>
        <v>-2.007147208626</v>
      </c>
      <c r="S184" s="22" t="n">
        <f aca="false">100*(S50-S49)</f>
        <v>-2.13898587080061</v>
      </c>
      <c r="T184" s="22" t="n">
        <f aca="false">100*(T50-T49)</f>
        <v>-2.20962697556391</v>
      </c>
      <c r="U184" s="22" t="n">
        <f aca="false">100*(U50-U49)</f>
        <v>-2.22869941937902</v>
      </c>
      <c r="V184" s="22" t="n">
        <f aca="false">100*(V50-V49)</f>
        <v>-2.20515065211533</v>
      </c>
      <c r="W184" s="22" t="n">
        <f aca="false">100*(W50-W49)</f>
        <v>-2.14736127077591</v>
      </c>
      <c r="X184" s="22" t="n">
        <f aca="false">100*(X50-X49)</f>
        <v>-2.06325325523706</v>
      </c>
      <c r="Y184" s="22" t="n">
        <f aca="false">100*(Y50-Y49)</f>
        <v>-1.9601397610129</v>
      </c>
      <c r="Z184" s="22" t="n">
        <f aca="false">100*(Z50-Z49)</f>
        <v>-1.84427639398002</v>
      </c>
      <c r="AA184" s="22" t="n">
        <f aca="false">100*(AA50-AA49)</f>
        <v>-1.7208971134381</v>
      </c>
      <c r="AB184" s="22" t="n">
        <f aca="false">100*(AB50-AB49)</f>
        <v>-1.59435500108027</v>
      </c>
      <c r="AC184" s="22" t="n">
        <f aca="false">100*(AC50-AC49)</f>
        <v>-1.46816112051291</v>
      </c>
      <c r="AD184" s="22" t="n">
        <f aca="false">100*(AD50-AD49)</f>
        <v>-1.34507352495037</v>
      </c>
      <c r="AE184" s="22" t="n">
        <f aca="false">100*(AE50-AE49)</f>
        <v>-1.2272140354519</v>
      </c>
      <c r="AF184" s="22" t="n">
        <f aca="false">100*(AF50-AF49)</f>
        <v>-1.11616464077229</v>
      </c>
      <c r="AG184" s="22" t="n">
        <f aca="false">100*(AG50-AG49)</f>
        <v>-1.01305616761431</v>
      </c>
      <c r="AH184" s="22" t="n">
        <f aca="false">100*(AH50-AH49)</f>
        <v>-0.918610425101818</v>
      </c>
      <c r="AI184" s="22" t="n">
        <f aca="false">100*(AI50-AI49)</f>
        <v>-0.833180966330893</v>
      </c>
      <c r="AJ184" s="22" t="n">
        <f aca="false">100*(AJ50-AJ49)</f>
        <v>-0.756852686977005</v>
      </c>
      <c r="AK184" s="22" t="n">
        <f aca="false">100*(AK50-AK49)</f>
        <v>-0.689488579183895</v>
      </c>
      <c r="AL184" s="22" t="n">
        <f aca="false">100*(AL50-AL49)</f>
        <v>-0.630787341083039</v>
      </c>
      <c r="AM184" s="22" t="n">
        <f aca="false">100*(AM50-AM49)</f>
        <v>-0.580330425096465</v>
      </c>
      <c r="AN184" s="22" t="n">
        <f aca="false">100*(AN50-AN49)</f>
        <v>-0.537619969083991</v>
      </c>
      <c r="AO184" s="22" t="n">
        <f aca="false">100*(AO50-AO49)</f>
        <v>-0.502101104898411</v>
      </c>
      <c r="AP184" s="22" t="n">
        <f aca="false">100*(AP50-AP49)</f>
        <v>-0.473183682557599</v>
      </c>
      <c r="AQ184" s="22" t="n">
        <f aca="false">100*(AQ50-AQ49)</f>
        <v>-0.450261882537095</v>
      </c>
      <c r="AR184" s="22" t="n">
        <f aca="false">100*(AR50-AR49)</f>
        <v>-0.432725132664791</v>
      </c>
      <c r="AS184" s="22" t="n">
        <f aca="false">100*(AS50-AS49)</f>
        <v>-0.419972056519624</v>
      </c>
      <c r="AT184" s="22" t="n">
        <f aca="false">100*(AT50-AT49)</f>
        <v>-0.411420488847902</v>
      </c>
      <c r="AU184" s="22" t="n">
        <f aca="false">100*(AU50-AU49)</f>
        <v>-0.406518984277193</v>
      </c>
      <c r="AV184" s="22" t="n">
        <f aca="false">100*(AV50-AV49)</f>
        <v>-0.404750968964418</v>
      </c>
      <c r="AW184" s="22" t="n">
        <f aca="false">100*(AW50-AW49)</f>
        <v>-0.405640643290095</v>
      </c>
      <c r="AX184" s="22" t="n">
        <f aca="false">100*(AX50-AX49)</f>
        <v>-0.408755134012795</v>
      </c>
      <c r="AY184" s="22" t="n">
        <f aca="false">100*(AY50-AY49)</f>
        <v>-0.4137053581037</v>
      </c>
      <c r="AZ184" s="22" t="n">
        <f aca="false">100*(AZ50-AZ49)</f>
        <v>-0.420142738074292</v>
      </c>
      <c r="BA184" s="22" t="n">
        <f aca="false">100*(BA50-BA49)</f>
        <v>-0.427755364256921</v>
      </c>
      <c r="BB184" s="22" t="n">
        <f aca="false">100*(BB50-BB49)</f>
        <v>-0.436263472148601</v>
      </c>
      <c r="BC184" s="22" t="n">
        <f aca="false">100*(BC50-BC49)</f>
        <v>-0.445416124987119</v>
      </c>
      <c r="BD184" s="22" t="n">
        <f aca="false">100*(BD50-BD49)</f>
        <v>-0.454990920036513</v>
      </c>
      <c r="BE184" s="22" t="n">
        <f aca="false">100*(BE50-BE49)</f>
        <v>-0.46479391100509</v>
      </c>
      <c r="BF184" s="22" t="n">
        <f aca="false">100*(BF50-BF49)</f>
        <v>-0.474659169029135</v>
      </c>
      <c r="BG184" s="22" t="n">
        <f aca="false">100*(BG50-BG49)</f>
        <v>-0.484448953589878</v>
      </c>
      <c r="BH184" s="22" t="n">
        <f aca="false">AVERAGE(C184:BG184)</f>
        <v>0.0220632350359654</v>
      </c>
    </row>
    <row r="185" customFormat="false" ht="15" hidden="false" customHeight="false" outlineLevel="0" collapsed="false">
      <c r="A185" s="20" t="n">
        <f aca="false">A51</f>
        <v>-74</v>
      </c>
      <c r="B185" s="21" t="n">
        <f aca="false">B51</f>
        <v>44732</v>
      </c>
      <c r="C185" s="22" t="n">
        <f aca="false">100*(C51-C50)</f>
        <v>8.94143798907718</v>
      </c>
      <c r="D185" s="22" t="n">
        <f aca="false">100*(D51-D50)</f>
        <v>9.09836600804379</v>
      </c>
      <c r="E185" s="22" t="n">
        <f aca="false">100*(E51-E50)</f>
        <v>9.1649736006771</v>
      </c>
      <c r="F185" s="22" t="n">
        <f aca="false">100*(F51-F50)</f>
        <v>9.2108940655498</v>
      </c>
      <c r="G185" s="22" t="n">
        <f aca="false">100*(G51-G50)</f>
        <v>9.25245902074559</v>
      </c>
      <c r="H185" s="22" t="n">
        <f aca="false">100*(H51-H50)</f>
        <v>9.29324745695541</v>
      </c>
      <c r="I185" s="22" t="n">
        <f aca="false">100*(I51-I50)</f>
        <v>9.33439860992227</v>
      </c>
      <c r="J185" s="22" t="n">
        <f aca="false">100*(J51-J50)</f>
        <v>9.37703546492528</v>
      </c>
      <c r="K185" s="22" t="n">
        <f aca="false">100*(K51-K50)</f>
        <v>9.42286479050409</v>
      </c>
      <c r="L185" s="22" t="n">
        <f aca="false">100*(L51-L50)</f>
        <v>9.47407795982969</v>
      </c>
      <c r="M185" s="22" t="n">
        <f aca="false">100*(M51-M50)</f>
        <v>9.53294916654071</v>
      </c>
      <c r="N185" s="22" t="n">
        <f aca="false">100*(N51-N50)</f>
        <v>9.6015350701141</v>
      </c>
      <c r="O185" s="22" t="n">
        <f aca="false">100*(O51-O50)</f>
        <v>9.68143444797631</v>
      </c>
      <c r="P185" s="22" t="n">
        <f aca="false">100*(P51-P50)</f>
        <v>9.77356139543524</v>
      </c>
      <c r="Q185" s="22" t="n">
        <f aca="false">100*(Q51-Q50)</f>
        <v>9.87814432037881</v>
      </c>
      <c r="R185" s="22" t="n">
        <f aca="false">100*(R51-R50)</f>
        <v>9.99473768145003</v>
      </c>
      <c r="S185" s="22" t="n">
        <f aca="false">100*(S51-S50)</f>
        <v>10.1223168463206</v>
      </c>
      <c r="T185" s="22" t="n">
        <f aca="false">100*(T51-T50)</f>
        <v>10.2593782195631</v>
      </c>
      <c r="U185" s="22" t="n">
        <f aca="false">100*(U51-U50)</f>
        <v>10.4041318736244</v>
      </c>
      <c r="V185" s="22" t="n">
        <f aca="false">100*(V51-V50)</f>
        <v>10.5546303115826</v>
      </c>
      <c r="W185" s="22" t="n">
        <f aca="false">100*(W51-W50)</f>
        <v>10.7088022503897</v>
      </c>
      <c r="X185" s="22" t="n">
        <f aca="false">100*(X51-X50)</f>
        <v>10.8644790920971</v>
      </c>
      <c r="Y185" s="22" t="n">
        <f aca="false">100*(Y51-Y50)</f>
        <v>11.0194840213146</v>
      </c>
      <c r="Z185" s="22" t="n">
        <f aca="false">100*(Z51-Z50)</f>
        <v>11.1717897486496</v>
      </c>
      <c r="AA185" s="22" t="n">
        <f aca="false">100*(AA51-AA50)</f>
        <v>11.3195769526679</v>
      </c>
      <c r="AB185" s="22" t="n">
        <f aca="false">100*(AB51-AB50)</f>
        <v>11.4613068695015</v>
      </c>
      <c r="AC185" s="22" t="n">
        <f aca="false">100*(AC51-AC50)</f>
        <v>11.59578162234</v>
      </c>
      <c r="AD185" s="22" t="n">
        <f aca="false">100*(AD51-AD50)</f>
        <v>11.7221206216863</v>
      </c>
      <c r="AE185" s="22" t="n">
        <f aca="false">100*(AE51-AE50)</f>
        <v>11.8397113962698</v>
      </c>
      <c r="AF185" s="22" t="n">
        <f aca="false">100*(AF51-AF50)</f>
        <v>11.9481689684176</v>
      </c>
      <c r="AG185" s="22" t="n">
        <f aca="false">100*(AG51-AG50)</f>
        <v>12.0473046724213</v>
      </c>
      <c r="AH185" s="22" t="n">
        <f aca="false">100*(AH51-AH50)</f>
        <v>12.1371379759155</v>
      </c>
      <c r="AI185" s="22" t="n">
        <f aca="false">100*(AI51-AI50)</f>
        <v>12.2178794800312</v>
      </c>
      <c r="AJ185" s="22" t="n">
        <f aca="false">100*(AJ51-AJ50)</f>
        <v>12.2898900527844</v>
      </c>
      <c r="AK185" s="22" t="n">
        <f aca="false">100*(AK51-AK50)</f>
        <v>12.3536585956498</v>
      </c>
      <c r="AL185" s="22" t="n">
        <f aca="false">100*(AL51-AL50)</f>
        <v>12.4097721522381</v>
      </c>
      <c r="AM185" s="22" t="n">
        <f aca="false">100*(AM51-AM50)</f>
        <v>12.4588915302116</v>
      </c>
      <c r="AN185" s="22" t="n">
        <f aca="false">100*(AN51-AN50)</f>
        <v>12.5017330633669</v>
      </c>
      <c r="AO185" s="22" t="n">
        <f aca="false">100*(AO51-AO50)</f>
        <v>12.5390568540041</v>
      </c>
      <c r="AP185" s="22" t="n">
        <f aca="false">100*(AP51-AP50)</f>
        <v>12.5716526402563</v>
      </c>
      <c r="AQ185" s="22" t="n">
        <f aca="false">100*(AQ51-AQ50)</f>
        <v>12.6003274901845</v>
      </c>
      <c r="AR185" s="22" t="n">
        <f aca="false">100*(AR51-AR50)</f>
        <v>12.6258929253636</v>
      </c>
      <c r="AS185" s="22" t="n">
        <f aca="false">100*(AS51-AS50)</f>
        <v>12.6491480386815</v>
      </c>
      <c r="AT185" s="22" t="n">
        <f aca="false">100*(AT51-AT50)</f>
        <v>12.6708672465487</v>
      </c>
      <c r="AU185" s="22" t="n">
        <f aca="false">100*(AU51-AU50)</f>
        <v>12.6917854101063</v>
      </c>
      <c r="AV185" s="22" t="n">
        <f aca="false">100*(AV51-AV50)</f>
        <v>12.7125880562287</v>
      </c>
      <c r="AW185" s="22" t="n">
        <f aca="false">100*(AW51-AW50)</f>
        <v>12.7338964878532</v>
      </c>
      <c r="AX185" s="22" t="n">
        <f aca="false">100*(AX51-AX50)</f>
        <v>12.7562631308208</v>
      </c>
      <c r="AY185" s="22" t="n">
        <f aca="false">100*(AY51-AY50)</f>
        <v>12.7801596398172</v>
      </c>
      <c r="AZ185" s="22" t="n">
        <f aca="false">100*(AZ51-AZ50)</f>
        <v>12.8059654624465</v>
      </c>
      <c r="BA185" s="22" t="n">
        <f aca="false">100*(BA51-BA50)</f>
        <v>12.833973031332</v>
      </c>
      <c r="BB185" s="22" t="n">
        <f aca="false">100*(BB51-BB50)</f>
        <v>12.8643852804277</v>
      </c>
      <c r="BC185" s="22" t="n">
        <f aca="false">100*(BC51-BC50)</f>
        <v>12.8973065295423</v>
      </c>
      <c r="BD185" s="22" t="n">
        <f aca="false">100*(BD51-BD50)</f>
        <v>12.9327453277554</v>
      </c>
      <c r="BE185" s="22" t="n">
        <f aca="false">100*(BE51-BE50)</f>
        <v>12.9706198268731</v>
      </c>
      <c r="BF185" s="22" t="n">
        <f aca="false">100*(BF51-BF50)</f>
        <v>13.0107645915466</v>
      </c>
      <c r="BG185" s="22" t="n">
        <f aca="false">100*(BG51-BG50)</f>
        <v>13.0529376237242</v>
      </c>
      <c r="BH185" s="22" t="n">
        <f aca="false">AVERAGE(C185:BG185)</f>
        <v>11.3533403326085</v>
      </c>
    </row>
    <row r="186" customFormat="false" ht="15" hidden="false" customHeight="false" outlineLevel="0" collapsed="false">
      <c r="A186" s="20" t="n">
        <f aca="false">A52</f>
        <v>-73</v>
      </c>
      <c r="B186" s="21" t="n">
        <f aca="false">B52</f>
        <v>44733</v>
      </c>
      <c r="C186" s="22" t="n">
        <f aca="false">100*(C52-C51)</f>
        <v>0.795325637592015</v>
      </c>
      <c r="D186" s="22" t="n">
        <f aca="false">100*(D52-D51)</f>
        <v>0.803375210999002</v>
      </c>
      <c r="E186" s="22" t="n">
        <f aca="false">100*(E52-E51)</f>
        <v>0.927202106191016</v>
      </c>
      <c r="F186" s="22" t="n">
        <f aca="false">100*(F52-F51)</f>
        <v>1.1306999907859</v>
      </c>
      <c r="G186" s="22" t="n">
        <f aca="false">100*(G52-G51)</f>
        <v>1.38597758300261</v>
      </c>
      <c r="H186" s="22" t="n">
        <f aca="false">100*(H52-H51)</f>
        <v>1.67296364867648</v>
      </c>
      <c r="I186" s="22" t="n">
        <f aca="false">100*(I52-I51)</f>
        <v>1.97709754330191</v>
      </c>
      <c r="J186" s="22" t="n">
        <f aca="false">100*(J52-J51)</f>
        <v>2.28776552732923</v>
      </c>
      <c r="K186" s="22" t="n">
        <f aca="false">100*(K52-K51)</f>
        <v>2.59741943393199</v>
      </c>
      <c r="L186" s="22" t="n">
        <f aca="false">100*(L52-L51)</f>
        <v>2.90083456765293</v>
      </c>
      <c r="M186" s="22" t="n">
        <f aca="false">100*(M52-M51)</f>
        <v>3.19427444772491</v>
      </c>
      <c r="N186" s="22" t="n">
        <f aca="false">100*(N52-N51)</f>
        <v>3.47501388672691</v>
      </c>
      <c r="O186" s="22" t="n">
        <f aca="false">100*(O52-O51)</f>
        <v>3.7410952414465</v>
      </c>
      <c r="P186" s="22" t="n">
        <f aca="false">100*(P52-P51)</f>
        <v>3.99118680359298</v>
      </c>
      <c r="Q186" s="22" t="n">
        <f aca="false">100*(Q52-Q51)</f>
        <v>4.22446976851791</v>
      </c>
      <c r="R186" s="22" t="n">
        <f aca="false">100*(R52-R51)</f>
        <v>4.44058991856959</v>
      </c>
      <c r="S186" s="22" t="n">
        <f aca="false">100*(S52-S51)</f>
        <v>4.6395294045988</v>
      </c>
      <c r="T186" s="22" t="n">
        <f aca="false">100*(T52-T51)</f>
        <v>4.82150468979579</v>
      </c>
      <c r="U186" s="22" t="n">
        <f aca="false">100*(U52-U51)</f>
        <v>4.98693972715909</v>
      </c>
      <c r="V186" s="22" t="n">
        <f aca="false">100*(V52-V51)</f>
        <v>5.13637060580101</v>
      </c>
      <c r="W186" s="22" t="n">
        <f aca="false">100*(W52-W51)</f>
        <v>5.27041336945682</v>
      </c>
      <c r="X186" s="22" t="n">
        <f aca="false">100*(X52-X51)</f>
        <v>5.38974870362829</v>
      </c>
      <c r="Y186" s="22" t="n">
        <f aca="false">100*(Y52-Y51)</f>
        <v>5.495121162688</v>
      </c>
      <c r="Z186" s="22" t="n">
        <f aca="false">100*(Z52-Z51)</f>
        <v>5.58732857915723</v>
      </c>
      <c r="AA186" s="22" t="n">
        <f aca="false">100*(AA52-AA51)</f>
        <v>5.66720084786678</v>
      </c>
      <c r="AB186" s="22" t="n">
        <f aca="false">100*(AB52-AB51)</f>
        <v>5.73558292947758</v>
      </c>
      <c r="AC186" s="22" t="n">
        <f aca="false">100*(AC52-AC51)</f>
        <v>5.79333960882971</v>
      </c>
      <c r="AD186" s="22" t="n">
        <f aca="false">100*(AD52-AD51)</f>
        <v>5.8413595117206</v>
      </c>
      <c r="AE186" s="22" t="n">
        <f aca="false">100*(AE52-AE51)</f>
        <v>5.88055155709633</v>
      </c>
      <c r="AF186" s="22" t="n">
        <f aca="false">100*(AF52-AF51)</f>
        <v>5.91184188137781</v>
      </c>
      <c r="AG186" s="22" t="n">
        <f aca="false">100*(AG52-AG51)</f>
        <v>5.9361660200048</v>
      </c>
      <c r="AH186" s="22" t="n">
        <f aca="false">100*(AH52-AH51)</f>
        <v>5.95446474832713</v>
      </c>
      <c r="AI186" s="22" t="n">
        <f aca="false">100*(AI52-AI51)</f>
        <v>5.96769800821719</v>
      </c>
      <c r="AJ186" s="22" t="n">
        <f aca="false">100*(AJ52-AJ51)</f>
        <v>5.97684687415101</v>
      </c>
      <c r="AK186" s="22" t="n">
        <f aca="false">100*(AK52-AK51)</f>
        <v>5.98291292311171</v>
      </c>
      <c r="AL186" s="22" t="n">
        <f aca="false">100*(AL52-AL51)</f>
        <v>5.98691249391599</v>
      </c>
      <c r="AM186" s="22" t="n">
        <f aca="false">100*(AM52-AM51)</f>
        <v>5.98987205150938</v>
      </c>
      <c r="AN186" s="22" t="n">
        <f aca="false">100*(AN52-AN51)</f>
        <v>5.99281897441739</v>
      </c>
      <c r="AO186" s="22" t="n">
        <f aca="false">100*(AO52-AO51)</f>
        <v>5.99677664951028</v>
      </c>
      <c r="AP186" s="22" t="n">
        <f aca="false">100*(AP52-AP51)</f>
        <v>6.00275596011679</v>
      </c>
      <c r="AQ186" s="22" t="n">
        <f aca="false">100*(AQ52-AQ51)</f>
        <v>6.01174784759917</v>
      </c>
      <c r="AR186" s="22" t="n">
        <f aca="false">100*(AR52-AR51)</f>
        <v>6.02471178101189</v>
      </c>
      <c r="AS186" s="22" t="n">
        <f aca="false">100*(AS52-AS51)</f>
        <v>6.04255875101369</v>
      </c>
      <c r="AT186" s="22" t="n">
        <f aca="false">100*(AT52-AT51)</f>
        <v>6.06614039512223</v>
      </c>
      <c r="AU186" s="22" t="n">
        <f aca="false">100*(AU52-AU51)</f>
        <v>6.09623513476318</v>
      </c>
      <c r="AV186" s="22" t="n">
        <f aca="false">100*(AV52-AV51)</f>
        <v>6.13354160148591</v>
      </c>
      <c r="AW186" s="22" t="n">
        <f aca="false">100*(AW52-AW51)</f>
        <v>6.17866754444219</v>
      </c>
      <c r="AX186" s="22" t="n">
        <f aca="false">100*(AX52-AX51)</f>
        <v>6.23212911305902</v>
      </c>
      <c r="AY186" s="22" t="n">
        <f aca="false">100*(AY52-AY51)</f>
        <v>6.29433951429337</v>
      </c>
      <c r="AZ186" s="22" t="n">
        <f aca="false">100*(AZ52-AZ51)</f>
        <v>6.36559582389182</v>
      </c>
      <c r="BA186" s="22" t="n">
        <f aca="false">100*(BA52-BA51)</f>
        <v>6.44608568901681</v>
      </c>
      <c r="BB186" s="22" t="n">
        <f aca="false">100*(BB52-BB51)</f>
        <v>6.53588353542327</v>
      </c>
      <c r="BC186" s="22" t="n">
        <f aca="false">100*(BC52-BC51)</f>
        <v>6.63493831551301</v>
      </c>
      <c r="BD186" s="22" t="n">
        <f aca="false">100*(BD52-BD51)</f>
        <v>6.7430738738365</v>
      </c>
      <c r="BE186" s="22" t="n">
        <f aca="false">100*(BE52-BE51)</f>
        <v>6.85999236912434</v>
      </c>
      <c r="BF186" s="22" t="n">
        <f aca="false">100*(BF52-BF51)</f>
        <v>6.98527919596428</v>
      </c>
      <c r="BG186" s="22" t="n">
        <f aca="false">100*(BG52-BG51)</f>
        <v>7.11840733512039</v>
      </c>
      <c r="BH186" s="22" t="n">
        <f aca="false">AVERAGE(C186:BG186)</f>
        <v>4.98699432313436</v>
      </c>
    </row>
    <row r="187" customFormat="false" ht="15" hidden="false" customHeight="false" outlineLevel="0" collapsed="false">
      <c r="A187" s="20" t="n">
        <f aca="false">A53</f>
        <v>-72</v>
      </c>
      <c r="B187" s="21" t="n">
        <f aca="false">B53</f>
        <v>44734</v>
      </c>
      <c r="C187" s="22" t="n">
        <f aca="false">100*(C53-C52)</f>
        <v>-17.8455442969434</v>
      </c>
      <c r="D187" s="22" t="n">
        <f aca="false">100*(D53-D52)</f>
        <v>-18.1059443463149</v>
      </c>
      <c r="E187" s="22" t="n">
        <f aca="false">100*(E53-E52)</f>
        <v>-18.1964410826455</v>
      </c>
      <c r="F187" s="22" t="n">
        <f aca="false">100*(F53-F52)</f>
        <v>-18.2092088651297</v>
      </c>
      <c r="G187" s="22" t="n">
        <f aca="false">100*(G53-G52)</f>
        <v>-18.1848980118497</v>
      </c>
      <c r="H187" s="22" t="n">
        <f aca="false">100*(H53-H52)</f>
        <v>-18.1392705374185</v>
      </c>
      <c r="I187" s="22" t="n">
        <f aca="false">100*(I53-I52)</f>
        <v>-18.0765402977194</v>
      </c>
      <c r="J187" s="22" t="n">
        <f aca="false">100*(J53-J52)</f>
        <v>-17.99659389397</v>
      </c>
      <c r="K187" s="22" t="n">
        <f aca="false">100*(K53-K52)</f>
        <v>-17.8981639307043</v>
      </c>
      <c r="L187" s="22" t="n">
        <f aca="false">100*(L53-L52)</f>
        <v>-17.7805283894972</v>
      </c>
      <c r="M187" s="22" t="n">
        <f aca="false">100*(M53-M52)</f>
        <v>-17.6441356943643</v>
      </c>
      <c r="N187" s="22" t="n">
        <f aca="false">100*(N53-N52)</f>
        <v>-17.4906971015397</v>
      </c>
      <c r="O187" s="22" t="n">
        <f aca="false">100*(O53-O52)</f>
        <v>-17.3229621083577</v>
      </c>
      <c r="P187" s="22" t="n">
        <f aca="false">100*(P53-P52)</f>
        <v>-17.1443603136127</v>
      </c>
      <c r="Q187" s="22" t="n">
        <f aca="false">100*(Q53-Q52)</f>
        <v>-16.9587185377007</v>
      </c>
      <c r="R187" s="22" t="n">
        <f aca="false">100*(R53-R52)</f>
        <v>-16.7698899765441</v>
      </c>
      <c r="S187" s="22" t="n">
        <f aca="false">100*(S53-S52)</f>
        <v>-16.5815059867666</v>
      </c>
      <c r="T187" s="22" t="n">
        <f aca="false">100*(T53-T52)</f>
        <v>-16.3968904648638</v>
      </c>
      <c r="U187" s="22" t="n">
        <f aca="false">100*(U53-U52)</f>
        <v>-16.2188932681421</v>
      </c>
      <c r="V187" s="22" t="n">
        <f aca="false">100*(V53-V52)</f>
        <v>-16.049794522746</v>
      </c>
      <c r="W187" s="22" t="n">
        <f aca="false">100*(W53-W52)</f>
        <v>-15.8914125202235</v>
      </c>
      <c r="X187" s="22" t="n">
        <f aca="false">100*(X53-X52)</f>
        <v>-15.7451938460013</v>
      </c>
      <c r="Y187" s="22" t="n">
        <f aca="false">100*(Y53-Y52)</f>
        <v>-15.6121942352588</v>
      </c>
      <c r="Z187" s="22" t="n">
        <f aca="false">100*(Z53-Z52)</f>
        <v>-15.4929510960803</v>
      </c>
      <c r="AA187" s="22" t="n">
        <f aca="false">100*(AA53-AA52)</f>
        <v>-15.3874990629735</v>
      </c>
      <c r="AB187" s="22" t="n">
        <f aca="false">100*(AB53-AB52)</f>
        <v>-15.2954538577662</v>
      </c>
      <c r="AC187" s="22" t="n">
        <f aca="false">100*(AC53-AC52)</f>
        <v>-15.2161724498671</v>
      </c>
      <c r="AD187" s="22" t="n">
        <f aca="false">100*(AD53-AD52)</f>
        <v>-15.1488167005495</v>
      </c>
      <c r="AE187" s="22" t="n">
        <f aca="false">100*(AE53-AE52)</f>
        <v>-15.0923839190388</v>
      </c>
      <c r="AF187" s="22" t="n">
        <f aca="false">100*(AF53-AF52)</f>
        <v>-15.045731796284</v>
      </c>
      <c r="AG187" s="22" t="n">
        <f aca="false">100*(AG53-AG52)</f>
        <v>-15.0076275504219</v>
      </c>
      <c r="AH187" s="22" t="n">
        <f aca="false">100*(AH53-AH52)</f>
        <v>-14.9768910475572</v>
      </c>
      <c r="AI187" s="22" t="n">
        <f aca="false">100*(AI53-AI52)</f>
        <v>-14.9523982731507</v>
      </c>
      <c r="AJ187" s="22" t="n">
        <f aca="false">100*(AJ53-AJ52)</f>
        <v>-14.9331032993789</v>
      </c>
      <c r="AK187" s="22" t="n">
        <f aca="false">100*(AK53-AK52)</f>
        <v>-14.9180446811126</v>
      </c>
      <c r="AL187" s="22" t="n">
        <f aca="false">100*(AL53-AL52)</f>
        <v>-14.9063707602937</v>
      </c>
      <c r="AM187" s="22" t="n">
        <f aca="false">100*(AM53-AM52)</f>
        <v>-14.8973584927524</v>
      </c>
      <c r="AN187" s="22" t="n">
        <f aca="false">100*(AN53-AN52)</f>
        <v>-14.8904147477618</v>
      </c>
      <c r="AO187" s="22" t="n">
        <f aca="false">100*(AO53-AO52)</f>
        <v>-14.8850671961765</v>
      </c>
      <c r="AP187" s="22" t="n">
        <f aca="false">100*(AP53-AP52)</f>
        <v>-14.8809427382851</v>
      </c>
      <c r="AQ187" s="22" t="n">
        <f aca="false">100*(AQ53-AQ52)</f>
        <v>-14.87774936462</v>
      </c>
      <c r="AR187" s="22" t="n">
        <f aca="false">100*(AR53-AR52)</f>
        <v>-14.8752584853805</v>
      </c>
      <c r="AS187" s="22" t="n">
        <f aca="false">100*(AS53-AS52)</f>
        <v>-14.8732856065152</v>
      </c>
      <c r="AT187" s="22" t="n">
        <f aca="false">100*(AT53-AT52)</f>
        <v>-14.8716842444522</v>
      </c>
      <c r="AU187" s="22" t="n">
        <f aca="false">100*(AU53-AU52)</f>
        <v>-14.8703420573034</v>
      </c>
      <c r="AV187" s="22" t="n">
        <f aca="false">100*(AV53-AV52)</f>
        <v>-14.8691773025003</v>
      </c>
      <c r="AW187" s="22" t="n">
        <f aca="false">100*(AW53-AW52)</f>
        <v>-14.8681353816987</v>
      </c>
      <c r="AX187" s="22" t="n">
        <f aca="false">100*(AX53-AX52)</f>
        <v>-14.8671866493777</v>
      </c>
      <c r="AY187" s="22" t="n">
        <f aca="false">100*(AY53-AY52)</f>
        <v>-14.866324046458</v>
      </c>
      <c r="AZ187" s="22" t="n">
        <f aca="false">100*(AZ53-AZ52)</f>
        <v>-14.8655596461715</v>
      </c>
      <c r="BA187" s="22" t="n">
        <f aca="false">100*(BA53-BA52)</f>
        <v>-14.8649224214604</v>
      </c>
      <c r="BB187" s="22" t="n">
        <f aca="false">100*(BB53-BB52)</f>
        <v>-14.8644536137865</v>
      </c>
      <c r="BC187" s="22" t="n">
        <f aca="false">100*(BC53-BC52)</f>
        <v>-14.8642007815748</v>
      </c>
      <c r="BD187" s="22" t="n">
        <f aca="false">100*(BD53-BD52)</f>
        <v>-14.8642156872444</v>
      </c>
      <c r="BE187" s="22" t="n">
        <f aca="false">100*(BE53-BE52)</f>
        <v>-14.8645533431985</v>
      </c>
      <c r="BF187" s="22" t="n">
        <f aca="false">100*(BF53-BF52)</f>
        <v>-14.8652724970433</v>
      </c>
      <c r="BG187" s="22" t="n">
        <f aca="false">100*(BG53-BG52)</f>
        <v>-14.8664336537323</v>
      </c>
      <c r="BH187" s="22" t="n">
        <f aca="false">AVERAGE(C187:BG187)</f>
        <v>-15.876241485619</v>
      </c>
    </row>
    <row r="188" customFormat="false" ht="15" hidden="false" customHeight="false" outlineLevel="0" collapsed="false">
      <c r="A188" s="20" t="n">
        <f aca="false">A54</f>
        <v>-71</v>
      </c>
      <c r="B188" s="21" t="n">
        <f aca="false">B54</f>
        <v>44735</v>
      </c>
      <c r="C188" s="22" t="n">
        <f aca="false">100*(C54-C53)</f>
        <v>-20.5134657961036</v>
      </c>
      <c r="D188" s="22" t="n">
        <f aca="false">100*(D54-D53)</f>
        <v>-20.921121944327</v>
      </c>
      <c r="E188" s="22" t="n">
        <f aca="false">100*(E54-E53)</f>
        <v>-21.0347495666095</v>
      </c>
      <c r="F188" s="22" t="n">
        <f aca="false">100*(F54-F53)</f>
        <v>-20.9800738134279</v>
      </c>
      <c r="G188" s="22" t="n">
        <f aca="false">100*(G54-G53)</f>
        <v>-20.8216435577015</v>
      </c>
      <c r="H188" s="22" t="n">
        <f aca="false">100*(H54-H53)</f>
        <v>-20.5957167406688</v>
      </c>
      <c r="I188" s="22" t="n">
        <f aca="false">100*(I54-I53)</f>
        <v>-20.3244912714131</v>
      </c>
      <c r="J188" s="22" t="n">
        <f aca="false">100*(J54-J53)</f>
        <v>-20.0228144364513</v>
      </c>
      <c r="K188" s="22" t="n">
        <f aca="false">100*(K54-K53)</f>
        <v>-19.7013078637152</v>
      </c>
      <c r="L188" s="22" t="n">
        <f aca="false">100*(L54-L53)</f>
        <v>-19.3678905106493</v>
      </c>
      <c r="M188" s="22" t="n">
        <f aca="false">100*(M54-M53)</f>
        <v>-19.0289353609898</v>
      </c>
      <c r="N188" s="22" t="n">
        <f aca="false">100*(N54-N53)</f>
        <v>-18.6897638887027</v>
      </c>
      <c r="O188" s="22" t="n">
        <f aca="false">100*(O54-O53)</f>
        <v>-18.354837215586</v>
      </c>
      <c r="P188" s="22" t="n">
        <f aca="false">100*(P54-P53)</f>
        <v>-18.0279178705017</v>
      </c>
      <c r="Q188" s="22" t="n">
        <f aca="false">100*(Q54-Q53)</f>
        <v>-17.7122009300608</v>
      </c>
      <c r="R188" s="22" t="n">
        <f aca="false">100*(R54-R53)</f>
        <v>-17.4103424907204</v>
      </c>
      <c r="S188" s="22" t="n">
        <f aca="false">100*(S54-S53)</f>
        <v>-17.1245462592474</v>
      </c>
      <c r="T188" s="22" t="n">
        <f aca="false">100*(T54-T53)</f>
        <v>-16.8566760203064</v>
      </c>
      <c r="U188" s="22" t="n">
        <f aca="false">100*(U54-U53)</f>
        <v>-16.6081859681021</v>
      </c>
      <c r="V188" s="22" t="n">
        <f aca="false">100*(V54-V53)</f>
        <v>-16.3800851141278</v>
      </c>
      <c r="W188" s="22" t="n">
        <f aca="false">100*(W54-W53)</f>
        <v>-16.1730250948104</v>
      </c>
      <c r="X188" s="22" t="n">
        <f aca="false">100*(X54-X53)</f>
        <v>-15.9873696242456</v>
      </c>
      <c r="Y188" s="22" t="n">
        <f aca="false">100*(Y54-Y53)</f>
        <v>-15.8231752036617</v>
      </c>
      <c r="Z188" s="22" t="n">
        <f aca="false">100*(Z54-Z53)</f>
        <v>-15.680093095804</v>
      </c>
      <c r="AA188" s="22" t="n">
        <f aca="false">100*(AA54-AA53)</f>
        <v>-15.5573865734363</v>
      </c>
      <c r="AB188" s="22" t="n">
        <f aca="false">100*(AB54-AB53)</f>
        <v>-15.4540179987926</v>
      </c>
      <c r="AC188" s="22" t="n">
        <f aca="false">100*(AC54-AC53)</f>
        <v>-15.3688105511347</v>
      </c>
      <c r="AD188" s="22" t="n">
        <f aca="false">100*(AD54-AD53)</f>
        <v>-15.3004969734892</v>
      </c>
      <c r="AE188" s="22" t="n">
        <f aca="false">100*(AE54-AE53)</f>
        <v>-15.2477337977678</v>
      </c>
      <c r="AF188" s="22" t="n">
        <f aca="false">100*(AF54-AF53)</f>
        <v>-15.2091128942323</v>
      </c>
      <c r="AG188" s="22" t="n">
        <f aca="false">100*(AG54-AG53)</f>
        <v>-15.1832008186871</v>
      </c>
      <c r="AH188" s="22" t="n">
        <f aca="false">100*(AH54-AH53)</f>
        <v>-15.1686724914735</v>
      </c>
      <c r="AI188" s="22" t="n">
        <f aca="false">100*(AI54-AI53)</f>
        <v>-15.1642899811606</v>
      </c>
      <c r="AJ188" s="22" t="n">
        <f aca="false">100*(AJ54-AJ53)</f>
        <v>-15.1688880229164</v>
      </c>
      <c r="AK188" s="22" t="n">
        <f aca="false">100*(AK54-AK53)</f>
        <v>-15.1813699437316</v>
      </c>
      <c r="AL188" s="22" t="n">
        <f aca="false">100*(AL54-AL53)</f>
        <v>-15.2007152393416</v>
      </c>
      <c r="AM188" s="22" t="n">
        <f aca="false">100*(AM54-AM53)</f>
        <v>-15.2259830864795</v>
      </c>
      <c r="AN188" s="22" t="n">
        <f aca="false">100*(AN54-AN53)</f>
        <v>-15.2563082673578</v>
      </c>
      <c r="AO188" s="22" t="n">
        <f aca="false">100*(AO54-AO53)</f>
        <v>-15.2908946534432</v>
      </c>
      <c r="AP188" s="22" t="n">
        <f aca="false">100*(AP54-AP53)</f>
        <v>-15.3290106688491</v>
      </c>
      <c r="AQ188" s="22" t="n">
        <f aca="false">100*(AQ54-AQ53)</f>
        <v>-15.3699856741651</v>
      </c>
      <c r="AR188" s="22" t="n">
        <f aca="false">100*(AR54-AR53)</f>
        <v>-15.4132107535398</v>
      </c>
      <c r="AS188" s="22" t="n">
        <f aca="false">100*(AS54-AS53)</f>
        <v>-15.4581429620126</v>
      </c>
      <c r="AT188" s="22" t="n">
        <f aca="false">100*(AT54-AT53)</f>
        <v>-15.5043051409289</v>
      </c>
      <c r="AU188" s="22" t="n">
        <f aca="false">100*(AU54-AU53)</f>
        <v>-15.551286376668</v>
      </c>
      <c r="AV188" s="22" t="n">
        <f aca="false">100*(AV54-AV53)</f>
        <v>-15.5987390342201</v>
      </c>
      <c r="AW188" s="22" t="n">
        <f aca="false">100*(AW54-AW53)</f>
        <v>-15.6463768645171</v>
      </c>
      <c r="AX188" s="22" t="n">
        <f aca="false">100*(AX54-AX53)</f>
        <v>-15.6939726330066</v>
      </c>
      <c r="AY188" s="22" t="n">
        <f aca="false">100*(AY54-AY53)</f>
        <v>-15.7413594555185</v>
      </c>
      <c r="AZ188" s="22" t="n">
        <f aca="false">100*(AZ54-AZ53)</f>
        <v>-15.7884315530718</v>
      </c>
      <c r="BA188" s="22" t="n">
        <f aca="false">100*(BA54-BA53)</f>
        <v>-15.8351393633322</v>
      </c>
      <c r="BB188" s="22" t="n">
        <f aca="false">100*(BB54-BB53)</f>
        <v>-15.8814830927987</v>
      </c>
      <c r="BC188" s="22" t="n">
        <f aca="false">100*(BC54-BC53)</f>
        <v>-15.9275048688437</v>
      </c>
      <c r="BD188" s="22" t="n">
        <f aca="false">100*(BD54-BD53)</f>
        <v>-15.9732715736335</v>
      </c>
      <c r="BE188" s="22" t="n">
        <f aca="false">100*(BE54-BE53)</f>
        <v>-16.0188583598223</v>
      </c>
      <c r="BF188" s="22" t="n">
        <f aca="false">100*(BF54-BF53)</f>
        <v>-16.0643333079276</v>
      </c>
      <c r="BG188" s="22" t="n">
        <f aca="false">100*(BG54-BG53)</f>
        <v>-16.1097433191438</v>
      </c>
      <c r="BH188" s="22" t="n">
        <f aca="false">AVERAGE(C188:BG188)</f>
        <v>-16.7723415076031</v>
      </c>
    </row>
    <row r="189" customFormat="false" ht="15" hidden="false" customHeight="false" outlineLevel="0" collapsed="false">
      <c r="A189" s="20" t="n">
        <f aca="false">A55</f>
        <v>-70</v>
      </c>
      <c r="B189" s="21" t="n">
        <f aca="false">B55</f>
        <v>44736</v>
      </c>
      <c r="C189" s="22" t="n">
        <f aca="false">100*(C55-C54)</f>
        <v>1.7432835047019</v>
      </c>
      <c r="D189" s="22" t="n">
        <f aca="false">100*(D55-D54)</f>
        <v>1.63801544918292</v>
      </c>
      <c r="E189" s="22" t="n">
        <f aca="false">100*(E55-E54)</f>
        <v>1.60904859174</v>
      </c>
      <c r="F189" s="22" t="n">
        <f aca="false">100*(F55-F54)</f>
        <v>1.5912527957799</v>
      </c>
      <c r="G189" s="22" t="n">
        <f aca="false">100*(G55-G54)</f>
        <v>1.5643466560634</v>
      </c>
      <c r="H189" s="22" t="n">
        <f aca="false">100*(H55-H54)</f>
        <v>1.52555352291821</v>
      </c>
      <c r="I189" s="22" t="n">
        <f aca="false">100*(I55-I54)</f>
        <v>1.4787564657341</v>
      </c>
      <c r="J189" s="22" t="n">
        <f aca="false">100*(J55-J54)</f>
        <v>1.42893509842821</v>
      </c>
      <c r="K189" s="22" t="n">
        <f aca="false">100*(K55-K54)</f>
        <v>1.38034205203472</v>
      </c>
      <c r="L189" s="22" t="n">
        <f aca="false">100*(L55-L54)</f>
        <v>1.33608898270419</v>
      </c>
      <c r="M189" s="22" t="n">
        <f aca="false">100*(M55-M54)</f>
        <v>1.29784281629908</v>
      </c>
      <c r="N189" s="22" t="n">
        <f aca="false">100*(N55-N54)</f>
        <v>1.2661838218003</v>
      </c>
      <c r="O189" s="22" t="n">
        <f aca="false">100*(O55-O54)</f>
        <v>1.24091110516602</v>
      </c>
      <c r="P189" s="22" t="n">
        <f aca="false">100*(P55-P54)</f>
        <v>1.22116021527958</v>
      </c>
      <c r="Q189" s="22" t="n">
        <f aca="false">100*(Q55-Q54)</f>
        <v>1.2055491783467</v>
      </c>
      <c r="R189" s="22" t="n">
        <f aca="false">100*(R55-R54)</f>
        <v>1.19232479090901</v>
      </c>
      <c r="S189" s="22" t="n">
        <f aca="false">100*(S55-S54)</f>
        <v>1.17952974934608</v>
      </c>
      <c r="T189" s="22" t="n">
        <f aca="false">100*(T55-T54)</f>
        <v>1.16502767845499</v>
      </c>
      <c r="U189" s="22" t="n">
        <f aca="false">100*(U55-U54)</f>
        <v>1.14688487206198</v>
      </c>
      <c r="V189" s="22" t="n">
        <f aca="false">100*(V55-V54)</f>
        <v>1.12372632444742</v>
      </c>
      <c r="W189" s="22" t="n">
        <f aca="false">100*(W55-W54)</f>
        <v>1.09463655839939</v>
      </c>
      <c r="X189" s="22" t="n">
        <f aca="false">100*(X55-X54)</f>
        <v>1.05907290606</v>
      </c>
      <c r="Y189" s="22" t="n">
        <f aca="false">100*(Y55-Y54)</f>
        <v>1.01695221535363</v>
      </c>
      <c r="Z189" s="22" t="n">
        <f aca="false">100*(Z55-Z54)</f>
        <v>0.96884297754678</v>
      </c>
      <c r="AA189" s="22" t="n">
        <f aca="false">100*(AA55-AA54)</f>
        <v>0.915813005773014</v>
      </c>
      <c r="AB189" s="22" t="n">
        <f aca="false">100*(AB55-AB54)</f>
        <v>0.859118809625503</v>
      </c>
      <c r="AC189" s="22" t="n">
        <f aca="false">100*(AC55-AC54)</f>
        <v>0.79997997780259</v>
      </c>
      <c r="AD189" s="22" t="n">
        <f aca="false">100*(AD55-AD54)</f>
        <v>0.739556267047803</v>
      </c>
      <c r="AE189" s="22" t="n">
        <f aca="false">100*(AE55-AE54)</f>
        <v>0.6789570988464</v>
      </c>
      <c r="AF189" s="22" t="n">
        <f aca="false">100*(AF55-AF54)</f>
        <v>0.619249175110026</v>
      </c>
      <c r="AG189" s="22" t="n">
        <f aca="false">100*(AG55-AG54)</f>
        <v>0.561413568176361</v>
      </c>
      <c r="AH189" s="22" t="n">
        <f aca="false">100*(AH55-AH54)</f>
        <v>0.506190146063901</v>
      </c>
      <c r="AI189" s="22" t="n">
        <f aca="false">100*(AI55-AI54)</f>
        <v>0.454121992323708</v>
      </c>
      <c r="AJ189" s="22" t="n">
        <f aca="false">100*(AJ55-AJ54)</f>
        <v>0.405571242603298</v>
      </c>
      <c r="AK189" s="22" t="n">
        <f aca="false">100*(AK55-AK54)</f>
        <v>0.360737848367698</v>
      </c>
      <c r="AL189" s="22" t="n">
        <f aca="false">100*(AL55-AL54)</f>
        <v>0.3196698591859</v>
      </c>
      <c r="AM189" s="22" t="n">
        <f aca="false">100*(AM55-AM54)</f>
        <v>0.282280506063115</v>
      </c>
      <c r="AN189" s="22" t="n">
        <f aca="false">100*(AN55-AN54)</f>
        <v>0.248367826248685</v>
      </c>
      <c r="AO189" s="22" t="n">
        <f aca="false">100*(AO55-AO54)</f>
        <v>0.217631071452118</v>
      </c>
      <c r="AP189" s="22" t="n">
        <f aca="false">100*(AP55-AP54)</f>
        <v>0.189685560637987</v>
      </c>
      <c r="AQ189" s="22" t="n">
        <f aca="false">100*(AQ55-AQ54)</f>
        <v>0.164074309528406</v>
      </c>
      <c r="AR189" s="22" t="n">
        <f aca="false">100*(AR55-AR54)</f>
        <v>0.140283462077306</v>
      </c>
      <c r="AS189" s="22" t="n">
        <f aca="false">100*(AS55-AS54)</f>
        <v>0.117760030449698</v>
      </c>
      <c r="AT189" s="22" t="n">
        <f aca="false">100*(AT55-AT54)</f>
        <v>0.0959283432395264</v>
      </c>
      <c r="AU189" s="22" t="n">
        <f aca="false">100*(AU55-AU54)</f>
        <v>0.0742108909234762</v>
      </c>
      <c r="AV189" s="22" t="n">
        <f aca="false">100*(AV55-AV54)</f>
        <v>0.0520436532132962</v>
      </c>
      <c r="AW189" s="22" t="n">
        <f aca="false">100*(AW55-AW54)</f>
        <v>0.0288965050061041</v>
      </c>
      <c r="AX189" s="22" t="n">
        <f aca="false">100*(AX55-AX54)</f>
        <v>0.00427937664180256</v>
      </c>
      <c r="AY189" s="22" t="n">
        <f aca="false">100*(AY55-AY54)</f>
        <v>-0.0222420431065906</v>
      </c>
      <c r="AZ189" s="22" t="n">
        <f aca="false">100*(AZ55-AZ54)</f>
        <v>-0.0510275798542903</v>
      </c>
      <c r="BA189" s="22" t="n">
        <f aca="false">100*(BA55-BA54)</f>
        <v>-0.0823650167649959</v>
      </c>
      <c r="BB189" s="22" t="n">
        <f aca="false">100*(BB55-BB54)</f>
        <v>-0.116462861501621</v>
      </c>
      <c r="BC189" s="22" t="n">
        <f aca="false">100*(BC55-BC54)</f>
        <v>-0.153436868554691</v>
      </c>
      <c r="BD189" s="22" t="n">
        <f aca="false">100*(BD55-BD54)</f>
        <v>-0.193310867044572</v>
      </c>
      <c r="BE189" s="22" t="n">
        <f aca="false">100*(BE55-BE54)</f>
        <v>-0.236021983572599</v>
      </c>
      <c r="BF189" s="22" t="n">
        <f aca="false">100*(BF55-BF54)</f>
        <v>-0.281431664648002</v>
      </c>
      <c r="BG189" s="22" t="n">
        <f aca="false">100*(BG55-BG54)</f>
        <v>-0.329333934733933</v>
      </c>
      <c r="BH189" s="22" t="n">
        <f aca="false">AVERAGE(C189:BG189)</f>
        <v>0.681481684831314</v>
      </c>
    </row>
    <row r="190" customFormat="false" ht="15" hidden="false" customHeight="false" outlineLevel="0" collapsed="false">
      <c r="A190" s="20" t="n">
        <f aca="false">A56</f>
        <v>-69</v>
      </c>
      <c r="B190" s="21" t="n">
        <f aca="false">B56</f>
        <v>44739</v>
      </c>
      <c r="C190" s="22" t="n">
        <f aca="false">100*(C56-C55)</f>
        <v>6.98489073211559</v>
      </c>
      <c r="D190" s="22" t="n">
        <f aca="false">100*(D56-D55)</f>
        <v>7.08105320411181</v>
      </c>
      <c r="E190" s="22" t="n">
        <f aca="false">100*(E56-E55)</f>
        <v>7.17694003256559</v>
      </c>
      <c r="F190" s="22" t="n">
        <f aca="false">100*(F56-F55)</f>
        <v>7.28779872463901</v>
      </c>
      <c r="G190" s="22" t="n">
        <f aca="false">100*(G56-G55)</f>
        <v>7.41141804661478</v>
      </c>
      <c r="H190" s="22" t="n">
        <f aca="false">100*(H56-H55)</f>
        <v>7.54178169118351</v>
      </c>
      <c r="I190" s="22" t="n">
        <f aca="false">100*(I56-I55)</f>
        <v>7.6732568545498</v>
      </c>
      <c r="J190" s="22" t="n">
        <f aca="false">100*(J56-J55)</f>
        <v>7.8017915806081</v>
      </c>
      <c r="K190" s="22" t="n">
        <f aca="false">100*(K56-K55)</f>
        <v>7.92467516643267</v>
      </c>
      <c r="L190" s="22" t="n">
        <f aca="false">100*(L56-L55)</f>
        <v>8.04024670940802</v>
      </c>
      <c r="M190" s="22" t="n">
        <f aca="false">100*(M56-M55)</f>
        <v>8.14731407111413</v>
      </c>
      <c r="N190" s="22" t="n">
        <f aca="false">100*(N56-N55)</f>
        <v>8.2449185013552</v>
      </c>
      <c r="O190" s="22" t="n">
        <f aca="false">100*(O56-O55)</f>
        <v>8.33233146303547</v>
      </c>
      <c r="P190" s="22" t="n">
        <f aca="false">100*(P56-P55)</f>
        <v>8.40912176682043</v>
      </c>
      <c r="Q190" s="22" t="n">
        <f aca="false">100*(Q56-Q55)</f>
        <v>8.47516137084741</v>
      </c>
      <c r="R190" s="22" t="n">
        <f aca="false">100*(R56-R55)</f>
        <v>8.53064621791151</v>
      </c>
      <c r="S190" s="22" t="n">
        <f aca="false">100*(S56-S55)</f>
        <v>8.5760232857603</v>
      </c>
      <c r="T190" s="22" t="n">
        <f aca="false">100*(T56-T55)</f>
        <v>8.61191961483678</v>
      </c>
      <c r="U190" s="22" t="n">
        <f aca="false">100*(U56-U55)</f>
        <v>8.63915162472733</v>
      </c>
      <c r="V190" s="22" t="n">
        <f aca="false">100*(V56-V55)</f>
        <v>8.65873031556981</v>
      </c>
      <c r="W190" s="22" t="n">
        <f aca="false">100*(W56-W55)</f>
        <v>8.67181965917263</v>
      </c>
      <c r="X190" s="22" t="n">
        <f aca="false">100*(X56-X55)</f>
        <v>8.67970678888219</v>
      </c>
      <c r="Y190" s="22" t="n">
        <f aca="false">100*(Y56-Y55)</f>
        <v>8.68378246182799</v>
      </c>
      <c r="Z190" s="22" t="n">
        <f aca="false">100*(Z56-Z55)</f>
        <v>8.68549468760871</v>
      </c>
      <c r="AA190" s="22" t="n">
        <f aca="false">100*(AA56-AA55)</f>
        <v>8.68629524821301</v>
      </c>
      <c r="AB190" s="22" t="n">
        <f aca="false">100*(AB56-AB55)</f>
        <v>8.68752794103509</v>
      </c>
      <c r="AC190" s="22" t="n">
        <f aca="false">100*(AC56-AC55)</f>
        <v>8.69029264171801</v>
      </c>
      <c r="AD190" s="22" t="n">
        <f aca="false">100*(AD56-AD55)</f>
        <v>8.69545275339383</v>
      </c>
      <c r="AE190" s="22" t="n">
        <f aca="false">100*(AE56-AE55)</f>
        <v>8.70367205832299</v>
      </c>
      <c r="AF190" s="22" t="n">
        <f aca="false">100*(AF56-AF55)</f>
        <v>8.71544495702099</v>
      </c>
      <c r="AG190" s="22" t="n">
        <f aca="false">100*(AG56-AG55)</f>
        <v>8.73109149428282</v>
      </c>
      <c r="AH190" s="22" t="n">
        <f aca="false">100*(AH56-AH55)</f>
        <v>8.75066367250921</v>
      </c>
      <c r="AI190" s="22" t="n">
        <f aca="false">100*(AI56-AI55)</f>
        <v>8.77399437691819</v>
      </c>
      <c r="AJ190" s="22" t="n">
        <f aca="false">100*(AJ56-AJ55)</f>
        <v>8.8007489541984</v>
      </c>
      <c r="AK190" s="22" t="n">
        <f aca="false">100*(AK56-AK55)</f>
        <v>8.83045238363551</v>
      </c>
      <c r="AL190" s="22" t="n">
        <f aca="false">100*(AL56-AL55)</f>
        <v>8.86252457918051</v>
      </c>
      <c r="AM190" s="22" t="n">
        <f aca="false">100*(AM56-AM55)</f>
        <v>8.89631574587839</v>
      </c>
      <c r="AN190" s="22" t="n">
        <f aca="false">100*(AN56-AN55)</f>
        <v>8.93114303821583</v>
      </c>
      <c r="AO190" s="22" t="n">
        <f aca="false">100*(AO56-AO55)</f>
        <v>8.9663106034533</v>
      </c>
      <c r="AP190" s="22" t="n">
        <f aca="false">100*(AP56-AP55)</f>
        <v>9.00113934668232</v>
      </c>
      <c r="AQ190" s="22" t="n">
        <f aca="false">100*(AQ56-AQ55)</f>
        <v>9.03498845313209</v>
      </c>
      <c r="AR190" s="22" t="n">
        <f aca="false">100*(AR56-AR55)</f>
        <v>9.06726846505976</v>
      </c>
      <c r="AS190" s="22" t="n">
        <f aca="false">100*(AS56-AS55)</f>
        <v>9.09745837366267</v>
      </c>
      <c r="AT190" s="22" t="n">
        <f aca="false">100*(AT56-AT55)</f>
        <v>9.12510897744401</v>
      </c>
      <c r="AU190" s="22" t="n">
        <f aca="false">100*(AU56-AU55)</f>
        <v>9.14984706820752</v>
      </c>
      <c r="AV190" s="22" t="n">
        <f aca="false">100*(AV56-AV55)</f>
        <v>9.17137488807529</v>
      </c>
      <c r="AW190" s="22" t="n">
        <f aca="false">100*(AW56-AW55)</f>
        <v>9.1894719123319</v>
      </c>
      <c r="AX190" s="22" t="n">
        <f aca="false">100*(AX56-AX55)</f>
        <v>9.20399152303002</v>
      </c>
      <c r="AY190" s="22" t="n">
        <f aca="false">100*(AY56-AY55)</f>
        <v>9.21485773454611</v>
      </c>
      <c r="AZ190" s="22" t="n">
        <f aca="false">100*(AZ56-AZ55)</f>
        <v>9.22206136531369</v>
      </c>
      <c r="BA190" s="22" t="n">
        <f aca="false">100*(BA56-BA55)</f>
        <v>9.22565435007159</v>
      </c>
      <c r="BB190" s="22" t="n">
        <f aca="false">100*(BB56-BB55)</f>
        <v>9.22574498741628</v>
      </c>
      <c r="BC190" s="22" t="n">
        <f aca="false">100*(BC56-BC55)</f>
        <v>9.2224934443629</v>
      </c>
      <c r="BD190" s="22" t="n">
        <f aca="false">100*(BD56-BD55)</f>
        <v>9.21610421647978</v>
      </c>
      <c r="BE190" s="22" t="n">
        <f aca="false">100*(BE56-BE55)</f>
        <v>9.20681804291883</v>
      </c>
      <c r="BF190" s="22" t="n">
        <f aca="false">100*(BF56-BF55)</f>
        <v>9.1949012486074</v>
      </c>
      <c r="BG190" s="22" t="n">
        <f aca="false">100*(BG56-BG55)</f>
        <v>9.18064017978222</v>
      </c>
      <c r="BH190" s="22" t="n">
        <f aca="false">AVERAGE(C190:BG190)</f>
        <v>8.61301455432981</v>
      </c>
    </row>
    <row r="191" customFormat="false" ht="15" hidden="false" customHeight="false" outlineLevel="0" collapsed="false">
      <c r="A191" s="20" t="n">
        <f aca="false">A57</f>
        <v>-68</v>
      </c>
      <c r="B191" s="21" t="n">
        <f aca="false">B57</f>
        <v>44740</v>
      </c>
      <c r="C191" s="22" t="n">
        <f aca="false">100*(C57-C56)</f>
        <v>11.3987893557168</v>
      </c>
      <c r="D191" s="22" t="n">
        <f aca="false">100*(D57-D56)</f>
        <v>11.4186973774964</v>
      </c>
      <c r="E191" s="22" t="n">
        <f aca="false">100*(E57-E56)</f>
        <v>11.2808654826849</v>
      </c>
      <c r="F191" s="22" t="n">
        <f aca="false">100*(F57-F56)</f>
        <v>11.0771522790255</v>
      </c>
      <c r="G191" s="22" t="n">
        <f aca="false">100*(G57-G56)</f>
        <v>10.8396071688155</v>
      </c>
      <c r="H191" s="22" t="n">
        <f aca="false">100*(H57-H56)</f>
        <v>10.5835740074195</v>
      </c>
      <c r="I191" s="22" t="n">
        <f aca="false">100*(I57-I56)</f>
        <v>10.3194114355571</v>
      </c>
      <c r="J191" s="22" t="n">
        <f aca="false">100*(J57-J56)</f>
        <v>10.0559628431883</v>
      </c>
      <c r="K191" s="22" t="n">
        <f aca="false">100*(K57-K56)</f>
        <v>9.80132080612153</v>
      </c>
      <c r="L191" s="22" t="n">
        <f aca="false">100*(L57-L56)</f>
        <v>9.56292372294949</v>
      </c>
      <c r="M191" s="22" t="n">
        <f aca="false">100*(M57-M56)</f>
        <v>9.34668180738858</v>
      </c>
      <c r="N191" s="22" t="n">
        <f aca="false">100*(N57-N56)</f>
        <v>9.15651779664737</v>
      </c>
      <c r="O191" s="22" t="n">
        <f aca="false">100*(O57-O56)</f>
        <v>8.99441516738753</v>
      </c>
      <c r="P191" s="22" t="n">
        <f aca="false">100*(P57-P56)</f>
        <v>8.8606712577334</v>
      </c>
      <c r="Q191" s="22" t="n">
        <f aca="false">100*(Q57-Q56)</f>
        <v>8.75422133560262</v>
      </c>
      <c r="R191" s="22" t="n">
        <f aca="false">100*(R57-R56)</f>
        <v>8.67293843305501</v>
      </c>
      <c r="S191" s="22" t="n">
        <f aca="false">100*(S57-S56)</f>
        <v>8.61398270451881</v>
      </c>
      <c r="T191" s="22" t="n">
        <f aca="false">100*(T57-T56)</f>
        <v>8.5738983066443</v>
      </c>
      <c r="U191" s="22" t="n">
        <f aca="false">100*(U57-U56)</f>
        <v>8.54898565090561</v>
      </c>
      <c r="V191" s="22" t="n">
        <f aca="false">100*(V57-V56)</f>
        <v>8.53575265693531</v>
      </c>
      <c r="W191" s="22" t="n">
        <f aca="false">100*(W57-W56)</f>
        <v>8.53089635785009</v>
      </c>
      <c r="X191" s="22" t="n">
        <f aca="false">100*(X57-X56)</f>
        <v>8.53126990845112</v>
      </c>
      <c r="Y191" s="22" t="n">
        <f aca="false">100*(Y57-Y56)</f>
        <v>8.53403333656271</v>
      </c>
      <c r="Z191" s="22" t="n">
        <f aca="false">100*(Z57-Z56)</f>
        <v>8.536978336079</v>
      </c>
      <c r="AA191" s="22" t="n">
        <f aca="false">100*(AA57-AA56)</f>
        <v>8.53845613171149</v>
      </c>
      <c r="AB191" s="22" t="n">
        <f aca="false">100*(AB57-AB56)</f>
        <v>8.53722293581081</v>
      </c>
      <c r="AC191" s="22" t="n">
        <f aca="false">100*(AC57-AC56)</f>
        <v>8.53240958283541</v>
      </c>
      <c r="AD191" s="22" t="n">
        <f aca="false">100*(AD57-AD56)</f>
        <v>8.52347918287597</v>
      </c>
      <c r="AE191" s="22" t="n">
        <f aca="false">100*(AE57-AE56)</f>
        <v>8.51017544779382</v>
      </c>
      <c r="AF191" s="22" t="n">
        <f aca="false">100*(AF57-AF56)</f>
        <v>8.4924801695299</v>
      </c>
      <c r="AG191" s="22" t="n">
        <f aca="false">100*(AG57-AG56)</f>
        <v>8.47057290695119</v>
      </c>
      <c r="AH191" s="22" t="n">
        <f aca="false">100*(AH57-AH56)</f>
        <v>8.44480826424352</v>
      </c>
      <c r="AI191" s="22" t="n">
        <f aca="false">100*(AI57-AI56)</f>
        <v>8.41567899270492</v>
      </c>
      <c r="AJ191" s="22" t="n">
        <f aca="false">100*(AJ57-AJ56)</f>
        <v>8.38374611030512</v>
      </c>
      <c r="AK191" s="22" t="n">
        <f aca="false">100*(AK57-AK56)</f>
        <v>8.34961475803731</v>
      </c>
      <c r="AL191" s="22" t="n">
        <f aca="false">100*(AL57-AL56)</f>
        <v>8.31389250083738</v>
      </c>
      <c r="AM191" s="22" t="n">
        <f aca="false">100*(AM57-AM56)</f>
        <v>8.2771568062864</v>
      </c>
      <c r="AN191" s="22" t="n">
        <f aca="false">100*(AN57-AN56)</f>
        <v>8.23993379826948</v>
      </c>
      <c r="AO191" s="22" t="n">
        <f aca="false">100*(AO57-AO56)</f>
        <v>8.2026910614835</v>
      </c>
      <c r="AP191" s="22" t="n">
        <f aca="false">100*(AP57-AP56)</f>
        <v>8.1658205220823</v>
      </c>
      <c r="AQ191" s="22" t="n">
        <f aca="false">100*(AQ57-AQ56)</f>
        <v>8.1296268426049</v>
      </c>
      <c r="AR191" s="22" t="n">
        <f aca="false">100*(AR57-AR56)</f>
        <v>8.09432861002732</v>
      </c>
      <c r="AS191" s="22" t="n">
        <f aca="false">100*(AS57-AS56)</f>
        <v>8.06005776385272</v>
      </c>
      <c r="AT191" s="22" t="n">
        <f aca="false">100*(AT57-AT56)</f>
        <v>8.02687003539027</v>
      </c>
      <c r="AU191" s="22" t="n">
        <f aca="false">100*(AU57-AU56)</f>
        <v>7.99475744498612</v>
      </c>
      <c r="AV191" s="22" t="n">
        <f aca="false">100*(AV57-AV56)</f>
        <v>7.96366115469862</v>
      </c>
      <c r="AW191" s="22" t="n">
        <f aca="false">100*(AW57-AW56)</f>
        <v>7.933485949903</v>
      </c>
      <c r="AX191" s="22" t="n">
        <f aca="false">100*(AX57-AX56)</f>
        <v>7.9041078933825</v>
      </c>
      <c r="AY191" s="22" t="n">
        <f aca="false">100*(AY57-AY56)</f>
        <v>7.87538817549307</v>
      </c>
      <c r="AZ191" s="22" t="n">
        <f aca="false">100*(AZ57-AZ56)</f>
        <v>7.8471880487661</v>
      </c>
      <c r="BA191" s="22" t="n">
        <f aca="false">100*(BA57-BA56)</f>
        <v>7.81937114938831</v>
      </c>
      <c r="BB191" s="22" t="n">
        <f aca="false">100*(BB57-BB56)</f>
        <v>7.79181047783122</v>
      </c>
      <c r="BC191" s="22" t="n">
        <f aca="false">100*(BC57-BC56)</f>
        <v>7.76439790160168</v>
      </c>
      <c r="BD191" s="22" t="n">
        <f aca="false">100*(BD57-BD56)</f>
        <v>7.73704674634099</v>
      </c>
      <c r="BE191" s="22" t="n">
        <f aca="false">100*(BE57-BE56)</f>
        <v>7.70969266184629</v>
      </c>
      <c r="BF191" s="22" t="n">
        <f aca="false">100*(BF57-BF56)</f>
        <v>7.68229397211231</v>
      </c>
      <c r="BG191" s="22" t="n">
        <f aca="false">100*(BG57-BG56)</f>
        <v>7.6548308408154</v>
      </c>
      <c r="BH191" s="22" t="n">
        <f aca="false">AVERAGE(C191:BG191)</f>
        <v>8.71783512939537</v>
      </c>
    </row>
    <row r="192" customFormat="false" ht="15" hidden="false" customHeight="false" outlineLevel="0" collapsed="false">
      <c r="A192" s="20" t="n">
        <f aca="false">A58</f>
        <v>-67</v>
      </c>
      <c r="B192" s="21" t="n">
        <f aca="false">B58</f>
        <v>44741</v>
      </c>
      <c r="C192" s="22" t="n">
        <f aca="false">100*(C58-C57)</f>
        <v>-8.03597450156639</v>
      </c>
      <c r="D192" s="22" t="n">
        <f aca="false">100*(D58-D57)</f>
        <v>-8.03849835632531</v>
      </c>
      <c r="E192" s="22" t="n">
        <f aca="false">100*(E58-E57)</f>
        <v>-8.04416195507618</v>
      </c>
      <c r="F192" s="22" t="n">
        <f aca="false">100*(F58-F57)</f>
        <v>-8.08966543203349</v>
      </c>
      <c r="G192" s="22" t="n">
        <f aca="false">100*(G58-G57)</f>
        <v>-8.17842311222261</v>
      </c>
      <c r="H192" s="22" t="n">
        <f aca="false">100*(H58-H57)</f>
        <v>-8.30267930745507</v>
      </c>
      <c r="I192" s="22" t="n">
        <f aca="false">100*(I58-I57)</f>
        <v>-8.45099992181031</v>
      </c>
      <c r="J192" s="22" t="n">
        <f aca="false">100*(J58-J57)</f>
        <v>-8.61064624920642</v>
      </c>
      <c r="K192" s="22" t="n">
        <f aca="false">100*(K58-K57)</f>
        <v>-8.76879958832082</v>
      </c>
      <c r="L192" s="22" t="n">
        <f aca="false">100*(L58-L57)</f>
        <v>-8.91334876414569</v>
      </c>
      <c r="M192" s="22" t="n">
        <f aca="false">100*(M58-M57)</f>
        <v>-9.03418292348439</v>
      </c>
      <c r="N192" s="22" t="n">
        <f aca="false">100*(N58-N57)</f>
        <v>-9.12372188259689</v>
      </c>
      <c r="O192" s="22" t="n">
        <f aca="false">100*(O58-O57)</f>
        <v>-9.17665723071912</v>
      </c>
      <c r="P192" s="22" t="n">
        <f aca="false">100*(P58-P57)</f>
        <v>-9.189689632221</v>
      </c>
      <c r="Q192" s="22" t="n">
        <f aca="false">100*(Q58-Q57)</f>
        <v>-9.16122447646433</v>
      </c>
      <c r="R192" s="22" t="n">
        <f aca="false">100*(R58-R57)</f>
        <v>-9.09126433006482</v>
      </c>
      <c r="S192" s="22" t="n">
        <f aca="false">100*(S58-S57)</f>
        <v>-8.98128868872932</v>
      </c>
      <c r="T192" s="22" t="n">
        <f aca="false">100*(T58-T57)</f>
        <v>-8.8342720387367</v>
      </c>
      <c r="U192" s="22" t="n">
        <f aca="false">100*(U58-U57)</f>
        <v>-8.65435484040091</v>
      </c>
      <c r="V192" s="22" t="n">
        <f aca="false">100*(V58-V57)</f>
        <v>-8.44637957648793</v>
      </c>
      <c r="W192" s="22" t="n">
        <f aca="false">100*(W58-W57)</f>
        <v>-8.2157328736411</v>
      </c>
      <c r="X192" s="22" t="n">
        <f aca="false">100*(X58-X57)</f>
        <v>-7.96823152903419</v>
      </c>
      <c r="Y192" s="22" t="n">
        <f aca="false">100*(Y58-Y57)</f>
        <v>-7.70985507356183</v>
      </c>
      <c r="Z192" s="22" t="n">
        <f aca="false">100*(Z58-Z57)</f>
        <v>-7.44632771345488</v>
      </c>
      <c r="AA192" s="22" t="n">
        <f aca="false">100*(AA58-AA57)</f>
        <v>-7.18298678163869</v>
      </c>
      <c r="AB192" s="22" t="n">
        <f aca="false">100*(AB58-AB57)</f>
        <v>-6.92458090133501</v>
      </c>
      <c r="AC192" s="22" t="n">
        <f aca="false">100*(AC58-AC57)</f>
        <v>-6.67501027163353</v>
      </c>
      <c r="AD192" s="22" t="n">
        <f aca="false">100*(AD58-AD57)</f>
        <v>-6.43737369601878</v>
      </c>
      <c r="AE192" s="22" t="n">
        <f aca="false">100*(AE58-AE57)</f>
        <v>-6.2140931184258</v>
      </c>
      <c r="AF192" s="22" t="n">
        <f aca="false">100*(AF58-AF57)</f>
        <v>-6.00701618163271</v>
      </c>
      <c r="AG192" s="22" t="n">
        <f aca="false">100*(AG58-AG57)</f>
        <v>-5.81746861334178</v>
      </c>
      <c r="AH192" s="22" t="n">
        <f aca="false">100*(AH58-AH57)</f>
        <v>-5.64613906392273</v>
      </c>
      <c r="AI192" s="22" t="n">
        <f aca="false">100*(AI58-AI57)</f>
        <v>-5.49316166030711</v>
      </c>
      <c r="AJ192" s="22" t="n">
        <f aca="false">100*(AJ58-AJ57)</f>
        <v>-5.35822902858802</v>
      </c>
      <c r="AK192" s="22" t="n">
        <f aca="false">100*(AK58-AK57)</f>
        <v>-5.24065795949773</v>
      </c>
      <c r="AL192" s="22" t="n">
        <f aca="false">100*(AL58-AL57)</f>
        <v>-5.13949294056442</v>
      </c>
      <c r="AM192" s="22" t="n">
        <f aca="false">100*(AM58-AM57)</f>
        <v>-5.0535971701323</v>
      </c>
      <c r="AN192" s="22" t="n">
        <f aca="false">100*(AN58-AN57)</f>
        <v>-4.98174282150488</v>
      </c>
      <c r="AO192" s="22" t="n">
        <f aca="false">100*(AO58-AO57)</f>
        <v>-4.92265557782221</v>
      </c>
      <c r="AP192" s="22" t="n">
        <f aca="false">100*(AP58-AP57)</f>
        <v>-4.87505520738711</v>
      </c>
      <c r="AQ192" s="22" t="n">
        <f aca="false">100*(AQ58-AQ57)</f>
        <v>-4.8376850236354</v>
      </c>
      <c r="AR192" s="22" t="n">
        <f aca="false">100*(AR58-AR57)</f>
        <v>-4.80932548756412</v>
      </c>
      <c r="AS192" s="22" t="n">
        <f aca="false">100*(AS58-AS57)</f>
        <v>-4.78881091129009</v>
      </c>
      <c r="AT192" s="22" t="n">
        <f aca="false">100*(AT58-AT57)</f>
        <v>-4.7750445029501</v>
      </c>
      <c r="AU192" s="22" t="n">
        <f aca="false">100*(AU58-AU57)</f>
        <v>-4.76701664069541</v>
      </c>
      <c r="AV192" s="22" t="n">
        <f aca="false">100*(AV58-AV57)</f>
        <v>-4.7638091050612</v>
      </c>
      <c r="AW192" s="22" t="n">
        <f aca="false">100*(AW58-AW57)</f>
        <v>-4.76460162810657</v>
      </c>
      <c r="AX192" s="22" t="n">
        <f aca="false">100*(AX58-AX57)</f>
        <v>-4.76867196100863</v>
      </c>
      <c r="AY192" s="22" t="n">
        <f aca="false">100*(AY58-AY57)</f>
        <v>-4.77539468372008</v>
      </c>
      <c r="AZ192" s="22" t="n">
        <f aca="false">100*(AZ58-AZ57)</f>
        <v>-4.78423561505812</v>
      </c>
      <c r="BA192" s="22" t="n">
        <f aca="false">100*(BA58-BA57)</f>
        <v>-4.79474372372719</v>
      </c>
      <c r="BB192" s="22" t="n">
        <f aca="false">100*(BB58-BB57)</f>
        <v>-4.80654319119109</v>
      </c>
      <c r="BC192" s="22" t="n">
        <f aca="false">100*(BC58-BC57)</f>
        <v>-4.8193262977358</v>
      </c>
      <c r="BD192" s="22" t="n">
        <f aca="false">100*(BD58-BD57)</f>
        <v>-4.83284521237031</v>
      </c>
      <c r="BE192" s="22" t="n">
        <f aca="false">100*(BE58-BE57)</f>
        <v>-4.84690485196202</v>
      </c>
      <c r="BF192" s="22" t="n">
        <f aca="false">100*(BF58-BF57)</f>
        <v>-4.86135711438012</v>
      </c>
      <c r="BG192" s="22" t="n">
        <f aca="false">100*(BG58-BG57)</f>
        <v>-4.8760932598158</v>
      </c>
      <c r="BH192" s="22" t="n">
        <f aca="false">AVERAGE(C192:BG192)</f>
        <v>-6.63347456494359</v>
      </c>
    </row>
    <row r="193" customFormat="false" ht="15" hidden="false" customHeight="false" outlineLevel="0" collapsed="false">
      <c r="A193" s="20" t="n">
        <f aca="false">A59</f>
        <v>-66</v>
      </c>
      <c r="B193" s="21" t="n">
        <f aca="false">B59</f>
        <v>44742</v>
      </c>
      <c r="C193" s="22" t="n">
        <f aca="false">100*(C59-C58)</f>
        <v>-15.7449915063735</v>
      </c>
      <c r="D193" s="22" t="n">
        <f aca="false">100*(D59-D58)</f>
        <v>-15.6178732384445</v>
      </c>
      <c r="E193" s="22" t="n">
        <f aca="false">100*(E59-E58)</f>
        <v>-15.3171138614264</v>
      </c>
      <c r="F193" s="22" t="n">
        <f aca="false">100*(F59-F58)</f>
        <v>-14.9275149393317</v>
      </c>
      <c r="G193" s="22" t="n">
        <f aca="false">100*(G59-G58)</f>
        <v>-14.4929908401258</v>
      </c>
      <c r="H193" s="22" t="n">
        <f aca="false">100*(H59-H58)</f>
        <v>-14.0407437885189</v>
      </c>
      <c r="I193" s="22" t="n">
        <f aca="false">100*(I59-I58)</f>
        <v>-13.5888760787648</v>
      </c>
      <c r="J193" s="22" t="n">
        <f aca="false">100*(J59-J58)</f>
        <v>-13.1493936978119</v>
      </c>
      <c r="K193" s="22" t="n">
        <f aca="false">100*(K59-K58)</f>
        <v>-12.7302287159332</v>
      </c>
      <c r="L193" s="22" t="n">
        <f aca="false">100*(L59-L58)</f>
        <v>-12.336083164118</v>
      </c>
      <c r="M193" s="22" t="n">
        <f aca="false">100*(M59-M58)</f>
        <v>-11.9689703074333</v>
      </c>
      <c r="N193" s="22" t="n">
        <f aca="false">100*(N59-N58)</f>
        <v>-11.6287465160753</v>
      </c>
      <c r="O193" s="22" t="n">
        <f aca="false">100*(O59-O58)</f>
        <v>-11.3136126867032</v>
      </c>
      <c r="P193" s="22" t="n">
        <f aca="false">100*(P59-P58)</f>
        <v>-11.0207020517597</v>
      </c>
      <c r="Q193" s="22" t="n">
        <f aca="false">100*(Q59-Q58)</f>
        <v>-10.7464890973906</v>
      </c>
      <c r="R193" s="22" t="n">
        <f aca="false">100*(R59-R58)</f>
        <v>-10.4872368399537</v>
      </c>
      <c r="S193" s="22" t="n">
        <f aca="false">100*(S59-S58)</f>
        <v>-10.2393850377119</v>
      </c>
      <c r="T193" s="22" t="n">
        <f aca="false">100*(T59-T58)</f>
        <v>-9.99973280078721</v>
      </c>
      <c r="U193" s="22" t="n">
        <f aca="false">100*(U59-U58)</f>
        <v>-9.76566691012319</v>
      </c>
      <c r="V193" s="22" t="n">
        <f aca="false">100*(V59-V58)</f>
        <v>-9.53538637951978</v>
      </c>
      <c r="W193" s="22" t="n">
        <f aca="false">100*(W59-W58)</f>
        <v>-9.30776214393903</v>
      </c>
      <c r="X193" s="22" t="n">
        <f aca="false">100*(X59-X58)</f>
        <v>-9.08220309410464</v>
      </c>
      <c r="Y193" s="22" t="n">
        <f aca="false">100*(Y59-Y58)</f>
        <v>-8.85860937563128</v>
      </c>
      <c r="Z193" s="22" t="n">
        <f aca="false">100*(Z59-Z58)</f>
        <v>-8.6374475138463</v>
      </c>
      <c r="AA193" s="22" t="n">
        <f aca="false">100*(AA59-AA58)</f>
        <v>-8.4195743347852</v>
      </c>
      <c r="AB193" s="22" t="n">
        <f aca="false">100*(AB59-AB58)</f>
        <v>-8.2059529545456</v>
      </c>
      <c r="AC193" s="22" t="n">
        <f aca="false">100*(AC59-AC58)</f>
        <v>-7.99751206797277</v>
      </c>
      <c r="AD193" s="22" t="n">
        <f aca="false">100*(AD59-AD58)</f>
        <v>-7.79512308891621</v>
      </c>
      <c r="AE193" s="22" t="n">
        <f aca="false">100*(AE59-AE58)</f>
        <v>-7.5996088373099</v>
      </c>
      <c r="AF193" s="22" t="n">
        <f aca="false">100*(AF59-AF58)</f>
        <v>-7.4117509078949</v>
      </c>
      <c r="AG193" s="22" t="n">
        <f aca="false">100*(AG59-AG58)</f>
        <v>-7.23228438844199</v>
      </c>
      <c r="AH193" s="22" t="n">
        <f aca="false">100*(AH59-AH58)</f>
        <v>-7.06182237536019</v>
      </c>
      <c r="AI193" s="22" t="n">
        <f aca="false">100*(AI59-AI58)</f>
        <v>-6.90085351149783</v>
      </c>
      <c r="AJ193" s="22" t="n">
        <f aca="false">100*(AJ59-AJ58)</f>
        <v>-6.74973383348028</v>
      </c>
      <c r="AK193" s="22" t="n">
        <f aca="false">100*(AK59-AK58)</f>
        <v>-6.6086933749014</v>
      </c>
      <c r="AL193" s="22" t="n">
        <f aca="false">100*(AL59-AL58)</f>
        <v>-6.47785568327199</v>
      </c>
      <c r="AM193" s="22" t="n">
        <f aca="false">100*(AM59-AM58)</f>
        <v>-6.3572493132773</v>
      </c>
      <c r="AN193" s="22" t="n">
        <f aca="false">100*(AN59-AN58)</f>
        <v>-6.24681073148072</v>
      </c>
      <c r="AO193" s="22" t="n">
        <f aca="false">100*(AO59-AO58)</f>
        <v>-6.1463909314067</v>
      </c>
      <c r="AP193" s="22" t="n">
        <f aca="false">100*(AP59-AP58)</f>
        <v>-6.05576565142241</v>
      </c>
      <c r="AQ193" s="22" t="n">
        <f aca="false">100*(AQ59-AQ58)</f>
        <v>-5.97464529786937</v>
      </c>
      <c r="AR193" s="22" t="n">
        <f aca="false">100*(AR59-AR58)</f>
        <v>-5.9026988370555</v>
      </c>
      <c r="AS193" s="22" t="n">
        <f aca="false">100*(AS59-AS58)</f>
        <v>-5.8395814641238</v>
      </c>
      <c r="AT193" s="22" t="n">
        <f aca="false">100*(AT59-AT58)</f>
        <v>-5.78495190756416</v>
      </c>
      <c r="AU193" s="22" t="n">
        <f aca="false">100*(AU59-AU58)</f>
        <v>-5.73848924660392</v>
      </c>
      <c r="AV193" s="22" t="n">
        <f aca="false">100*(AV59-AV58)</f>
        <v>-5.69989424843542</v>
      </c>
      <c r="AW193" s="22" t="n">
        <f aca="false">100*(AW59-AW58)</f>
        <v>-5.66888757091073</v>
      </c>
      <c r="AX193" s="22" t="n">
        <f aca="false">100*(AX59-AX58)</f>
        <v>-5.64519854478536</v>
      </c>
      <c r="AY193" s="22" t="n">
        <f aca="false">100*(AY59-AY58)</f>
        <v>-5.6285439342433</v>
      </c>
      <c r="AZ193" s="22" t="n">
        <f aca="false">100*(AZ59-AZ58)</f>
        <v>-5.61861017946597</v>
      </c>
      <c r="BA193" s="22" t="n">
        <f aca="false">100*(BA59-BA58)</f>
        <v>-5.61505292796221</v>
      </c>
      <c r="BB193" s="22" t="n">
        <f aca="false">100*(BB59-BB58)</f>
        <v>-5.61748694522279</v>
      </c>
      <c r="BC193" s="22" t="n">
        <f aca="false">100*(BC59-BC58)</f>
        <v>-5.62547308737678</v>
      </c>
      <c r="BD193" s="22" t="n">
        <f aca="false">100*(BD59-BD58)</f>
        <v>-5.63852841921806</v>
      </c>
      <c r="BE193" s="22" t="n">
        <f aca="false">100*(BE59-BE58)</f>
        <v>-5.65614047645671</v>
      </c>
      <c r="BF193" s="22" t="n">
        <f aca="false">100*(BF59-BF58)</f>
        <v>-5.67778847658818</v>
      </c>
      <c r="BG193" s="22" t="n">
        <f aca="false">100*(BG59-BG58)</f>
        <v>-5.70295490843109</v>
      </c>
      <c r="BH193" s="22" t="n">
        <f aca="false">AVERAGE(C193:BG193)</f>
        <v>-8.68139770252819</v>
      </c>
    </row>
    <row r="194" customFormat="false" ht="15" hidden="false" customHeight="false" outlineLevel="0" collapsed="false">
      <c r="A194" s="20" t="n">
        <f aca="false">A60</f>
        <v>-65</v>
      </c>
      <c r="B194" s="21" t="n">
        <f aca="false">B60</f>
        <v>44743</v>
      </c>
      <c r="C194" s="22" t="n">
        <f aca="false">100*(C60-C59)</f>
        <v>-22.522505183006</v>
      </c>
      <c r="D194" s="22" t="n">
        <f aca="false">100*(D60-D59)</f>
        <v>-22.5864470810825</v>
      </c>
      <c r="E194" s="22" t="n">
        <f aca="false">100*(E60-E59)</f>
        <v>-22.3648602443477</v>
      </c>
      <c r="F194" s="22" t="n">
        <f aca="false">100*(F60-F59)</f>
        <v>-22.0068901969735</v>
      </c>
      <c r="G194" s="22" t="n">
        <f aca="false">100*(G60-G59)</f>
        <v>-21.5800811367624</v>
      </c>
      <c r="H194" s="22" t="n">
        <f aca="false">100*(H60-H59)</f>
        <v>-21.1221885362036</v>
      </c>
      <c r="I194" s="22" t="n">
        <f aca="false">100*(I60-I59)</f>
        <v>-20.6583305254851</v>
      </c>
      <c r="J194" s="22" t="n">
        <f aca="false">100*(J60-J59)</f>
        <v>-20.2058269126077</v>
      </c>
      <c r="K194" s="22" t="n">
        <f aca="false">100*(K60-K59)</f>
        <v>-19.7759598717093</v>
      </c>
      <c r="L194" s="22" t="n">
        <f aca="false">100*(L60-L59)</f>
        <v>-19.375491677623</v>
      </c>
      <c r="M194" s="22" t="n">
        <f aca="false">100*(M60-M59)</f>
        <v>-19.0072125984896</v>
      </c>
      <c r="N194" s="22" t="n">
        <f aca="false">100*(N60-N59)</f>
        <v>-18.671045585723</v>
      </c>
      <c r="O194" s="22" t="n">
        <f aca="false">100*(O60-O59)</f>
        <v>-18.3651998399443</v>
      </c>
      <c r="P194" s="22" t="n">
        <f aca="false">100*(P60-P59)</f>
        <v>-18.0871633465307</v>
      </c>
      <c r="Q194" s="22" t="n">
        <f aca="false">100*(Q60-Q59)</f>
        <v>-17.83413350212</v>
      </c>
      <c r="R194" s="22" t="n">
        <f aca="false">100*(R60-R59)</f>
        <v>-17.6034420125753</v>
      </c>
      <c r="S194" s="22" t="n">
        <f aca="false">100*(S60-S59)</f>
        <v>-17.3927559753962</v>
      </c>
      <c r="T194" s="22" t="n">
        <f aca="false">100*(T60-T59)</f>
        <v>-17.2002788117537</v>
      </c>
      <c r="U194" s="22" t="n">
        <f aca="false">100*(U60-U59)</f>
        <v>-17.024586975071</v>
      </c>
      <c r="V194" s="22" t="n">
        <f aca="false">100*(V60-V59)</f>
        <v>-16.8644723248561</v>
      </c>
      <c r="W194" s="22" t="n">
        <f aca="false">100*(W60-W59)</f>
        <v>-16.7189056957657</v>
      </c>
      <c r="X194" s="22" t="n">
        <f aca="false">100*(X60-X59)</f>
        <v>-16.58699648234</v>
      </c>
      <c r="Y194" s="22" t="n">
        <f aca="false">100*(Y60-Y59)</f>
        <v>-16.46789596021</v>
      </c>
      <c r="Z194" s="22" t="n">
        <f aca="false">100*(Z60-Z59)</f>
        <v>-16.3607608454397</v>
      </c>
      <c r="AA194" s="22" t="n">
        <f aca="false">100*(AA60-AA59)</f>
        <v>-16.2647624511823</v>
      </c>
      <c r="AB194" s="22" t="n">
        <f aca="false">100*(AB60-AB59)</f>
        <v>-16.1790838773568</v>
      </c>
      <c r="AC194" s="22" t="n">
        <f aca="false">100*(AC60-AC59)</f>
        <v>-16.1028931663561</v>
      </c>
      <c r="AD194" s="22" t="n">
        <f aca="false">100*(AD60-AD59)</f>
        <v>-16.035326862443</v>
      </c>
      <c r="AE194" s="22" t="n">
        <f aca="false">100*(AE60-AE59)</f>
        <v>-15.9754945919635</v>
      </c>
      <c r="AF194" s="22" t="n">
        <f aca="false">100*(AF60-AF59)</f>
        <v>-15.9224831719194</v>
      </c>
      <c r="AG194" s="22" t="n">
        <f aca="false">100*(AG60-AG59)</f>
        <v>-15.8753738704282</v>
      </c>
      <c r="AH194" s="22" t="n">
        <f aca="false">100*(AH60-AH59)</f>
        <v>-15.8332286686576</v>
      </c>
      <c r="AI194" s="22" t="n">
        <f aca="false">100*(AI60-AI59)</f>
        <v>-15.7950944671295</v>
      </c>
      <c r="AJ194" s="22" t="n">
        <f aca="false">100*(AJ60-AJ59)</f>
        <v>-15.7600417020931</v>
      </c>
      <c r="AK194" s="22" t="n">
        <f aca="false">100*(AK60-AK59)</f>
        <v>-15.7271690683531</v>
      </c>
      <c r="AL194" s="22" t="n">
        <f aca="false">100*(AL60-AL59)</f>
        <v>-15.6956360137972</v>
      </c>
      <c r="AM194" s="22" t="n">
        <f aca="false">100*(AM60-AM59)</f>
        <v>-15.6646736358332</v>
      </c>
      <c r="AN194" s="22" t="n">
        <f aca="false">100*(AN60-AN59)</f>
        <v>-15.6335712419634</v>
      </c>
      <c r="AO194" s="22" t="n">
        <f aca="false">100*(AO60-AO59)</f>
        <v>-15.6016640712716</v>
      </c>
      <c r="AP194" s="22" t="n">
        <f aca="false">100*(AP60-AP59)</f>
        <v>-15.568316345447</v>
      </c>
      <c r="AQ194" s="22" t="n">
        <f aca="false">100*(AQ60-AQ59)</f>
        <v>-15.5329093332168</v>
      </c>
      <c r="AR194" s="22" t="n">
        <f aca="false">100*(AR60-AR59)</f>
        <v>-15.4948369129115</v>
      </c>
      <c r="AS194" s="22" t="n">
        <f aca="false">100*(AS60-AS59)</f>
        <v>-15.4535015561982</v>
      </c>
      <c r="AT194" s="22" t="n">
        <f aca="false">100*(AT60-AT59)</f>
        <v>-15.4083310759971</v>
      </c>
      <c r="AU194" s="22" t="n">
        <f aca="false">100*(AU60-AU59)</f>
        <v>-15.358798590378</v>
      </c>
      <c r="AV194" s="22" t="n">
        <f aca="false">100*(AV60-AV59)</f>
        <v>-15.3044340280105</v>
      </c>
      <c r="AW194" s="22" t="n">
        <f aca="false">100*(AW60-AW59)</f>
        <v>-15.2448385818592</v>
      </c>
      <c r="AX194" s="22" t="n">
        <f aca="false">100*(AX60-AX59)</f>
        <v>-15.1796890965642</v>
      </c>
      <c r="AY194" s="22" t="n">
        <f aca="false">100*(AY60-AY59)</f>
        <v>-15.1087520548205</v>
      </c>
      <c r="AZ194" s="22" t="n">
        <f aca="false">100*(AZ60-AZ59)</f>
        <v>-15.0318954196601</v>
      </c>
      <c r="BA194" s="22" t="n">
        <f aca="false">100*(BA60-BA59)</f>
        <v>-14.9490821881457</v>
      </c>
      <c r="BB194" s="22" t="n">
        <f aca="false">100*(BB60-BB59)</f>
        <v>-14.8603699269338</v>
      </c>
      <c r="BC194" s="22" t="n">
        <f aca="false">100*(BC60-BC59)</f>
        <v>-14.7659159793272</v>
      </c>
      <c r="BD194" s="22" t="n">
        <f aca="false">100*(BD60-BD59)</f>
        <v>-14.6659769460998</v>
      </c>
      <c r="BE194" s="22" t="n">
        <f aca="false">100*(BE60-BE59)</f>
        <v>-14.5609072695514</v>
      </c>
      <c r="BF194" s="22" t="n">
        <f aca="false">100*(BF60-BF59)</f>
        <v>-14.4511596278213</v>
      </c>
      <c r="BG194" s="22" t="n">
        <f aca="false">100*(BG60-BG59)</f>
        <v>-14.3372799082451</v>
      </c>
      <c r="BH194" s="22" t="n">
        <f aca="false">AVERAGE(C194:BG194)</f>
        <v>-16.9425775969114</v>
      </c>
    </row>
    <row r="195" customFormat="false" ht="15" hidden="false" customHeight="false" outlineLevel="0" collapsed="false">
      <c r="A195" s="20" t="n">
        <f aca="false">A61</f>
        <v>-64</v>
      </c>
      <c r="B195" s="21" t="n">
        <f aca="false">B61</f>
        <v>44746</v>
      </c>
      <c r="C195" s="22" t="n">
        <f aca="false">100*(C61-C60)</f>
        <v>16.0382671254073</v>
      </c>
      <c r="D195" s="22" t="n">
        <f aca="false">100*(D61-D60)</f>
        <v>15.7756213700299</v>
      </c>
      <c r="E195" s="22" t="n">
        <f aca="false">100*(E61-E60)</f>
        <v>15.4757355685804</v>
      </c>
      <c r="F195" s="22" t="n">
        <f aca="false">100*(F61-F60)</f>
        <v>15.1810626657755</v>
      </c>
      <c r="G195" s="22" t="n">
        <f aca="false">100*(G61-G60)</f>
        <v>14.8973296070827</v>
      </c>
      <c r="H195" s="22" t="n">
        <f aca="false">100*(H61-H60)</f>
        <v>14.6250907797058</v>
      </c>
      <c r="I195" s="22" t="n">
        <f aca="false">100*(I61-I60)</f>
        <v>14.3659860251933</v>
      </c>
      <c r="J195" s="22" t="n">
        <f aca="false">100*(J61-J60)</f>
        <v>14.1228352236936</v>
      </c>
      <c r="K195" s="22" t="n">
        <f aca="false">100*(K61-K60)</f>
        <v>13.8988997667926</v>
      </c>
      <c r="L195" s="22" t="n">
        <f aca="false">100*(L61-L60)</f>
        <v>13.6969653002588</v>
      </c>
      <c r="M195" s="22" t="n">
        <f aca="false">100*(M61-M60)</f>
        <v>13.5192273625888</v>
      </c>
      <c r="N195" s="22" t="n">
        <f aca="false">100*(N61-N60)</f>
        <v>13.3671325460649</v>
      </c>
      <c r="O195" s="22" t="n">
        <f aca="false">100*(O61-O60)</f>
        <v>13.2414584882586</v>
      </c>
      <c r="P195" s="22" t="n">
        <f aca="false">100*(P61-P60)</f>
        <v>13.1423140682486</v>
      </c>
      <c r="Q195" s="22" t="n">
        <f aca="false">100*(Q61-Q60)</f>
        <v>13.0692086583992</v>
      </c>
      <c r="R195" s="22" t="n">
        <f aca="false">100*(R61-R60)</f>
        <v>13.021024308395</v>
      </c>
      <c r="S195" s="22" t="n">
        <f aca="false">100*(S61-S60)</f>
        <v>12.9961408881473</v>
      </c>
      <c r="T195" s="22" t="n">
        <f aca="false">100*(T61-T60)</f>
        <v>12.9924778941196</v>
      </c>
      <c r="U195" s="22" t="n">
        <f aca="false">100*(U61-U60)</f>
        <v>13.0076179043894</v>
      </c>
      <c r="V195" s="22" t="n">
        <f aca="false">100*(V61-V60)</f>
        <v>13.0389829757914</v>
      </c>
      <c r="W195" s="22" t="n">
        <f aca="false">100*(W61-W60)</f>
        <v>13.0838708811875</v>
      </c>
      <c r="X195" s="22" t="n">
        <f aca="false">100*(X61-X60)</f>
        <v>13.1394830615043</v>
      </c>
      <c r="Y195" s="22" t="n">
        <f aca="false">100*(Y61-Y60)</f>
        <v>13.2030220073863</v>
      </c>
      <c r="Z195" s="22" t="n">
        <f aca="false">100*(Z61-Z60)</f>
        <v>13.2718172260908</v>
      </c>
      <c r="AA195" s="22" t="n">
        <f aca="false">100*(AA61-AA60)</f>
        <v>13.343300547463</v>
      </c>
      <c r="AB195" s="22" t="n">
        <f aca="false">100*(AB61-AB60)</f>
        <v>13.4150533495723</v>
      </c>
      <c r="AC195" s="22" t="n">
        <f aca="false">100*(AC61-AC60)</f>
        <v>13.4850091109833</v>
      </c>
      <c r="AD195" s="22" t="n">
        <f aca="false">100*(AD61-AD60)</f>
        <v>13.5514547795616</v>
      </c>
      <c r="AE195" s="22" t="n">
        <f aca="false">100*(AE61-AE60)</f>
        <v>13.6129759089876</v>
      </c>
      <c r="AF195" s="22" t="n">
        <f aca="false">100*(AF61-AF60)</f>
        <v>13.6684114110616</v>
      </c>
      <c r="AG195" s="22" t="n">
        <f aca="false">100*(AG61-AG60)</f>
        <v>13.7168501835091</v>
      </c>
      <c r="AH195" s="22" t="n">
        <f aca="false">100*(AH61-AH60)</f>
        <v>13.7577739179086</v>
      </c>
      <c r="AI195" s="22" t="n">
        <f aca="false">100*(AI61-AI60)</f>
        <v>13.7910073326295</v>
      </c>
      <c r="AJ195" s="22" t="n">
        <f aca="false">100*(AJ61-AJ60)</f>
        <v>13.8166580105037</v>
      </c>
      <c r="AK195" s="22" t="n">
        <f aca="false">100*(AK61-AK60)</f>
        <v>13.8350815742154</v>
      </c>
      <c r="AL195" s="22" t="n">
        <f aca="false">100*(AL61-AL60)</f>
        <v>13.8468382218891</v>
      </c>
      <c r="AM195" s="22" t="n">
        <f aca="false">100*(AM61-AM60)</f>
        <v>13.8526535157003</v>
      </c>
      <c r="AN195" s="22" t="n">
        <f aca="false">100*(AN61-AN60)</f>
        <v>13.8533675116319</v>
      </c>
      <c r="AO195" s="22" t="n">
        <f aca="false">100*(AO61-AO60)</f>
        <v>13.8499023196064</v>
      </c>
      <c r="AP195" s="22" t="n">
        <f aca="false">100*(AP61-AP60)</f>
        <v>13.8432042540337</v>
      </c>
      <c r="AQ195" s="22" t="n">
        <f aca="false">100*(AQ61-AQ60)</f>
        <v>13.8342027260847</v>
      </c>
      <c r="AR195" s="22" t="n">
        <f aca="false">100*(AR61-AR60)</f>
        <v>13.8237799322462</v>
      </c>
      <c r="AS195" s="22" t="n">
        <f aca="false">100*(AS61-AS60)</f>
        <v>13.812736820214</v>
      </c>
      <c r="AT195" s="22" t="n">
        <f aca="false">100*(AT61-AT60)</f>
        <v>13.8017849515314</v>
      </c>
      <c r="AU195" s="22" t="n">
        <f aca="false">100*(AU61-AU60)</f>
        <v>13.791540816016</v>
      </c>
      <c r="AV195" s="22" t="n">
        <f aca="false">100*(AV61-AV60)</f>
        <v>13.7825274712488</v>
      </c>
      <c r="AW195" s="22" t="n">
        <f aca="false">100*(AW61-AW60)</f>
        <v>13.7751746529634</v>
      </c>
      <c r="AX195" s="22" t="n">
        <f aca="false">100*(AX61-AX60)</f>
        <v>13.7698222531858</v>
      </c>
      <c r="AY195" s="22" t="n">
        <f aca="false">100*(AY61-AY60)</f>
        <v>13.7667232775775</v>
      </c>
      <c r="AZ195" s="22" t="n">
        <f aca="false">100*(AZ61-AZ60)</f>
        <v>13.7660489195828</v>
      </c>
      <c r="BA195" s="22" t="n">
        <f aca="false">100*(BA61-BA60)</f>
        <v>13.7678956920626</v>
      </c>
      <c r="BB195" s="22" t="n">
        <f aca="false">100*(BB61-BB60)</f>
        <v>13.7722899472172</v>
      </c>
      <c r="BC195" s="22" t="n">
        <f aca="false">100*(BC61-BC60)</f>
        <v>13.7791907408452</v>
      </c>
      <c r="BD195" s="22" t="n">
        <f aca="false">100*(BD61-BD60)</f>
        <v>13.788496047236</v>
      </c>
      <c r="BE195" s="22" t="n">
        <f aca="false">100*(BE61-BE60)</f>
        <v>13.8000494062215</v>
      </c>
      <c r="BF195" s="22" t="n">
        <f aca="false">100*(BF61-BF60)</f>
        <v>13.8136479979352</v>
      </c>
      <c r="BG195" s="22" t="n">
        <f aca="false">100*(BG61-BG60)</f>
        <v>13.8290470477638</v>
      </c>
      <c r="BH195" s="22" t="n">
        <f aca="false">AVERAGE(C195:BG195)</f>
        <v>13.7874749535488</v>
      </c>
    </row>
    <row r="196" customFormat="false" ht="15" hidden="false" customHeight="false" outlineLevel="0" collapsed="false">
      <c r="A196" s="20" t="n">
        <f aca="false">A62</f>
        <v>-63</v>
      </c>
      <c r="B196" s="21" t="n">
        <f aca="false">B62</f>
        <v>44747</v>
      </c>
      <c r="C196" s="22" t="n">
        <f aca="false">100*(C62-C61)</f>
        <v>-10.9296992331521</v>
      </c>
      <c r="D196" s="22" t="n">
        <f aca="false">100*(D62-D61)</f>
        <v>-11.662079946074</v>
      </c>
      <c r="E196" s="22" t="n">
        <f aca="false">100*(E62-E61)</f>
        <v>-12.0641574493113</v>
      </c>
      <c r="F196" s="22" t="n">
        <f aca="false">100*(F62-F61)</f>
        <v>-12.2855508989971</v>
      </c>
      <c r="G196" s="22" t="n">
        <f aca="false">100*(G62-G61)</f>
        <v>-12.4119476907542</v>
      </c>
      <c r="H196" s="22" t="n">
        <f aca="false">100*(H62-H61)</f>
        <v>-12.4898888040768</v>
      </c>
      <c r="I196" s="22" t="n">
        <f aca="false">100*(I62-I61)</f>
        <v>-12.5429760487831</v>
      </c>
      <c r="J196" s="22" t="n">
        <f aca="false">100*(J62-J61)</f>
        <v>-12.5820105405029</v>
      </c>
      <c r="K196" s="22" t="n">
        <f aca="false">100*(K62-K61)</f>
        <v>-12.6105060721617</v>
      </c>
      <c r="L196" s="22" t="n">
        <f aca="false">100*(L62-L61)</f>
        <v>-12.6280938147304</v>
      </c>
      <c r="M196" s="22" t="n">
        <f aca="false">100*(M62-M61)</f>
        <v>-12.6322511346097</v>
      </c>
      <c r="N196" s="22" t="n">
        <f aca="false">100*(N62-N61)</f>
        <v>-12.619625459967</v>
      </c>
      <c r="O196" s="22" t="n">
        <f aca="false">100*(O62-O61)</f>
        <v>-12.5868980727171</v>
      </c>
      <c r="P196" s="22" t="n">
        <f aca="false">100*(P62-P61)</f>
        <v>-12.5314882298107</v>
      </c>
      <c r="Q196" s="22" t="n">
        <f aca="false">100*(Q62-Q61)</f>
        <v>-12.4517461082426</v>
      </c>
      <c r="R196" s="22" t="n">
        <f aca="false">100*(R62-R61)</f>
        <v>-12.3472323205959</v>
      </c>
      <c r="S196" s="22" t="n">
        <f aca="false">100*(S62-S61)</f>
        <v>-12.2186340587645</v>
      </c>
      <c r="T196" s="22" t="n">
        <f aca="false">100*(T62-T61)</f>
        <v>-12.067719888594</v>
      </c>
      <c r="U196" s="22" t="n">
        <f aca="false">100*(U62-U61)</f>
        <v>-11.8970248834638</v>
      </c>
      <c r="V196" s="22" t="n">
        <f aca="false">100*(V62-V61)</f>
        <v>-11.7094977418836</v>
      </c>
      <c r="W196" s="22" t="n">
        <f aca="false">100*(W62-W61)</f>
        <v>-11.5084068421439</v>
      </c>
      <c r="X196" s="22" t="n">
        <f aca="false">100*(X62-X61)</f>
        <v>-11.2972713717483</v>
      </c>
      <c r="Y196" s="22" t="n">
        <f aca="false">100*(Y62-Y61)</f>
        <v>-11.0796705988504</v>
      </c>
      <c r="Z196" s="22" t="n">
        <f aca="false">100*(Z62-Z61)</f>
        <v>-10.8589741600969</v>
      </c>
      <c r="AA196" s="22" t="n">
        <f aca="false">100*(AA62-AA61)</f>
        <v>-10.6383416673175</v>
      </c>
      <c r="AB196" s="22" t="n">
        <f aca="false">100*(AB62-AB61)</f>
        <v>-10.420672694244</v>
      </c>
      <c r="AC196" s="22" t="n">
        <f aca="false">100*(AC62-AC61)</f>
        <v>-10.2084111834266</v>
      </c>
      <c r="AD196" s="22" t="n">
        <f aca="false">100*(AD62-AD61)</f>
        <v>-10.0035601093456</v>
      </c>
      <c r="AE196" s="22" t="n">
        <f aca="false">100*(AE62-AE61)</f>
        <v>-9.80775003855259</v>
      </c>
      <c r="AF196" s="22" t="n">
        <f aca="false">100*(AF62-AF61)</f>
        <v>-9.62229555901009</v>
      </c>
      <c r="AG196" s="22" t="n">
        <f aca="false">100*(AG62-AG61)</f>
        <v>-9.44821002647189</v>
      </c>
      <c r="AH196" s="22" t="n">
        <f aca="false">100*(AH62-AH61)</f>
        <v>-9.28608307350647</v>
      </c>
      <c r="AI196" s="22" t="n">
        <f aca="false">100*(AI62-AI61)</f>
        <v>-9.13613457820066</v>
      </c>
      <c r="AJ196" s="22" t="n">
        <f aca="false">100*(AJ62-AJ61)</f>
        <v>-8.99828085068872</v>
      </c>
      <c r="AK196" s="22" t="n">
        <f aca="false">100*(AK62-AK61)</f>
        <v>-8.872176779842</v>
      </c>
      <c r="AL196" s="22" t="n">
        <f aca="false">100*(AL62-AL61)</f>
        <v>-8.75728400709619</v>
      </c>
      <c r="AM196" s="22" t="n">
        <f aca="false">100*(AM62-AM61)</f>
        <v>-8.65292465619487</v>
      </c>
      <c r="AN196" s="22" t="n">
        <f aca="false">100*(AN62-AN61)</f>
        <v>-8.55832602505671</v>
      </c>
      <c r="AO196" s="22" t="n">
        <f aca="false">100*(AO62-AO61)</f>
        <v>-8.47264681713802</v>
      </c>
      <c r="AP196" s="22" t="n">
        <f aca="false">100*(AP62-AP61)</f>
        <v>-8.395017886934</v>
      </c>
      <c r="AQ196" s="22" t="n">
        <f aca="false">100*(AQ62-AQ61)</f>
        <v>-8.3245715781644</v>
      </c>
      <c r="AR196" s="22" t="n">
        <f aca="false">100*(AR62-AR61)</f>
        <v>-8.26047561673762</v>
      </c>
      <c r="AS196" s="22" t="n">
        <f aca="false">100*(AS62-AS61)</f>
        <v>-8.2019717656395</v>
      </c>
      <c r="AT196" s="22" t="n">
        <f aca="false">100*(AT62-AT61)</f>
        <v>-8.14839721503931</v>
      </c>
      <c r="AU196" s="22" t="n">
        <f aca="false">100*(AU62-AU61)</f>
        <v>-8.09920568070188</v>
      </c>
      <c r="AV196" s="22" t="n">
        <f aca="false">100*(AV62-AV61)</f>
        <v>-8.05397003701249</v>
      </c>
      <c r="AW196" s="22" t="n">
        <f aca="false">100*(AW62-AW61)</f>
        <v>-8.0123856122678</v>
      </c>
      <c r="AX196" s="22" t="n">
        <f aca="false">100*(AX62-AX61)</f>
        <v>-7.97426111033821</v>
      </c>
      <c r="AY196" s="22" t="n">
        <f aca="false">100*(AY62-AY61)</f>
        <v>-7.93948854516011</v>
      </c>
      <c r="AZ196" s="22" t="n">
        <f aca="false">100*(AZ62-AZ61)</f>
        <v>-7.90800875613322</v>
      </c>
      <c r="BA196" s="22" t="n">
        <f aca="false">100*(BA62-BA61)</f>
        <v>-7.87980151612122</v>
      </c>
      <c r="BB196" s="22" t="n">
        <f aca="false">100*(BB62-BB61)</f>
        <v>-7.85485018788652</v>
      </c>
      <c r="BC196" s="22" t="n">
        <f aca="false">100*(BC62-BC61)</f>
        <v>-7.833099904727</v>
      </c>
      <c r="BD196" s="22" t="n">
        <f aca="false">100*(BD62-BD61)</f>
        <v>-7.8144550252008</v>
      </c>
      <c r="BE196" s="22" t="n">
        <f aca="false">100*(BE62-BE61)</f>
        <v>-7.79878768207021</v>
      </c>
      <c r="BF196" s="22" t="n">
        <f aca="false">100*(BF62-BF61)</f>
        <v>-7.7859629489101</v>
      </c>
      <c r="BG196" s="22" t="n">
        <f aca="false">100*(BG62-BG61)</f>
        <v>-7.77584962843592</v>
      </c>
      <c r="BH196" s="22" t="n">
        <f aca="false">AVERAGE(C196:BG196)</f>
        <v>-10.0869650900632</v>
      </c>
    </row>
    <row r="197" customFormat="false" ht="15" hidden="false" customHeight="false" outlineLevel="0" collapsed="false">
      <c r="A197" s="20" t="n">
        <f aca="false">A63</f>
        <v>-62</v>
      </c>
      <c r="B197" s="21" t="n">
        <f aca="false">B63</f>
        <v>44748</v>
      </c>
      <c r="C197" s="22" t="n">
        <f aca="false">100*(C63-C62)</f>
        <v>3.07423248429681</v>
      </c>
      <c r="D197" s="22" t="n">
        <f aca="false">100*(D63-D62)</f>
        <v>1.73941415926739</v>
      </c>
      <c r="E197" s="22" t="n">
        <f aca="false">100*(E63-E62)</f>
        <v>0.786154577624099</v>
      </c>
      <c r="F197" s="22" t="n">
        <f aca="false">100*(F63-F62)</f>
        <v>0.170632067653798</v>
      </c>
      <c r="G197" s="22" t="n">
        <f aca="false">100*(G63-G62)</f>
        <v>-0.186080752193307</v>
      </c>
      <c r="H197" s="22" t="n">
        <f aca="false">100*(H63-H62)</f>
        <v>-0.355145135568802</v>
      </c>
      <c r="I197" s="22" t="n">
        <f aca="false">100*(I63-I62)</f>
        <v>-0.39289099466171</v>
      </c>
      <c r="J197" s="22" t="n">
        <f aca="false">100*(J63-J62)</f>
        <v>-0.341618470657501</v>
      </c>
      <c r="K197" s="22" t="n">
        <f aca="false">100*(K63-K62)</f>
        <v>-0.232504721771298</v>
      </c>
      <c r="L197" s="22" t="n">
        <f aca="false">100*(L63-L62)</f>
        <v>-0.0878327243905019</v>
      </c>
      <c r="M197" s="22" t="n">
        <f aca="false">100*(M63-M62)</f>
        <v>0.0765814017944066</v>
      </c>
      <c r="N197" s="22" t="n">
        <f aca="false">100*(N63-N62)</f>
        <v>0.249807767507004</v>
      </c>
      <c r="O197" s="22" t="n">
        <f aca="false">100*(O63-O62)</f>
        <v>0.424517293930093</v>
      </c>
      <c r="P197" s="22" t="n">
        <f aca="false">100*(P63-P62)</f>
        <v>0.596070341519295</v>
      </c>
      <c r="Q197" s="22" t="n">
        <f aca="false">100*(Q63-Q62)</f>
        <v>0.761791108279608</v>
      </c>
      <c r="R197" s="22" t="n">
        <f aca="false">100*(R63-R62)</f>
        <v>0.920402228410611</v>
      </c>
      <c r="S197" s="22" t="n">
        <f aca="false">100*(S63-S62)</f>
        <v>1.0716305621747</v>
      </c>
      <c r="T197" s="22" t="n">
        <f aca="false">100*(T63-T62)</f>
        <v>1.21583564498713</v>
      </c>
      <c r="U197" s="22" t="n">
        <f aca="false">100*(U63-U62)</f>
        <v>1.3537552103875</v>
      </c>
      <c r="V197" s="22" t="n">
        <f aca="false">100*(V63-V62)</f>
        <v>1.48625819189787</v>
      </c>
      <c r="W197" s="22" t="n">
        <f aca="false">100*(W63-W62)</f>
        <v>1.61430212857852</v>
      </c>
      <c r="X197" s="22" t="n">
        <f aca="false">100*(X63-X62)</f>
        <v>1.73891521224419</v>
      </c>
      <c r="Y197" s="22" t="n">
        <f aca="false">100*(Y63-Y62)</f>
        <v>1.86113173285412</v>
      </c>
      <c r="Z197" s="22" t="n">
        <f aca="false">100*(Z63-Z62)</f>
        <v>1.98183293799517</v>
      </c>
      <c r="AA197" s="22" t="n">
        <f aca="false">100*(AA63-AA62)</f>
        <v>2.101663768229</v>
      </c>
      <c r="AB197" s="22" t="n">
        <f aca="false">100*(AB63-AB62)</f>
        <v>2.2209803559595</v>
      </c>
      <c r="AC197" s="22" t="n">
        <f aca="false">100*(AC63-AC62)</f>
        <v>2.3398868968719</v>
      </c>
      <c r="AD197" s="22" t="n">
        <f aca="false">100*(AD63-AD62)</f>
        <v>2.45827911676799</v>
      </c>
      <c r="AE197" s="22" t="n">
        <f aca="false">100*(AE63-AE62)</f>
        <v>2.5758769004927</v>
      </c>
      <c r="AF197" s="22" t="n">
        <f aca="false">100*(AF63-AF62)</f>
        <v>2.6922509216976</v>
      </c>
      <c r="AG197" s="22" t="n">
        <f aca="false">100*(AG63-AG62)</f>
        <v>2.80684284279911</v>
      </c>
      <c r="AH197" s="22" t="n">
        <f aca="false">100*(AH63-AH62)</f>
        <v>2.91900696911838</v>
      </c>
      <c r="AI197" s="22" t="n">
        <f aca="false">100*(AI63-AI62)</f>
        <v>3.02806032164549</v>
      </c>
      <c r="AJ197" s="22" t="n">
        <f aca="false">100*(AJ63-AJ62)</f>
        <v>3.13332736059753</v>
      </c>
      <c r="AK197" s="22" t="n">
        <f aca="false">100*(AK63-AK62)</f>
        <v>3.23415306907937</v>
      </c>
      <c r="AL197" s="22" t="n">
        <f aca="false">100*(AL63-AL62)</f>
        <v>3.32992949997197</v>
      </c>
      <c r="AM197" s="22" t="n">
        <f aca="false">100*(AM63-AM62)</f>
        <v>3.42012880742999</v>
      </c>
      <c r="AN197" s="22" t="n">
        <f aca="false">100*(AN63-AN62)</f>
        <v>3.50435277215078</v>
      </c>
      <c r="AO197" s="22" t="n">
        <f aca="false">100*(AO63-AO62)</f>
        <v>3.58234635663082</v>
      </c>
      <c r="AP197" s="22" t="n">
        <f aca="false">100*(AP63-AP62)</f>
        <v>3.65401355582637</v>
      </c>
      <c r="AQ197" s="22" t="n">
        <f aca="false">100*(AQ63-AQ62)</f>
        <v>3.71942273989108</v>
      </c>
      <c r="AR197" s="22" t="n">
        <f aca="false">100*(AR63-AR62)</f>
        <v>3.77878075674469</v>
      </c>
      <c r="AS197" s="22" t="n">
        <f aca="false">100*(AS63-AS62)</f>
        <v>3.83240658116799</v>
      </c>
      <c r="AT197" s="22" t="n">
        <f aca="false">100*(AT63-AT62)</f>
        <v>3.88070315735054</v>
      </c>
      <c r="AU197" s="22" t="n">
        <f aca="false">100*(AU63-AU62)</f>
        <v>3.92412984474557</v>
      </c>
      <c r="AV197" s="22" t="n">
        <f aca="false">100*(AV63-AV62)</f>
        <v>3.96317905111547</v>
      </c>
      <c r="AW197" s="22" t="n">
        <f aca="false">100*(AW63-AW62)</f>
        <v>3.9983498438783</v>
      </c>
      <c r="AX197" s="22" t="n">
        <f aca="false">100*(AX63-AX62)</f>
        <v>4.03013046971648</v>
      </c>
      <c r="AY197" s="22" t="n">
        <f aca="false">100*(AY63-AY62)</f>
        <v>4.0589684198137</v>
      </c>
      <c r="AZ197" s="22" t="n">
        <f aca="false">100*(AZ63-AZ62)</f>
        <v>4.08524614681243</v>
      </c>
      <c r="BA197" s="22" t="n">
        <f aca="false">100*(BA63-BA62)</f>
        <v>4.10928321600261</v>
      </c>
      <c r="BB197" s="22" t="n">
        <f aca="false">100*(BB63-BB62)</f>
        <v>4.13133373160393</v>
      </c>
      <c r="BC197" s="22" t="n">
        <f aca="false">100*(BC63-BC62)</f>
        <v>4.1515815188955</v>
      </c>
      <c r="BD197" s="22" t="n">
        <f aca="false">100*(BD63-BD62)</f>
        <v>4.1701526897834</v>
      </c>
      <c r="BE197" s="22" t="n">
        <f aca="false">100*(BE63-BE62)</f>
        <v>4.18712759816091</v>
      </c>
      <c r="BF197" s="22" t="n">
        <f aca="false">100*(BF63-BF62)</f>
        <v>4.20255008254968</v>
      </c>
      <c r="BG197" s="22" t="n">
        <f aca="false">100*(BG63-BG62)</f>
        <v>4.21644060244302</v>
      </c>
      <c r="BH197" s="22" t="n">
        <f aca="false">AVERAGE(C197:BG197)</f>
        <v>2.36786102137023</v>
      </c>
    </row>
    <row r="198" customFormat="false" ht="15" hidden="false" customHeight="false" outlineLevel="0" collapsed="false">
      <c r="A198" s="20" t="n">
        <f aca="false">A64</f>
        <v>-61</v>
      </c>
      <c r="B198" s="21" t="n">
        <f aca="false">B64</f>
        <v>44749</v>
      </c>
      <c r="C198" s="22" t="n">
        <f aca="false">100*(C64-C63)</f>
        <v>7.51530317412839</v>
      </c>
      <c r="D198" s="22" t="n">
        <f aca="false">100*(D64-D63)</f>
        <v>6.72709616847451</v>
      </c>
      <c r="E198" s="22" t="n">
        <f aca="false">100*(E64-E63)</f>
        <v>6.1486978656649</v>
      </c>
      <c r="F198" s="22" t="n">
        <f aca="false">100*(F64-F63)</f>
        <v>5.6984080674368</v>
      </c>
      <c r="G198" s="22" t="n">
        <f aca="false">100*(G64-G63)</f>
        <v>5.32055805145941</v>
      </c>
      <c r="H198" s="22" t="n">
        <f aca="false">100*(H64-H63)</f>
        <v>4.9828329069989</v>
      </c>
      <c r="I198" s="22" t="n">
        <f aca="false">100*(I64-I63)</f>
        <v>4.6688034884844</v>
      </c>
      <c r="J198" s="22" t="n">
        <f aca="false">100*(J64-J63)</f>
        <v>4.37120149337971</v>
      </c>
      <c r="K198" s="22" t="n">
        <f aca="false">100*(K64-K63)</f>
        <v>4.08758788976131</v>
      </c>
      <c r="L198" s="22" t="n">
        <f aca="false">100*(L64-L63)</f>
        <v>3.81780118989621</v>
      </c>
      <c r="M198" s="22" t="n">
        <f aca="false">100*(M64-M63)</f>
        <v>3.56264481847979</v>
      </c>
      <c r="N198" s="22" t="n">
        <f aca="false">100*(N64-N63)</f>
        <v>3.3230904941157</v>
      </c>
      <c r="O198" s="22" t="n">
        <f aca="false">100*(O64-O63)</f>
        <v>3.0997333349801</v>
      </c>
      <c r="P198" s="22" t="n">
        <f aca="false">100*(P64-P63)</f>
        <v>2.89247630496718</v>
      </c>
      <c r="Q198" s="22" t="n">
        <f aca="false">100*(Q64-Q63)</f>
        <v>2.7004251536114</v>
      </c>
      <c r="R198" s="22" t="n">
        <f aca="false">100*(R64-R63)</f>
        <v>2.52191345600687</v>
      </c>
      <c r="S198" s="22" t="n">
        <f aca="false">100*(S64-S63)</f>
        <v>2.35493954761941</v>
      </c>
      <c r="T198" s="22" t="n">
        <f aca="false">100*(T64-T63)</f>
        <v>2.19730034690877</v>
      </c>
      <c r="U198" s="22" t="n">
        <f aca="false">100*(U64-U63)</f>
        <v>2.0469312269201</v>
      </c>
      <c r="V198" s="22" t="n">
        <f aca="false">100*(V64-V63)</f>
        <v>1.90209403993942</v>
      </c>
      <c r="W198" s="22" t="n">
        <f aca="false">100*(W64-W63)</f>
        <v>1.76131674988058</v>
      </c>
      <c r="X198" s="22" t="n">
        <f aca="false">100*(X64-X63)</f>
        <v>1.62334489009193</v>
      </c>
      <c r="Y198" s="22" t="n">
        <f aca="false">100*(Y64-Y63)</f>
        <v>1.48722349952197</v>
      </c>
      <c r="Z198" s="22" t="n">
        <f aca="false">100*(Z64-Z63)</f>
        <v>1.35244695934813</v>
      </c>
      <c r="AA198" s="22" t="n">
        <f aca="false">100*(AA64-AA63)</f>
        <v>1.21880632220628</v>
      </c>
      <c r="AB198" s="22" t="n">
        <f aca="false">100*(AB64-AB63)</f>
        <v>1.086193372167</v>
      </c>
      <c r="AC198" s="22" t="n">
        <f aca="false">100*(AC64-AC63)</f>
        <v>0.954575994969709</v>
      </c>
      <c r="AD198" s="22" t="n">
        <f aca="false">100*(AD64-AD63)</f>
        <v>0.823991044643524</v>
      </c>
      <c r="AE198" s="22" t="n">
        <f aca="false">100*(AE64-AE63)</f>
        <v>0.694533630479777</v>
      </c>
      <c r="AF198" s="22" t="n">
        <f aca="false">100*(AF64-AF63)</f>
        <v>0.566348276224993</v>
      </c>
      <c r="AG198" s="22" t="n">
        <f aca="false">100*(AG64-AG63)</f>
        <v>0.439620056790391</v>
      </c>
      <c r="AH198" s="22" t="n">
        <f aca="false">100*(AH64-AH63)</f>
        <v>0.314594505454524</v>
      </c>
      <c r="AI198" s="22" t="n">
        <f aca="false">100*(AI64-AI63)</f>
        <v>0.191605968807274</v>
      </c>
      <c r="AJ198" s="22" t="n">
        <f aca="false">100*(AJ64-AJ63)</f>
        <v>0.0710954017460797</v>
      </c>
      <c r="AK198" s="22" t="n">
        <f aca="false">100*(AK64-AK63)</f>
        <v>-0.0463943149876744</v>
      </c>
      <c r="AL198" s="22" t="n">
        <f aca="false">100*(AL64-AL63)</f>
        <v>-0.160218180830984</v>
      </c>
      <c r="AM198" s="22" t="n">
        <f aca="false">100*(AM64-AM63)</f>
        <v>-0.269636043977117</v>
      </c>
      <c r="AN198" s="22" t="n">
        <f aca="false">100*(AN64-AN63)</f>
        <v>-0.373848124090204</v>
      </c>
      <c r="AO198" s="22" t="n">
        <f aca="false">100*(AO64-AO63)</f>
        <v>-0.472019381097022</v>
      </c>
      <c r="AP198" s="22" t="n">
        <f aca="false">100*(AP64-AP63)</f>
        <v>-0.563338445554384</v>
      </c>
      <c r="AQ198" s="22" t="n">
        <f aca="false">100*(AQ64-AQ63)</f>
        <v>-0.647057094330883</v>
      </c>
      <c r="AR198" s="22" t="n">
        <f aca="false">100*(AR64-AR63)</f>
        <v>-0.7225233088477</v>
      </c>
      <c r="AS198" s="22" t="n">
        <f aca="false">100*(AS64-AS63)</f>
        <v>-0.78921723778147</v>
      </c>
      <c r="AT198" s="22" t="n">
        <f aca="false">100*(AT64-AT63)</f>
        <v>-0.846750725199108</v>
      </c>
      <c r="AU198" s="22" t="n">
        <f aca="false">100*(AU64-AU63)</f>
        <v>-0.894862438069</v>
      </c>
      <c r="AV198" s="22" t="n">
        <f aca="false">100*(AV64-AV63)</f>
        <v>-0.933409596418988</v>
      </c>
      <c r="AW198" s="22" t="n">
        <f aca="false">100*(AW64-AW63)</f>
        <v>-0.962361106359566</v>
      </c>
      <c r="AX198" s="22" t="n">
        <f aca="false">100*(AX64-AX63)</f>
        <v>-0.9817916593998</v>
      </c>
      <c r="AY198" s="22" t="n">
        <f aca="false">100*(AY64-AY63)</f>
        <v>-0.991880656389998</v>
      </c>
      <c r="AZ198" s="22" t="n">
        <f aca="false">100*(AZ64-AZ63)</f>
        <v>-0.992909976977519</v>
      </c>
      <c r="BA198" s="22" t="n">
        <f aca="false">100*(BA64-BA63)</f>
        <v>-0.985255583304534</v>
      </c>
      <c r="BB198" s="22" t="n">
        <f aca="false">100*(BB64-BB63)</f>
        <v>-0.969383312572614</v>
      </c>
      <c r="BC198" s="22" t="n">
        <f aca="false">100*(BC64-BC63)</f>
        <v>-0.945845907486298</v>
      </c>
      <c r="BD198" s="22" t="n">
        <f aca="false">100*(BD64-BD63)</f>
        <v>-0.915266451399432</v>
      </c>
      <c r="BE198" s="22" t="n">
        <f aca="false">100*(BE64-BE63)</f>
        <v>-0.878320162261215</v>
      </c>
      <c r="BF198" s="22" t="n">
        <f aca="false">100*(BF64-BF63)</f>
        <v>-0.8357085938687</v>
      </c>
      <c r="BG198" s="22" t="n">
        <f aca="false">100*(BG64-BG63)</f>
        <v>-0.788141097504624</v>
      </c>
      <c r="BH198" s="22" t="n">
        <f aca="false">AVERAGE(C198:BG198)</f>
        <v>1.32560344373433</v>
      </c>
    </row>
    <row r="199" customFormat="false" ht="15" hidden="false" customHeight="false" outlineLevel="0" collapsed="false">
      <c r="A199" s="20" t="n">
        <f aca="false">A65</f>
        <v>-60</v>
      </c>
      <c r="B199" s="21" t="n">
        <f aca="false">B65</f>
        <v>44750</v>
      </c>
      <c r="C199" s="22" t="n">
        <f aca="false">100*(C65-C64)</f>
        <v>10.3949432214954</v>
      </c>
      <c r="D199" s="22" t="n">
        <f aca="false">100*(D65-D64)</f>
        <v>10.6031623027531</v>
      </c>
      <c r="E199" s="22" t="n">
        <f aca="false">100*(E65-E64)</f>
        <v>10.7386768870542</v>
      </c>
      <c r="F199" s="22" t="n">
        <f aca="false">100*(F65-F64)</f>
        <v>10.8401836837113</v>
      </c>
      <c r="G199" s="22" t="n">
        <f aca="false">100*(G65-G64)</f>
        <v>10.921882812776</v>
      </c>
      <c r="H199" s="22" t="n">
        <f aca="false">100*(H65-H64)</f>
        <v>10.9898478141781</v>
      </c>
      <c r="I199" s="22" t="n">
        <f aca="false">100*(I65-I64)</f>
        <v>11.0471218182346</v>
      </c>
      <c r="J199" s="22" t="n">
        <f aca="false">100*(J65-J64)</f>
        <v>11.0950704870144</v>
      </c>
      <c r="K199" s="22" t="n">
        <f aca="false">100*(K65-K64)</f>
        <v>11.1342009999337</v>
      </c>
      <c r="L199" s="22" t="n">
        <f aca="false">100*(L65-L64)</f>
        <v>11.1644918589868</v>
      </c>
      <c r="M199" s="22" t="n">
        <f aca="false">100*(M65-M64)</f>
        <v>11.1855838569665</v>
      </c>
      <c r="N199" s="22" t="n">
        <f aca="false">100*(N65-N64)</f>
        <v>11.1972137478334</v>
      </c>
      <c r="O199" s="22" t="n">
        <f aca="false">100*(O65-O64)</f>
        <v>11.199331704272</v>
      </c>
      <c r="P199" s="22" t="n">
        <f aca="false">100*(P65-P64)</f>
        <v>11.1921767751413</v>
      </c>
      <c r="Q199" s="22" t="n">
        <f aca="false">100*(Q65-Q64)</f>
        <v>11.176212721139</v>
      </c>
      <c r="R199" s="22" t="n">
        <f aca="false">100*(R65-R64)</f>
        <v>11.1521436944119</v>
      </c>
      <c r="S199" s="22" t="n">
        <f aca="false">100*(S65-S64)</f>
        <v>11.1209748442149</v>
      </c>
      <c r="T199" s="22" t="n">
        <f aca="false">100*(T65-T64)</f>
        <v>11.0840618117946</v>
      </c>
      <c r="U199" s="22" t="n">
        <f aca="false">100*(U65-U64)</f>
        <v>11.0429973642186</v>
      </c>
      <c r="V199" s="22" t="n">
        <f aca="false">100*(V65-V64)</f>
        <v>10.9991115354347</v>
      </c>
      <c r="W199" s="22" t="n">
        <f aca="false">100*(W65-W64)</f>
        <v>10.9534839535897</v>
      </c>
      <c r="X199" s="22" t="n">
        <f aca="false">100*(X65-X64)</f>
        <v>10.9069961819236</v>
      </c>
      <c r="Y199" s="22" t="n">
        <f aca="false">100*(Y65-Y64)</f>
        <v>10.8603175601863</v>
      </c>
      <c r="Z199" s="22" t="n">
        <f aca="false">100*(Z65-Z64)</f>
        <v>10.8136993024853</v>
      </c>
      <c r="AA199" s="22" t="n">
        <f aca="false">100*(AA65-AA64)</f>
        <v>10.7669785028148</v>
      </c>
      <c r="AB199" s="22" t="n">
        <f aca="false">100*(AB65-AB64)</f>
        <v>10.7197276227055</v>
      </c>
      <c r="AC199" s="22" t="n">
        <f aca="false">100*(AC65-AC64)</f>
        <v>10.6714540879756</v>
      </c>
      <c r="AD199" s="22" t="n">
        <f aca="false">100*(AD65-AD64)</f>
        <v>10.6216510505865</v>
      </c>
      <c r="AE199" s="22" t="n">
        <f aca="false">100*(AE65-AE64)</f>
        <v>10.56979988362</v>
      </c>
      <c r="AF199" s="22" t="n">
        <f aca="false">100*(AF65-AF64)</f>
        <v>10.5153719262848</v>
      </c>
      <c r="AG199" s="22" t="n">
        <f aca="false">100*(AG65-AG64)</f>
        <v>10.4578493095878</v>
      </c>
      <c r="AH199" s="22" t="n">
        <f aca="false">100*(AH65-AH64)</f>
        <v>10.3968796381497</v>
      </c>
      <c r="AI199" s="22" t="n">
        <f aca="false">100*(AI65-AI64)</f>
        <v>10.3322982305617</v>
      </c>
      <c r="AJ199" s="22" t="n">
        <f aca="false">100*(AJ65-AJ64)</f>
        <v>10.264118656326</v>
      </c>
      <c r="AK199" s="22" t="n">
        <f aca="false">100*(AK65-AK64)</f>
        <v>10.192520147002</v>
      </c>
      <c r="AL199" s="22" t="n">
        <f aca="false">100*(AL65-AL64)</f>
        <v>10.1178401246353</v>
      </c>
      <c r="AM199" s="22" t="n">
        <f aca="false">100*(AM65-AM64)</f>
        <v>10.0405684103867</v>
      </c>
      <c r="AN199" s="22" t="n">
        <f aca="false">100*(AN65-AN64)</f>
        <v>9.96131897845372</v>
      </c>
      <c r="AO199" s="22" t="n">
        <f aca="false">100*(AO65-AO64)</f>
        <v>9.88080621637661</v>
      </c>
      <c r="AP199" s="22" t="n">
        <f aca="false">100*(AP65-AP64)</f>
        <v>9.79979302481078</v>
      </c>
      <c r="AQ199" s="22" t="n">
        <f aca="false">100*(AQ65-AQ64)</f>
        <v>9.71905598479479</v>
      </c>
      <c r="AR199" s="22" t="n">
        <f aca="false">100*(AR65-AR64)</f>
        <v>9.63934286301273</v>
      </c>
      <c r="AS199" s="22" t="n">
        <f aca="false">100*(AS65-AS64)</f>
        <v>9.5613323538605</v>
      </c>
      <c r="AT199" s="22" t="n">
        <f aca="false">100*(AT65-AT64)</f>
        <v>9.48562333713889</v>
      </c>
      <c r="AU199" s="22" t="n">
        <f aca="false">100*(AU65-AU64)</f>
        <v>9.41273112277052</v>
      </c>
      <c r="AV199" s="22" t="n">
        <f aca="false">100*(AV65-AV64)</f>
        <v>9.34308563495621</v>
      </c>
      <c r="AW199" s="22" t="n">
        <f aca="false">100*(AW65-AW64)</f>
        <v>9.2770294383675</v>
      </c>
      <c r="AX199" s="22" t="n">
        <f aca="false">100*(AX65-AX64)</f>
        <v>9.21482274908443</v>
      </c>
      <c r="AY199" s="22" t="n">
        <f aca="false">100*(AY65-AY64)</f>
        <v>9.15664389576341</v>
      </c>
      <c r="AZ199" s="22" t="n">
        <f aca="false">100*(AZ65-AZ64)</f>
        <v>9.1025902201872</v>
      </c>
      <c r="BA199" s="22" t="n">
        <f aca="false">100*(BA65-BA64)</f>
        <v>9.05268495816833</v>
      </c>
      <c r="BB199" s="22" t="n">
        <f aca="false">100*(BB65-BB64)</f>
        <v>9.00688192370978</v>
      </c>
      <c r="BC199" s="22" t="n">
        <f aca="false">100*(BC65-BC64)</f>
        <v>8.96506809819431</v>
      </c>
      <c r="BD199" s="22" t="n">
        <f aca="false">100*(BD65-BD64)</f>
        <v>8.92707552619383</v>
      </c>
      <c r="BE199" s="22" t="n">
        <f aca="false">100*(BE65-BE64)</f>
        <v>8.89269351194462</v>
      </c>
      <c r="BF199" s="22" t="n">
        <f aca="false">100*(BF65-BF64)</f>
        <v>8.86168556987612</v>
      </c>
      <c r="BG199" s="22" t="n">
        <f aca="false">100*(BG65-BG64)</f>
        <v>8.83380173141721</v>
      </c>
      <c r="BH199" s="22" t="n">
        <f aca="false">AVERAGE(C199:BG199)</f>
        <v>10.2732458187626</v>
      </c>
    </row>
    <row r="200" customFormat="false" ht="15" hidden="false" customHeight="false" outlineLevel="0" collapsed="false">
      <c r="A200" s="20" t="n">
        <f aca="false">A66</f>
        <v>-59</v>
      </c>
      <c r="B200" s="21" t="n">
        <f aca="false">B66</f>
        <v>44753</v>
      </c>
      <c r="C200" s="22" t="n">
        <f aca="false">100*(C66-C65)</f>
        <v>-4.25089255060891</v>
      </c>
      <c r="D200" s="22" t="n">
        <f aca="false">100*(D66-D65)</f>
        <v>-4.5298593776828</v>
      </c>
      <c r="E200" s="22" t="n">
        <f aca="false">100*(E66-E65)</f>
        <v>-4.7117035499157</v>
      </c>
      <c r="F200" s="22" t="n">
        <f aca="false">100*(F66-F65)</f>
        <v>-4.8331989187149</v>
      </c>
      <c r="G200" s="22" t="n">
        <f aca="false">100*(G66-G65)</f>
        <v>-4.912453995139</v>
      </c>
      <c r="H200" s="22" t="n">
        <f aca="false">100*(H66-H65)</f>
        <v>-4.96009262960431</v>
      </c>
      <c r="I200" s="22" t="n">
        <f aca="false">100*(I66-I65)</f>
        <v>-4.98265426571471</v>
      </c>
      <c r="J200" s="22" t="n">
        <f aca="false">100*(J66-J65)</f>
        <v>-4.98399433742471</v>
      </c>
      <c r="K200" s="22" t="n">
        <f aca="false">100*(K66-K65)</f>
        <v>-4.9659816402273</v>
      </c>
      <c r="L200" s="22" t="n">
        <f aca="false">100*(L66-L65)</f>
        <v>-4.9289429370398</v>
      </c>
      <c r="M200" s="22" t="n">
        <f aca="false">100*(M66-M65)</f>
        <v>-4.87224371837849</v>
      </c>
      <c r="N200" s="22" t="n">
        <f aca="false">100*(N66-N65)</f>
        <v>-4.79471897947978</v>
      </c>
      <c r="O200" s="22" t="n">
        <f aca="false">100*(O66-O65)</f>
        <v>-4.6951852590829</v>
      </c>
      <c r="P200" s="22" t="n">
        <f aca="false">100*(P66-P65)</f>
        <v>-4.57290902013172</v>
      </c>
      <c r="Q200" s="22" t="n">
        <f aca="false">100*(Q66-Q65)</f>
        <v>-4.42773308616742</v>
      </c>
      <c r="R200" s="22" t="n">
        <f aca="false">100*(R66-R65)</f>
        <v>-4.26029610922893</v>
      </c>
      <c r="S200" s="22" t="n">
        <f aca="false">100*(S66-S65)</f>
        <v>-4.07210315376561</v>
      </c>
      <c r="T200" s="22" t="n">
        <f aca="false">100*(T66-T65)</f>
        <v>-3.86555558064279</v>
      </c>
      <c r="U200" s="22" t="n">
        <f aca="false">100*(U66-U65)</f>
        <v>-3.64370072837521</v>
      </c>
      <c r="V200" s="22" t="n">
        <f aca="false">100*(V66-V65)</f>
        <v>-3.4100392960589</v>
      </c>
      <c r="W200" s="22" t="n">
        <f aca="false">100*(W66-W65)</f>
        <v>-3.16843214639047</v>
      </c>
      <c r="X200" s="22" t="n">
        <f aca="false">100*(X66-X65)</f>
        <v>-2.92302293765547</v>
      </c>
      <c r="Y200" s="22" t="n">
        <f aca="false">100*(Y66-Y65)</f>
        <v>-2.6780534969653</v>
      </c>
      <c r="Z200" s="22" t="n">
        <f aca="false">100*(Z66-Z65)</f>
        <v>-2.4376305921193</v>
      </c>
      <c r="AA200" s="22" t="n">
        <f aca="false">100*(AA66-AA65)</f>
        <v>-2.20567892726589</v>
      </c>
      <c r="AB200" s="22" t="n">
        <f aca="false">100*(AB66-AB65)</f>
        <v>-1.98577246401119</v>
      </c>
      <c r="AC200" s="22" t="n">
        <f aca="false">100*(AC66-AC65)</f>
        <v>-1.78086159605431</v>
      </c>
      <c r="AD200" s="22" t="n">
        <f aca="false">100*(AD66-AD65)</f>
        <v>-1.59330285689583</v>
      </c>
      <c r="AE200" s="22" t="n">
        <f aca="false">100*(AE66-AE65)</f>
        <v>-1.42495142750101</v>
      </c>
      <c r="AF200" s="22" t="n">
        <f aca="false">100*(AF66-AF65)</f>
        <v>-1.27723708809291</v>
      </c>
      <c r="AG200" s="22" t="n">
        <f aca="false">100*(AG66-AG65)</f>
        <v>-1.15117474536599</v>
      </c>
      <c r="AH200" s="22" t="n">
        <f aca="false">100*(AH66-AH65)</f>
        <v>-1.0471891632819</v>
      </c>
      <c r="AI200" s="22" t="n">
        <f aca="false">100*(AI66-AI65)</f>
        <v>-0.965192209632892</v>
      </c>
      <c r="AJ200" s="22" t="n">
        <f aca="false">100*(AJ66-AJ65)</f>
        <v>-0.904675944561006</v>
      </c>
      <c r="AK200" s="22" t="n">
        <f aca="false">100*(AK66-AK65)</f>
        <v>-0.864773313762202</v>
      </c>
      <c r="AL200" s="22" t="n">
        <f aca="false">100*(AL66-AL65)</f>
        <v>-0.844347435117809</v>
      </c>
      <c r="AM200" s="22" t="n">
        <f aca="false">100*(AM66-AM65)</f>
        <v>-0.842050002762429</v>
      </c>
      <c r="AN200" s="22" t="n">
        <f aca="false">100*(AN66-AN65)</f>
        <v>-0.856338581967986</v>
      </c>
      <c r="AO200" s="22" t="n">
        <f aca="false">100*(AO66-AO65)</f>
        <v>-0.885497272152991</v>
      </c>
      <c r="AP200" s="22" t="n">
        <f aca="false">100*(AP66-AP65)</f>
        <v>-0.927668930805181</v>
      </c>
      <c r="AQ200" s="22" t="n">
        <f aca="false">100*(AQ66-AQ65)</f>
        <v>-0.980881461226879</v>
      </c>
      <c r="AR200" s="22" t="n">
        <f aca="false">100*(AR66-AR65)</f>
        <v>-1.04309803640033</v>
      </c>
      <c r="AS200" s="22" t="n">
        <f aca="false">100*(AS66-AS65)</f>
        <v>-1.11226796205912</v>
      </c>
      <c r="AT200" s="22" t="n">
        <f aca="false">100*(AT66-AT65)</f>
        <v>-1.18636029816952</v>
      </c>
      <c r="AU200" s="22" t="n">
        <f aca="false">100*(AU66-AU65)</f>
        <v>-1.26339511273552</v>
      </c>
      <c r="AV200" s="22" t="n">
        <f aca="false">100*(AV66-AV65)</f>
        <v>-1.34146836386599</v>
      </c>
      <c r="AW200" s="22" t="n">
        <f aca="false">100*(AW66-AW65)</f>
        <v>-1.41878081444302</v>
      </c>
      <c r="AX200" s="22" t="n">
        <f aca="false">100*(AX66-AX65)</f>
        <v>-1.49364914507402</v>
      </c>
      <c r="AY200" s="22" t="n">
        <f aca="false">100*(AY66-AY65)</f>
        <v>-1.56455783203562</v>
      </c>
      <c r="AZ200" s="22" t="n">
        <f aca="false">100*(AZ66-AZ65)</f>
        <v>-1.63020766619639</v>
      </c>
      <c r="BA200" s="22" t="n">
        <f aca="false">100*(BA66-BA65)</f>
        <v>-1.68950558700112</v>
      </c>
      <c r="BB200" s="22" t="n">
        <f aca="false">100*(BB66-BB65)</f>
        <v>-1.74158500717998</v>
      </c>
      <c r="BC200" s="22" t="n">
        <f aca="false">100*(BC66-BC65)</f>
        <v>-1.78583376760919</v>
      </c>
      <c r="BD200" s="22" t="n">
        <f aca="false">100*(BD66-BD65)</f>
        <v>-1.8218755477855</v>
      </c>
      <c r="BE200" s="22" t="n">
        <f aca="false">100*(BE66-BE65)</f>
        <v>-1.8495456970129</v>
      </c>
      <c r="BF200" s="22" t="n">
        <f aca="false">100*(BF66-BF65)</f>
        <v>-1.8688630183842</v>
      </c>
      <c r="BG200" s="22" t="n">
        <f aca="false">100*(BG66-BG65)</f>
        <v>-1.88000718855199</v>
      </c>
      <c r="BH200" s="22" t="n">
        <f aca="false">AVERAGE(C200:BG200)</f>
        <v>-2.58087706616627</v>
      </c>
    </row>
    <row r="201" customFormat="false" ht="15" hidden="false" customHeight="false" outlineLevel="0" collapsed="false">
      <c r="A201" s="20" t="n">
        <f aca="false">A67</f>
        <v>-58</v>
      </c>
      <c r="B201" s="21" t="n">
        <f aca="false">B67</f>
        <v>44754</v>
      </c>
      <c r="C201" s="22" t="n">
        <f aca="false">100*(C67-C66)</f>
        <v>-8.59484123984611</v>
      </c>
      <c r="D201" s="22" t="n">
        <f aca="false">100*(D67-D66)</f>
        <v>-9.00272066369199</v>
      </c>
      <c r="E201" s="22" t="n">
        <f aca="false">100*(E67-E66)</f>
        <v>-9.20925143912952</v>
      </c>
      <c r="F201" s="22" t="n">
        <f aca="false">100*(F67-F66)</f>
        <v>-9.334824647715</v>
      </c>
      <c r="G201" s="22" t="n">
        <f aca="false">100*(G67-G66)</f>
        <v>-9.42781130427461</v>
      </c>
      <c r="H201" s="22" t="n">
        <f aca="false">100*(H67-H66)</f>
        <v>-9.5048395201403</v>
      </c>
      <c r="I201" s="22" t="n">
        <f aca="false">100*(I67-I66)</f>
        <v>-9.5675762236525</v>
      </c>
      <c r="J201" s="22" t="n">
        <f aca="false">100*(J67-J66)</f>
        <v>-9.61167467837729</v>
      </c>
      <c r="K201" s="22" t="n">
        <f aca="false">100*(K67-K66)</f>
        <v>-9.63064138046361</v>
      </c>
      <c r="L201" s="22" t="n">
        <f aca="false">100*(L67-L66)</f>
        <v>-9.61775048850539</v>
      </c>
      <c r="M201" s="22" t="n">
        <f aca="false">100*(M67-M66)</f>
        <v>-9.567084663395</v>
      </c>
      <c r="N201" s="22" t="n">
        <f aca="false">100*(N67-N66)</f>
        <v>-9.47395560229492</v>
      </c>
      <c r="O201" s="22" t="n">
        <f aca="false">100*(O67-O66)</f>
        <v>-9.33516534740391</v>
      </c>
      <c r="P201" s="22" t="n">
        <f aca="false">100*(P67-P66)</f>
        <v>-9.14927709993389</v>
      </c>
      <c r="Q201" s="22" t="n">
        <f aca="false">100*(Q67-Q66)</f>
        <v>-8.91652413876707</v>
      </c>
      <c r="R201" s="22" t="n">
        <f aca="false">100*(R67-R66)</f>
        <v>-8.63894535884819</v>
      </c>
      <c r="S201" s="22" t="n">
        <f aca="false">100*(S67-S66)</f>
        <v>-8.32025060926567</v>
      </c>
      <c r="T201" s="22" t="n">
        <f aca="false">100*(T67-T66)</f>
        <v>-7.96583305024781</v>
      </c>
      <c r="U201" s="22" t="n">
        <f aca="false">100*(U67-U66)</f>
        <v>-7.5820550987789</v>
      </c>
      <c r="V201" s="22" t="n">
        <f aca="false">100*(V67-V66)</f>
        <v>-7.17560569541118</v>
      </c>
      <c r="W201" s="22" t="n">
        <f aca="false">100*(W67-W66)</f>
        <v>-6.7534123845181</v>
      </c>
      <c r="X201" s="22" t="n">
        <f aca="false">100*(X67-X66)</f>
        <v>-6.32258195409743</v>
      </c>
      <c r="Y201" s="22" t="n">
        <f aca="false">100*(Y67-Y66)</f>
        <v>-5.89004389861789</v>
      </c>
      <c r="Z201" s="22" t="n">
        <f aca="false">100*(Z67-Z66)</f>
        <v>-5.4619921396601</v>
      </c>
      <c r="AA201" s="22" t="n">
        <f aca="false">100*(AA67-AA66)</f>
        <v>-5.04376972266449</v>
      </c>
      <c r="AB201" s="22" t="n">
        <f aca="false">100*(AB67-AB66)</f>
        <v>-4.63975649004262</v>
      </c>
      <c r="AC201" s="22" t="n">
        <f aca="false">100*(AC67-AC66)</f>
        <v>-4.25332028778418</v>
      </c>
      <c r="AD201" s="22" t="n">
        <f aca="false">100*(AD67-AD66)</f>
        <v>-3.88693971247891</v>
      </c>
      <c r="AE201" s="22" t="n">
        <f aca="false">100*(AE67-AE66)</f>
        <v>-3.54234290439357</v>
      </c>
      <c r="AF201" s="22" t="n">
        <f aca="false">100*(AF67-AF66)</f>
        <v>-3.22062126755309</v>
      </c>
      <c r="AG201" s="22" t="n">
        <f aca="false">100*(AG67-AG66)</f>
        <v>-2.92231976502757</v>
      </c>
      <c r="AH201" s="22" t="n">
        <f aca="false">100*(AH67-AH66)</f>
        <v>-2.6474762988101</v>
      </c>
      <c r="AI201" s="22" t="n">
        <f aca="false">100*(AI67-AI66)</f>
        <v>-2.39568729232582</v>
      </c>
      <c r="AJ201" s="22" t="n">
        <f aca="false">100*(AJ67-AJ66)</f>
        <v>-2.16619614235372</v>
      </c>
      <c r="AK201" s="22" t="n">
        <f aca="false">100*(AK67-AK66)</f>
        <v>-1.95795354401018</v>
      </c>
      <c r="AL201" s="22" t="n">
        <f aca="false">100*(AL67-AL66)</f>
        <v>-1.76971081756059</v>
      </c>
      <c r="AM201" s="22" t="n">
        <f aca="false">100*(AM67-AM66)</f>
        <v>-1.60009293718009</v>
      </c>
      <c r="AN201" s="22" t="n">
        <f aca="false">100*(AN67-AN66)</f>
        <v>-1.4476621067216</v>
      </c>
      <c r="AO201" s="22" t="n">
        <f aca="false">100*(AO67-AO66)</f>
        <v>-1.31094330624459</v>
      </c>
      <c r="AP201" s="22" t="n">
        <f aca="false">100*(AP67-AP66)</f>
        <v>-1.1884309578567</v>
      </c>
      <c r="AQ201" s="22" t="n">
        <f aca="false">100*(AQ67-AQ66)</f>
        <v>-1.07859291247832</v>
      </c>
      <c r="AR201" s="22" t="n">
        <f aca="false">100*(AR67-AR66)</f>
        <v>-0.9798736346605</v>
      </c>
      <c r="AS201" s="22" t="n">
        <f aca="false">100*(AS67-AS66)</f>
        <v>-0.890695811084985</v>
      </c>
      <c r="AT201" s="22" t="n">
        <f aca="false">100*(AT67-AT66)</f>
        <v>-0.809483084557172</v>
      </c>
      <c r="AU201" s="22" t="n">
        <f aca="false">100*(AU67-AU66)</f>
        <v>-0.734684157802112</v>
      </c>
      <c r="AV201" s="22" t="n">
        <f aca="false">100*(AV67-AV66)</f>
        <v>-0.664791476002913</v>
      </c>
      <c r="AW201" s="22" t="n">
        <f aca="false">100*(AW67-AW66)</f>
        <v>-0.598360404353215</v>
      </c>
      <c r="AX201" s="22" t="n">
        <f aca="false">100*(AX67-AX66)</f>
        <v>-0.534008909756079</v>
      </c>
      <c r="AY201" s="22" t="n">
        <f aca="false">100*(AY67-AY66)</f>
        <v>-0.470451962269092</v>
      </c>
      <c r="AZ201" s="22" t="n">
        <f aca="false">100*(AZ67-AZ66)</f>
        <v>-0.406539015243101</v>
      </c>
      <c r="BA201" s="22" t="n">
        <f aca="false">100*(BA67-BA66)</f>
        <v>-0.341248913060976</v>
      </c>
      <c r="BB201" s="22" t="n">
        <f aca="false">100*(BB67-BB66)</f>
        <v>-0.273710924059989</v>
      </c>
      <c r="BC201" s="22" t="n">
        <f aca="false">100*(BC67-BC66)</f>
        <v>-0.203233572100814</v>
      </c>
      <c r="BD201" s="22" t="n">
        <f aca="false">100*(BD67-BD66)</f>
        <v>-0.129311271020205</v>
      </c>
      <c r="BE201" s="22" t="n">
        <f aca="false">100*(BE67-BE66)</f>
        <v>-0.0516244582069003</v>
      </c>
      <c r="BF201" s="22" t="n">
        <f aca="false">100*(BF67-BF66)</f>
        <v>0.029962060385369</v>
      </c>
      <c r="BG201" s="22" t="n">
        <f aca="false">100*(BG67-BG66)</f>
        <v>0.115409875481465</v>
      </c>
      <c r="BH201" s="22" t="n">
        <f aca="false">AVERAGE(C201:BG201)</f>
        <v>-4.49244071492691</v>
      </c>
    </row>
    <row r="202" customFormat="false" ht="15" hidden="false" customHeight="false" outlineLevel="0" collapsed="false">
      <c r="A202" s="20" t="n">
        <f aca="false">A68</f>
        <v>-57</v>
      </c>
      <c r="B202" s="21" t="n">
        <f aca="false">B68</f>
        <v>44755</v>
      </c>
      <c r="C202" s="22" t="n">
        <f aca="false">100*(C68-C67)</f>
        <v>1.7767271345559</v>
      </c>
      <c r="D202" s="22" t="n">
        <f aca="false">100*(D68-D67)</f>
        <v>1.5586768445635</v>
      </c>
      <c r="E202" s="22" t="n">
        <f aca="false">100*(E68-E67)</f>
        <v>1.38270730351682</v>
      </c>
      <c r="F202" s="22" t="n">
        <f aca="false">100*(F68-F67)</f>
        <v>1.2213578495172</v>
      </c>
      <c r="G202" s="22" t="n">
        <f aca="false">100*(G68-G67)</f>
        <v>1.06380148581191</v>
      </c>
      <c r="H202" s="22" t="n">
        <f aca="false">100*(H68-H67)</f>
        <v>0.905704150664888</v>
      </c>
      <c r="I202" s="22" t="n">
        <f aca="false">100*(I68-I67)</f>
        <v>0.745732424106693</v>
      </c>
      <c r="J202" s="22" t="n">
        <f aca="false">100*(J68-J67)</f>
        <v>0.583512336661896</v>
      </c>
      <c r="K202" s="22" t="n">
        <f aca="false">100*(K68-K67)</f>
        <v>0.418885218676701</v>
      </c>
      <c r="L202" s="22" t="n">
        <f aca="false">100*(L68-L67)</f>
        <v>0.251610924278189</v>
      </c>
      <c r="M202" s="22" t="n">
        <f aca="false">100*(M68-M67)</f>
        <v>0.0811100736485937</v>
      </c>
      <c r="N202" s="22" t="n">
        <f aca="false">100*(N68-N67)</f>
        <v>-0.0934970671500057</v>
      </c>
      <c r="O202" s="22" t="n">
        <f aca="false">100*(O68-O67)</f>
        <v>-0.273285004771906</v>
      </c>
      <c r="P202" s="22" t="n">
        <f aca="false">100*(P68-P67)</f>
        <v>-0.459324797023997</v>
      </c>
      <c r="Q202" s="22" t="n">
        <f aca="false">100*(Q68-Q67)</f>
        <v>-0.652581375511518</v>
      </c>
      <c r="R202" s="22" t="n">
        <f aca="false">100*(R68-R67)</f>
        <v>-0.853773625336807</v>
      </c>
      <c r="S202" s="22" t="n">
        <f aca="false">100*(S68-S67)</f>
        <v>-1.0632988615471</v>
      </c>
      <c r="T202" s="22" t="n">
        <f aca="false">100*(T68-T67)</f>
        <v>-1.28124520585051</v>
      </c>
      <c r="U202" s="22" t="n">
        <f aca="false">100*(U68-U67)</f>
        <v>-1.50717573628159</v>
      </c>
      <c r="V202" s="22" t="n">
        <f aca="false">100*(V68-V67)</f>
        <v>-1.7400834273551</v>
      </c>
      <c r="W202" s="22" t="n">
        <f aca="false">100*(W68-W67)</f>
        <v>-1.97850675048241</v>
      </c>
      <c r="X202" s="22" t="n">
        <f aca="false">100*(X68-X67)</f>
        <v>-2.22061654813599</v>
      </c>
      <c r="Y202" s="22" t="n">
        <f aca="false">100*(Y68-Y67)</f>
        <v>-2.4642134332399</v>
      </c>
      <c r="Z202" s="22" t="n">
        <f aca="false">100*(Z68-Z67)</f>
        <v>-2.70671892862122</v>
      </c>
      <c r="AA202" s="22" t="n">
        <f aca="false">100*(AA68-AA67)</f>
        <v>-2.9453907377591</v>
      </c>
      <c r="AB202" s="22" t="n">
        <f aca="false">100*(AB68-AB67)</f>
        <v>-3.17765410112387</v>
      </c>
      <c r="AC202" s="22" t="n">
        <f aca="false">100*(AC68-AC67)</f>
        <v>-3.40131922557401</v>
      </c>
      <c r="AD202" s="22" t="n">
        <f aca="false">100*(AD68-AD67)</f>
        <v>-3.61456439484358</v>
      </c>
      <c r="AE202" s="22" t="n">
        <f aca="false">100*(AE68-AE67)</f>
        <v>-3.81587859823003</v>
      </c>
      <c r="AF202" s="22" t="n">
        <f aca="false">100*(AF68-AF67)</f>
        <v>-4.00401450023269</v>
      </c>
      <c r="AG202" s="22" t="n">
        <f aca="false">100*(AG68-AG67)</f>
        <v>-4.1779912028034</v>
      </c>
      <c r="AH202" s="22" t="n">
        <f aca="false">100*(AH68-AH67)</f>
        <v>-4.33720148102408</v>
      </c>
      <c r="AI202" s="22" t="n">
        <f aca="false">100*(AI68-AI67)</f>
        <v>-4.4813607682249</v>
      </c>
      <c r="AJ202" s="22" t="n">
        <f aca="false">100*(AJ68-AJ67)</f>
        <v>-4.61047304468196</v>
      </c>
      <c r="AK202" s="22" t="n">
        <f aca="false">100*(AK68-AK67)</f>
        <v>-4.7247955500112</v>
      </c>
      <c r="AL202" s="22" t="n">
        <f aca="false">100*(AL68-AL67)</f>
        <v>-4.82478943433402</v>
      </c>
      <c r="AM202" s="22" t="n">
        <f aca="false">100*(AM68-AM67)</f>
        <v>-4.91107458785169</v>
      </c>
      <c r="AN202" s="22" t="n">
        <f aca="false">100*(AN68-AN67)</f>
        <v>-4.98438976325102</v>
      </c>
      <c r="AO202" s="22" t="n">
        <f aca="false">100*(AO68-AO67)</f>
        <v>-5.04556653225143</v>
      </c>
      <c r="AP202" s="22" t="n">
        <f aca="false">100*(AP68-AP67)</f>
        <v>-5.09549185834559</v>
      </c>
      <c r="AQ202" s="22" t="n">
        <f aca="false">100*(AQ68-AQ67)</f>
        <v>-5.13508141710859</v>
      </c>
      <c r="AR202" s="22" t="n">
        <f aca="false">100*(AR68-AR67)</f>
        <v>-5.1652542536472</v>
      </c>
      <c r="AS202" s="22" t="n">
        <f aca="false">100*(AS68-AS67)</f>
        <v>-5.18690414322971</v>
      </c>
      <c r="AT202" s="22" t="n">
        <f aca="false">100*(AT68-AT67)</f>
        <v>-5.2008836790769</v>
      </c>
      <c r="AU202" s="22" t="n">
        <f aca="false">100*(AU68-AU67)</f>
        <v>-5.20798737341126</v>
      </c>
      <c r="AV202" s="22" t="n">
        <f aca="false">100*(AV68-AV67)</f>
        <v>-5.20894756201411</v>
      </c>
      <c r="AW202" s="22" t="n">
        <f aca="false">100*(AW68-AW67)</f>
        <v>-5.20442850708349</v>
      </c>
      <c r="AX202" s="22" t="n">
        <f aca="false">100*(AX68-AX67)</f>
        <v>-5.19502683934641</v>
      </c>
      <c r="AY202" s="22" t="n">
        <f aca="false">100*(AY68-AY67)</f>
        <v>-5.18128183576598</v>
      </c>
      <c r="AZ202" s="22" t="n">
        <f aca="false">100*(AZ68-AZ67)</f>
        <v>-5.1636876866866</v>
      </c>
      <c r="BA202" s="22" t="n">
        <f aca="false">100*(BA68-BA67)</f>
        <v>-5.14269871279494</v>
      </c>
      <c r="BB202" s="22" t="n">
        <f aca="false">100*(BB68-BB67)</f>
        <v>-5.11873968383609</v>
      </c>
      <c r="BC202" s="22" t="n">
        <f aca="false">100*(BC68-BC67)</f>
        <v>-5.0922162512113</v>
      </c>
      <c r="BD202" s="22" t="n">
        <f aca="false">100*(BD68-BD67)</f>
        <v>-5.06351874735369</v>
      </c>
      <c r="BE202" s="22" t="n">
        <f aca="false">100*(BE68-BE67)</f>
        <v>-5.03302349917711</v>
      </c>
      <c r="BF202" s="22" t="n">
        <f aca="false">100*(BF68-BF67)</f>
        <v>-5.00109012680667</v>
      </c>
      <c r="BG202" s="22" t="n">
        <f aca="false">100*(BG68-BG67)</f>
        <v>-4.96806245829626</v>
      </c>
      <c r="BH202" s="22" t="n">
        <f aca="false">AVERAGE(C202:BG202)</f>
        <v>-2.85482953636306</v>
      </c>
    </row>
    <row r="203" customFormat="false" ht="15" hidden="false" customHeight="false" outlineLevel="0" collapsed="false">
      <c r="A203" s="20" t="n">
        <f aca="false">A69</f>
        <v>-56</v>
      </c>
      <c r="B203" s="21" t="n">
        <f aca="false">B69</f>
        <v>44756</v>
      </c>
      <c r="C203" s="22" t="n">
        <f aca="false">100*(C69-C68)</f>
        <v>12.7974867576223</v>
      </c>
      <c r="D203" s="22" t="n">
        <f aca="false">100*(D69-D68)</f>
        <v>11.8364719652616</v>
      </c>
      <c r="E203" s="22" t="n">
        <f aca="false">100*(E69-E68)</f>
        <v>10.7655062353585</v>
      </c>
      <c r="F203" s="22" t="n">
        <f aca="false">100*(F69-F68)</f>
        <v>9.7027321153347</v>
      </c>
      <c r="G203" s="22" t="n">
        <f aca="false">100*(G69-G68)</f>
        <v>8.6995228753826</v>
      </c>
      <c r="H203" s="22" t="n">
        <f aca="false">100*(H69-H68)</f>
        <v>7.7761221979578</v>
      </c>
      <c r="I203" s="22" t="n">
        <f aca="false">100*(I69-I68)</f>
        <v>6.93862467150601</v>
      </c>
      <c r="J203" s="22" t="n">
        <f aca="false">100*(J69-J68)</f>
        <v>6.18653626242152</v>
      </c>
      <c r="K203" s="22" t="n">
        <f aca="false">100*(K69-K68)</f>
        <v>5.51622404553811</v>
      </c>
      <c r="L203" s="22" t="n">
        <f aca="false">100*(L69-L68)</f>
        <v>4.9226520353177</v>
      </c>
      <c r="M203" s="22" t="n">
        <f aca="false">100*(M69-M68)</f>
        <v>4.40003529059299</v>
      </c>
      <c r="N203" s="22" t="n">
        <f aca="false">100*(N69-N68)</f>
        <v>3.9425123122349</v>
      </c>
      <c r="O203" s="22" t="n">
        <f aca="false">100*(O69-O68)</f>
        <v>3.54446080820039</v>
      </c>
      <c r="P203" s="22" t="n">
        <f aca="false">100*(P69-P68)</f>
        <v>3.20069877608469</v>
      </c>
      <c r="Q203" s="22" t="n">
        <f aca="false">100*(Q69-Q68)</f>
        <v>2.90648484935971</v>
      </c>
      <c r="R203" s="22" t="n">
        <f aca="false">100*(R69-R68)</f>
        <v>2.6574282149137</v>
      </c>
      <c r="S203" s="22" t="n">
        <f aca="false">100*(S69-S68)</f>
        <v>2.44934690601109</v>
      </c>
      <c r="T203" s="22" t="n">
        <f aca="false">100*(T69-T68)</f>
        <v>2.27819227790338</v>
      </c>
      <c r="U203" s="22" t="n">
        <f aca="false">100*(U69-U68)</f>
        <v>2.1400042280399</v>
      </c>
      <c r="V203" s="22" t="n">
        <f aca="false">100*(V69-V68)</f>
        <v>2.03077822443887</v>
      </c>
      <c r="W203" s="22" t="n">
        <f aca="false">100*(W69-W68)</f>
        <v>1.94646341879419</v>
      </c>
      <c r="X203" s="22" t="n">
        <f aca="false">100*(X69-X68)</f>
        <v>1.88297589806363</v>
      </c>
      <c r="Y203" s="22" t="n">
        <f aca="false">100*(Y69-Y68)</f>
        <v>1.8362733201581</v>
      </c>
      <c r="Z203" s="22" t="n">
        <f aca="false">100*(Z69-Z68)</f>
        <v>1.80242064141671</v>
      </c>
      <c r="AA203" s="22" t="n">
        <f aca="false">100*(AA69-AA68)</f>
        <v>1.77755669898088</v>
      </c>
      <c r="AB203" s="22" t="n">
        <f aca="false">100*(AB69-AB68)</f>
        <v>1.75805973454026</v>
      </c>
      <c r="AC203" s="22" t="n">
        <f aca="false">100*(AC69-AC68)</f>
        <v>1.74090515948677</v>
      </c>
      <c r="AD203" s="22" t="n">
        <f aca="false">100*(AD69-AD68)</f>
        <v>1.72365159041679</v>
      </c>
      <c r="AE203" s="22" t="n">
        <f aca="false">100*(AE69-AE68)</f>
        <v>1.70434998998972</v>
      </c>
      <c r="AF203" s="22" t="n">
        <f aca="false">100*(AF69-AF68)</f>
        <v>1.68146911178328</v>
      </c>
      <c r="AG203" s="22" t="n">
        <f aca="false">100*(AG69-AG68)</f>
        <v>1.65391594877478</v>
      </c>
      <c r="AH203" s="22" t="n">
        <f aca="false">100*(AH69-AH68)</f>
        <v>1.62128550354379</v>
      </c>
      <c r="AI203" s="22" t="n">
        <f aca="false">100*(AI69-AI68)</f>
        <v>1.58368464139862</v>
      </c>
      <c r="AJ203" s="22" t="n">
        <f aca="false">100*(AJ69-AJ68)</f>
        <v>1.54155438120398</v>
      </c>
      <c r="AK203" s="22" t="n">
        <f aca="false">100*(AK69-AK68)</f>
        <v>1.49560164436049</v>
      </c>
      <c r="AL203" s="22" t="n">
        <f aca="false">100*(AL69-AL68)</f>
        <v>1.44669513283491</v>
      </c>
      <c r="AM203" s="22" t="n">
        <f aca="false">100*(AM69-AM68)</f>
        <v>1.3957774648079</v>
      </c>
      <c r="AN203" s="22" t="n">
        <f aca="false">100*(AN69-AN68)</f>
        <v>1.34376977694863</v>
      </c>
      <c r="AO203" s="22" t="n">
        <f aca="false">100*(AO69-AO68)</f>
        <v>1.29153292325652</v>
      </c>
      <c r="AP203" s="22" t="n">
        <f aca="false">100*(AP69-AP68)</f>
        <v>1.23980847708638</v>
      </c>
      <c r="AQ203" s="22" t="n">
        <f aca="false">100*(AQ69-AQ68)</f>
        <v>1.18918853238301</v>
      </c>
      <c r="AR203" s="22" t="n">
        <f aca="false">100*(AR69-AR68)</f>
        <v>1.14012278411342</v>
      </c>
      <c r="AS203" s="22" t="n">
        <f aca="false">100*(AS69-AS68)</f>
        <v>1.09292883249572</v>
      </c>
      <c r="AT203" s="22" t="n">
        <f aca="false">100*(AT69-AT68)</f>
        <v>1.04781830235976</v>
      </c>
      <c r="AU203" s="22" t="n">
        <f aca="false">100*(AU69-AU68)</f>
        <v>1.00492567189336</v>
      </c>
      <c r="AV203" s="22" t="n">
        <f aca="false">100*(AV69-AV68)</f>
        <v>0.964330837502203</v>
      </c>
      <c r="AW203" s="22" t="n">
        <f aca="false">100*(AW69-AW68)</f>
        <v>0.92608402793859</v>
      </c>
      <c r="AX203" s="22" t="n">
        <f aca="false">100*(AX69-AX68)</f>
        <v>0.890221949877601</v>
      </c>
      <c r="AY203" s="22" t="n">
        <f aca="false">100*(AY69-AY68)</f>
        <v>0.856776170530971</v>
      </c>
      <c r="AZ203" s="22" t="n">
        <f aca="false">100*(AZ69-AZ68)</f>
        <v>0.825775259009687</v>
      </c>
      <c r="BA203" s="22" t="n">
        <f aca="false">100*(BA69-BA68)</f>
        <v>0.79724539314312</v>
      </c>
      <c r="BB203" s="22" t="n">
        <f aca="false">100*(BB69-BB68)</f>
        <v>0.771210248251286</v>
      </c>
      <c r="BC203" s="22" t="n">
        <f aca="false">100*(BC69-BC68)</f>
        <v>0.747691097379999</v>
      </c>
      <c r="BD203" s="22" t="n">
        <f aca="false">100*(BD69-BD68)</f>
        <v>0.726705565482977</v>
      </c>
      <c r="BE203" s="22" t="n">
        <f aca="false">100*(BE69-BE68)</f>
        <v>0.708266536840707</v>
      </c>
      <c r="BF203" s="22" t="n">
        <f aca="false">100*(BF69-BF68)</f>
        <v>0.692381508737494</v>
      </c>
      <c r="BG203" s="22" t="n">
        <f aca="false">100*(BG69-BG68)</f>
        <v>0.679049930667164</v>
      </c>
      <c r="BH203" s="22" t="n">
        <f aca="false">AVERAGE(C203:BG203)</f>
        <v>2.84597009045498</v>
      </c>
    </row>
    <row r="204" customFormat="false" ht="15" hidden="false" customHeight="false" outlineLevel="0" collapsed="false">
      <c r="A204" s="20" t="n">
        <f aca="false">A70</f>
        <v>-55</v>
      </c>
      <c r="B204" s="21" t="n">
        <f aca="false">B70</f>
        <v>44757</v>
      </c>
      <c r="C204" s="22" t="n">
        <f aca="false">100*(C70-C69)</f>
        <v>-1.98377985782829</v>
      </c>
      <c r="D204" s="22" t="n">
        <f aca="false">100*(D70-D69)</f>
        <v>-2.15981388607449</v>
      </c>
      <c r="E204" s="22" t="n">
        <f aca="false">100*(E70-E69)</f>
        <v>-2.2347220239739</v>
      </c>
      <c r="F204" s="22" t="n">
        <f aca="false">100*(F70-F69)</f>
        <v>-2.2392412991455</v>
      </c>
      <c r="G204" s="22" t="n">
        <f aca="false">100*(G70-G69)</f>
        <v>-2.18983339965491</v>
      </c>
      <c r="H204" s="22" t="n">
        <f aca="false">100*(H70-H69)</f>
        <v>-2.0966135780162</v>
      </c>
      <c r="I204" s="22" t="n">
        <f aca="false">100*(I70-I69)</f>
        <v>-1.96646435333501</v>
      </c>
      <c r="J204" s="22" t="n">
        <f aca="false">100*(J70-J69)</f>
        <v>-1.80398991929531</v>
      </c>
      <c r="K204" s="22" t="n">
        <f aca="false">100*(K70-K69)</f>
        <v>-1.6126443689227</v>
      </c>
      <c r="L204" s="22" t="n">
        <f aca="false">100*(L70-L69)</f>
        <v>-1.3945044988239</v>
      </c>
      <c r="M204" s="22" t="n">
        <f aca="false">100*(M70-M69)</f>
        <v>-1.1507068771623</v>
      </c>
      <c r="N204" s="22" t="n">
        <f aca="false">100*(N70-N69)</f>
        <v>-0.88185874449509</v>
      </c>
      <c r="O204" s="22" t="n">
        <f aca="false">100*(O70-O69)</f>
        <v>-0.588380538363298</v>
      </c>
      <c r="P204" s="22" t="n">
        <f aca="false">100*(P70-P69)</f>
        <v>-0.271150551021782</v>
      </c>
      <c r="Q204" s="22" t="n">
        <f aca="false">100*(Q70-Q69)</f>
        <v>0.0682750013740741</v>
      </c>
      <c r="R204" s="22" t="n">
        <f aca="false">100*(R70-R69)</f>
        <v>0.427484712968607</v>
      </c>
      <c r="S204" s="22" t="n">
        <f aca="false">100*(S70-S69)</f>
        <v>0.803170100491091</v>
      </c>
      <c r="T204" s="22" t="n">
        <f aca="false">100*(T70-T69)</f>
        <v>1.19098891734244</v>
      </c>
      <c r="U204" s="22" t="n">
        <f aca="false">100*(U70-U69)</f>
        <v>1.58613742557638</v>
      </c>
      <c r="V204" s="22" t="n">
        <f aca="false">100*(V70-V69)</f>
        <v>1.9836762645995</v>
      </c>
      <c r="W204" s="22" t="n">
        <f aca="false">100*(W70-W69)</f>
        <v>2.3785562918456</v>
      </c>
      <c r="X204" s="22" t="n">
        <f aca="false">100*(X70-X69)</f>
        <v>2.76565719205437</v>
      </c>
      <c r="Y204" s="22" t="n">
        <f aca="false">100*(Y70-Y69)</f>
        <v>3.14011691607519</v>
      </c>
      <c r="Z204" s="22" t="n">
        <f aca="false">100*(Z70-Z69)</f>
        <v>3.49769834140488</v>
      </c>
      <c r="AA204" s="22" t="n">
        <f aca="false">100*(AA70-AA69)</f>
        <v>3.83472346123583</v>
      </c>
      <c r="AB204" s="22" t="n">
        <f aca="false">100*(AB70-AB69)</f>
        <v>4.14814573281412</v>
      </c>
      <c r="AC204" s="22" t="n">
        <f aca="false">100*(AC70-AC69)</f>
        <v>4.43576671508921</v>
      </c>
      <c r="AD204" s="22" t="n">
        <f aca="false">100*(AD70-AD69)</f>
        <v>4.69616194766531</v>
      </c>
      <c r="AE204" s="22" t="n">
        <f aca="false">100*(AE70-AE69)</f>
        <v>4.92856017716128</v>
      </c>
      <c r="AF204" s="22" t="n">
        <f aca="false">100*(AF70-AF69)</f>
        <v>5.13274436628191</v>
      </c>
      <c r="AG204" s="22" t="n">
        <f aca="false">100*(AG70-AG69)</f>
        <v>5.30900357889621</v>
      </c>
      <c r="AH204" s="22" t="n">
        <f aca="false">100*(AH70-AH69)</f>
        <v>5.45823757647539</v>
      </c>
      <c r="AI204" s="22" t="n">
        <f aca="false">100*(AI70-AI69)</f>
        <v>5.58185972967018</v>
      </c>
      <c r="AJ204" s="22" t="n">
        <f aca="false">100*(AJ70-AJ69)</f>
        <v>5.6816450725603</v>
      </c>
      <c r="AK204" s="22" t="n">
        <f aca="false">100*(AK70-AK69)</f>
        <v>5.75965643823921</v>
      </c>
      <c r="AL204" s="22" t="n">
        <f aca="false">100*(AL70-AL69)</f>
        <v>5.81812588181241</v>
      </c>
      <c r="AM204" s="22" t="n">
        <f aca="false">100*(AM70-AM69)</f>
        <v>5.85936989048648</v>
      </c>
      <c r="AN204" s="22" t="n">
        <f aca="false">100*(AN70-AN69)</f>
        <v>5.88570968226279</v>
      </c>
      <c r="AO204" s="22" t="n">
        <f aca="false">100*(AO70-AO69)</f>
        <v>5.89943709172758</v>
      </c>
      <c r="AP204" s="22" t="n">
        <f aca="false">100*(AP70-AP69)</f>
        <v>5.90274971608151</v>
      </c>
      <c r="AQ204" s="22" t="n">
        <f aca="false">100*(AQ70-AQ69)</f>
        <v>5.897717392806</v>
      </c>
      <c r="AR204" s="22" t="n">
        <f aca="false">100*(AR70-AR69)</f>
        <v>5.88624717468909</v>
      </c>
      <c r="AS204" s="22" t="n">
        <f aca="false">100*(AS70-AS69)</f>
        <v>5.87005377875971</v>
      </c>
      <c r="AT204" s="22" t="n">
        <f aca="false">100*(AT70-AT69)</f>
        <v>5.85065255953121</v>
      </c>
      <c r="AU204" s="22" t="n">
        <f aca="false">100*(AU70-AU69)</f>
        <v>5.82935866551542</v>
      </c>
      <c r="AV204" s="22" t="n">
        <f aca="false">100*(AV70-AV69)</f>
        <v>5.80728824407149</v>
      </c>
      <c r="AW204" s="22" t="n">
        <f aca="false">100*(AW70-AW69)</f>
        <v>5.78536179464853</v>
      </c>
      <c r="AX204" s="22" t="n">
        <f aca="false">100*(AX70-AX69)</f>
        <v>5.76433043251767</v>
      </c>
      <c r="AY204" s="22" t="n">
        <f aca="false">100*(AY70-AY69)</f>
        <v>5.74480035202489</v>
      </c>
      <c r="AZ204" s="22" t="n">
        <f aca="false">100*(AZ70-AZ69)</f>
        <v>5.72725424749292</v>
      </c>
      <c r="BA204" s="22" t="n">
        <f aca="false">100*(BA70-BA69)</f>
        <v>5.71206492153471</v>
      </c>
      <c r="BB204" s="22" t="n">
        <f aca="false">100*(BB70-BB69)</f>
        <v>5.69951558745139</v>
      </c>
      <c r="BC204" s="22" t="n">
        <f aca="false">100*(BC70-BC69)</f>
        <v>5.68982148245092</v>
      </c>
      <c r="BD204" s="22" t="n">
        <f aca="false">100*(BD70-BD69)</f>
        <v>5.6831401325701</v>
      </c>
      <c r="BE204" s="22" t="n">
        <f aca="false">100*(BE70-BE69)</f>
        <v>5.6795779535832</v>
      </c>
      <c r="BF204" s="22" t="n">
        <f aca="false">100*(BF70-BF69)</f>
        <v>5.67919604493268</v>
      </c>
      <c r="BG204" s="22" t="n">
        <f aca="false">100*(BG70-BG69)</f>
        <v>5.68202091957581</v>
      </c>
      <c r="BH204" s="22" t="n">
        <f aca="false">AVERAGE(C204:BG204)</f>
        <v>3.11558519316202</v>
      </c>
    </row>
    <row r="205" customFormat="false" ht="15" hidden="false" customHeight="false" outlineLevel="0" collapsed="false">
      <c r="A205" s="20" t="n">
        <f aca="false">A71</f>
        <v>-54</v>
      </c>
      <c r="B205" s="21" t="n">
        <f aca="false">B71</f>
        <v>44760</v>
      </c>
      <c r="C205" s="22" t="n">
        <f aca="false">100*(C71-C70)</f>
        <v>6.26438010735531</v>
      </c>
      <c r="D205" s="22" t="n">
        <f aca="false">100*(D71-D70)</f>
        <v>6.3543160836578</v>
      </c>
      <c r="E205" s="22" t="n">
        <f aca="false">100*(E71-E70)</f>
        <v>6.33393695193079</v>
      </c>
      <c r="F205" s="22" t="n">
        <f aca="false">100*(F71-F70)</f>
        <v>6.2827181536065</v>
      </c>
      <c r="G205" s="22" t="n">
        <f aca="false">100*(G71-G70)</f>
        <v>6.23184128005361</v>
      </c>
      <c r="H205" s="22" t="n">
        <f aca="false">100*(H71-H70)</f>
        <v>6.19274833705481</v>
      </c>
      <c r="I205" s="22" t="n">
        <f aca="false">100*(I71-I70)</f>
        <v>6.1683480075803</v>
      </c>
      <c r="J205" s="22" t="n">
        <f aca="false">100*(J71-J70)</f>
        <v>6.1578658930882</v>
      </c>
      <c r="K205" s="22" t="n">
        <f aca="false">100*(K71-K70)</f>
        <v>6.1585650978635</v>
      </c>
      <c r="L205" s="22" t="n">
        <f aca="false">100*(L71-L70)</f>
        <v>6.1668920603023</v>
      </c>
      <c r="M205" s="22" t="n">
        <f aca="false">100*(M71-M70)</f>
        <v>6.17890738024731</v>
      </c>
      <c r="N205" s="22" t="n">
        <f aca="false">100*(N71-N70)</f>
        <v>6.19049010220809</v>
      </c>
      <c r="O205" s="22" t="n">
        <f aca="false">100*(O71-O70)</f>
        <v>6.19766770977972</v>
      </c>
      <c r="P205" s="22" t="n">
        <f aca="false">100*(P71-P70)</f>
        <v>6.19692862041532</v>
      </c>
      <c r="Q205" s="22" t="n">
        <f aca="false">100*(Q71-Q70)</f>
        <v>6.18533974797613</v>
      </c>
      <c r="R205" s="22" t="n">
        <f aca="false">100*(R71-R70)</f>
        <v>6.16080217544499</v>
      </c>
      <c r="S205" s="22" t="n">
        <f aca="false">100*(S71-S70)</f>
        <v>6.12207673477991</v>
      </c>
      <c r="T205" s="22" t="n">
        <f aca="false">100*(T71-T70)</f>
        <v>6.0687289309727</v>
      </c>
      <c r="U205" s="22" t="n">
        <f aca="false">100*(U71-U70)</f>
        <v>6.00111672880219</v>
      </c>
      <c r="V205" s="22" t="n">
        <f aca="false">100*(V71-V70)</f>
        <v>5.92026632222984</v>
      </c>
      <c r="W205" s="22" t="n">
        <f aca="false">100*(W71-W70)</f>
        <v>5.82773025989591</v>
      </c>
      <c r="X205" s="22" t="n">
        <f aca="false">100*(X71-X70)</f>
        <v>5.72548451555872</v>
      </c>
      <c r="Y205" s="22" t="n">
        <f aca="false">100*(Y71-Y70)</f>
        <v>5.61585351500571</v>
      </c>
      <c r="Z205" s="22" t="n">
        <f aca="false">100*(Z71-Z70)</f>
        <v>5.5013913397659</v>
      </c>
      <c r="AA205" s="22" t="n">
        <f aca="false">100*(AA71-AA70)</f>
        <v>5.38474445716419</v>
      </c>
      <c r="AB205" s="22" t="n">
        <f aca="false">100*(AB71-AB70)</f>
        <v>5.26843062452311</v>
      </c>
      <c r="AC205" s="22" t="n">
        <f aca="false">100*(AC71-AC70)</f>
        <v>5.15462178208952</v>
      </c>
      <c r="AD205" s="22" t="n">
        <f aca="false">100*(AD71-AD70)</f>
        <v>5.04515495620912</v>
      </c>
      <c r="AE205" s="22" t="n">
        <f aca="false">100*(AE71-AE70)</f>
        <v>4.94158447011532</v>
      </c>
      <c r="AF205" s="22" t="n">
        <f aca="false">100*(AF71-AF70)</f>
        <v>4.84522470125892</v>
      </c>
      <c r="AG205" s="22" t="n">
        <f aca="false">100*(AG71-AG70)</f>
        <v>4.75713286971451</v>
      </c>
      <c r="AH205" s="22" t="n">
        <f aca="false">100*(AH71-AH70)</f>
        <v>4.67796534703711</v>
      </c>
      <c r="AI205" s="22" t="n">
        <f aca="false">100*(AI71-AI70)</f>
        <v>4.60803522548621</v>
      </c>
      <c r="AJ205" s="22" t="n">
        <f aca="false">100*(AJ71-AJ70)</f>
        <v>4.54736239856519</v>
      </c>
      <c r="AK205" s="22" t="n">
        <f aca="false">100*(AK71-AK70)</f>
        <v>4.49571150508148</v>
      </c>
      <c r="AL205" s="22" t="n">
        <f aca="false">100*(AL71-AL70)</f>
        <v>4.45263717176228</v>
      </c>
      <c r="AM205" s="22" t="n">
        <f aca="false">100*(AM71-AM70)</f>
        <v>4.41751042940051</v>
      </c>
      <c r="AN205" s="22" t="n">
        <f aca="false">100*(AN71-AN70)</f>
        <v>4.3895058166282</v>
      </c>
      <c r="AO205" s="22" t="n">
        <f aca="false">100*(AO71-AO70)</f>
        <v>4.36761473167793</v>
      </c>
      <c r="AP205" s="22" t="n">
        <f aca="false">100*(AP71-AP70)</f>
        <v>4.35068030911978</v>
      </c>
      <c r="AQ205" s="22" t="n">
        <f aca="false">100*(AQ71-AQ70)</f>
        <v>4.33742833537156</v>
      </c>
      <c r="AR205" s="22" t="n">
        <f aca="false">100*(AR71-AR70)</f>
        <v>4.3265273866647</v>
      </c>
      <c r="AS205" s="22" t="n">
        <f aca="false">100*(AS71-AS70)</f>
        <v>4.31665147769968</v>
      </c>
      <c r="AT205" s="22" t="n">
        <f aca="false">100*(AT71-AT70)</f>
        <v>4.30651870382759</v>
      </c>
      <c r="AU205" s="22" t="n">
        <f aca="false">100*(AU71-AU70)</f>
        <v>4.29492828400209</v>
      </c>
      <c r="AV205" s="22" t="n">
        <f aca="false">100*(AV71-AV70)</f>
        <v>4.2807843355638</v>
      </c>
      <c r="AW205" s="22" t="n">
        <f aca="false">100*(AW71-AW70)</f>
        <v>4.26312295132751</v>
      </c>
      <c r="AX205" s="22" t="n">
        <f aca="false">100*(AX71-AX70)</f>
        <v>4.24111692485822</v>
      </c>
      <c r="AY205" s="22" t="n">
        <f aca="false">100*(AY71-AY70)</f>
        <v>4.21409253043121</v>
      </c>
      <c r="AZ205" s="22" t="n">
        <f aca="false">100*(AZ71-AZ70)</f>
        <v>4.18154167512519</v>
      </c>
      <c r="BA205" s="22" t="n">
        <f aca="false">100*(BA71-BA70)</f>
        <v>4.14311074406388</v>
      </c>
      <c r="BB205" s="22" t="n">
        <f aca="false">100*(BB71-BB70)</f>
        <v>4.09860323634792</v>
      </c>
      <c r="BC205" s="22" t="n">
        <f aca="false">100*(BC71-BC70)</f>
        <v>4.0479852955738</v>
      </c>
      <c r="BD205" s="22" t="n">
        <f aca="false">100*(BD71-BD70)</f>
        <v>3.99137625820911</v>
      </c>
      <c r="BE205" s="22" t="n">
        <f aca="false">100*(BE71-BE70)</f>
        <v>3.9290362526184</v>
      </c>
      <c r="BF205" s="22" t="n">
        <f aca="false">100*(BF71-BF70)</f>
        <v>3.86135152966522</v>
      </c>
      <c r="BG205" s="22" t="n">
        <f aca="false">100*(BG71-BG70)</f>
        <v>3.78882357549539</v>
      </c>
      <c r="BH205" s="22" t="n">
        <f aca="false">AVERAGE(C205:BG205)</f>
        <v>5.13212828681148</v>
      </c>
    </row>
    <row r="206" customFormat="false" ht="15" hidden="false" customHeight="false" outlineLevel="0" collapsed="false">
      <c r="A206" s="20" t="n">
        <f aca="false">A72</f>
        <v>-53</v>
      </c>
      <c r="B206" s="21" t="n">
        <f aca="false">B72</f>
        <v>44761</v>
      </c>
      <c r="C206" s="22" t="n">
        <f aca="false">100*(C72-C71)</f>
        <v>6.939918569479</v>
      </c>
      <c r="D206" s="22" t="n">
        <f aca="false">100*(D72-D71)</f>
        <v>6.71179357829881</v>
      </c>
      <c r="E206" s="22" t="n">
        <f aca="false">100*(E72-E71)</f>
        <v>6.38112533137081</v>
      </c>
      <c r="F206" s="22" t="n">
        <f aca="false">100*(F72-F71)</f>
        <v>6.0279445853628</v>
      </c>
      <c r="G206" s="22" t="n">
        <f aca="false">100*(G72-G71)</f>
        <v>5.6810537243849</v>
      </c>
      <c r="H206" s="22" t="n">
        <f aca="false">100*(H72-H71)</f>
        <v>5.35313234200769</v>
      </c>
      <c r="I206" s="22" t="n">
        <f aca="false">100*(I72-I71)</f>
        <v>5.05139792289071</v>
      </c>
      <c r="J206" s="22" t="n">
        <f aca="false">100*(J72-J71)</f>
        <v>4.781540394085</v>
      </c>
      <c r="K206" s="22" t="n">
        <f aca="false">100*(K72-K71)</f>
        <v>4.5485844001979</v>
      </c>
      <c r="L206" s="22" t="n">
        <f aca="false">100*(L72-L71)</f>
        <v>4.356918248245</v>
      </c>
      <c r="M206" s="22" t="n">
        <f aca="false">100*(M72-M71)</f>
        <v>4.2095100671838</v>
      </c>
      <c r="N206" s="22" t="n">
        <f aca="false">100*(N72-N71)</f>
        <v>4.10748765035931</v>
      </c>
      <c r="O206" s="22" t="n">
        <f aca="false">100*(O72-O71)</f>
        <v>4.05045114718208</v>
      </c>
      <c r="P206" s="22" t="n">
        <f aca="false">100*(P72-P71)</f>
        <v>4.03664538259116</v>
      </c>
      <c r="Q206" s="22" t="n">
        <f aca="false">100*(Q72-Q71)</f>
        <v>4.06319284220258</v>
      </c>
      <c r="R206" s="22" t="n">
        <f aca="false">100*(R72-R71)</f>
        <v>4.12624137064022</v>
      </c>
      <c r="S206" s="22" t="n">
        <f aca="false">100*(S72-S71)</f>
        <v>4.22113015879408</v>
      </c>
      <c r="T206" s="22" t="n">
        <f aca="false">100*(T72-T71)</f>
        <v>4.34230701577238</v>
      </c>
      <c r="U206" s="22" t="n">
        <f aca="false">100*(U72-U71)</f>
        <v>4.48399156771213</v>
      </c>
      <c r="V206" s="22" t="n">
        <f aca="false">100*(V72-V71)</f>
        <v>4.64070159036147</v>
      </c>
      <c r="W206" s="22" t="n">
        <f aca="false">100*(W72-W71)</f>
        <v>4.80720939303678</v>
      </c>
      <c r="X206" s="22" t="n">
        <f aca="false">100*(X72-X71)</f>
        <v>4.97850506792239</v>
      </c>
      <c r="Y206" s="22" t="n">
        <f aca="false">100*(Y72-Y71)</f>
        <v>5.1500791657173</v>
      </c>
      <c r="Z206" s="22" t="n">
        <f aca="false">100*(Z72-Z71)</f>
        <v>5.31835307062729</v>
      </c>
      <c r="AA206" s="22" t="n">
        <f aca="false">100*(AA72-AA71)</f>
        <v>5.4806077291143</v>
      </c>
      <c r="AB206" s="22" t="n">
        <f aca="false">100*(AB72-AB71)</f>
        <v>5.63483212743616</v>
      </c>
      <c r="AC206" s="22" t="n">
        <f aca="false">100*(AC72-AC71)</f>
        <v>5.7795796735999</v>
      </c>
      <c r="AD206" s="22" t="n">
        <f aca="false">100*(AD72-AD71)</f>
        <v>5.91387181113547</v>
      </c>
      <c r="AE206" s="22" t="n">
        <f aca="false">100*(AE72-AE71)</f>
        <v>6.0371248731931</v>
      </c>
      <c r="AF206" s="22" t="n">
        <f aca="false">100*(AF72-AF71)</f>
        <v>6.1490901911907</v>
      </c>
      <c r="AG206" s="22" t="n">
        <f aca="false">100*(AG72-AG71)</f>
        <v>6.2497742686022</v>
      </c>
      <c r="AH206" s="22" t="n">
        <f aca="false">100*(AH72-AH71)</f>
        <v>6.3392896061309</v>
      </c>
      <c r="AI206" s="22" t="n">
        <f aca="false">100*(AI72-AI71)</f>
        <v>6.4178037427661</v>
      </c>
      <c r="AJ206" s="22" t="n">
        <f aca="false">100*(AJ72-AJ71)</f>
        <v>6.48550776821253</v>
      </c>
      <c r="AK206" s="22" t="n">
        <f aca="false">100*(AK72-AK71)</f>
        <v>6.54260985230142</v>
      </c>
      <c r="AL206" s="22" t="n">
        <f aca="false">100*(AL72-AL71)</f>
        <v>6.589346569125</v>
      </c>
      <c r="AM206" s="22" t="n">
        <f aca="false">100*(AM72-AM71)</f>
        <v>6.62598952988791</v>
      </c>
      <c r="AN206" s="22" t="n">
        <f aca="false">100*(AN72-AN71)</f>
        <v>6.65283837253461</v>
      </c>
      <c r="AO206" s="22" t="n">
        <f aca="false">100*(AO72-AO71)</f>
        <v>6.67021542501391</v>
      </c>
      <c r="AP206" s="22" t="n">
        <f aca="false">100*(AP72-AP71)</f>
        <v>6.67845269368184</v>
      </c>
      <c r="AQ206" s="22" t="n">
        <f aca="false">100*(AQ72-AQ71)</f>
        <v>6.6778850205349</v>
      </c>
      <c r="AR206" s="22" t="n">
        <f aca="false">100*(AR72-AR71)</f>
        <v>6.66884131937779</v>
      </c>
      <c r="AS206" s="22" t="n">
        <f aca="false">100*(AS72-AS71)</f>
        <v>6.65163848908299</v>
      </c>
      <c r="AT206" s="22" t="n">
        <f aca="false">100*(AT72-AT71)</f>
        <v>6.62658159013123</v>
      </c>
      <c r="AU206" s="22" t="n">
        <f aca="false">100*(AU72-AU71)</f>
        <v>6.59396643125834</v>
      </c>
      <c r="AV206" s="22" t="n">
        <f aca="false">100*(AV72-AV71)</f>
        <v>6.55408350237532</v>
      </c>
      <c r="AW206" s="22" t="n">
        <f aca="false">100*(AW72-AW71)</f>
        <v>6.50722295149078</v>
      </c>
      <c r="AX206" s="22" t="n">
        <f aca="false">100*(AX72-AX71)</f>
        <v>6.4536753877916</v>
      </c>
      <c r="AY206" s="22" t="n">
        <f aca="false">100*(AY72-AY71)</f>
        <v>6.39374089860492</v>
      </c>
      <c r="AZ206" s="22" t="n">
        <f aca="false">100*(AZ72-AZ71)</f>
        <v>6.32773970950651</v>
      </c>
      <c r="BA206" s="22" t="n">
        <f aca="false">100*(BA72-BA71)</f>
        <v>6.25601224464289</v>
      </c>
      <c r="BB206" s="22" t="n">
        <f aca="false">100*(BB72-BB71)</f>
        <v>6.17892467114301</v>
      </c>
      <c r="BC206" s="22" t="n">
        <f aca="false">100*(BC72-BC71)</f>
        <v>6.09687574463607</v>
      </c>
      <c r="BD206" s="22" t="n">
        <f aca="false">100*(BD72-BD71)</f>
        <v>6.0102999663965</v>
      </c>
      <c r="BE206" s="22" t="n">
        <f aca="false">100*(BE72-BE71)</f>
        <v>5.91966886504061</v>
      </c>
      <c r="BF206" s="22" t="n">
        <f aca="false">100*(BF72-BF71)</f>
        <v>5.825492677904</v>
      </c>
      <c r="BG206" s="22" t="n">
        <f aca="false">100*(BG72-BG71)</f>
        <v>5.72832318426011</v>
      </c>
      <c r="BH206" s="22" t="n">
        <f aca="false">AVERAGE(C206:BG206)</f>
        <v>5.7208266925356</v>
      </c>
    </row>
    <row r="207" customFormat="false" ht="15" hidden="false" customHeight="false" outlineLevel="0" collapsed="false">
      <c r="A207" s="20" t="n">
        <f aca="false">A73</f>
        <v>-52</v>
      </c>
      <c r="B207" s="21" t="n">
        <f aca="false">B73</f>
        <v>44762</v>
      </c>
      <c r="C207" s="22" t="n">
        <f aca="false">100*(C73-C72)</f>
        <v>1.61689331758978</v>
      </c>
      <c r="D207" s="22" t="n">
        <f aca="false">100*(D73-D72)</f>
        <v>1.40929594696311</v>
      </c>
      <c r="E207" s="22" t="n">
        <f aca="false">100*(E73-E72)</f>
        <v>1.0038903198367</v>
      </c>
      <c r="F207" s="22" t="n">
        <f aca="false">100*(F73-F72)</f>
        <v>0.470318538543801</v>
      </c>
      <c r="G207" s="22" t="n">
        <f aca="false">100*(G73-G72)</f>
        <v>-0.145930171530795</v>
      </c>
      <c r="H207" s="22" t="n">
        <f aca="false">100*(H73-H72)</f>
        <v>-0.808943249346905</v>
      </c>
      <c r="I207" s="22" t="n">
        <f aca="false">100*(I73-I72)</f>
        <v>-1.48845744475541</v>
      </c>
      <c r="J207" s="22" t="n">
        <f aca="false">100*(J73-J72)</f>
        <v>-2.15907015657779</v>
      </c>
      <c r="K207" s="22" t="n">
        <f aca="false">100*(K73-K72)</f>
        <v>-2.79982698935131</v>
      </c>
      <c r="L207" s="22" t="n">
        <f aca="false">100*(L73-L72)</f>
        <v>-3.39448162493319</v>
      </c>
      <c r="M207" s="22" t="n">
        <f aca="false">100*(M73-M72)</f>
        <v>-3.93098398497729</v>
      </c>
      <c r="N207" s="22" t="n">
        <f aca="false">100*(N73-N72)</f>
        <v>-4.4013716389198</v>
      </c>
      <c r="O207" s="22" t="n">
        <f aca="false">100*(O73-O72)</f>
        <v>-4.80109959711408</v>
      </c>
      <c r="P207" s="22" t="n">
        <f aca="false">100*(P73-P72)</f>
        <v>-5.12888529609508</v>
      </c>
      <c r="Q207" s="22" t="n">
        <f aca="false">100*(Q73-Q72)</f>
        <v>-5.3863159583742</v>
      </c>
      <c r="R207" s="22" t="n">
        <f aca="false">100*(R73-R72)</f>
        <v>-5.57750825788812</v>
      </c>
      <c r="S207" s="22" t="n">
        <f aca="false">100*(S73-S72)</f>
        <v>-5.70838114178858</v>
      </c>
      <c r="T207" s="22" t="n">
        <f aca="false">100*(T73-T72)</f>
        <v>-5.78638483948719</v>
      </c>
      <c r="U207" s="22" t="n">
        <f aca="false">100*(U73-U72)</f>
        <v>-5.81943098605193</v>
      </c>
      <c r="V207" s="22" t="n">
        <f aca="false">100*(V73-V72)</f>
        <v>-5.81513350441911</v>
      </c>
      <c r="W207" s="22" t="n">
        <f aca="false">100*(W73-W72)</f>
        <v>-5.78084478355287</v>
      </c>
      <c r="X207" s="22" t="n">
        <f aca="false">100*(X73-X72)</f>
        <v>-5.72368947240158</v>
      </c>
      <c r="Y207" s="22" t="n">
        <f aca="false">100*(Y73-Y72)</f>
        <v>-5.6501827074777</v>
      </c>
      <c r="Z207" s="22" t="n">
        <f aca="false">100*(Z73-Z72)</f>
        <v>-5.56565668643327</v>
      </c>
      <c r="AA207" s="22" t="n">
        <f aca="false">100*(AA73-AA72)</f>
        <v>-5.47438312365909</v>
      </c>
      <c r="AB207" s="22" t="n">
        <f aca="false">100*(AB73-AB72)</f>
        <v>-5.3797695514227</v>
      </c>
      <c r="AC207" s="22" t="n">
        <f aca="false">100*(AC73-AC72)</f>
        <v>-5.284478919295</v>
      </c>
      <c r="AD207" s="22" t="n">
        <f aca="false">100*(AD73-AD72)</f>
        <v>-5.19054474701908</v>
      </c>
      <c r="AE207" s="22" t="n">
        <f aca="false">100*(AE73-AE72)</f>
        <v>-5.09946946443431</v>
      </c>
      <c r="AF207" s="22" t="n">
        <f aca="false">100*(AF73-AF72)</f>
        <v>-5.01230494204932</v>
      </c>
      <c r="AG207" s="22" t="n">
        <f aca="false">100*(AG73-AG72)</f>
        <v>-4.92974356569613</v>
      </c>
      <c r="AH207" s="22" t="n">
        <f aca="false">100*(AH73-AH72)</f>
        <v>-4.85223921789242</v>
      </c>
      <c r="AI207" s="22" t="n">
        <f aca="false">100*(AI73-AI72)</f>
        <v>-4.78006190219849</v>
      </c>
      <c r="AJ207" s="22" t="n">
        <f aca="false">100*(AJ73-AJ72)</f>
        <v>-4.71337549839772</v>
      </c>
      <c r="AK207" s="22" t="n">
        <f aca="false">100*(AK73-AK72)</f>
        <v>-4.65226603682751</v>
      </c>
      <c r="AL207" s="22" t="n">
        <f aca="false">100*(AL73-AL72)</f>
        <v>-4.59676954589616</v>
      </c>
      <c r="AM207" s="22" t="n">
        <f aca="false">100*(AM73-AM72)</f>
        <v>-4.54688279341982</v>
      </c>
      <c r="AN207" s="22" t="n">
        <f aca="false">100*(AN73-AN72)</f>
        <v>-4.50255580441761</v>
      </c>
      <c r="AO207" s="22" t="n">
        <f aca="false">100*(AO73-AO72)</f>
        <v>-4.46369192281373</v>
      </c>
      <c r="AP207" s="22" t="n">
        <f aca="false">100*(AP73-AP72)</f>
        <v>-4.4301516443793</v>
      </c>
      <c r="AQ207" s="22" t="n">
        <f aca="false">100*(AQ73-AQ72)</f>
        <v>-4.40175530117539</v>
      </c>
      <c r="AR207" s="22" t="n">
        <f aca="false">100*(AR73-AR72)</f>
        <v>-4.37829073560652</v>
      </c>
      <c r="AS207" s="22" t="n">
        <f aca="false">100*(AS73-AS72)</f>
        <v>-4.35951849655649</v>
      </c>
      <c r="AT207" s="22" t="n">
        <f aca="false">100*(AT73-AT72)</f>
        <v>-4.34517948358111</v>
      </c>
      <c r="AU207" s="22" t="n">
        <f aca="false">100*(AU73-AU72)</f>
        <v>-4.33500064863921</v>
      </c>
      <c r="AV207" s="22" t="n">
        <f aca="false">100*(AV73-AV72)</f>
        <v>-4.32869974036461</v>
      </c>
      <c r="AW207" s="22" t="n">
        <f aca="false">100*(AW73-AW72)</f>
        <v>-4.3259888600482</v>
      </c>
      <c r="AX207" s="22" t="n">
        <f aca="false">100*(AX73-AX72)</f>
        <v>-4.32657622970871</v>
      </c>
      <c r="AY207" s="22" t="n">
        <f aca="false">100*(AY73-AY72)</f>
        <v>-4.3301750114737</v>
      </c>
      <c r="AZ207" s="22" t="n">
        <f aca="false">100*(AZ73-AZ72)</f>
        <v>-4.33651042945091</v>
      </c>
      <c r="BA207" s="22" t="n">
        <f aca="false">100*(BA73-BA72)</f>
        <v>-4.34532001933161</v>
      </c>
      <c r="BB207" s="22" t="n">
        <f aca="false">100*(BB73-BB72)</f>
        <v>-4.35636230744532</v>
      </c>
      <c r="BC207" s="22" t="n">
        <f aca="false">100*(BC73-BC72)</f>
        <v>-4.36942567765737</v>
      </c>
      <c r="BD207" s="22" t="n">
        <f aca="false">100*(BD73-BD72)</f>
        <v>-4.38432678366789</v>
      </c>
      <c r="BE207" s="22" t="n">
        <f aca="false">100*(BE73-BE72)</f>
        <v>-4.40090636622781</v>
      </c>
      <c r="BF207" s="22" t="n">
        <f aca="false">100*(BF73-BF72)</f>
        <v>-4.41902037794462</v>
      </c>
      <c r="BG207" s="22" t="n">
        <f aca="false">100*(BG73-BG72)</f>
        <v>-4.4385319116075</v>
      </c>
      <c r="BH207" s="22" t="n">
        <f aca="false">AVERAGE(C207:BG207)</f>
        <v>-4.09583258647102</v>
      </c>
    </row>
    <row r="208" customFormat="false" ht="15" hidden="false" customHeight="false" outlineLevel="0" collapsed="false">
      <c r="A208" s="20" t="n">
        <f aca="false">A74</f>
        <v>-51</v>
      </c>
      <c r="B208" s="21" t="n">
        <f aca="false">B74</f>
        <v>44763</v>
      </c>
      <c r="C208" s="22" t="n">
        <f aca="false">100*(C74-C73)</f>
        <v>-9.00743602930558</v>
      </c>
      <c r="D208" s="22" t="n">
        <f aca="false">100*(D74-D73)</f>
        <v>-8.77408669151551</v>
      </c>
      <c r="E208" s="22" t="n">
        <f aca="false">100*(E74-E73)</f>
        <v>-8.50935788330971</v>
      </c>
      <c r="F208" s="22" t="n">
        <f aca="false">100*(F74-F73)</f>
        <v>-8.2736696869768</v>
      </c>
      <c r="G208" s="22" t="n">
        <f aca="false">100*(G74-G73)</f>
        <v>-8.10172993246152</v>
      </c>
      <c r="H208" s="22" t="n">
        <f aca="false">100*(H74-H73)</f>
        <v>-8.005185230367</v>
      </c>
      <c r="I208" s="22" t="n">
        <f aca="false">100*(I74-I73)</f>
        <v>-7.9833411439082</v>
      </c>
      <c r="J208" s="22" t="n">
        <f aca="false">100*(J74-J73)</f>
        <v>-8.03059763839571</v>
      </c>
      <c r="K208" s="22" t="n">
        <f aca="false">100*(K74-K73)</f>
        <v>-8.1396117789144</v>
      </c>
      <c r="L208" s="22" t="n">
        <f aca="false">100*(L74-L73)</f>
        <v>-8.30306088658031</v>
      </c>
      <c r="M208" s="22" t="n">
        <f aca="false">100*(M74-M73)</f>
        <v>-8.5134706432586</v>
      </c>
      <c r="N208" s="22" t="n">
        <f aca="false">100*(N74-N73)</f>
        <v>-8.76350699734261</v>
      </c>
      <c r="O208" s="22" t="n">
        <f aca="false">100*(O74-O73)</f>
        <v>-9.0462989284227</v>
      </c>
      <c r="P208" s="22" t="n">
        <f aca="false">100*(P74-P73)</f>
        <v>-9.35550378821701</v>
      </c>
      <c r="Q208" s="22" t="n">
        <f aca="false">100*(Q74-Q73)</f>
        <v>-9.68524541379661</v>
      </c>
      <c r="R208" s="22" t="n">
        <f aca="false">100*(R74-R73)</f>
        <v>-10.0300013687595</v>
      </c>
      <c r="S208" s="22" t="n">
        <f aca="false">100*(S74-S73)</f>
        <v>-10.38442062463</v>
      </c>
      <c r="T208" s="22" t="n">
        <f aca="false">100*(T74-T73)</f>
        <v>-10.7431339573712</v>
      </c>
      <c r="U208" s="22" t="n">
        <f aca="false">100*(U74-U73)</f>
        <v>-11.1009438079388</v>
      </c>
      <c r="V208" s="22" t="n">
        <f aca="false">100*(V74-V73)</f>
        <v>-11.4530888133637</v>
      </c>
      <c r="W208" s="22" t="n">
        <f aca="false">100*(W74-W73)</f>
        <v>-11.7951726128348</v>
      </c>
      <c r="X208" s="22" t="n">
        <f aca="false">100*(X74-X73)</f>
        <v>-12.1230938564947</v>
      </c>
      <c r="Y208" s="22" t="n">
        <f aca="false">100*(Y74-Y73)</f>
        <v>-12.4331398494204</v>
      </c>
      <c r="Z208" s="22" t="n">
        <f aca="false">100*(Z74-Z73)</f>
        <v>-12.7222556052861</v>
      </c>
      <c r="AA208" s="22" t="n">
        <f aca="false">100*(AA74-AA73)</f>
        <v>-12.98804263669</v>
      </c>
      <c r="AB208" s="22" t="n">
        <f aca="false">100*(AB74-AB73)</f>
        <v>-13.2287754455019</v>
      </c>
      <c r="AC208" s="22" t="n">
        <f aca="false">100*(AC74-AC73)</f>
        <v>-13.4434542574009</v>
      </c>
      <c r="AD208" s="22" t="n">
        <f aca="false">100*(AD74-AD73)</f>
        <v>-13.631717826426</v>
      </c>
      <c r="AE208" s="22" t="n">
        <f aca="false">100*(AE74-AE73)</f>
        <v>-13.7937437282562</v>
      </c>
      <c r="AF208" s="22" t="n">
        <f aca="false">100*(AF74-AF73)</f>
        <v>-13.9301667931332</v>
      </c>
      <c r="AG208" s="22" t="n">
        <f aca="false">100*(AG74-AG73)</f>
        <v>-14.0420379827473</v>
      </c>
      <c r="AH208" s="22" t="n">
        <f aca="false">100*(AH74-AH73)</f>
        <v>-14.1308315151804</v>
      </c>
      <c r="AI208" s="22" t="n">
        <f aca="false">100*(AI74-AI73)</f>
        <v>-14.1983652775988</v>
      </c>
      <c r="AJ208" s="22" t="n">
        <f aca="false">100*(AJ74-AJ73)</f>
        <v>-14.2467406022054</v>
      </c>
      <c r="AK208" s="22" t="n">
        <f aca="false">100*(AK74-AK73)</f>
        <v>-14.2782980795555</v>
      </c>
      <c r="AL208" s="22" t="n">
        <f aca="false">100*(AL74-AL73)</f>
        <v>-14.2955540889709</v>
      </c>
      <c r="AM208" s="22" t="n">
        <f aca="false">100*(AM74-AM73)</f>
        <v>-14.3011380660303</v>
      </c>
      <c r="AN208" s="22" t="n">
        <f aca="false">100*(AN74-AN73)</f>
        <v>-14.2977197047336</v>
      </c>
      <c r="AO208" s="22" t="n">
        <f aca="false">100*(AO74-AO73)</f>
        <v>-14.2879736110453</v>
      </c>
      <c r="AP208" s="22" t="n">
        <f aca="false">100*(AP74-AP73)</f>
        <v>-14.2745201558838</v>
      </c>
      <c r="AQ208" s="22" t="n">
        <f aca="false">100*(AQ74-AQ73)</f>
        <v>-14.2598903400316</v>
      </c>
      <c r="AR208" s="22" t="n">
        <f aca="false">100*(AR74-AR73)</f>
        <v>-14.2464874809646</v>
      </c>
      <c r="AS208" s="22" t="n">
        <f aca="false">100*(AS74-AS73)</f>
        <v>-14.2365466677797</v>
      </c>
      <c r="AT208" s="22" t="n">
        <f aca="false">100*(AT74-AT73)</f>
        <v>-14.2321111442171</v>
      </c>
      <c r="AU208" s="22" t="n">
        <f aca="false">100*(AU74-AU73)</f>
        <v>-14.2350088563568</v>
      </c>
      <c r="AV208" s="22" t="n">
        <f aca="false">100*(AV74-AV73)</f>
        <v>-14.2468378635247</v>
      </c>
      <c r="AW208" s="22" t="n">
        <f aca="false">100*(AW74-AW73)</f>
        <v>-14.2689464711888</v>
      </c>
      <c r="AX208" s="22" t="n">
        <f aca="false">100*(AX74-AX73)</f>
        <v>-14.302431986977</v>
      </c>
      <c r="AY208" s="22" t="n">
        <f aca="false">100*(AY74-AY73)</f>
        <v>-14.348131114016</v>
      </c>
      <c r="AZ208" s="22" t="n">
        <f aca="false">100*(AZ74-AZ73)</f>
        <v>-14.4066196709188</v>
      </c>
      <c r="BA208" s="22" t="n">
        <f aca="false">100*(BA74-BA73)</f>
        <v>-14.4782331964336</v>
      </c>
      <c r="BB208" s="22" t="n">
        <f aca="false">100*(BB74-BB73)</f>
        <v>-14.5630763686004</v>
      </c>
      <c r="BC208" s="22" t="n">
        <f aca="false">100*(BC74-BC73)</f>
        <v>-14.6610288609768</v>
      </c>
      <c r="BD208" s="22" t="n">
        <f aca="false">100*(BD74-BD73)</f>
        <v>-14.7717569650857</v>
      </c>
      <c r="BE208" s="22" t="n">
        <f aca="false">100*(BE74-BE73)</f>
        <v>-14.8947271814849</v>
      </c>
      <c r="BF208" s="22" t="n">
        <f aca="false">100*(BF74-BF73)</f>
        <v>-15.0292198976153</v>
      </c>
      <c r="BG208" s="22" t="n">
        <f aca="false">100*(BG74-BG73)</f>
        <v>-15.1743383082667</v>
      </c>
      <c r="BH208" s="22" t="n">
        <f aca="false">AVERAGE(C208:BG208)</f>
        <v>-12.2982776370995</v>
      </c>
    </row>
    <row r="209" customFormat="false" ht="15" hidden="false" customHeight="false" outlineLevel="0" collapsed="false">
      <c r="A209" s="20" t="n">
        <f aca="false">A75</f>
        <v>-50</v>
      </c>
      <c r="B209" s="21" t="n">
        <f aca="false">B75</f>
        <v>44764</v>
      </c>
      <c r="C209" s="22" t="n">
        <f aca="false">100*(C75-C74)</f>
        <v>-13.724320022632</v>
      </c>
      <c r="D209" s="22" t="n">
        <f aca="false">100*(D75-D74)</f>
        <v>-13.642162894598</v>
      </c>
      <c r="E209" s="22" t="n">
        <f aca="false">100*(E75-E74)</f>
        <v>-13.4253106706226</v>
      </c>
      <c r="F209" s="22" t="n">
        <f aca="false">100*(F75-F74)</f>
        <v>-13.1291412808118</v>
      </c>
      <c r="G209" s="22" t="n">
        <f aca="false">100*(G75-G74)</f>
        <v>-12.7871664505648</v>
      </c>
      <c r="H209" s="22" t="n">
        <f aca="false">100*(H75-H74)</f>
        <v>-12.421781258675</v>
      </c>
      <c r="I209" s="22" t="n">
        <f aca="false">100*(I75-I74)</f>
        <v>-12.0496798719578</v>
      </c>
      <c r="J209" s="22" t="n">
        <f aca="false">100*(J75-J74)</f>
        <v>-11.6832547389242</v>
      </c>
      <c r="K209" s="22" t="n">
        <f aca="false">100*(K75-K74)</f>
        <v>-11.3308868791521</v>
      </c>
      <c r="L209" s="22" t="n">
        <f aca="false">100*(L75-L74)</f>
        <v>-10.9985479967822</v>
      </c>
      <c r="M209" s="22" t="n">
        <f aca="false">100*(M75-M74)</f>
        <v>-10.6895986124456</v>
      </c>
      <c r="N209" s="22" t="n">
        <f aca="false">100*(N75-N74)</f>
        <v>-10.405444153781</v>
      </c>
      <c r="O209" s="22" t="n">
        <f aca="false">100*(O75-O74)</f>
        <v>-10.1460101840532</v>
      </c>
      <c r="P209" s="22" t="n">
        <f aca="false">100*(P75-P74)</f>
        <v>-9.91003884967689</v>
      </c>
      <c r="Q209" s="22" t="n">
        <f aca="false">100*(Q75-Q74)</f>
        <v>-9.69531027124229</v>
      </c>
      <c r="R209" s="22" t="n">
        <f aca="false">100*(R75-R74)</f>
        <v>-9.49894228661821</v>
      </c>
      <c r="S209" s="22" t="n">
        <f aca="false">100*(S75-S74)</f>
        <v>-9.3176856825945</v>
      </c>
      <c r="T209" s="22" t="n">
        <f aca="false">100*(T75-T74)</f>
        <v>-9.14812037836468</v>
      </c>
      <c r="U209" s="22" t="n">
        <f aca="false">100*(U75-U74)</f>
        <v>-8.9869740474648</v>
      </c>
      <c r="V209" s="22" t="n">
        <f aca="false">100*(V75-V74)</f>
        <v>-8.83153850259153</v>
      </c>
      <c r="W209" s="22" t="n">
        <f aca="false">100*(W75-W74)</f>
        <v>-8.6795869968531</v>
      </c>
      <c r="X209" s="22" t="n">
        <f aca="false">100*(X75-X74)</f>
        <v>-8.52927392050429</v>
      </c>
      <c r="Y209" s="22" t="n">
        <f aca="false">100*(Y75-Y74)</f>
        <v>-8.3791644930328</v>
      </c>
      <c r="Z209" s="22" t="n">
        <f aca="false">100*(Z75-Z74)</f>
        <v>-8.22853714584078</v>
      </c>
      <c r="AA209" s="22" t="n">
        <f aca="false">100*(AA75-AA74)</f>
        <v>-8.07730185257691</v>
      </c>
      <c r="AB209" s="22" t="n">
        <f aca="false">100*(AB75-AB74)</f>
        <v>-7.92576638242433</v>
      </c>
      <c r="AC209" s="22" t="n">
        <f aca="false">100*(AC75-AC74)</f>
        <v>-7.77446884297359</v>
      </c>
      <c r="AD209" s="22" t="n">
        <f aca="false">100*(AD75-AD74)</f>
        <v>-7.62412362573</v>
      </c>
      <c r="AE209" s="22" t="n">
        <f aca="false">100*(AE75-AE74)</f>
        <v>-7.4755938303495</v>
      </c>
      <c r="AF209" s="22" t="n">
        <f aca="false">100*(AF75-AF74)</f>
        <v>-7.32986878003978</v>
      </c>
      <c r="AG209" s="22" t="n">
        <f aca="false">100*(AG75-AG74)</f>
        <v>-7.18801019311601</v>
      </c>
      <c r="AH209" s="22" t="n">
        <f aca="false">100*(AH75-AH74)</f>
        <v>-7.05101918793121</v>
      </c>
      <c r="AI209" s="22" t="n">
        <f aca="false">100*(AI75-AI74)</f>
        <v>-6.91986485403371</v>
      </c>
      <c r="AJ209" s="22" t="n">
        <f aca="false">100*(AJ75-AJ74)</f>
        <v>-6.79540976520059</v>
      </c>
      <c r="AK209" s="22" t="n">
        <f aca="false">100*(AK75-AK74)</f>
        <v>-6.67840034297069</v>
      </c>
      <c r="AL209" s="22" t="n">
        <f aca="false">100*(AL75-AL74)</f>
        <v>-6.5694600457328</v>
      </c>
      <c r="AM209" s="22" t="n">
        <f aca="false">100*(AM75-AM74)</f>
        <v>-6.46907413772699</v>
      </c>
      <c r="AN209" s="22" t="n">
        <f aca="false">100*(AN75-AN74)</f>
        <v>-6.37757439523634</v>
      </c>
      <c r="AO209" s="22" t="n">
        <f aca="false">100*(AO75-AO74)</f>
        <v>-6.29513949567682</v>
      </c>
      <c r="AP209" s="22" t="n">
        <f aca="false">100*(AP75-AP74)</f>
        <v>-6.2217803544709</v>
      </c>
      <c r="AQ209" s="22" t="n">
        <f aca="false">100*(AQ75-AQ74)</f>
        <v>-6.1573363864238</v>
      </c>
      <c r="AR209" s="22" t="n">
        <f aca="false">100*(AR75-AR74)</f>
        <v>-6.10148965413209</v>
      </c>
      <c r="AS209" s="22" t="n">
        <f aca="false">100*(AS75-AS74)</f>
        <v>-6.0537743669812</v>
      </c>
      <c r="AT209" s="22" t="n">
        <f aca="false">100*(AT75-AT74)</f>
        <v>-6.013610492615</v>
      </c>
      <c r="AU209" s="22" t="n">
        <f aca="false">100*(AU75-AU74)</f>
        <v>-5.98033248856513</v>
      </c>
      <c r="AV209" s="22" t="n">
        <f aca="false">100*(AV75-AV74)</f>
        <v>-5.95321435169556</v>
      </c>
      <c r="AW209" s="22" t="n">
        <f aca="false">100*(AW75-AW74)</f>
        <v>-5.93149222028329</v>
      </c>
      <c r="AX209" s="22" t="n">
        <f aca="false">100*(AX75-AX74)</f>
        <v>-5.91438060598981</v>
      </c>
      <c r="AY209" s="22" t="n">
        <f aca="false">100*(AY75-AY74)</f>
        <v>-5.90109981579579</v>
      </c>
      <c r="AZ209" s="22" t="n">
        <f aca="false">100*(AZ75-AZ74)</f>
        <v>-5.89089239761669</v>
      </c>
      <c r="BA209" s="22" t="n">
        <f aca="false">100*(BA75-BA74)</f>
        <v>-5.88302331090369</v>
      </c>
      <c r="BB209" s="22" t="n">
        <f aca="false">100*(BB75-BB74)</f>
        <v>-5.87679066290532</v>
      </c>
      <c r="BC209" s="22" t="n">
        <f aca="false">100*(BC75-BC74)</f>
        <v>-5.87153775090292</v>
      </c>
      <c r="BD209" s="22" t="n">
        <f aca="false">100*(BD75-BD74)</f>
        <v>-5.86666010724679</v>
      </c>
      <c r="BE209" s="22" t="n">
        <f aca="false">100*(BE75-BE74)</f>
        <v>-5.86161199893449</v>
      </c>
      <c r="BF209" s="22" t="n">
        <f aca="false">100*(BF75-BF74)</f>
        <v>-5.8559163372458</v>
      </c>
      <c r="BG209" s="22" t="n">
        <f aca="false">100*(BG75-BG74)</f>
        <v>-5.84916536479079</v>
      </c>
      <c r="BH209" s="22" t="n">
        <f aca="false">AVERAGE(C209:BG209)</f>
        <v>-8.23462564892987</v>
      </c>
    </row>
    <row r="210" customFormat="false" ht="15" hidden="false" customHeight="false" outlineLevel="0" collapsed="false">
      <c r="A210" s="20" t="n">
        <f aca="false">A76</f>
        <v>-49</v>
      </c>
      <c r="B210" s="21" t="n">
        <f aca="false">B76</f>
        <v>44767</v>
      </c>
      <c r="C210" s="22" t="n">
        <f aca="false">100*(C76-C75)</f>
        <v>-1.04896954254199</v>
      </c>
      <c r="D210" s="22" t="n">
        <f aca="false">100*(D76-D75)</f>
        <v>-0.892536726013615</v>
      </c>
      <c r="E210" s="22" t="n">
        <f aca="false">100*(E76-E75)</f>
        <v>-0.668878760656599</v>
      </c>
      <c r="F210" s="22" t="n">
        <f aca="false">100*(F76-F75)</f>
        <v>-0.468154889363603</v>
      </c>
      <c r="G210" s="22" t="n">
        <f aca="false">100*(G76-G75)</f>
        <v>-0.307183235160302</v>
      </c>
      <c r="H210" s="22" t="n">
        <f aca="false">100*(H76-H75)</f>
        <v>-0.183896556127605</v>
      </c>
      <c r="I210" s="22" t="n">
        <f aca="false">100*(I76-I75)</f>
        <v>-0.0917670830860029</v>
      </c>
      <c r="J210" s="22" t="n">
        <f aca="false">100*(J76-J75)</f>
        <v>-0.0240742531689042</v>
      </c>
      <c r="K210" s="22" t="n">
        <f aca="false">100*(K76-K75)</f>
        <v>0.0251962312548093</v>
      </c>
      <c r="L210" s="22" t="n">
        <f aca="false">100*(L76-L75)</f>
        <v>0.0614603595322949</v>
      </c>
      <c r="M210" s="22" t="n">
        <f aca="false">100*(M76-M75)</f>
        <v>0.0898796120740952</v>
      </c>
      <c r="N210" s="22" t="n">
        <f aca="false">100*(N76-N75)</f>
        <v>0.115698005469711</v>
      </c>
      <c r="O210" s="22" t="n">
        <f aca="false">100*(O76-O75)</f>
        <v>0.144125866691502</v>
      </c>
      <c r="P210" s="22" t="n">
        <f aca="false">100*(P76-P75)</f>
        <v>0.180241393096203</v>
      </c>
      <c r="Q210" s="22" t="n">
        <f aca="false">100*(Q76-Q75)</f>
        <v>0.228965516835089</v>
      </c>
      <c r="R210" s="22" t="n">
        <f aca="false">100*(R76-R75)</f>
        <v>0.29488291867672</v>
      </c>
      <c r="S210" s="22" t="n">
        <f aca="false">100*(S76-S75)</f>
        <v>0.3820242731428</v>
      </c>
      <c r="T210" s="22" t="n">
        <f aca="false">100*(T76-T75)</f>
        <v>0.493931051814212</v>
      </c>
      <c r="U210" s="22" t="n">
        <f aca="false">100*(U76-U75)</f>
        <v>0.633086228568391</v>
      </c>
      <c r="V210" s="22" t="n">
        <f aca="false">100*(V76-V75)</f>
        <v>0.800511364124112</v>
      </c>
      <c r="W210" s="22" t="n">
        <f aca="false">100*(W76-W75)</f>
        <v>0.996039918720904</v>
      </c>
      <c r="X210" s="22" t="n">
        <f aca="false">100*(X76-X75)</f>
        <v>1.21854728319519</v>
      </c>
      <c r="Y210" s="22" t="n">
        <f aca="false">100*(Y76-Y75)</f>
        <v>1.46588856954142</v>
      </c>
      <c r="Z210" s="22" t="n">
        <f aca="false">100*(Z76-Z75)</f>
        <v>1.73462344410877</v>
      </c>
      <c r="AA210" s="22" t="n">
        <f aca="false">100*(AA76-AA75)</f>
        <v>2.02032436433681</v>
      </c>
      <c r="AB210" s="22" t="n">
        <f aca="false">100*(AB76-AB75)</f>
        <v>2.31819153452619</v>
      </c>
      <c r="AC210" s="22" t="n">
        <f aca="false">100*(AC76-AC75)</f>
        <v>2.62358639478117</v>
      </c>
      <c r="AD210" s="22" t="n">
        <f aca="false">100*(AD76-AD75)</f>
        <v>2.93208447490341</v>
      </c>
      <c r="AE210" s="22" t="n">
        <f aca="false">100*(AE76-AE75)</f>
        <v>3.23944206412574</v>
      </c>
      <c r="AF210" s="22" t="n">
        <f aca="false">100*(AF76-AF75)</f>
        <v>3.54156907045118</v>
      </c>
      <c r="AG210" s="22" t="n">
        <f aca="false">100*(AG76-AG75)</f>
        <v>3.83464663587811</v>
      </c>
      <c r="AH210" s="22" t="n">
        <f aca="false">100*(AH76-AH75)</f>
        <v>4.1155401455212</v>
      </c>
      <c r="AI210" s="22" t="n">
        <f aca="false">100*(AI76-AI75)</f>
        <v>4.38169402447901</v>
      </c>
      <c r="AJ210" s="22" t="n">
        <f aca="false">100*(AJ76-AJ75)</f>
        <v>4.63110037563772</v>
      </c>
      <c r="AK210" s="22" t="n">
        <f aca="false">100*(AK76-AK75)</f>
        <v>4.86224461015108</v>
      </c>
      <c r="AL210" s="22" t="n">
        <f aca="false">100*(AL76-AL75)</f>
        <v>5.07404896563908</v>
      </c>
      <c r="AM210" s="22" t="n">
        <f aca="false">100*(AM76-AM75)</f>
        <v>5.26583924613808</v>
      </c>
      <c r="AN210" s="22" t="n">
        <f aca="false">100*(AN76-AN75)</f>
        <v>5.43734145736052</v>
      </c>
      <c r="AO210" s="22" t="n">
        <f aca="false">100*(AO76-AO75)</f>
        <v>5.5886580282372</v>
      </c>
      <c r="AP210" s="22" t="n">
        <f aca="false">100*(AP76-AP75)</f>
        <v>5.72027130924511</v>
      </c>
      <c r="AQ210" s="22" t="n">
        <f aca="false">100*(AQ76-AQ75)</f>
        <v>5.83302988868568</v>
      </c>
      <c r="AR210" s="22" t="n">
        <f aca="false">100*(AR76-AR75)</f>
        <v>5.92812032699661</v>
      </c>
      <c r="AS210" s="22" t="n">
        <f aca="false">100*(AS76-AS75)</f>
        <v>6.00704018103242</v>
      </c>
      <c r="AT210" s="22" t="n">
        <f aca="false">100*(AT76-AT75)</f>
        <v>6.07152930701709</v>
      </c>
      <c r="AU210" s="22" t="n">
        <f aca="false">100*(AU76-AU75)</f>
        <v>6.12350457043762</v>
      </c>
      <c r="AV210" s="22" t="n">
        <f aca="false">100*(AV76-AV75)</f>
        <v>6.16499192346178</v>
      </c>
      <c r="AW210" s="22" t="n">
        <f aca="false">100*(AW76-AW75)</f>
        <v>6.19806106269136</v>
      </c>
      <c r="AX210" s="22" t="n">
        <f aca="false">100*(AX76-AX75)</f>
        <v>6.22479589967582</v>
      </c>
      <c r="AY210" s="22" t="n">
        <f aca="false">100*(AY76-AY75)</f>
        <v>6.2472257027538</v>
      </c>
      <c r="AZ210" s="22" t="n">
        <f aca="false">100*(AZ76-AZ75)</f>
        <v>6.26727186053668</v>
      </c>
      <c r="BA210" s="22" t="n">
        <f aca="false">100*(BA76-BA75)</f>
        <v>6.28674799572297</v>
      </c>
      <c r="BB210" s="22" t="n">
        <f aca="false">100*(BB76-BB75)</f>
        <v>6.3073155092054</v>
      </c>
      <c r="BC210" s="22" t="n">
        <f aca="false">100*(BC76-BC75)</f>
        <v>6.3304363045309</v>
      </c>
      <c r="BD210" s="22" t="n">
        <f aca="false">100*(BD76-BD75)</f>
        <v>6.3573570864377</v>
      </c>
      <c r="BE210" s="22" t="n">
        <f aca="false">100*(BE76-BE75)</f>
        <v>6.38910296163071</v>
      </c>
      <c r="BF210" s="22" t="n">
        <f aca="false">100*(BF76-BF75)</f>
        <v>6.4264685093844</v>
      </c>
      <c r="BG210" s="22" t="n">
        <f aca="false">100*(BG76-BG75)</f>
        <v>6.47001548375639</v>
      </c>
      <c r="BH210" s="22" t="n">
        <f aca="false">AVERAGE(C210:BG210)</f>
        <v>3.09472347835257</v>
      </c>
    </row>
    <row r="211" customFormat="false" ht="15" hidden="false" customHeight="false" outlineLevel="0" collapsed="false">
      <c r="A211" s="20" t="n">
        <f aca="false">A77</f>
        <v>-48</v>
      </c>
      <c r="B211" s="21" t="n">
        <f aca="false">B77</f>
        <v>44768</v>
      </c>
      <c r="C211" s="22" t="n">
        <f aca="false">100*(C77-C76)</f>
        <v>-2.36990992419261</v>
      </c>
      <c r="D211" s="22" t="n">
        <f aca="false">100*(D77-D76)</f>
        <v>-2.2597208065277</v>
      </c>
      <c r="E211" s="22" t="n">
        <f aca="false">100*(E77-E76)</f>
        <v>-2.22490454610962</v>
      </c>
      <c r="F211" s="22" t="n">
        <f aca="false">100*(F77-F76)</f>
        <v>-2.256920802045</v>
      </c>
      <c r="G211" s="22" t="n">
        <f aca="false">100*(G77-G76)</f>
        <v>-2.33770761391641</v>
      </c>
      <c r="H211" s="22" t="n">
        <f aca="false">100*(H77-H76)</f>
        <v>-2.4512586176614</v>
      </c>
      <c r="I211" s="22" t="n">
        <f aca="false">100*(I77-I76)</f>
        <v>-2.5850721232078</v>
      </c>
      <c r="J211" s="22" t="n">
        <f aca="false">100*(J77-J76)</f>
        <v>-2.7299577645723</v>
      </c>
      <c r="K211" s="22" t="n">
        <f aca="false">100*(K77-K76)</f>
        <v>-2.879336357216</v>
      </c>
      <c r="L211" s="22" t="n">
        <f aca="false">100*(L77-L76)</f>
        <v>-3.0287464739603</v>
      </c>
      <c r="M211" s="22" t="n">
        <f aca="false">100*(M77-M76)</f>
        <v>-3.1753910574458</v>
      </c>
      <c r="N211" s="22" t="n">
        <f aca="false">100*(N77-N76)</f>
        <v>-3.3174784152185</v>
      </c>
      <c r="O211" s="22" t="n">
        <f aca="false">100*(O77-O76)</f>
        <v>-3.45376351962809</v>
      </c>
      <c r="P211" s="22" t="n">
        <f aca="false">100*(P77-P76)</f>
        <v>-3.58313175264291</v>
      </c>
      <c r="Q211" s="22" t="n">
        <f aca="false">100*(Q77-Q76)</f>
        <v>-3.7044197959436</v>
      </c>
      <c r="R211" s="22" t="n">
        <f aca="false">100*(R77-R76)</f>
        <v>-3.81632714048832</v>
      </c>
      <c r="S211" s="22" t="n">
        <f aca="false">100*(S77-S76)</f>
        <v>-3.91743210164031</v>
      </c>
      <c r="T211" s="22" t="n">
        <f aca="false">100*(T77-T76)</f>
        <v>-4.00615801488202</v>
      </c>
      <c r="U211" s="22" t="n">
        <f aca="false">100*(U77-U76)</f>
        <v>-4.081032289647</v>
      </c>
      <c r="V211" s="22" t="n">
        <f aca="false">100*(V77-V76)</f>
        <v>-4.14092367810999</v>
      </c>
      <c r="W211" s="22" t="n">
        <f aca="false">100*(W77-W76)</f>
        <v>-4.18498595190329</v>
      </c>
      <c r="X211" s="22" t="n">
        <f aca="false">100*(X77-X76)</f>
        <v>-4.21260370276642</v>
      </c>
      <c r="Y211" s="22" t="n">
        <f aca="false">100*(Y77-Y76)</f>
        <v>-4.2234735011744</v>
      </c>
      <c r="Z211" s="22" t="n">
        <f aca="false">100*(Z77-Z76)</f>
        <v>-4.21781765232567</v>
      </c>
      <c r="AA211" s="22" t="n">
        <f aca="false">100*(AA77-AA76)</f>
        <v>-4.19639703069552</v>
      </c>
      <c r="AB211" s="22" t="n">
        <f aca="false">100*(AB77-AB76)</f>
        <v>-4.16039902074639</v>
      </c>
      <c r="AC211" s="22" t="n">
        <f aca="false">100*(AC77-AC76)</f>
        <v>-4.11125256579097</v>
      </c>
      <c r="AD211" s="22" t="n">
        <f aca="false">100*(AD77-AD76)</f>
        <v>-4.05056989454211</v>
      </c>
      <c r="AE211" s="22" t="n">
        <f aca="false">100*(AE77-AE76)</f>
        <v>-3.98011786424903</v>
      </c>
      <c r="AF211" s="22" t="n">
        <f aca="false">100*(AF77-AF76)</f>
        <v>-3.90179440353258</v>
      </c>
      <c r="AG211" s="22" t="n">
        <f aca="false">100*(AG77-AG76)</f>
        <v>-3.81754465774051</v>
      </c>
      <c r="AH211" s="22" t="n">
        <f aca="false">100*(AH77-AH76)</f>
        <v>-3.72917296116282</v>
      </c>
      <c r="AI211" s="22" t="n">
        <f aca="false">100*(AI77-AI76)</f>
        <v>-3.6383785671938</v>
      </c>
      <c r="AJ211" s="22" t="n">
        <f aca="false">100*(AJ77-AJ76)</f>
        <v>-3.54670799150041</v>
      </c>
      <c r="AK211" s="22" t="n">
        <f aca="false">100*(AK77-AK76)</f>
        <v>-3.45555489536258</v>
      </c>
      <c r="AL211" s="22" t="n">
        <f aca="false">100*(AL77-AL76)</f>
        <v>-3.36615040288528</v>
      </c>
      <c r="AM211" s="22" t="n">
        <f aca="false">100*(AM77-AM76)</f>
        <v>-3.27955617802891</v>
      </c>
      <c r="AN211" s="22" t="n">
        <f aca="false">100*(AN77-AN76)</f>
        <v>-3.19666044604232</v>
      </c>
      <c r="AO211" s="22" t="n">
        <f aca="false">100*(AO77-AO76)</f>
        <v>-3.11818260501751</v>
      </c>
      <c r="AP211" s="22" t="n">
        <f aca="false">100*(AP77-AP76)</f>
        <v>-3.04464907698563</v>
      </c>
      <c r="AQ211" s="22" t="n">
        <f aca="false">100*(AQ77-AQ76)</f>
        <v>-2.97638755950089</v>
      </c>
      <c r="AR211" s="22" t="n">
        <f aca="false">100*(AR77-AR76)</f>
        <v>-2.9135281019304</v>
      </c>
      <c r="AS211" s="22" t="n">
        <f aca="false">100*(AS77-AS76)</f>
        <v>-2.856004271605</v>
      </c>
      <c r="AT211" s="22" t="n">
        <f aca="false">100*(AT77-AT76)</f>
        <v>-2.80358326471668</v>
      </c>
      <c r="AU211" s="22" t="n">
        <f aca="false">100*(AU77-AU76)</f>
        <v>-2.75589387601918</v>
      </c>
      <c r="AV211" s="22" t="n">
        <f aca="false">100*(AV77-AV76)</f>
        <v>-2.71245632126629</v>
      </c>
      <c r="AW211" s="22" t="n">
        <f aca="false">100*(AW77-AW76)</f>
        <v>-2.67271000762168</v>
      </c>
      <c r="AX211" s="22" t="n">
        <f aca="false">100*(AX77-AX76)</f>
        <v>-2.6360350386879</v>
      </c>
      <c r="AY211" s="22" t="n">
        <f aca="false">100*(AY77-AY76)</f>
        <v>-2.60179410497878</v>
      </c>
      <c r="AZ211" s="22" t="n">
        <f aca="false">100*(AZ77-AZ76)</f>
        <v>-2.56936309609519</v>
      </c>
      <c r="BA211" s="22" t="n">
        <f aca="false">100*(BA77-BA76)</f>
        <v>-2.53813455999889</v>
      </c>
      <c r="BB211" s="22" t="n">
        <f aca="false">100*(BB77-BB76)</f>
        <v>-2.50754158409547</v>
      </c>
      <c r="BC211" s="22" t="n">
        <f aca="false">100*(BC77-BC76)</f>
        <v>-2.47708105809279</v>
      </c>
      <c r="BD211" s="22" t="n">
        <f aca="false">100*(BD77-BD76)</f>
        <v>-2.44631967408751</v>
      </c>
      <c r="BE211" s="22" t="n">
        <f aca="false">100*(BE77-BE76)</f>
        <v>-2.41489672333621</v>
      </c>
      <c r="BF211" s="22" t="n">
        <f aca="false">100*(BF77-BF76)</f>
        <v>-2.38252860714621</v>
      </c>
      <c r="BG211" s="22" t="n">
        <f aca="false">100*(BG77-BG76)</f>
        <v>-2.34900969889149</v>
      </c>
      <c r="BH211" s="22" t="n">
        <f aca="false">AVERAGE(C211:BG211)</f>
        <v>-3.19938297741706</v>
      </c>
    </row>
    <row r="212" customFormat="false" ht="15" hidden="false" customHeight="false" outlineLevel="0" collapsed="false">
      <c r="A212" s="20" t="n">
        <f aca="false">A78</f>
        <v>-47</v>
      </c>
      <c r="B212" s="21" t="n">
        <f aca="false">B78</f>
        <v>44769</v>
      </c>
      <c r="C212" s="22" t="n">
        <f aca="false">100*(C78-C77)</f>
        <v>2.95927010373251</v>
      </c>
      <c r="D212" s="22" t="n">
        <f aca="false">100*(D78-D77)</f>
        <v>3.9976638978114</v>
      </c>
      <c r="E212" s="22" t="n">
        <f aca="false">100*(E78-E77)</f>
        <v>4.46591674559831</v>
      </c>
      <c r="F212" s="22" t="n">
        <f aca="false">100*(F78-F77)</f>
        <v>4.60470091741161</v>
      </c>
      <c r="G212" s="22" t="n">
        <f aca="false">100*(G78-G77)</f>
        <v>4.56065685341831</v>
      </c>
      <c r="H212" s="22" t="n">
        <f aca="false">100*(H78-H77)</f>
        <v>4.421498894758</v>
      </c>
      <c r="I212" s="22" t="n">
        <f aca="false">100*(I78-I77)</f>
        <v>4.24051375922629</v>
      </c>
      <c r="J212" s="22" t="n">
        <f aca="false">100*(J78-J77)</f>
        <v>4.05030899780949</v>
      </c>
      <c r="K212" s="22" t="n">
        <f aca="false">100*(K78-K77)</f>
        <v>3.87058175805979</v>
      </c>
      <c r="L212" s="22" t="n">
        <f aca="false">100*(L78-L77)</f>
        <v>3.71250476052949</v>
      </c>
      <c r="M212" s="22" t="n">
        <f aca="false">100*(M78-M77)</f>
        <v>3.58154356192351</v>
      </c>
      <c r="N212" s="22" t="n">
        <f aca="false">100*(N78-N77)</f>
        <v>3.4794277149008</v>
      </c>
      <c r="O212" s="22" t="n">
        <f aca="false">100*(O78-O77)</f>
        <v>3.4054678102974</v>
      </c>
      <c r="P212" s="22" t="n">
        <f aca="false">100*(P78-P77)</f>
        <v>3.35769533720631</v>
      </c>
      <c r="Q212" s="22" t="n">
        <f aca="false">100*(Q78-Q77)</f>
        <v>3.33352146743691</v>
      </c>
      <c r="R212" s="22" t="n">
        <f aca="false">100*(R78-R77)</f>
        <v>3.3302975024283</v>
      </c>
      <c r="S212" s="22" t="n">
        <f aca="false">100*(S78-S77)</f>
        <v>3.3454897120847</v>
      </c>
      <c r="T212" s="22" t="n">
        <f aca="false">100*(T78-T77)</f>
        <v>3.37676770521211</v>
      </c>
      <c r="U212" s="22" t="n">
        <f aca="false">100*(U78-U77)</f>
        <v>3.42207088517399</v>
      </c>
      <c r="V212" s="22" t="n">
        <f aca="false">100*(V78-V77)</f>
        <v>3.4795201682186</v>
      </c>
      <c r="W212" s="22" t="n">
        <f aca="false">100*(W78-W77)</f>
        <v>3.5473748208243</v>
      </c>
      <c r="X212" s="22" t="n">
        <f aca="false">100*(X78-X77)</f>
        <v>3.62400869834993</v>
      </c>
      <c r="Y212" s="22" t="n">
        <f aca="false">100*(Y78-Y77)</f>
        <v>3.70792083203817</v>
      </c>
      <c r="Z212" s="22" t="n">
        <f aca="false">100*(Z78-Z77)</f>
        <v>3.79770070348231</v>
      </c>
      <c r="AA212" s="22" t="n">
        <f aca="false">100*(AA78-AA77)</f>
        <v>3.89191106864462</v>
      </c>
      <c r="AB212" s="22" t="n">
        <f aca="false">100*(AB78-AB77)</f>
        <v>3.98906541110029</v>
      </c>
      <c r="AC212" s="22" t="n">
        <f aca="false">100*(AC78-AC77)</f>
        <v>4.0877336669106</v>
      </c>
      <c r="AD212" s="22" t="n">
        <f aca="false">100*(AD78-AD77)</f>
        <v>4.18654973733239</v>
      </c>
      <c r="AE212" s="22" t="n">
        <f aca="false">100*(AE78-AE77)</f>
        <v>4.28420150563853</v>
      </c>
      <c r="AF212" s="22" t="n">
        <f aca="false">100*(AF78-AF77)</f>
        <v>4.3794227834284</v>
      </c>
      <c r="AG212" s="22" t="n">
        <f aca="false">100*(AG78-AG77)</f>
        <v>4.47104147476161</v>
      </c>
      <c r="AH212" s="22" t="n">
        <f aca="false">100*(AH78-AH77)</f>
        <v>4.55811792458873</v>
      </c>
      <c r="AI212" s="22" t="n">
        <f aca="false">100*(AI78-AI77)</f>
        <v>4.63990266837349</v>
      </c>
      <c r="AJ212" s="22" t="n">
        <f aca="false">100*(AJ78-AJ77)</f>
        <v>4.7158627619154</v>
      </c>
      <c r="AK212" s="22" t="n">
        <f aca="false">100*(AK78-AK77)</f>
        <v>4.7856670967604</v>
      </c>
      <c r="AL212" s="22" t="n">
        <f aca="false">100*(AL78-AL77)</f>
        <v>4.84917095482502</v>
      </c>
      <c r="AM212" s="22" t="n">
        <f aca="false">100*(AM78-AM77)</f>
        <v>4.90640004350813</v>
      </c>
      <c r="AN212" s="22" t="n">
        <f aca="false">100*(AN78-AN77)</f>
        <v>4.95752717918112</v>
      </c>
      <c r="AO212" s="22" t="n">
        <f aca="false">100*(AO78-AO77)</f>
        <v>5.0028535458623</v>
      </c>
      <c r="AP212" s="22" t="n">
        <f aca="false">100*(AP78-AP77)</f>
        <v>5.04278945682604</v>
      </c>
      <c r="AQ212" s="22" t="n">
        <f aca="false">100*(AQ78-AQ77)</f>
        <v>5.07783907835351</v>
      </c>
      <c r="AR212" s="22" t="n">
        <f aca="false">100*(AR78-AR77)</f>
        <v>5.1085830599602</v>
      </c>
      <c r="AS212" s="22" t="n">
        <f aca="false">100*(AS78-AS77)</f>
        <v>5.13566335005109</v>
      </c>
      <c r="AT212" s="22" t="n">
        <f aca="false">100*(AT78-AT77)</f>
        <v>5.15976135581249</v>
      </c>
      <c r="AU212" s="22" t="n">
        <f aca="false">100*(AU78-AU77)</f>
        <v>5.18157960769199</v>
      </c>
      <c r="AV212" s="22" t="n">
        <f aca="false">100*(AV78-AV77)</f>
        <v>5.20182204903859</v>
      </c>
      <c r="AW212" s="22" t="n">
        <f aca="false">100*(AW78-AW77)</f>
        <v>5.22117430589781</v>
      </c>
      <c r="AX212" s="22" t="n">
        <f aca="false">100*(AX78-AX77)</f>
        <v>5.24028604891327</v>
      </c>
      <c r="AY212" s="22" t="n">
        <f aca="false">100*(AY78-AY77)</f>
        <v>5.25974969906318</v>
      </c>
      <c r="AZ212" s="22" t="n">
        <f aca="false">100*(AZ78-AZ77)</f>
        <v>5.28009251535613</v>
      </c>
      <c r="BA212" s="22" t="n">
        <f aca="false">100*(BA78-BA77)</f>
        <v>5.30178064055149</v>
      </c>
      <c r="BB212" s="22" t="n">
        <f aca="false">100*(BB78-BB77)</f>
        <v>5.32521361778797</v>
      </c>
      <c r="BC212" s="22" t="n">
        <f aca="false">100*(BC78-BC77)</f>
        <v>5.35071912160161</v>
      </c>
      <c r="BD212" s="22" t="n">
        <f aca="false">100*(BD78-BD77)</f>
        <v>5.3785524224649</v>
      </c>
      <c r="BE212" s="22" t="n">
        <f aca="false">100*(BE78-BE77)</f>
        <v>5.40889804141549</v>
      </c>
      <c r="BF212" s="22" t="n">
        <f aca="false">100*(BF78-BF77)</f>
        <v>5.44187219221848</v>
      </c>
      <c r="BG212" s="22" t="n">
        <f aca="false">100*(BG78-BG77)</f>
        <v>5.47752244138522</v>
      </c>
      <c r="BH212" s="22" t="n">
        <f aca="false">AVERAGE(C212:BG212)</f>
        <v>4.42055702517812</v>
      </c>
    </row>
    <row r="213" customFormat="false" ht="15" hidden="false" customHeight="false" outlineLevel="0" collapsed="false">
      <c r="A213" s="20" t="n">
        <f aca="false">A79</f>
        <v>-46</v>
      </c>
      <c r="B213" s="21" t="n">
        <f aca="false">B79</f>
        <v>44770</v>
      </c>
      <c r="C213" s="22" t="n">
        <f aca="false">100*(C79-C78)</f>
        <v>-15.9663647357989</v>
      </c>
      <c r="D213" s="22" t="n">
        <f aca="false">100*(D79-D78)</f>
        <v>-15.055205441168</v>
      </c>
      <c r="E213" s="22" t="n">
        <f aca="false">100*(E79-E78)</f>
        <v>-14.4062296273433</v>
      </c>
      <c r="F213" s="22" t="n">
        <f aca="false">100*(F79-F78)</f>
        <v>-13.9163324577593</v>
      </c>
      <c r="G213" s="22" t="n">
        <f aca="false">100*(G79-G78)</f>
        <v>-13.5084582043718</v>
      </c>
      <c r="H213" s="22" t="n">
        <f aca="false">100*(H79-H78)</f>
        <v>-13.1353742828392</v>
      </c>
      <c r="I213" s="22" t="n">
        <f aca="false">100*(I79-I78)</f>
        <v>-12.7715479137453</v>
      </c>
      <c r="J213" s="22" t="n">
        <f aca="false">100*(J79-J78)</f>
        <v>-12.405963176578</v>
      </c>
      <c r="K213" s="22" t="n">
        <f aca="false">100*(K79-K78)</f>
        <v>-12.0371924582777</v>
      </c>
      <c r="L213" s="22" t="n">
        <f aca="false">100*(L79-L78)</f>
        <v>-11.6701396336274</v>
      </c>
      <c r="M213" s="22" t="n">
        <f aca="false">100*(M79-M78)</f>
        <v>-11.3135453188406</v>
      </c>
      <c r="N213" s="22" t="n">
        <f aca="false">100*(N79-N78)</f>
        <v>-10.9774760916036</v>
      </c>
      <c r="O213" s="22" t="n">
        <f aca="false">100*(O79-O78)</f>
        <v>-10.6714665181889</v>
      </c>
      <c r="P213" s="22" t="n">
        <f aca="false">100*(P79-P78)</f>
        <v>-10.4029796574363</v>
      </c>
      <c r="Q213" s="22" t="n">
        <f aca="false">100*(Q79-Q78)</f>
        <v>-10.1770349523537</v>
      </c>
      <c r="R213" s="22" t="n">
        <f aca="false">100*(R79-R78)</f>
        <v>-9.9958044626387</v>
      </c>
      <c r="S213" s="22" t="n">
        <f aca="false">100*(S79-S78)</f>
        <v>-9.85900537927469</v>
      </c>
      <c r="T213" s="22" t="n">
        <f aca="false">100*(T79-T78)</f>
        <v>-9.76416690295481</v>
      </c>
      <c r="U213" s="22" t="n">
        <f aca="false">100*(U79-U78)</f>
        <v>-9.70735516328531</v>
      </c>
      <c r="V213" s="22" t="n">
        <f aca="false">100*(V79-V78)</f>
        <v>-9.68384546128451</v>
      </c>
      <c r="W213" s="22" t="n">
        <f aca="false">100*(W79-W78)</f>
        <v>-9.6883051968836</v>
      </c>
      <c r="X213" s="22" t="n">
        <f aca="false">100*(X79-X78)</f>
        <v>-9.71492432573231</v>
      </c>
      <c r="Y213" s="22" t="n">
        <f aca="false">100*(Y79-Y78)</f>
        <v>-9.75776407548548</v>
      </c>
      <c r="Z213" s="22" t="n">
        <f aca="false">100*(Z79-Z78)</f>
        <v>-9.81124647217282</v>
      </c>
      <c r="AA213" s="22" t="n">
        <f aca="false">100*(AA79-AA78)</f>
        <v>-9.87013554061402</v>
      </c>
      <c r="AB213" s="22" t="n">
        <f aca="false">100*(AB79-AB78)</f>
        <v>-9.92972568963517</v>
      </c>
      <c r="AC213" s="22" t="n">
        <f aca="false">100*(AC79-AC78)</f>
        <v>-9.9862479140012</v>
      </c>
      <c r="AD213" s="22" t="n">
        <f aca="false">100*(AD79-AD78)</f>
        <v>-10.0368037718514</v>
      </c>
      <c r="AE213" s="22" t="n">
        <f aca="false">100*(AE79-AE78)</f>
        <v>-10.0792294767029</v>
      </c>
      <c r="AF213" s="22" t="n">
        <f aca="false">100*(AF79-AF78)</f>
        <v>-10.1119848710153</v>
      </c>
      <c r="AG213" s="22" t="n">
        <f aca="false">100*(AG79-AG78)</f>
        <v>-10.1341751941784</v>
      </c>
      <c r="AH213" s="22" t="n">
        <f aca="false">100*(AH79-AH78)</f>
        <v>-10.1457974093831</v>
      </c>
      <c r="AI213" s="22" t="n">
        <f aca="false">100*(AI79-AI78)</f>
        <v>-10.1475048828989</v>
      </c>
      <c r="AJ213" s="22" t="n">
        <f aca="false">100*(AJ79-AJ78)</f>
        <v>-10.1403751315467</v>
      </c>
      <c r="AK213" s="22" t="n">
        <f aca="false">100*(AK79-AK78)</f>
        <v>-10.1258167235012</v>
      </c>
      <c r="AL213" s="22" t="n">
        <f aca="false">100*(AL79-AL78)</f>
        <v>-10.10542561954</v>
      </c>
      <c r="AM213" s="22" t="n">
        <f aca="false">100*(AM79-AM78)</f>
        <v>-10.080878197098</v>
      </c>
      <c r="AN213" s="22" t="n">
        <f aca="false">100*(AN79-AN78)</f>
        <v>-10.0538467368929</v>
      </c>
      <c r="AO213" s="22" t="n">
        <f aca="false">100*(AO79-AO78)</f>
        <v>-10.0259649774177</v>
      </c>
      <c r="AP213" s="22" t="n">
        <f aca="false">100*(AP79-AP78)</f>
        <v>-9.99876989287101</v>
      </c>
      <c r="AQ213" s="22" t="n">
        <f aca="false">100*(AQ79-AQ78)</f>
        <v>-9.97367479062232</v>
      </c>
      <c r="AR213" s="22" t="n">
        <f aca="false">100*(AR79-AR78)</f>
        <v>-9.95195735218881</v>
      </c>
      <c r="AS213" s="22" t="n">
        <f aca="false">100*(AS79-AS78)</f>
        <v>-9.93474781400421</v>
      </c>
      <c r="AT213" s="22" t="n">
        <f aca="false">100*(AT79-AT78)</f>
        <v>-9.92302350059648</v>
      </c>
      <c r="AU213" s="22" t="n">
        <f aca="false">100*(AU79-AU78)</f>
        <v>-9.91760230030989</v>
      </c>
      <c r="AV213" s="22" t="n">
        <f aca="false">100*(AV79-AV78)</f>
        <v>-9.9191391203445</v>
      </c>
      <c r="AW213" s="22" t="n">
        <f aca="false">100*(AW79-AW78)</f>
        <v>-9.9281187963284</v>
      </c>
      <c r="AX213" s="22" t="n">
        <f aca="false">100*(AX79-AX78)</f>
        <v>-9.94485833546497</v>
      </c>
      <c r="AY213" s="22" t="n">
        <f aca="false">100*(AY79-AY78)</f>
        <v>-9.969507715949</v>
      </c>
      <c r="AZ213" s="22" t="n">
        <f aca="false">100*(AZ79-AZ78)</f>
        <v>-10.0020545768395</v>
      </c>
      <c r="BA213" s="22" t="n">
        <f aca="false">100*(BA79-BA78)</f>
        <v>-10.0423374764159</v>
      </c>
      <c r="BB213" s="22" t="n">
        <f aca="false">100*(BB79-BB78)</f>
        <v>-10.090051930067</v>
      </c>
      <c r="BC213" s="22" t="n">
        <f aca="false">100*(BC79-BC78)</f>
        <v>-10.1447563853831</v>
      </c>
      <c r="BD213" s="22" t="n">
        <f aca="false">100*(BD79-BD78)</f>
        <v>-10.2058936397413</v>
      </c>
      <c r="BE213" s="22" t="n">
        <f aca="false">100*(BE79-BE78)</f>
        <v>-10.2728131449392</v>
      </c>
      <c r="BF213" s="22" t="n">
        <f aca="false">100*(BF79-BF78)</f>
        <v>-10.3447994170414</v>
      </c>
      <c r="BG213" s="22" t="n">
        <f aca="false">100*(BG79-BG78)</f>
        <v>-10.4210932127302</v>
      </c>
      <c r="BH213" s="22" t="n">
        <f aca="false">AVERAGE(C213:BG213)</f>
        <v>-10.6729270078554</v>
      </c>
    </row>
    <row r="214" customFormat="false" ht="15" hidden="false" customHeight="false" outlineLevel="0" collapsed="false">
      <c r="A214" s="20" t="n">
        <f aca="false">A80</f>
        <v>-45</v>
      </c>
      <c r="B214" s="21" t="n">
        <f aca="false">B80</f>
        <v>44771</v>
      </c>
      <c r="C214" s="22" t="n">
        <f aca="false">100*(C80-C79)</f>
        <v>2.4597398500084</v>
      </c>
      <c r="D214" s="22" t="n">
        <f aca="false">100*(D80-D79)</f>
        <v>1.65240584350299</v>
      </c>
      <c r="E214" s="22" t="n">
        <f aca="false">100*(E80-E79)</f>
        <v>1.3138695366343</v>
      </c>
      <c r="F214" s="22" t="n">
        <f aca="false">100*(F80-F79)</f>
        <v>1.2284507572917</v>
      </c>
      <c r="G214" s="22" t="n">
        <f aca="false">100*(G80-G79)</f>
        <v>1.26576385665822</v>
      </c>
      <c r="H214" s="22" t="n">
        <f aca="false">100*(H80-H79)</f>
        <v>1.35248128385179</v>
      </c>
      <c r="I214" s="22" t="n">
        <f aca="false">100*(I80-I79)</f>
        <v>1.44904069941652</v>
      </c>
      <c r="J214" s="22" t="n">
        <f aca="false">100*(J80-J79)</f>
        <v>1.53347788611169</v>
      </c>
      <c r="K214" s="22" t="n">
        <f aca="false">100*(K80-K79)</f>
        <v>1.5932447214372</v>
      </c>
      <c r="L214" s="22" t="n">
        <f aca="false">100*(L80-L79)</f>
        <v>1.62107504444919</v>
      </c>
      <c r="M214" s="22" t="n">
        <f aca="false">100*(M80-M79)</f>
        <v>1.6122724068877</v>
      </c>
      <c r="N214" s="22" t="n">
        <f aca="false">100*(N80-N79)</f>
        <v>1.5640442858228</v>
      </c>
      <c r="O214" s="22" t="n">
        <f aca="false">100*(O80-O79)</f>
        <v>1.475004358012</v>
      </c>
      <c r="P214" s="22" t="n">
        <f aca="false">100*(P80-P79)</f>
        <v>1.3453577621674</v>
      </c>
      <c r="Q214" s="22" t="n">
        <f aca="false">100*(Q80-Q79)</f>
        <v>1.17682084373181</v>
      </c>
      <c r="R214" s="22" t="n">
        <f aca="false">100*(R80-R79)</f>
        <v>0.972745899968897</v>
      </c>
      <c r="S214" s="22" t="n">
        <f aca="false">100*(S80-S79)</f>
        <v>0.737919089134898</v>
      </c>
      <c r="T214" s="22" t="n">
        <f aca="false">100*(T80-T79)</f>
        <v>0.478572979185499</v>
      </c>
      <c r="U214" s="22" t="n">
        <f aca="false">100*(U80-U79)</f>
        <v>0.201756824669808</v>
      </c>
      <c r="V214" s="22" t="n">
        <f aca="false">100*(V80-V79)</f>
        <v>-0.0854213722936148</v>
      </c>
      <c r="W214" s="22" t="n">
        <f aca="false">100*(W80-W79)</f>
        <v>-0.375839372178532</v>
      </c>
      <c r="X214" s="22" t="n">
        <f aca="false">100*(X80-X79)</f>
        <v>-0.662371032695308</v>
      </c>
      <c r="Y214" s="22" t="n">
        <f aca="false">100*(Y80-Y79)</f>
        <v>-0.938197548759812</v>
      </c>
      <c r="Z214" s="22" t="n">
        <f aca="false">100*(Z80-Z79)</f>
        <v>-1.19738197807471</v>
      </c>
      <c r="AA214" s="22" t="n">
        <f aca="false">100*(AA80-AA79)</f>
        <v>-1.43482981521328</v>
      </c>
      <c r="AB214" s="22" t="n">
        <f aca="false">100*(AB80-AB79)</f>
        <v>-1.6464312998314</v>
      </c>
      <c r="AC214" s="22" t="n">
        <f aca="false">100*(AC80-AC79)</f>
        <v>-1.82938595586881</v>
      </c>
      <c r="AD214" s="22" t="n">
        <f aca="false">100*(AD80-AD79)</f>
        <v>-1.98207126559131</v>
      </c>
      <c r="AE214" s="22" t="n">
        <f aca="false">100*(AE80-AE79)</f>
        <v>-2.10385870149898</v>
      </c>
      <c r="AF214" s="22" t="n">
        <f aca="false">100*(AF80-AF79)</f>
        <v>-2.19496359553002</v>
      </c>
      <c r="AG214" s="22" t="n">
        <f aca="false">100*(AG80-AG79)</f>
        <v>-2.25644862985339</v>
      </c>
      <c r="AH214" s="22" t="n">
        <f aca="false">100*(AH80-AH79)</f>
        <v>-2.29039365125479</v>
      </c>
      <c r="AI214" s="22" t="n">
        <f aca="false">100*(AI80-AI79)</f>
        <v>-2.29957265757728</v>
      </c>
      <c r="AJ214" s="22" t="n">
        <f aca="false">100*(AJ80-AJ79)</f>
        <v>-2.28724158533109</v>
      </c>
      <c r="AK214" s="22" t="n">
        <f aca="false">100*(AK80-AK79)</f>
        <v>-2.25703707850768</v>
      </c>
      <c r="AL214" s="22" t="n">
        <f aca="false">100*(AL80-AL79)</f>
        <v>-2.21278831909282</v>
      </c>
      <c r="AM214" s="22" t="n">
        <f aca="false">100*(AM80-AM79)</f>
        <v>-2.15837289481309</v>
      </c>
      <c r="AN214" s="22" t="n">
        <f aca="false">100*(AN80-AN79)</f>
        <v>-2.09759681864701</v>
      </c>
      <c r="AO214" s="22" t="n">
        <f aca="false">100*(AO80-AO79)</f>
        <v>-2.03414336523728</v>
      </c>
      <c r="AP214" s="22" t="n">
        <f aca="false">100*(AP80-AP79)</f>
        <v>-1.97145822236973</v>
      </c>
      <c r="AQ214" s="22" t="n">
        <f aca="false">100*(AQ80-AQ79)</f>
        <v>-1.91269852965328</v>
      </c>
      <c r="AR214" s="22" t="n">
        <f aca="false">100*(AR80-AR79)</f>
        <v>-1.8606807572858</v>
      </c>
      <c r="AS214" s="22" t="n">
        <f aca="false">100*(AS80-AS79)</f>
        <v>-1.81783401070139</v>
      </c>
      <c r="AT214" s="22" t="n">
        <f aca="false">100*(AT80-AT79)</f>
        <v>-1.7861893271768</v>
      </c>
      <c r="AU214" s="22" t="n">
        <f aca="false">100*(AU80-AU79)</f>
        <v>-1.7673691065335</v>
      </c>
      <c r="AV214" s="22" t="n">
        <f aca="false">100*(AV80-AV79)</f>
        <v>-1.76259124944238</v>
      </c>
      <c r="AW214" s="22" t="n">
        <f aca="false">100*(AW80-AW79)</f>
        <v>-1.77266821368822</v>
      </c>
      <c r="AX214" s="22" t="n">
        <f aca="false">100*(AX80-AX79)</f>
        <v>-1.7980335392886</v>
      </c>
      <c r="AY214" s="22" t="n">
        <f aca="false">100*(AY80-AY79)</f>
        <v>-1.83877084343589</v>
      </c>
      <c r="AZ214" s="22" t="n">
        <f aca="false">100*(AZ80-AZ79)</f>
        <v>-1.89463795559051</v>
      </c>
      <c r="BA214" s="22" t="n">
        <f aca="false">100*(BA80-BA79)</f>
        <v>-1.9650964271547</v>
      </c>
      <c r="BB214" s="22" t="n">
        <f aca="false">100*(BB80-BB79)</f>
        <v>-2.04934334985931</v>
      </c>
      <c r="BC214" s="22" t="n">
        <f aca="false">100*(BC80-BC79)</f>
        <v>-2.1463407750872</v>
      </c>
      <c r="BD214" s="22" t="n">
        <f aca="false">100*(BD80-BD79)</f>
        <v>-2.25485774185419</v>
      </c>
      <c r="BE214" s="22" t="n">
        <f aca="false">100*(BE80-BE79)</f>
        <v>-2.37350652752322</v>
      </c>
      <c r="BF214" s="22" t="n">
        <f aca="false">100*(BF80-BF79)</f>
        <v>-2.50078016074391</v>
      </c>
      <c r="BG214" s="22" t="n">
        <f aca="false">100*(BG80-BG79)</f>
        <v>-2.63509409887148</v>
      </c>
      <c r="BH214" s="22" t="n">
        <f aca="false">AVERAGE(C214:BG214)</f>
        <v>-0.796811470967851</v>
      </c>
    </row>
    <row r="215" customFormat="false" ht="15" hidden="false" customHeight="false" outlineLevel="0" collapsed="false">
      <c r="A215" s="20" t="n">
        <f aca="false">A81</f>
        <v>-44</v>
      </c>
      <c r="B215" s="21" t="n">
        <f aca="false">B81</f>
        <v>44774</v>
      </c>
      <c r="C215" s="22" t="n">
        <f aca="false">100*(C81-C80)</f>
        <v>-5.3753172882147</v>
      </c>
      <c r="D215" s="22" t="n">
        <f aca="false">100*(D81-D80)</f>
        <v>-6.0770941074646</v>
      </c>
      <c r="E215" s="22" t="n">
        <f aca="false">100*(E81-E80)</f>
        <v>-6.38504925530441</v>
      </c>
      <c r="F215" s="22" t="n">
        <f aca="false">100*(F81-F80)</f>
        <v>-6.50535877901701</v>
      </c>
      <c r="G215" s="22" t="n">
        <f aca="false">100*(G81-G80)</f>
        <v>-6.53989556758672</v>
      </c>
      <c r="H215" s="22" t="n">
        <f aca="false">100*(H81-H80)</f>
        <v>-6.5395788674401</v>
      </c>
      <c r="I215" s="22" t="n">
        <f aca="false">100*(I81-I80)</f>
        <v>-6.5304495017364</v>
      </c>
      <c r="J215" s="22" t="n">
        <f aca="false">100*(J81-J80)</f>
        <v>-6.52725685735789</v>
      </c>
      <c r="K215" s="22" t="n">
        <f aca="false">100*(K81-K80)</f>
        <v>-6.5396667658203</v>
      </c>
      <c r="L215" s="22" t="n">
        <f aca="false">100*(L81-L80)</f>
        <v>-6.5746986792387</v>
      </c>
      <c r="M215" s="22" t="n">
        <f aca="false">100*(M81-M80)</f>
        <v>-6.63733630712819</v>
      </c>
      <c r="N215" s="22" t="n">
        <f aca="false">100*(N81-N80)</f>
        <v>-6.73076225675131</v>
      </c>
      <c r="O215" s="22" t="n">
        <f aca="false">100*(O81-O80)</f>
        <v>-6.85675553110969</v>
      </c>
      <c r="P215" s="22" t="n">
        <f aca="false">100*(P81-P80)</f>
        <v>-7.01588924461629</v>
      </c>
      <c r="Q215" s="22" t="n">
        <f aca="false">100*(Q81-Q80)</f>
        <v>-7.20773986931651</v>
      </c>
      <c r="R215" s="22" t="n">
        <f aca="false">100*(R81-R80)</f>
        <v>-7.43092788632469</v>
      </c>
      <c r="S215" s="22" t="n">
        <f aca="false">100*(S81-S80)</f>
        <v>-7.6832004474171</v>
      </c>
      <c r="T215" s="22" t="n">
        <f aca="false">100*(T81-T80)</f>
        <v>-7.9614539212612</v>
      </c>
      <c r="U215" s="22" t="n">
        <f aca="false">100*(U81-U80)</f>
        <v>-8.2619554657613</v>
      </c>
      <c r="V215" s="22" t="n">
        <f aca="false">100*(V81-V80)</f>
        <v>-8.58061984292198</v>
      </c>
      <c r="W215" s="22" t="n">
        <f aca="false">100*(W81-W80)</f>
        <v>-8.91309095138069</v>
      </c>
      <c r="X215" s="22" t="n">
        <f aca="false">100*(X81-X80)</f>
        <v>-9.25479858597629</v>
      </c>
      <c r="Y215" s="22" t="n">
        <f aca="false">100*(Y81-Y80)</f>
        <v>-9.60109838970049</v>
      </c>
      <c r="Z215" s="22" t="n">
        <f aca="false">100*(Z81-Z80)</f>
        <v>-9.94748086454678</v>
      </c>
      <c r="AA215" s="22" t="n">
        <f aca="false">100*(AA81-AA80)</f>
        <v>-10.2895999959292</v>
      </c>
      <c r="AB215" s="22" t="n">
        <f aca="false">100*(AB81-AB80)</f>
        <v>-10.6234898171461</v>
      </c>
      <c r="AC215" s="22" t="n">
        <f aca="false">100*(AC81-AC80)</f>
        <v>-10.9458682749745</v>
      </c>
      <c r="AD215" s="22" t="n">
        <f aca="false">100*(AD81-AD80)</f>
        <v>-11.2540840298252</v>
      </c>
      <c r="AE215" s="22" t="n">
        <f aca="false">100*(AE81-AE80)</f>
        <v>-11.5460179545709</v>
      </c>
      <c r="AF215" s="22" t="n">
        <f aca="false">100*(AF81-AF80)</f>
        <v>-11.8200029023946</v>
      </c>
      <c r="AG215" s="22" t="n">
        <f aca="false">100*(AG81-AG80)</f>
        <v>-12.0748634633101</v>
      </c>
      <c r="AH215" s="22" t="n">
        <f aca="false">100*(AH81-AH80)</f>
        <v>-12.3101129720386</v>
      </c>
      <c r="AI215" s="22" t="n">
        <f aca="false">100*(AI81-AI80)</f>
        <v>-12.5257802961811</v>
      </c>
      <c r="AJ215" s="22" t="n">
        <f aca="false">100*(AJ81-AJ80)</f>
        <v>-12.7223048300613</v>
      </c>
      <c r="AK215" s="22" t="n">
        <f aca="false">100*(AK81-AK80)</f>
        <v>-12.9004665963288</v>
      </c>
      <c r="AL215" s="22" t="n">
        <f aca="false">100*(AL81-AL80)</f>
        <v>-13.0612655525917</v>
      </c>
      <c r="AM215" s="22" t="n">
        <f aca="false">100*(AM81-AM80)</f>
        <v>-13.2058277876679</v>
      </c>
      <c r="AN215" s="22" t="n">
        <f aca="false">100*(AN81-AN80)</f>
        <v>-13.3353220739665</v>
      </c>
      <c r="AO215" s="22" t="n">
        <f aca="false">100*(AO81-AO80)</f>
        <v>-13.4509292624796</v>
      </c>
      <c r="AP215" s="22" t="n">
        <f aca="false">100*(AP81-AP80)</f>
        <v>-13.5538141101048</v>
      </c>
      <c r="AQ215" s="22" t="n">
        <f aca="false">100*(AQ81-AQ80)</f>
        <v>-13.6451127982149</v>
      </c>
      <c r="AR215" s="22" t="n">
        <f aca="false">100*(AR81-AR80)</f>
        <v>-13.7259273732422</v>
      </c>
      <c r="AS215" s="22" t="n">
        <f aca="false">100*(AS81-AS80)</f>
        <v>-13.7973196546042</v>
      </c>
      <c r="AT215" s="22" t="n">
        <f aca="false">100*(AT81-AT80)</f>
        <v>-13.8602940680551</v>
      </c>
      <c r="AU215" s="22" t="n">
        <f aca="false">100*(AU81-AU80)</f>
        <v>-13.9157810495995</v>
      </c>
      <c r="AV215" s="22" t="n">
        <f aca="false">100*(AV81-AV80)</f>
        <v>-13.9646275395105</v>
      </c>
      <c r="AW215" s="22" t="n">
        <f aca="false">100*(AW81-AW80)</f>
        <v>-14.0075880791081</v>
      </c>
      <c r="AX215" s="22" t="n">
        <f aca="false">100*(AX81-AX80)</f>
        <v>-14.0453308993006</v>
      </c>
      <c r="AY215" s="22" t="n">
        <f aca="false">100*(AY81-AY80)</f>
        <v>-14.0784409807182</v>
      </c>
      <c r="AZ215" s="22" t="n">
        <f aca="false">100*(AZ81-AZ80)</f>
        <v>-14.1074213912325</v>
      </c>
      <c r="BA215" s="22" t="n">
        <f aca="false">100*(BA81-BA80)</f>
        <v>-14.1326999413988</v>
      </c>
      <c r="BB215" s="22" t="n">
        <f aca="false">100*(BB81-BB80)</f>
        <v>-14.154632993079</v>
      </c>
      <c r="BC215" s="22" t="n">
        <f aca="false">100*(BC81-BC80)</f>
        <v>-14.1735082669033</v>
      </c>
      <c r="BD215" s="22" t="n">
        <f aca="false">100*(BD81-BD80)</f>
        <v>-14.1895518592781</v>
      </c>
      <c r="BE215" s="22" t="n">
        <f aca="false">100*(BE81-BE80)</f>
        <v>-14.2029358031197</v>
      </c>
      <c r="BF215" s="22" t="n">
        <f aca="false">100*(BF81-BF80)</f>
        <v>-14.2137872271977</v>
      </c>
      <c r="BG215" s="22" t="n">
        <f aca="false">100*(BG81-BG80)</f>
        <v>-14.2221985882929</v>
      </c>
      <c r="BH215" s="22" t="n">
        <f aca="false">AVERAGE(C215:BG215)</f>
        <v>-10.6970944502775</v>
      </c>
    </row>
    <row r="216" customFormat="false" ht="15" hidden="false" customHeight="false" outlineLevel="0" collapsed="false">
      <c r="A216" s="20" t="n">
        <f aca="false">A82</f>
        <v>-43</v>
      </c>
      <c r="B216" s="21" t="n">
        <f aca="false">B82</f>
        <v>44775</v>
      </c>
      <c r="C216" s="22" t="n">
        <f aca="false">100*(C82-C81)</f>
        <v>6.6624511701747</v>
      </c>
      <c r="D216" s="22" t="n">
        <f aca="false">100*(D82-D81)</f>
        <v>6.03868686313829</v>
      </c>
      <c r="E216" s="22" t="n">
        <f aca="false">100*(E82-E81)</f>
        <v>5.77203099658872</v>
      </c>
      <c r="F216" s="22" t="n">
        <f aca="false">100*(F82-F81)</f>
        <v>5.68221289778941</v>
      </c>
      <c r="G216" s="22" t="n">
        <f aca="false">100*(G82-G81)</f>
        <v>5.6675756556823</v>
      </c>
      <c r="H216" s="22" t="n">
        <f aca="false">100*(H82-H81)</f>
        <v>5.670719038844</v>
      </c>
      <c r="I216" s="22" t="n">
        <f aca="false">100*(I82-I81)</f>
        <v>5.6588659221418</v>
      </c>
      <c r="J216" s="22" t="n">
        <f aca="false">100*(J82-J81)</f>
        <v>5.61349538921039</v>
      </c>
      <c r="K216" s="22" t="n">
        <f aca="false">100*(K82-K81)</f>
        <v>5.52499026586659</v>
      </c>
      <c r="L216" s="22" t="n">
        <f aca="false">100*(L82-L81)</f>
        <v>5.38992537727612</v>
      </c>
      <c r="M216" s="22" t="n">
        <f aca="false">100*(M82-M81)</f>
        <v>5.2091908202605</v>
      </c>
      <c r="N216" s="22" t="n">
        <f aca="false">100*(N82-N81)</f>
        <v>4.98653645122911</v>
      </c>
      <c r="O216" s="22" t="n">
        <f aca="false">100*(O82-O81)</f>
        <v>4.72728791864949</v>
      </c>
      <c r="P216" s="22" t="n">
        <f aca="false">100*(P82-P81)</f>
        <v>4.4375311008277</v>
      </c>
      <c r="Q216" s="22" t="n">
        <f aca="false">100*(Q82-Q81)</f>
        <v>4.1237265773675</v>
      </c>
      <c r="R216" s="22" t="n">
        <f aca="false">100*(R82-R81)</f>
        <v>3.7923689364981</v>
      </c>
      <c r="S216" s="22" t="n">
        <f aca="false">100*(S82-S81)</f>
        <v>3.44969534331929</v>
      </c>
      <c r="T216" s="22" t="n">
        <f aca="false">100*(T82-T81)</f>
        <v>3.1016960612295</v>
      </c>
      <c r="U216" s="22" t="n">
        <f aca="false">100*(U82-U81)</f>
        <v>2.75372035133061</v>
      </c>
      <c r="V216" s="22" t="n">
        <f aca="false">100*(V82-V81)</f>
        <v>2.41020822450231</v>
      </c>
      <c r="W216" s="22" t="n">
        <f aca="false">100*(W82-W81)</f>
        <v>2.0748627738806</v>
      </c>
      <c r="X216" s="22" t="n">
        <f aca="false">100*(X82-X81)</f>
        <v>1.75078950019159</v>
      </c>
      <c r="Y216" s="22" t="n">
        <f aca="false">100*(Y82-Y81)</f>
        <v>1.44040397141501</v>
      </c>
      <c r="Z216" s="22" t="n">
        <f aca="false">100*(Z82-Z81)</f>
        <v>1.14520047771438</v>
      </c>
      <c r="AA216" s="22" t="n">
        <f aca="false">100*(AA82-AA81)</f>
        <v>0.865821239833675</v>
      </c>
      <c r="AB216" s="22" t="n">
        <f aca="false">100*(AB82-AB81)</f>
        <v>0.602290633346359</v>
      </c>
      <c r="AC216" s="22" t="n">
        <f aca="false">100*(AC82-AC81)</f>
        <v>0.35431221233333</v>
      </c>
      <c r="AD216" s="22" t="n">
        <f aca="false">100*(AD82-AD81)</f>
        <v>0.121352518781581</v>
      </c>
      <c r="AE216" s="22" t="n">
        <f aca="false">100*(AE82-AE81)</f>
        <v>-0.097321850479215</v>
      </c>
      <c r="AF216" s="22" t="n">
        <f aca="false">100*(AF82-AF81)</f>
        <v>-0.302613749821923</v>
      </c>
      <c r="AG216" s="22" t="n">
        <f aca="false">100*(AG82-AG81)</f>
        <v>-0.495492423795518</v>
      </c>
      <c r="AH216" s="22" t="n">
        <f aca="false">100*(AH82-AH81)</f>
        <v>-0.676754378221478</v>
      </c>
      <c r="AI216" s="22" t="n">
        <f aca="false">100*(AI82-AI81)</f>
        <v>-0.847069935487177</v>
      </c>
      <c r="AJ216" s="22" t="n">
        <f aca="false">100*(AJ82-AJ81)</f>
        <v>-1.0070005073783</v>
      </c>
      <c r="AK216" s="22" t="n">
        <f aca="false">100*(AK82-AK81)</f>
        <v>-1.15700681133459</v>
      </c>
      <c r="AL216" s="22" t="n">
        <f aca="false">100*(AL82-AL81)</f>
        <v>-1.29744628599293</v>
      </c>
      <c r="AM216" s="22" t="n">
        <f aca="false">100*(AM82-AM81)</f>
        <v>-1.42858233402214</v>
      </c>
      <c r="AN216" s="22" t="n">
        <f aca="false">100*(AN82-AN81)</f>
        <v>-1.55061118296298</v>
      </c>
      <c r="AO216" s="22" t="n">
        <f aca="false">100*(AO82-AO81)</f>
        <v>-1.66368452543262</v>
      </c>
      <c r="AP216" s="22" t="n">
        <f aca="false">100*(AP82-AP81)</f>
        <v>-1.76796590870372</v>
      </c>
      <c r="AQ216" s="22" t="n">
        <f aca="false">100*(AQ82-AQ81)</f>
        <v>-1.86366080238782</v>
      </c>
      <c r="AR216" s="22" t="n">
        <f aca="false">100*(AR82-AR81)</f>
        <v>-1.95104359255582</v>
      </c>
      <c r="AS216" s="22" t="n">
        <f aca="false">100*(AS82-AS81)</f>
        <v>-2.03047803212919</v>
      </c>
      <c r="AT216" s="22" t="n">
        <f aca="false">100*(AT82-AT81)</f>
        <v>-2.10240976520537</v>
      </c>
      <c r="AU216" s="22" t="n">
        <f aca="false">100*(AU82-AU81)</f>
        <v>-2.1673557230677</v>
      </c>
      <c r="AV216" s="22" t="n">
        <f aca="false">100*(AV82-AV81)</f>
        <v>-2.22589035356817</v>
      </c>
      <c r="AW216" s="22" t="n">
        <f aca="false">100*(AW82-AW81)</f>
        <v>-2.27863226999818</v>
      </c>
      <c r="AX216" s="22" t="n">
        <f aca="false">100*(AX82-AX81)</f>
        <v>-2.3262361062903</v>
      </c>
      <c r="AY216" s="22" t="n">
        <f aca="false">100*(AY82-AY81)</f>
        <v>-2.36935986139479</v>
      </c>
      <c r="AZ216" s="22" t="n">
        <f aca="false">100*(AZ82-AZ81)</f>
        <v>-2.4086359882475</v>
      </c>
      <c r="BA216" s="22" t="n">
        <f aca="false">100*(BA82-BA81)</f>
        <v>-2.44466943486059</v>
      </c>
      <c r="BB216" s="22" t="n">
        <f aca="false">100*(BB82-BB81)</f>
        <v>-2.47802057016289</v>
      </c>
      <c r="BC216" s="22" t="n">
        <f aca="false">100*(BC82-BC81)</f>
        <v>-2.50918777291012</v>
      </c>
      <c r="BD216" s="22" t="n">
        <f aca="false">100*(BD82-BD81)</f>
        <v>-2.53860042548242</v>
      </c>
      <c r="BE216" s="22" t="n">
        <f aca="false">100*(BE82-BE81)</f>
        <v>-2.56661586543761</v>
      </c>
      <c r="BF216" s="22" t="n">
        <f aca="false">100*(BF82-BF81)</f>
        <v>-2.59351607568998</v>
      </c>
      <c r="BG216" s="22" t="n">
        <f aca="false">100*(BG82-BG81)</f>
        <v>-2.61951442273691</v>
      </c>
      <c r="BH216" s="22" t="n">
        <f aca="false">AVERAGE(C216:BG216)</f>
        <v>0.934431083046754</v>
      </c>
    </row>
    <row r="217" customFormat="false" ht="15" hidden="false" customHeight="false" outlineLevel="0" collapsed="false">
      <c r="A217" s="20" t="n">
        <f aca="false">A83</f>
        <v>-42</v>
      </c>
      <c r="B217" s="21" t="n">
        <f aca="false">B83</f>
        <v>44776</v>
      </c>
      <c r="C217" s="22" t="n">
        <f aca="false">100*(C83-C82)</f>
        <v>14.5934621884066</v>
      </c>
      <c r="D217" s="22" t="n">
        <f aca="false">100*(D83-D82)</f>
        <v>14.8183202932977</v>
      </c>
      <c r="E217" s="22" t="n">
        <f aca="false">100*(E83-E82)</f>
        <v>14.7368238962396</v>
      </c>
      <c r="F217" s="22" t="n">
        <f aca="false">100*(F83-F82)</f>
        <v>14.4604760229007</v>
      </c>
      <c r="G217" s="22" t="n">
        <f aca="false">100*(G83-G82)</f>
        <v>14.0624264007186</v>
      </c>
      <c r="H217" s="22" t="n">
        <f aca="false">100*(H83-H82)</f>
        <v>13.591403318626</v>
      </c>
      <c r="I217" s="22" t="n">
        <f aca="false">100*(I83-I82)</f>
        <v>13.0802767502916</v>
      </c>
      <c r="J217" s="22" t="n">
        <f aca="false">100*(J83-J82)</f>
        <v>12.5522948613738</v>
      </c>
      <c r="K217" s="22" t="n">
        <f aca="false">100*(K83-K82)</f>
        <v>12.024650323489</v>
      </c>
      <c r="L217" s="22" t="n">
        <f aca="false">100*(L83-L82)</f>
        <v>11.5100946766399</v>
      </c>
      <c r="M217" s="22" t="n">
        <f aca="false">100*(M83-M82)</f>
        <v>11.0176132604681</v>
      </c>
      <c r="N217" s="22" t="n">
        <f aca="false">100*(N83-N82)</f>
        <v>10.5531327584317</v>
      </c>
      <c r="O217" s="22" t="n">
        <f aca="false">100*(O83-O82)</f>
        <v>10.1200233060488</v>
      </c>
      <c r="P217" s="22" t="n">
        <f aca="false">100*(P83-P82)</f>
        <v>9.7196634880671</v>
      </c>
      <c r="Q217" s="22" t="n">
        <f aca="false">100*(Q83-Q82)</f>
        <v>9.35189774346299</v>
      </c>
      <c r="R217" s="22" t="n">
        <f aca="false">100*(R83-R82)</f>
        <v>9.0153655072406</v>
      </c>
      <c r="S217" s="22" t="n">
        <f aca="false">100*(S83-S82)</f>
        <v>8.70788808191301</v>
      </c>
      <c r="T217" s="22" t="n">
        <f aca="false">100*(T83-T82)</f>
        <v>8.4266547152775</v>
      </c>
      <c r="U217" s="22" t="n">
        <f aca="false">100*(U83-U82)</f>
        <v>8.1687803840907</v>
      </c>
      <c r="V217" s="22" t="n">
        <f aca="false">100*(V83-V82)</f>
        <v>7.93157133144598</v>
      </c>
      <c r="W217" s="22" t="n">
        <f aca="false">100*(W83-W82)</f>
        <v>7.71249148317819</v>
      </c>
      <c r="X217" s="22" t="n">
        <f aca="false">100*(X83-X82)</f>
        <v>7.50914233444959</v>
      </c>
      <c r="Y217" s="22" t="n">
        <f aca="false">100*(Y83-Y82)</f>
        <v>7.3194266051972</v>
      </c>
      <c r="Z217" s="22" t="n">
        <f aca="false">100*(Z83-Z82)</f>
        <v>7.1417260906347</v>
      </c>
      <c r="AA217" s="22" t="n">
        <f aca="false">100*(AA83-AA82)</f>
        <v>6.9747011133948</v>
      </c>
      <c r="AB217" s="22" t="n">
        <f aca="false">100*(AB83-AB82)</f>
        <v>6.81718778461442</v>
      </c>
      <c r="AC217" s="22" t="n">
        <f aca="false">100*(AC83-AC82)</f>
        <v>6.66829558279161</v>
      </c>
      <c r="AD217" s="22" t="n">
        <f aca="false">100*(AD83-AD82)</f>
        <v>6.52738555331811</v>
      </c>
      <c r="AE217" s="22" t="n">
        <f aca="false">100*(AE83-AE82)</f>
        <v>6.3940310226466</v>
      </c>
      <c r="AF217" s="22" t="n">
        <f aca="false">100*(AF83-AF82)</f>
        <v>6.26798548447671</v>
      </c>
      <c r="AG217" s="22" t="n">
        <f aca="false">100*(AG83-AG82)</f>
        <v>6.14918549610213</v>
      </c>
      <c r="AH217" s="22" t="n">
        <f aca="false">100*(AH83-AH82)</f>
        <v>6.03780991784011</v>
      </c>
      <c r="AI217" s="22" t="n">
        <f aca="false">100*(AI83-AI82)</f>
        <v>5.93416624140399</v>
      </c>
      <c r="AJ217" s="22" t="n">
        <f aca="false">100*(AJ83-AJ82)</f>
        <v>5.83856728811751</v>
      </c>
      <c r="AK217" s="22" t="n">
        <f aca="false">100*(AK83-AK82)</f>
        <v>5.7513016309366</v>
      </c>
      <c r="AL217" s="22" t="n">
        <f aca="false">100*(AL83-AL82)</f>
        <v>5.6725712574206</v>
      </c>
      <c r="AM217" s="22" t="n">
        <f aca="false">100*(AM83-AM82)</f>
        <v>5.60245960899621</v>
      </c>
      <c r="AN217" s="22" t="n">
        <f aca="false">100*(AN83-AN82)</f>
        <v>5.54091820622129</v>
      </c>
      <c r="AO217" s="22" t="n">
        <f aca="false">100*(AO83-AO82)</f>
        <v>5.48777074536582</v>
      </c>
      <c r="AP217" s="22" t="n">
        <f aca="false">100*(AP83-AP82)</f>
        <v>5.44270882792759</v>
      </c>
      <c r="AQ217" s="22" t="n">
        <f aca="false">100*(AQ83-AQ82)</f>
        <v>5.40529738486932</v>
      </c>
      <c r="AR217" s="22" t="n">
        <f aca="false">100*(AR83-AR82)</f>
        <v>5.37499978682612</v>
      </c>
      <c r="AS217" s="22" t="n">
        <f aca="false">100*(AS83-AS82)</f>
        <v>5.3512015314912</v>
      </c>
      <c r="AT217" s="22" t="n">
        <f aca="false">100*(AT83-AT82)</f>
        <v>5.3332386189731</v>
      </c>
      <c r="AU217" s="22" t="n">
        <f aca="false">100*(AU83-AU82)</f>
        <v>5.3204232712579</v>
      </c>
      <c r="AV217" s="22" t="n">
        <f aca="false">100*(AV83-AV82)</f>
        <v>5.31206472105299</v>
      </c>
      <c r="AW217" s="22" t="n">
        <f aca="false">100*(AW83-AW82)</f>
        <v>5.30748815330249</v>
      </c>
      <c r="AX217" s="22" t="n">
        <f aca="false">100*(AX83-AX82)</f>
        <v>5.30603965104861</v>
      </c>
      <c r="AY217" s="22" t="n">
        <f aca="false">100*(AY83-AY82)</f>
        <v>5.30710342113281</v>
      </c>
      <c r="AZ217" s="22" t="n">
        <f aca="false">100*(AZ83-AZ82)</f>
        <v>5.31011585844907</v>
      </c>
      <c r="BA217" s="22" t="n">
        <f aca="false">100*(BA83-BA82)</f>
        <v>5.31456298734621</v>
      </c>
      <c r="BB217" s="22" t="n">
        <f aca="false">100*(BB83-BB82)</f>
        <v>5.31998389352641</v>
      </c>
      <c r="BC217" s="22" t="n">
        <f aca="false">100*(BC83-BC82)</f>
        <v>5.32597484133621</v>
      </c>
      <c r="BD217" s="22" t="n">
        <f aca="false">100*(BD83-BD82)</f>
        <v>5.33218897668331</v>
      </c>
      <c r="BE217" s="22" t="n">
        <f aca="false">100*(BE83-BE82)</f>
        <v>5.3383358581681</v>
      </c>
      <c r="BF217" s="22" t="n">
        <f aca="false">100*(BF83-BF82)</f>
        <v>5.3441837385062</v>
      </c>
      <c r="BG217" s="22" t="n">
        <f aca="false">100*(BG83-BG82)</f>
        <v>5.34955713504703</v>
      </c>
      <c r="BH217" s="22" t="n">
        <f aca="false">AVERAGE(C217:BG217)</f>
        <v>7.82255107741194</v>
      </c>
    </row>
    <row r="218" customFormat="false" ht="15" hidden="false" customHeight="false" outlineLevel="0" collapsed="false">
      <c r="A218" s="20" t="n">
        <f aca="false">A84</f>
        <v>-41</v>
      </c>
      <c r="B218" s="21" t="n">
        <f aca="false">B84</f>
        <v>44777</v>
      </c>
      <c r="C218" s="22" t="n">
        <f aca="false">100*(C84-C83)</f>
        <v>-2.57651001261841</v>
      </c>
      <c r="D218" s="22" t="n">
        <f aca="false">100*(D84-D83)</f>
        <v>-2.83382356691599</v>
      </c>
      <c r="E218" s="22" t="n">
        <f aca="false">100*(E84-E83)</f>
        <v>-2.95946331831178</v>
      </c>
      <c r="F218" s="22" t="n">
        <f aca="false">100*(F84-F83)</f>
        <v>-3.02329717232661</v>
      </c>
      <c r="G218" s="22" t="n">
        <f aca="false">100*(G84-G83)</f>
        <v>-3.06788098676669</v>
      </c>
      <c r="H218" s="22" t="n">
        <f aca="false">100*(H84-H83)</f>
        <v>-3.1169869306507</v>
      </c>
      <c r="I218" s="22" t="n">
        <f aca="false">100*(I84-I83)</f>
        <v>-3.1827328870073</v>
      </c>
      <c r="J218" s="22" t="n">
        <f aca="false">100*(J84-J83)</f>
        <v>-3.27006496497821</v>
      </c>
      <c r="K218" s="22" t="n">
        <f aca="false">100*(K84-K83)</f>
        <v>-3.3795335629637</v>
      </c>
      <c r="L218" s="22" t="n">
        <f aca="false">100*(L84-L83)</f>
        <v>-3.5085845009492</v>
      </c>
      <c r="M218" s="22" t="n">
        <f aca="false">100*(M84-M83)</f>
        <v>-3.65257961738699</v>
      </c>
      <c r="N218" s="22" t="n">
        <f aca="false">100*(N84-N83)</f>
        <v>-3.80568424172429</v>
      </c>
      <c r="O218" s="22" t="n">
        <f aca="false">100*(O84-O83)</f>
        <v>-3.96162539664149</v>
      </c>
      <c r="P218" s="22" t="n">
        <f aca="false">100*(P84-P83)</f>
        <v>-4.11465619049711</v>
      </c>
      <c r="Q218" s="22" t="n">
        <f aca="false">100*(Q84-Q83)</f>
        <v>-4.25993330896519</v>
      </c>
      <c r="R218" s="22" t="n">
        <f aca="false">100*(R84-R83)</f>
        <v>-4.3939120095845</v>
      </c>
      <c r="S218" s="22" t="n">
        <f aca="false">100*(S84-S83)</f>
        <v>-4.51432659228601</v>
      </c>
      <c r="T218" s="22" t="n">
        <f aca="false">100*(T84-T83)</f>
        <v>-4.6201640412781</v>
      </c>
      <c r="U218" s="22" t="n">
        <f aca="false">100*(U84-U83)</f>
        <v>-4.71126291687232</v>
      </c>
      <c r="V218" s="22" t="n">
        <f aca="false">100*(V84-V83)</f>
        <v>-4.7880351934523</v>
      </c>
      <c r="W218" s="22" t="n">
        <f aca="false">100*(W84-W83)</f>
        <v>-4.85134587599339</v>
      </c>
      <c r="X218" s="22" t="n">
        <f aca="false">100*(X84-X83)</f>
        <v>-4.9024128625959</v>
      </c>
      <c r="Y218" s="22" t="n">
        <f aca="false">100*(Y84-Y83)</f>
        <v>-4.9425937489346</v>
      </c>
      <c r="Z218" s="22" t="n">
        <f aca="false">100*(Z84-Z83)</f>
        <v>-4.9731823386217</v>
      </c>
      <c r="AA218" s="22" t="n">
        <f aca="false">100*(AA84-AA83)</f>
        <v>-4.99537368337748</v>
      </c>
      <c r="AB218" s="22" t="n">
        <f aca="false">100*(AB84-AB83)</f>
        <v>-5.0102167225397</v>
      </c>
      <c r="AC218" s="22" t="n">
        <f aca="false">100*(AC84-AC83)</f>
        <v>-5.01857408878732</v>
      </c>
      <c r="AD218" s="22" t="n">
        <f aca="false">100*(AD84-AD83)</f>
        <v>-5.02114211190698</v>
      </c>
      <c r="AE218" s="22" t="n">
        <f aca="false">100*(AE84-AE83)</f>
        <v>-5.01847679375027</v>
      </c>
      <c r="AF218" s="22" t="n">
        <f aca="false">100*(AF84-AF83)</f>
        <v>-5.01101512281159</v>
      </c>
      <c r="AG218" s="22" t="n">
        <f aca="false">100*(AG84-AG83)</f>
        <v>-4.99909174225559</v>
      </c>
      <c r="AH218" s="22" t="n">
        <f aca="false">100*(AH84-AH83)</f>
        <v>-4.98294362689462</v>
      </c>
      <c r="AI218" s="22" t="n">
        <f aca="false">100*(AI84-AI83)</f>
        <v>-4.96276682688492</v>
      </c>
      <c r="AJ218" s="22" t="n">
        <f aca="false">100*(AJ84-AJ83)</f>
        <v>-4.9387865663951</v>
      </c>
      <c r="AK218" s="22" t="n">
        <f aca="false">100*(AK84-AK83)</f>
        <v>-4.91127171731871</v>
      </c>
      <c r="AL218" s="22" t="n">
        <f aca="false">100*(AL84-AL83)</f>
        <v>-4.88056917553719</v>
      </c>
      <c r="AM218" s="22" t="n">
        <f aca="false">100*(AM84-AM83)</f>
        <v>-4.84711487687881</v>
      </c>
      <c r="AN218" s="22" t="n">
        <f aca="false">100*(AN84-AN83)</f>
        <v>-4.81142776581471</v>
      </c>
      <c r="AO218" s="22" t="n">
        <f aca="false">100*(AO84-AO83)</f>
        <v>-4.77409647520442</v>
      </c>
      <c r="AP218" s="22" t="n">
        <f aca="false">100*(AP84-AP83)</f>
        <v>-4.73574873761797</v>
      </c>
      <c r="AQ218" s="22" t="n">
        <f aca="false">100*(AQ84-AQ83)</f>
        <v>-4.69703283184462</v>
      </c>
      <c r="AR218" s="22" t="n">
        <f aca="false">100*(AR84-AR83)</f>
        <v>-4.65858662110841</v>
      </c>
      <c r="AS218" s="22" t="n">
        <f aca="false">100*(AS84-AS83)</f>
        <v>-4.62101228253329</v>
      </c>
      <c r="AT218" s="22" t="n">
        <f aca="false">100*(AT84-AT83)</f>
        <v>-4.58487013157081</v>
      </c>
      <c r="AU218" s="22" t="n">
        <f aca="false">100*(AU84-AU83)</f>
        <v>-4.55067429331182</v>
      </c>
      <c r="AV218" s="22" t="n">
        <f aca="false">100*(AV84-AV83)</f>
        <v>-4.51889295957511</v>
      </c>
      <c r="AW218" s="22" t="n">
        <f aca="false">100*(AW84-AW83)</f>
        <v>-4.48994809832981</v>
      </c>
      <c r="AX218" s="22" t="n">
        <f aca="false">100*(AX84-AX83)</f>
        <v>-4.4642164797446</v>
      </c>
      <c r="AY218" s="22" t="n">
        <f aca="false">100*(AY84-AY83)</f>
        <v>-4.44201998093403</v>
      </c>
      <c r="AZ218" s="22" t="n">
        <f aca="false">100*(AZ84-AZ83)</f>
        <v>-4.42361752677378</v>
      </c>
      <c r="BA218" s="22" t="n">
        <f aca="false">100*(BA84-BA83)</f>
        <v>-4.40920857057581</v>
      </c>
      <c r="BB218" s="22" t="n">
        <f aca="false">100*(BB84-BB83)</f>
        <v>-4.3989261624001</v>
      </c>
      <c r="BC218" s="22" t="n">
        <f aca="false">100*(BC84-BC83)</f>
        <v>-4.3928300196177</v>
      </c>
      <c r="BD218" s="22" t="n">
        <f aca="false">100*(BD84-BD83)</f>
        <v>-4.39090735135519</v>
      </c>
      <c r="BE218" s="22" t="n">
        <f aca="false">100*(BE84-BE83)</f>
        <v>-4.39307769567168</v>
      </c>
      <c r="BF218" s="22" t="n">
        <f aca="false">100*(BF84-BF83)</f>
        <v>-4.39920085029182</v>
      </c>
      <c r="BG218" s="22" t="n">
        <f aca="false">100*(BG84-BG83)</f>
        <v>-4.40907984122143</v>
      </c>
      <c r="BH218" s="22" t="n">
        <f aca="false">AVERAGE(C218:BG218)</f>
        <v>-4.3609352626168</v>
      </c>
    </row>
    <row r="219" customFormat="false" ht="15" hidden="false" customHeight="false" outlineLevel="0" collapsed="false">
      <c r="A219" s="20" t="n">
        <f aca="false">A85</f>
        <v>-40</v>
      </c>
      <c r="B219" s="21" t="n">
        <f aca="false">B85</f>
        <v>44778</v>
      </c>
      <c r="C219" s="22" t="n">
        <f aca="false">100*(C85-C84)</f>
        <v>11.6779134946376</v>
      </c>
      <c r="D219" s="22" t="n">
        <f aca="false">100*(D85-D84)</f>
        <v>12.7476639781301</v>
      </c>
      <c r="E219" s="22" t="n">
        <f aca="false">100*(E85-E84)</f>
        <v>13.6641450437852</v>
      </c>
      <c r="F219" s="22" t="n">
        <f aca="false">100*(F85-F84)</f>
        <v>14.4402324074028</v>
      </c>
      <c r="G219" s="22" t="n">
        <f aca="false">100*(G85-G84)</f>
        <v>15.0802689024413</v>
      </c>
      <c r="H219" s="22" t="n">
        <f aca="false">100*(H85-H84)</f>
        <v>15.5920481504922</v>
      </c>
      <c r="I219" s="22" t="n">
        <f aca="false">100*(I85-I84)</f>
        <v>15.9868878441765</v>
      </c>
      <c r="J219" s="22" t="n">
        <f aca="false">100*(J85-J84)</f>
        <v>16.2772740001031</v>
      </c>
      <c r="K219" s="22" t="n">
        <f aca="false">100*(K85-K84)</f>
        <v>16.4753057362058</v>
      </c>
      <c r="L219" s="22" t="n">
        <f aca="false">100*(L85-L84)</f>
        <v>16.5928698894106</v>
      </c>
      <c r="M219" s="22" t="n">
        <f aca="false">100*(M85-M84)</f>
        <v>16.6420339406345</v>
      </c>
      <c r="N219" s="22" t="n">
        <f aca="false">100*(N85-N84)</f>
        <v>16.634617984862</v>
      </c>
      <c r="O219" s="22" t="n">
        <f aca="false">100*(O85-O84)</f>
        <v>16.5821228934627</v>
      </c>
      <c r="P219" s="22" t="n">
        <f aca="false">100*(P85-P84)</f>
        <v>16.4948895689326</v>
      </c>
      <c r="Q219" s="22" t="n">
        <f aca="false">100*(Q85-Q84)</f>
        <v>16.3819002727852</v>
      </c>
      <c r="R219" s="22" t="n">
        <f aca="false">100*(R85-R84)</f>
        <v>16.2506528828931</v>
      </c>
      <c r="S219" s="22" t="n">
        <f aca="false">100*(S85-S84)</f>
        <v>16.1072844373183</v>
      </c>
      <c r="T219" s="22" t="n">
        <f aca="false">100*(T85-T84)</f>
        <v>15.9567274367223</v>
      </c>
      <c r="U219" s="22" t="n">
        <f aca="false">100*(U85-U84)</f>
        <v>15.8030189101464</v>
      </c>
      <c r="V219" s="22" t="n">
        <f aca="false">100*(V85-V84)</f>
        <v>15.6493958156086</v>
      </c>
      <c r="W219" s="22" t="n">
        <f aca="false">100*(W85-W84)</f>
        <v>15.4984514070027</v>
      </c>
      <c r="X219" s="22" t="n">
        <f aca="false">100*(X85-X84)</f>
        <v>15.3522735570239</v>
      </c>
      <c r="Y219" s="22" t="n">
        <f aca="false">100*(Y85-Y84)</f>
        <v>15.2125899878837</v>
      </c>
      <c r="Z219" s="22" t="n">
        <f aca="false">100*(Z85-Z84)</f>
        <v>15.0807707163562</v>
      </c>
      <c r="AA219" s="22" t="n">
        <f aca="false">100*(AA85-AA84)</f>
        <v>14.9577840670722</v>
      </c>
      <c r="AB219" s="22" t="n">
        <f aca="false">100*(AB85-AB84)</f>
        <v>14.8442371471564</v>
      </c>
      <c r="AC219" s="22" t="n">
        <f aca="false">100*(AC85-AC84)</f>
        <v>14.740498416763</v>
      </c>
      <c r="AD219" s="22" t="n">
        <f aca="false">100*(AD85-AD84)</f>
        <v>14.6467474761051</v>
      </c>
      <c r="AE219" s="22" t="n">
        <f aca="false">100*(AE85-AE84)</f>
        <v>14.5630045867185</v>
      </c>
      <c r="AF219" s="22" t="n">
        <f aca="false">100*(AF85-AF84)</f>
        <v>14.4891546224333</v>
      </c>
      <c r="AG219" s="22" t="n">
        <f aca="false">100*(AG85-AG84)</f>
        <v>14.4249667910121</v>
      </c>
      <c r="AH219" s="22" t="n">
        <f aca="false">100*(AH85-AH84)</f>
        <v>14.3701537329086</v>
      </c>
      <c r="AI219" s="22" t="n">
        <f aca="false">100*(AI85-AI84)</f>
        <v>14.3243848165008</v>
      </c>
      <c r="AJ219" s="22" t="n">
        <f aca="false">100*(AJ85-AJ84)</f>
        <v>14.2872762026303</v>
      </c>
      <c r="AK219" s="22" t="n">
        <f aca="false">100*(AK85-AK84)</f>
        <v>14.2583982036936</v>
      </c>
      <c r="AL219" s="22" t="n">
        <f aca="false">100*(AL85-AL84)</f>
        <v>14.2372970884559</v>
      </c>
      <c r="AM219" s="22" t="n">
        <f aca="false">100*(AM85-AM84)</f>
        <v>14.2235092327246</v>
      </c>
      <c r="AN219" s="22" t="n">
        <f aca="false">100*(AN85-AN84)</f>
        <v>14.2165594270579</v>
      </c>
      <c r="AO219" s="22" t="n">
        <f aca="false">100*(AO85-AO84)</f>
        <v>14.2159628069644</v>
      </c>
      <c r="AP219" s="22" t="n">
        <f aca="false">100*(AP85-AP84)</f>
        <v>14.2212303926787</v>
      </c>
      <c r="AQ219" s="22" t="n">
        <f aca="false">100*(AQ85-AQ84)</f>
        <v>14.2318712383985</v>
      </c>
      <c r="AR219" s="22" t="n">
        <f aca="false">100*(AR85-AR84)</f>
        <v>14.2474056072015</v>
      </c>
      <c r="AS219" s="22" t="n">
        <f aca="false">100*(AS85-AS84)</f>
        <v>14.2673755856151</v>
      </c>
      <c r="AT219" s="22" t="n">
        <f aca="false">100*(AT85-AT84)</f>
        <v>14.291349792479</v>
      </c>
      <c r="AU219" s="22" t="n">
        <f aca="false">100*(AU85-AU84)</f>
        <v>14.3189292579291</v>
      </c>
      <c r="AV219" s="22" t="n">
        <f aca="false">100*(AV85-AV84)</f>
        <v>14.3497470999742</v>
      </c>
      <c r="AW219" s="22" t="n">
        <f aca="false">100*(AW85-AW84)</f>
        <v>14.3834693364164</v>
      </c>
      <c r="AX219" s="22" t="n">
        <f aca="false">100*(AX85-AX84)</f>
        <v>14.4197902859892</v>
      </c>
      <c r="AY219" s="22" t="n">
        <f aca="false">100*(AY85-AY84)</f>
        <v>14.4584268753372</v>
      </c>
      <c r="AZ219" s="22" t="n">
        <f aca="false">100*(AZ85-AZ84)</f>
        <v>14.4991185601184</v>
      </c>
      <c r="BA219" s="22" t="n">
        <f aca="false">100*(BA85-BA84)</f>
        <v>14.5416248692349</v>
      </c>
      <c r="BB219" s="22" t="n">
        <f aca="false">100*(BB85-BB84)</f>
        <v>14.5857168295355</v>
      </c>
      <c r="BC219" s="22" t="n">
        <f aca="false">100*(BC85-BC84)</f>
        <v>14.6311709214774</v>
      </c>
      <c r="BD219" s="22" t="n">
        <f aca="false">100*(BD85-BD84)</f>
        <v>14.6777663698181</v>
      </c>
      <c r="BE219" s="22" t="n">
        <f aca="false">100*(BE85-BE84)</f>
        <v>14.7252829597154</v>
      </c>
      <c r="BF219" s="22" t="n">
        <f aca="false">100*(BF85-BF84)</f>
        <v>14.7735000036983</v>
      </c>
      <c r="BG219" s="22" t="n">
        <f aca="false">100*(BG85-BG84)</f>
        <v>14.8221976153386</v>
      </c>
      <c r="BH219" s="22" t="n">
        <f aca="false">AVERAGE(C219:BG219)</f>
        <v>14.9022324118872</v>
      </c>
    </row>
    <row r="220" customFormat="false" ht="15" hidden="false" customHeight="false" outlineLevel="0" collapsed="false">
      <c r="A220" s="20" t="n">
        <f aca="false">A86</f>
        <v>-39</v>
      </c>
      <c r="B220" s="21" t="n">
        <f aca="false">B86</f>
        <v>44781</v>
      </c>
      <c r="C220" s="22" t="n">
        <f aca="false">100*(C86-C85)</f>
        <v>-9.3067825591332</v>
      </c>
      <c r="D220" s="22" t="n">
        <f aca="false">100*(D86-D85)</f>
        <v>-9.42415665963519</v>
      </c>
      <c r="E220" s="22" t="n">
        <f aca="false">100*(E86-E85)</f>
        <v>-9.45643260295279</v>
      </c>
      <c r="F220" s="22" t="n">
        <f aca="false">100*(F86-F85)</f>
        <v>-9.4453367945277</v>
      </c>
      <c r="G220" s="22" t="n">
        <f aca="false">100*(G86-G85)</f>
        <v>-9.41375691035919</v>
      </c>
      <c r="H220" s="22" t="n">
        <f aca="false">100*(H86-H85)</f>
        <v>-9.3744708928432</v>
      </c>
      <c r="I220" s="22" t="n">
        <f aca="false">100*(I86-I85)</f>
        <v>-9.33351401631239</v>
      </c>
      <c r="J220" s="22" t="n">
        <f aca="false">100*(J86-J85)</f>
        <v>-9.29302202844</v>
      </c>
      <c r="K220" s="22" t="n">
        <f aca="false">100*(K86-K85)</f>
        <v>-9.2528619411119</v>
      </c>
      <c r="L220" s="22" t="n">
        <f aca="false">100*(L86-L85)</f>
        <v>-9.2117843467417</v>
      </c>
      <c r="M220" s="22" t="n">
        <f aca="false">100*(M86-M85)</f>
        <v>-9.1676276595634</v>
      </c>
      <c r="N220" s="22" t="n">
        <f aca="false">100*(N86-N85)</f>
        <v>-9.11815385502139</v>
      </c>
      <c r="O220" s="22" t="n">
        <f aca="false">100*(O86-O85)</f>
        <v>-9.0614532511281</v>
      </c>
      <c r="P220" s="22" t="n">
        <f aca="false">100*(P86-P85)</f>
        <v>-8.99640723924431</v>
      </c>
      <c r="Q220" s="22" t="n">
        <f aca="false">100*(Q86-Q85)</f>
        <v>-8.92271874563162</v>
      </c>
      <c r="R220" s="22" t="n">
        <f aca="false">100*(R86-R85)</f>
        <v>-8.84090352519631</v>
      </c>
      <c r="S220" s="22" t="n">
        <f aca="false">100*(S86-S85)</f>
        <v>-8.75214060432081</v>
      </c>
      <c r="T220" s="22" t="n">
        <f aca="false">100*(T86-T85)</f>
        <v>-8.65824629220029</v>
      </c>
      <c r="U220" s="22" t="n">
        <f aca="false">100*(U86-U85)</f>
        <v>-8.56127869026779</v>
      </c>
      <c r="V220" s="22" t="n">
        <f aca="false">100*(V86-V85)</f>
        <v>-8.46332358266579</v>
      </c>
      <c r="W220" s="22" t="n">
        <f aca="false">100*(W86-W85)</f>
        <v>-8.36648583844037</v>
      </c>
      <c r="X220" s="22" t="n">
        <f aca="false">100*(X86-X85)</f>
        <v>-8.27287276375919</v>
      </c>
      <c r="Y220" s="22" t="n">
        <f aca="false">100*(Y86-Y85)</f>
        <v>-8.18440411754802</v>
      </c>
      <c r="Z220" s="22" t="n">
        <f aca="false">100*(Z86-Z85)</f>
        <v>-8.10262028179909</v>
      </c>
      <c r="AA220" s="22" t="n">
        <f aca="false">100*(AA86-AA85)</f>
        <v>-8.02871604022184</v>
      </c>
      <c r="AB220" s="22" t="n">
        <f aca="false">100*(AB86-AB85)</f>
        <v>-7.96352823101429</v>
      </c>
      <c r="AC220" s="22" t="n">
        <f aca="false">100*(AC86-AC85)</f>
        <v>-7.90750008131127</v>
      </c>
      <c r="AD220" s="22" t="n">
        <f aca="false">100*(AD86-AD85)</f>
        <v>-7.86073088330621</v>
      </c>
      <c r="AE220" s="22" t="n">
        <f aca="false">100*(AE86-AE85)</f>
        <v>-7.8230297265764</v>
      </c>
      <c r="AF220" s="22" t="n">
        <f aca="false">100*(AF86-AF85)</f>
        <v>-7.79395950076469</v>
      </c>
      <c r="AG220" s="22" t="n">
        <f aca="false">100*(AG86-AG85)</f>
        <v>-7.77286514161872</v>
      </c>
      <c r="AH220" s="22" t="n">
        <f aca="false">100*(AH86-AH85)</f>
        <v>-7.75886715727561</v>
      </c>
      <c r="AI220" s="22" t="n">
        <f aca="false">100*(AI86-AI85)</f>
        <v>-7.7509071272349</v>
      </c>
      <c r="AJ220" s="22" t="n">
        <f aca="false">100*(AJ86-AJ85)</f>
        <v>-7.74780434204621</v>
      </c>
      <c r="AK220" s="22" t="n">
        <f aca="false">100*(AK86-AK85)</f>
        <v>-7.74828606385669</v>
      </c>
      <c r="AL220" s="22" t="n">
        <f aca="false">100*(AL86-AL85)</f>
        <v>-7.7510426906509</v>
      </c>
      <c r="AM220" s="22" t="n">
        <f aca="false">100*(AM86-AM85)</f>
        <v>-7.75476864788112</v>
      </c>
      <c r="AN220" s="22" t="n">
        <f aca="false">100*(AN86-AN85)</f>
        <v>-7.75820455991427</v>
      </c>
      <c r="AO220" s="22" t="n">
        <f aca="false">100*(AO86-AO85)</f>
        <v>-7.7601564286963</v>
      </c>
      <c r="AP220" s="22" t="n">
        <f aca="false">100*(AP86-AP85)</f>
        <v>-7.75955028902597</v>
      </c>
      <c r="AQ220" s="22" t="n">
        <f aca="false">100*(AQ86-AQ85)</f>
        <v>-7.75545504679571</v>
      </c>
      <c r="AR220" s="22" t="n">
        <f aca="false">100*(AR86-AR85)</f>
        <v>-7.74711232250138</v>
      </c>
      <c r="AS220" s="22" t="n">
        <f aca="false">100*(AS86-AS85)</f>
        <v>-7.73395769611969</v>
      </c>
      <c r="AT220" s="22" t="n">
        <f aca="false">100*(AT86-AT85)</f>
        <v>-7.71561919716359</v>
      </c>
      <c r="AU220" s="22" t="n">
        <f aca="false">100*(AU86-AU85)</f>
        <v>-7.69191111433001</v>
      </c>
      <c r="AV220" s="22" t="n">
        <f aca="false">100*(AV86-AV85)</f>
        <v>-7.6628214387013</v>
      </c>
      <c r="AW220" s="22" t="n">
        <f aca="false">100*(AW86-AW85)</f>
        <v>-7.62849968444379</v>
      </c>
      <c r="AX220" s="22" t="n">
        <f aca="false">100*(AX86-AX85)</f>
        <v>-7.589242679822</v>
      </c>
      <c r="AY220" s="22" t="n">
        <f aca="false">100*(AY86-AY85)</f>
        <v>-7.54546647737189</v>
      </c>
      <c r="AZ220" s="22" t="n">
        <f aca="false">100*(AZ86-AZ85)</f>
        <v>-7.49768075857498</v>
      </c>
      <c r="BA220" s="22" t="n">
        <f aca="false">100*(BA86-BA85)</f>
        <v>-7.4464772999804</v>
      </c>
      <c r="BB220" s="22" t="n">
        <f aca="false">100*(BB86-BB85)</f>
        <v>-7.39250608475288</v>
      </c>
      <c r="BC220" s="22" t="n">
        <f aca="false">100*(BC86-BC85)</f>
        <v>-7.33645249946697</v>
      </c>
      <c r="BD220" s="22" t="n">
        <f aca="false">100*(BD86-BD85)</f>
        <v>-7.27902006724981</v>
      </c>
      <c r="BE220" s="22" t="n">
        <f aca="false">100*(BE86-BE85)</f>
        <v>-7.22091655076049</v>
      </c>
      <c r="BF220" s="22" t="n">
        <f aca="false">100*(BF86-BF85)</f>
        <v>-7.16283569446441</v>
      </c>
      <c r="BG220" s="22" t="n">
        <f aca="false">100*(BG86-BG85)</f>
        <v>-7.10543729743018</v>
      </c>
      <c r="BH220" s="22" t="n">
        <f aca="false">AVERAGE(C220:BG220)</f>
        <v>-8.20056287754682</v>
      </c>
    </row>
    <row r="221" customFormat="false" ht="15" hidden="false" customHeight="false" outlineLevel="0" collapsed="false">
      <c r="A221" s="20" t="n">
        <f aca="false">A87</f>
        <v>-38</v>
      </c>
      <c r="B221" s="21" t="n">
        <f aca="false">B87</f>
        <v>44782</v>
      </c>
      <c r="C221" s="22" t="n">
        <f aca="false">100*(C87-C86)</f>
        <v>5.6728591239271</v>
      </c>
      <c r="D221" s="22" t="n">
        <f aca="false">100*(D87-D86)</f>
        <v>5.69199378223639</v>
      </c>
      <c r="E221" s="22" t="n">
        <f aca="false">100*(E87-E86)</f>
        <v>5.67441119880219</v>
      </c>
      <c r="F221" s="22" t="n">
        <f aca="false">100*(F87-F86)</f>
        <v>5.59904715062489</v>
      </c>
      <c r="G221" s="22" t="n">
        <f aca="false">100*(G87-G86)</f>
        <v>5.4681660987921</v>
      </c>
      <c r="H221" s="22" t="n">
        <f aca="false">100*(H87-H86)</f>
        <v>5.2936346364207</v>
      </c>
      <c r="I221" s="22" t="n">
        <f aca="false">100*(I87-I86)</f>
        <v>5.09055258795139</v>
      </c>
      <c r="J221" s="22" t="n">
        <f aca="false">100*(J87-J86)</f>
        <v>4.87337607648091</v>
      </c>
      <c r="K221" s="22" t="n">
        <f aca="false">100*(K87-K86)</f>
        <v>4.65449989449871</v>
      </c>
      <c r="L221" s="22" t="n">
        <f aca="false">100*(L87-L86)</f>
        <v>4.44305391636601</v>
      </c>
      <c r="M221" s="22" t="n">
        <f aca="false">100*(M87-M86)</f>
        <v>4.2451476145132</v>
      </c>
      <c r="N221" s="22" t="n">
        <f aca="false">100*(N87-N86)</f>
        <v>4.0639567383691</v>
      </c>
      <c r="O221" s="22" t="n">
        <f aca="false">100*(O87-O86)</f>
        <v>3.9005078249257</v>
      </c>
      <c r="P221" s="22" t="n">
        <f aca="false">100*(P87-P86)</f>
        <v>3.754301752945</v>
      </c>
      <c r="Q221" s="22" t="n">
        <f aca="false">100*(Q87-Q86)</f>
        <v>3.6237758669674</v>
      </c>
      <c r="R221" s="22" t="n">
        <f aca="false">100*(R87-R86)</f>
        <v>3.5067663635576</v>
      </c>
      <c r="S221" s="22" t="n">
        <f aca="false">100*(S87-S86)</f>
        <v>3.40088876540943</v>
      </c>
      <c r="T221" s="22" t="n">
        <f aca="false">100*(T87-T86)</f>
        <v>3.30367962936671</v>
      </c>
      <c r="U221" s="22" t="n">
        <f aca="false">100*(U87-U86)</f>
        <v>3.2129714502291</v>
      </c>
      <c r="V221" s="22" t="n">
        <f aca="false">100*(V87-V86)</f>
        <v>3.1270068262736</v>
      </c>
      <c r="W221" s="22" t="n">
        <f aca="false">100*(W87-W86)</f>
        <v>3.04435598397719</v>
      </c>
      <c r="X221" s="22" t="n">
        <f aca="false">100*(X87-X86)</f>
        <v>2.96386184547357</v>
      </c>
      <c r="Y221" s="22" t="n">
        <f aca="false">100*(Y87-Y86)</f>
        <v>2.88472958607979</v>
      </c>
      <c r="Z221" s="22" t="n">
        <f aca="false">100*(Z87-Z86)</f>
        <v>2.80660271116879</v>
      </c>
      <c r="AA221" s="22" t="n">
        <f aca="false">100*(AA87-AA86)</f>
        <v>2.72939536930861</v>
      </c>
      <c r="AB221" s="22" t="n">
        <f aca="false">100*(AB87-AB86)</f>
        <v>2.65312459240219</v>
      </c>
      <c r="AC221" s="22" t="n">
        <f aca="false">100*(AC87-AC86)</f>
        <v>2.57784254053028</v>
      </c>
      <c r="AD221" s="22" t="n">
        <f aca="false">100*(AD87-AD86)</f>
        <v>2.50362484928171</v>
      </c>
      <c r="AE221" s="22" t="n">
        <f aca="false">100*(AE87-AE86)</f>
        <v>2.43056695972812</v>
      </c>
      <c r="AF221" s="22" t="n">
        <f aca="false">100*(AF87-AF86)</f>
        <v>2.3587809231862</v>
      </c>
      <c r="AG221" s="22" t="n">
        <f aca="false">100*(AG87-AG86)</f>
        <v>2.28836961230892</v>
      </c>
      <c r="AH221" s="22" t="n">
        <f aca="false">100*(AH87-AH86)</f>
        <v>2.21938805864159</v>
      </c>
      <c r="AI221" s="22" t="n">
        <f aca="false">100*(AI87-AI86)</f>
        <v>2.15187371039192</v>
      </c>
      <c r="AJ221" s="22" t="n">
        <f aca="false">100*(AJ87-AJ86)</f>
        <v>2.08586003046767</v>
      </c>
      <c r="AK221" s="22" t="n">
        <f aca="false">100*(AK87-AK86)</f>
        <v>2.0213825649253</v>
      </c>
      <c r="AL221" s="22" t="n">
        <f aca="false">100*(AL87-AL86)</f>
        <v>1.95850092540701</v>
      </c>
      <c r="AM221" s="22" t="n">
        <f aca="false">100*(AM87-AM86)</f>
        <v>1.8973080148057</v>
      </c>
      <c r="AN221" s="22" t="n">
        <f aca="false">100*(AN87-AN86)</f>
        <v>1.8379265200509</v>
      </c>
      <c r="AO221" s="22" t="n">
        <f aca="false">100*(AO87-AO86)</f>
        <v>1.78050402572518</v>
      </c>
      <c r="AP221" s="22" t="n">
        <f aca="false">100*(AP87-AP86)</f>
        <v>1.72520286934841</v>
      </c>
      <c r="AQ221" s="22" t="n">
        <f aca="false">100*(AQ87-AQ86)</f>
        <v>1.67219375585841</v>
      </c>
      <c r="AR221" s="22" t="n">
        <f aca="false">100*(AR87-AR86)</f>
        <v>1.62164757930747</v>
      </c>
      <c r="AS221" s="22" t="n">
        <f aca="false">100*(AS87-AS86)</f>
        <v>1.57372922188048</v>
      </c>
      <c r="AT221" s="22" t="n">
        <f aca="false">100*(AT87-AT86)</f>
        <v>1.52859373479117</v>
      </c>
      <c r="AU221" s="22" t="n">
        <f aca="false">100*(AU87-AU86)</f>
        <v>1.48638413924864</v>
      </c>
      <c r="AV221" s="22" t="n">
        <f aca="false">100*(AV87-AV86)</f>
        <v>1.44722476712329</v>
      </c>
      <c r="AW221" s="22" t="n">
        <f aca="false">100*(AW87-AW86)</f>
        <v>1.41121414406311</v>
      </c>
      <c r="AX221" s="22" t="n">
        <f aca="false">100*(AX87-AX86)</f>
        <v>1.37841532206759</v>
      </c>
      <c r="AY221" s="22" t="n">
        <f aca="false">100*(AY87-AY86)</f>
        <v>1.3488475646787</v>
      </c>
      <c r="AZ221" s="22" t="n">
        <f aca="false">100*(AZ87-AZ86)</f>
        <v>1.32248611033501</v>
      </c>
      <c r="BA221" s="22" t="n">
        <f aca="false">100*(BA87-BA86)</f>
        <v>1.2992653909353</v>
      </c>
      <c r="BB221" s="22" t="n">
        <f aca="false">100*(BB87-BB86)</f>
        <v>1.27907720438998</v>
      </c>
      <c r="BC221" s="22" t="n">
        <f aca="false">100*(BC87-BC86)</f>
        <v>1.26177091672197</v>
      </c>
      <c r="BD221" s="22" t="n">
        <f aca="false">100*(BD87-BD86)</f>
        <v>1.24716083377021</v>
      </c>
      <c r="BE221" s="22" t="n">
        <f aca="false">100*(BE87-BE86)</f>
        <v>1.23503466882018</v>
      </c>
      <c r="BF221" s="22" t="n">
        <f aca="false">100*(BF87-BF86)</f>
        <v>1.22516590923571</v>
      </c>
      <c r="BG221" s="22" t="n">
        <f aca="false">100*(BG87-BG86)</f>
        <v>1.21732029475021</v>
      </c>
      <c r="BH221" s="22" t="n">
        <f aca="false">AVERAGE(C221:BG221)</f>
        <v>2.79079527280428</v>
      </c>
    </row>
    <row r="222" customFormat="false" ht="15" hidden="false" customHeight="false" outlineLevel="0" collapsed="false">
      <c r="A222" s="20" t="n">
        <f aca="false">A88</f>
        <v>-37</v>
      </c>
      <c r="B222" s="21" t="n">
        <f aca="false">B88</f>
        <v>44783</v>
      </c>
      <c r="C222" s="22" t="n">
        <f aca="false">100*(C88-C87)</f>
        <v>-1.6327333555066</v>
      </c>
      <c r="D222" s="22" t="n">
        <f aca="false">100*(D88-D87)</f>
        <v>-2.26305696392091</v>
      </c>
      <c r="E222" s="22" t="n">
        <f aca="false">100*(E88-E87)</f>
        <v>-2.7497938419228</v>
      </c>
      <c r="F222" s="22" t="n">
        <f aca="false">100*(F88-F87)</f>
        <v>-3.1159411733148</v>
      </c>
      <c r="G222" s="22" t="n">
        <f aca="false">100*(G88-G87)</f>
        <v>-3.38022374580251</v>
      </c>
      <c r="H222" s="22" t="n">
        <f aca="false">100*(H88-H87)</f>
        <v>-3.56086862925789</v>
      </c>
      <c r="I222" s="22" t="n">
        <f aca="false">100*(I88-I87)</f>
        <v>-3.6753298942783</v>
      </c>
      <c r="J222" s="22" t="n">
        <f aca="false">100*(J88-J87)</f>
        <v>-3.73857938778521</v>
      </c>
      <c r="K222" s="22" t="n">
        <f aca="false">100*(K88-K87)</f>
        <v>-3.7625777514374</v>
      </c>
      <c r="L222" s="22" t="n">
        <f aca="false">100*(L88-L87)</f>
        <v>-3.75659972650781</v>
      </c>
      <c r="M222" s="22" t="n">
        <f aca="false">100*(M88-M87)</f>
        <v>-3.727556806485</v>
      </c>
      <c r="N222" s="22" t="n">
        <f aca="false">100*(N88-N87)</f>
        <v>-3.6805797901813</v>
      </c>
      <c r="O222" s="22" t="n">
        <f aca="false">100*(O88-O87)</f>
        <v>-3.6195703545878</v>
      </c>
      <c r="P222" s="22" t="n">
        <f aca="false">100*(P88-P87)</f>
        <v>-3.54756269187571</v>
      </c>
      <c r="Q222" s="22" t="n">
        <f aca="false">100*(Q88-Q87)</f>
        <v>-3.4669782778441</v>
      </c>
      <c r="R222" s="22" t="n">
        <f aca="false">100*(R88-R87)</f>
        <v>-3.37985602381452</v>
      </c>
      <c r="S222" s="22" t="n">
        <f aca="false">100*(S88-S87)</f>
        <v>-3.28803016361721</v>
      </c>
      <c r="T222" s="22" t="n">
        <f aca="false">100*(T88-T87)</f>
        <v>-3.19328913290509</v>
      </c>
      <c r="U222" s="22" t="n">
        <f aca="false">100*(U88-U87)</f>
        <v>-3.09740025048257</v>
      </c>
      <c r="V222" s="22" t="n">
        <f aca="false">100*(V88-V87)</f>
        <v>-3.00214339440132</v>
      </c>
      <c r="W222" s="22" t="n">
        <f aca="false">100*(W88-W87)</f>
        <v>-2.90931156518579</v>
      </c>
      <c r="X222" s="22" t="n">
        <f aca="false">100*(X88-X87)</f>
        <v>-2.82070114273241</v>
      </c>
      <c r="Y222" s="22" t="n">
        <f aca="false">100*(Y88-Y87)</f>
        <v>-2.73803605730998</v>
      </c>
      <c r="Z222" s="22" t="n">
        <f aca="false">100*(Z88-Z87)</f>
        <v>-2.66291534483067</v>
      </c>
      <c r="AA222" s="22" t="n">
        <f aca="false">100*(AA88-AA87)</f>
        <v>-2.59675012487799</v>
      </c>
      <c r="AB222" s="22" t="n">
        <f aca="false">100*(AB88-AB87)</f>
        <v>-2.5406160598652</v>
      </c>
      <c r="AC222" s="22" t="n">
        <f aca="false">100*(AC88-AC87)</f>
        <v>-2.4951531049846</v>
      </c>
      <c r="AD222" s="22" t="n">
        <f aca="false">100*(AD88-AD87)</f>
        <v>-2.46061478364039</v>
      </c>
      <c r="AE222" s="22" t="n">
        <f aca="false">100*(AE88-AE87)</f>
        <v>-2.43692855907081</v>
      </c>
      <c r="AF222" s="22" t="n">
        <f aca="false">100*(AF88-AF87)</f>
        <v>-2.42374514590606</v>
      </c>
      <c r="AG222" s="22" t="n">
        <f aca="false">100*(AG88-AG87)</f>
        <v>-2.42044858474699</v>
      </c>
      <c r="AH222" s="22" t="n">
        <f aca="false">100*(AH88-AH87)</f>
        <v>-2.42611093207032</v>
      </c>
      <c r="AI222" s="22" t="n">
        <f aca="false">100*(AI88-AI87)</f>
        <v>-2.4395891452297</v>
      </c>
      <c r="AJ222" s="22" t="n">
        <f aca="false">100*(AJ88-AJ87)</f>
        <v>-2.45961755560198</v>
      </c>
      <c r="AK222" s="22" t="n">
        <f aca="false">100*(AK88-AK87)</f>
        <v>-2.48484587647098</v>
      </c>
      <c r="AL222" s="22" t="n">
        <f aca="false">100*(AL88-AL87)</f>
        <v>-2.51391082291619</v>
      </c>
      <c r="AM222" s="22" t="n">
        <f aca="false">100*(AM88-AM87)</f>
        <v>-2.54548644170449</v>
      </c>
      <c r="AN222" s="22" t="n">
        <f aca="false">100*(AN88-AN87)</f>
        <v>-2.57833263259513</v>
      </c>
      <c r="AO222" s="22" t="n">
        <f aca="false">100*(AO88-AO87)</f>
        <v>-2.6113066434537</v>
      </c>
      <c r="AP222" s="22" t="n">
        <f aca="false">100*(AP88-AP87)</f>
        <v>-2.64338753229763</v>
      </c>
      <c r="AQ222" s="22" t="n">
        <f aca="false">100*(AQ88-AQ87)</f>
        <v>-2.67368035200999</v>
      </c>
      <c r="AR222" s="22" t="n">
        <f aca="false">100*(AR88-AR87)</f>
        <v>-2.7014064236031</v>
      </c>
      <c r="AS222" s="22" t="n">
        <f aca="false">100*(AS88-AS87)</f>
        <v>-2.72589424977356</v>
      </c>
      <c r="AT222" s="22" t="n">
        <f aca="false">100*(AT88-AT87)</f>
        <v>-2.74657512510839</v>
      </c>
      <c r="AU222" s="22" t="n">
        <f aca="false">100*(AU88-AU87)</f>
        <v>-2.76297821229914</v>
      </c>
      <c r="AV222" s="22" t="n">
        <f aca="false">100*(AV88-AV87)</f>
        <v>-2.77473100079568</v>
      </c>
      <c r="AW222" s="22" t="n">
        <f aca="false">100*(AW88-AW87)</f>
        <v>-2.78155969286229</v>
      </c>
      <c r="AX222" s="22" t="n">
        <f aca="false">100*(AX88-AX87)</f>
        <v>-2.78328831372829</v>
      </c>
      <c r="AY222" s="22" t="n">
        <f aca="false">100*(AY88-AY87)</f>
        <v>-2.77984389955339</v>
      </c>
      <c r="AZ222" s="22" t="n">
        <f aca="false">100*(AZ88-AZ87)</f>
        <v>-2.77125512986292</v>
      </c>
      <c r="BA222" s="22" t="n">
        <f aca="false">100*(BA88-BA87)</f>
        <v>-2.75764463353259</v>
      </c>
      <c r="BB222" s="22" t="n">
        <f aca="false">100*(BB88-BB87)</f>
        <v>-2.73923103985601</v>
      </c>
      <c r="BC222" s="22" t="n">
        <f aca="false">100*(BC88-BC87)</f>
        <v>-2.71632812589258</v>
      </c>
      <c r="BD222" s="22" t="n">
        <f aca="false">100*(BD88-BD87)</f>
        <v>-2.68933269953271</v>
      </c>
      <c r="BE222" s="22" t="n">
        <f aca="false">100*(BE88-BE87)</f>
        <v>-2.65870993360759</v>
      </c>
      <c r="BF222" s="22" t="n">
        <f aca="false">100*(BF88-BF87)</f>
        <v>-2.6249723264633</v>
      </c>
      <c r="BG222" s="22" t="n">
        <f aca="false">100*(BG88-BG87)</f>
        <v>-2.58866582407511</v>
      </c>
      <c r="BH222" s="22" t="n">
        <f aca="false">AVERAGE(C222:BG222)</f>
        <v>-2.86179958585924</v>
      </c>
    </row>
    <row r="223" customFormat="false" ht="15" hidden="false" customHeight="false" outlineLevel="0" collapsed="false">
      <c r="A223" s="20" t="n">
        <f aca="false">A89</f>
        <v>-36</v>
      </c>
      <c r="B223" s="21" t="n">
        <f aca="false">B89</f>
        <v>44784</v>
      </c>
      <c r="C223" s="22" t="n">
        <f aca="false">100*(C89-C88)</f>
        <v>7.6738611402575</v>
      </c>
      <c r="D223" s="22" t="n">
        <f aca="false">100*(D89-D88)</f>
        <v>7.97651928222631</v>
      </c>
      <c r="E223" s="22" t="n">
        <f aca="false">100*(E89-E88)</f>
        <v>8.3675499130256</v>
      </c>
      <c r="F223" s="22" t="n">
        <f aca="false">100*(F89-F88)</f>
        <v>8.8022893027426</v>
      </c>
      <c r="G223" s="22" t="n">
        <f aca="false">100*(G89-G88)</f>
        <v>9.25059322146651</v>
      </c>
      <c r="H223" s="22" t="n">
        <f aca="false">100*(H89-H88)</f>
        <v>9.69325219399508</v>
      </c>
      <c r="I223" s="22" t="n">
        <f aca="false">100*(I89-I88)</f>
        <v>10.1172467770462</v>
      </c>
      <c r="J223" s="22" t="n">
        <f aca="false">100*(J89-J88)</f>
        <v>10.5134583513648</v>
      </c>
      <c r="K223" s="22" t="n">
        <f aca="false">100*(K89-K88)</f>
        <v>10.8757855761645</v>
      </c>
      <c r="L223" s="22" t="n">
        <f aca="false">100*(L89-L88)</f>
        <v>11.2005169968999</v>
      </c>
      <c r="M223" s="22" t="n">
        <f aca="false">100*(M89-M88)</f>
        <v>11.486003683277</v>
      </c>
      <c r="N223" s="22" t="n">
        <f aca="false">100*(N89-N88)</f>
        <v>11.7322931737438</v>
      </c>
      <c r="O223" s="22" t="n">
        <f aca="false">100*(O89-O88)</f>
        <v>11.9406682077651</v>
      </c>
      <c r="P223" s="22" t="n">
        <f aca="false">100*(P89-P88)</f>
        <v>12.1133900004025</v>
      </c>
      <c r="Q223" s="22" t="n">
        <f aca="false">100*(Q89-Q88)</f>
        <v>12.2534652555851</v>
      </c>
      <c r="R223" s="22" t="n">
        <f aca="false">100*(R89-R88)</f>
        <v>12.364352511937</v>
      </c>
      <c r="S223" s="22" t="n">
        <f aca="false">100*(S89-S88)</f>
        <v>12.4496429470808</v>
      </c>
      <c r="T223" s="22" t="n">
        <f aca="false">100*(T89-T88)</f>
        <v>12.5128890176325</v>
      </c>
      <c r="U223" s="22" t="n">
        <f aca="false">100*(U89-U88)</f>
        <v>12.5574316663358</v>
      </c>
      <c r="V223" s="22" t="n">
        <f aca="false">100*(V89-V88)</f>
        <v>12.5863047320591</v>
      </c>
      <c r="W223" s="22" t="n">
        <f aca="false">100*(W89-W88)</f>
        <v>12.6022925782722</v>
      </c>
      <c r="X223" s="22" t="n">
        <f aca="false">100*(X89-X88)</f>
        <v>12.6079787750206</v>
      </c>
      <c r="Y223" s="22" t="n">
        <f aca="false">100*(Y89-Y88)</f>
        <v>12.6057127061688</v>
      </c>
      <c r="Z223" s="22" t="n">
        <f aca="false">100*(Z89-Z88)</f>
        <v>12.5975078111918</v>
      </c>
      <c r="AA223" s="22" t="n">
        <f aca="false">100*(AA89-AA88)</f>
        <v>12.5850707947279</v>
      </c>
      <c r="AB223" s="22" t="n">
        <f aca="false">100*(AB89-AB88)</f>
        <v>12.5698448452435</v>
      </c>
      <c r="AC223" s="22" t="n">
        <f aca="false">100*(AC89-AC88)</f>
        <v>12.5530413731019</v>
      </c>
      <c r="AD223" s="22" t="n">
        <f aca="false">100*(AD89-AD88)</f>
        <v>12.5356756514324</v>
      </c>
      <c r="AE223" s="22" t="n">
        <f aca="false">100*(AE89-AE88)</f>
        <v>12.5185974617992</v>
      </c>
      <c r="AF223" s="22" t="n">
        <f aca="false">100*(AF89-AF88)</f>
        <v>12.5025160694163</v>
      </c>
      <c r="AG223" s="22" t="n">
        <f aca="false">100*(AG89-AG88)</f>
        <v>12.488017031919</v>
      </c>
      <c r="AH223" s="22" t="n">
        <f aca="false">100*(AH89-AH88)</f>
        <v>12.4755876255499</v>
      </c>
      <c r="AI223" s="22" t="n">
        <f aca="false">100*(AI89-AI88)</f>
        <v>12.4656362886971</v>
      </c>
      <c r="AJ223" s="22" t="n">
        <f aca="false">100*(AJ89-AJ88)</f>
        <v>12.4584978920356</v>
      </c>
      <c r="AK223" s="22" t="n">
        <f aca="false">100*(AK89-AK88)</f>
        <v>12.4544418894723</v>
      </c>
      <c r="AL223" s="22" t="n">
        <f aca="false">100*(AL89-AL88)</f>
        <v>12.453679296411</v>
      </c>
      <c r="AM223" s="22" t="n">
        <f aca="false">100*(AM89-AM88)</f>
        <v>12.4563618574071</v>
      </c>
      <c r="AN223" s="22" t="n">
        <f aca="false">100*(AN89-AN88)</f>
        <v>12.4625676292284</v>
      </c>
      <c r="AO223" s="22" t="n">
        <f aca="false">100*(AO89-AO88)</f>
        <v>12.472305334204</v>
      </c>
      <c r="AP223" s="22" t="n">
        <f aca="false">100*(AP89-AP88)</f>
        <v>12.4855272795885</v>
      </c>
      <c r="AQ223" s="22" t="n">
        <f aca="false">100*(AQ89-AQ88)</f>
        <v>12.5021404216903</v>
      </c>
      <c r="AR223" s="22" t="n">
        <f aca="false">100*(AR89-AR88)</f>
        <v>12.5220322619027</v>
      </c>
      <c r="AS223" s="22" t="n">
        <f aca="false">100*(AS89-AS88)</f>
        <v>12.5450904298903</v>
      </c>
      <c r="AT223" s="22" t="n">
        <f aca="false">100*(AT89-AT88)</f>
        <v>12.5712042470968</v>
      </c>
      <c r="AU223" s="22" t="n">
        <f aca="false">100*(AU89-AU88)</f>
        <v>12.6002653666545</v>
      </c>
      <c r="AV223" s="22" t="n">
        <f aca="false">100*(AV89-AV88)</f>
        <v>12.6321622378172</v>
      </c>
      <c r="AW223" s="22" t="n">
        <f aca="false">100*(AW89-AW88)</f>
        <v>12.6667757551313</v>
      </c>
      <c r="AX223" s="22" t="n">
        <f aca="false">100*(AX89-AX88)</f>
        <v>12.7039767483683</v>
      </c>
      <c r="AY223" s="22" t="n">
        <f aca="false">100*(AY89-AY88)</f>
        <v>12.7436197621608</v>
      </c>
      <c r="AZ223" s="22" t="n">
        <f aca="false">100*(AZ89-AZ88)</f>
        <v>12.7855407325926</v>
      </c>
      <c r="BA223" s="22" t="n">
        <f aca="false">100*(BA89-BA88)</f>
        <v>12.8295576774713</v>
      </c>
      <c r="BB223" s="22" t="n">
        <f aca="false">100*(BB89-BB88)</f>
        <v>12.8754652430101</v>
      </c>
      <c r="BC223" s="22" t="n">
        <f aca="false">100*(BC89-BC88)</f>
        <v>12.9230304883065</v>
      </c>
      <c r="BD223" s="22" t="n">
        <f aca="false">100*(BD89-BD88)</f>
        <v>12.9719910359218</v>
      </c>
      <c r="BE223" s="22" t="n">
        <f aca="false">100*(BE89-BE88)</f>
        <v>13.0220548551207</v>
      </c>
      <c r="BF223" s="22" t="n">
        <f aca="false">100*(BF89-BF88)</f>
        <v>13.0729010198399</v>
      </c>
      <c r="BG223" s="22" t="n">
        <f aca="false">100*(BG89-BG88)</f>
        <v>13.1241826460209</v>
      </c>
      <c r="BH223" s="22" t="n">
        <f aca="false">AVERAGE(C223:BG223)</f>
        <v>11.9984274573841</v>
      </c>
    </row>
    <row r="224" customFormat="false" ht="15" hidden="false" customHeight="false" outlineLevel="0" collapsed="false">
      <c r="A224" s="20" t="n">
        <f aca="false">A90</f>
        <v>-35</v>
      </c>
      <c r="B224" s="21" t="n">
        <f aca="false">B90</f>
        <v>44785</v>
      </c>
      <c r="C224" s="22" t="n">
        <f aca="false">100*(C90-C89)</f>
        <v>3.70397461764229</v>
      </c>
      <c r="D224" s="22" t="n">
        <f aca="false">100*(D90-D89)</f>
        <v>3.74162286344428</v>
      </c>
      <c r="E224" s="22" t="n">
        <f aca="false">100*(E90-E89)</f>
        <v>3.78430936206071</v>
      </c>
      <c r="F224" s="22" t="n">
        <f aca="false">100*(F90-F89)</f>
        <v>3.8293541302983</v>
      </c>
      <c r="G224" s="22" t="n">
        <f aca="false">100*(G90-G89)</f>
        <v>3.87805526520311</v>
      </c>
      <c r="H224" s="22" t="n">
        <f aca="false">100*(H90-H89)</f>
        <v>3.93306031099281</v>
      </c>
      <c r="I224" s="22" t="n">
        <f aca="false">100*(I90-I89)</f>
        <v>3.99663407767941</v>
      </c>
      <c r="J224" s="22" t="n">
        <f aca="false">100*(J90-J89)</f>
        <v>4.07049488379649</v>
      </c>
      <c r="K224" s="22" t="n">
        <f aca="false">100*(K90-K89)</f>
        <v>4.15614080567248</v>
      </c>
      <c r="L224" s="22" t="n">
        <f aca="false">100*(L90-L89)</f>
        <v>4.25480563416751</v>
      </c>
      <c r="M224" s="22" t="n">
        <f aca="false">100*(M90-M89)</f>
        <v>4.3674892112973</v>
      </c>
      <c r="N224" s="22" t="n">
        <f aca="false">100*(N90-N89)</f>
        <v>4.4950922217031</v>
      </c>
      <c r="O224" s="22" t="n">
        <f aca="false">100*(O90-O89)</f>
        <v>4.63816082620292</v>
      </c>
      <c r="P224" s="22" t="n">
        <f aca="false">100*(P90-P89)</f>
        <v>4.79682408231259</v>
      </c>
      <c r="Q224" s="22" t="n">
        <f aca="false">100*(Q90-Q89)</f>
        <v>4.97077703301772</v>
      </c>
      <c r="R224" s="22" t="n">
        <f aca="false">100*(R90-R89)</f>
        <v>5.15914429378848</v>
      </c>
      <c r="S224" s="22" t="n">
        <f aca="false">100*(S90-S89)</f>
        <v>5.36046045281031</v>
      </c>
      <c r="T224" s="22" t="n">
        <f aca="false">100*(T90-T89)</f>
        <v>5.57256098054859</v>
      </c>
      <c r="U224" s="22" t="n">
        <f aca="false">100*(U90-U89)</f>
        <v>5.79289442135194</v>
      </c>
      <c r="V224" s="22" t="n">
        <f aca="false">100*(V90-V89)</f>
        <v>6.01861947809783</v>
      </c>
      <c r="W224" s="22" t="n">
        <f aca="false">100*(W90-W89)</f>
        <v>6.24665926026582</v>
      </c>
      <c r="X224" s="22" t="n">
        <f aca="false">100*(X90-X89)</f>
        <v>6.47377101246751</v>
      </c>
      <c r="Y224" s="22" t="n">
        <f aca="false">100*(Y90-Y89)</f>
        <v>6.69680287644932</v>
      </c>
      <c r="Z224" s="22" t="n">
        <f aca="false">100*(Z90-Z89)</f>
        <v>6.91284962181671</v>
      </c>
      <c r="AA224" s="22" t="n">
        <f aca="false">100*(AA90-AA89)</f>
        <v>7.11930986201943</v>
      </c>
      <c r="AB224" s="22" t="n">
        <f aca="false">100*(AB90-AB89)</f>
        <v>7.3140579823114</v>
      </c>
      <c r="AC224" s="22" t="n">
        <f aca="false">100*(AC90-AC89)</f>
        <v>7.4955566693161</v>
      </c>
      <c r="AD224" s="22" t="n">
        <f aca="false">100*(AD90-AD89)</f>
        <v>7.66278601863188</v>
      </c>
      <c r="AE224" s="22" t="n">
        <f aca="false">100*(AE90-AE89)</f>
        <v>7.81516269458011</v>
      </c>
      <c r="AF224" s="22" t="n">
        <f aca="false">100*(AF90-AF89)</f>
        <v>7.95247366484722</v>
      </c>
      <c r="AG224" s="22" t="n">
        <f aca="false">100*(AG90-AG89)</f>
        <v>8.07484156967249</v>
      </c>
      <c r="AH224" s="22" t="n">
        <f aca="false">100*(AH90-AH89)</f>
        <v>8.18276815562999</v>
      </c>
      <c r="AI224" s="22" t="n">
        <f aca="false">100*(AI90-AI89)</f>
        <v>8.27705895181841</v>
      </c>
      <c r="AJ224" s="22" t="n">
        <f aca="false">100*(AJ90-AJ89)</f>
        <v>8.35873242966412</v>
      </c>
      <c r="AK224" s="22" t="n">
        <f aca="false">100*(AK90-AK89)</f>
        <v>8.42897301980021</v>
      </c>
      <c r="AL224" s="22" t="n">
        <f aca="false">100*(AL90-AL89)</f>
        <v>8.48906074100411</v>
      </c>
      <c r="AM224" s="22" t="n">
        <f aca="false">100*(AM90-AM89)</f>
        <v>8.54032394916366</v>
      </c>
      <c r="AN224" s="22" t="n">
        <f aca="false">100*(AN90-AN89)</f>
        <v>8.58409371323492</v>
      </c>
      <c r="AO224" s="22" t="n">
        <f aca="false">100*(AO90-AO89)</f>
        <v>8.62168426913978</v>
      </c>
      <c r="AP224" s="22" t="n">
        <f aca="false">100*(AP90-AP89)</f>
        <v>8.65435107210151</v>
      </c>
      <c r="AQ224" s="22" t="n">
        <f aca="false">100*(AQ90-AQ89)</f>
        <v>8.6832729955042</v>
      </c>
      <c r="AR224" s="22" t="n">
        <f aca="false">100*(AR90-AR89)</f>
        <v>8.70952810228358</v>
      </c>
      <c r="AS224" s="22" t="n">
        <f aca="false">100*(AS90-AS89)</f>
        <v>8.73407699310311</v>
      </c>
      <c r="AT224" s="22" t="n">
        <f aca="false">100*(AT90-AT89)</f>
        <v>8.75775320625167</v>
      </c>
      <c r="AU224" s="22" t="n">
        <f aca="false">100*(AU90-AU89)</f>
        <v>8.78126123812901</v>
      </c>
      <c r="AV224" s="22" t="n">
        <f aca="false">100*(AV90-AV89)</f>
        <v>8.80517253668058</v>
      </c>
      <c r="AW224" s="22" t="n">
        <f aca="false">100*(AW90-AW89)</f>
        <v>8.82992647150589</v>
      </c>
      <c r="AX224" s="22" t="n">
        <f aca="false">100*(AX90-AX89)</f>
        <v>8.85583981436549</v>
      </c>
      <c r="AY224" s="22" t="n">
        <f aca="false">100*(AY90-AY89)</f>
        <v>8.88311076164188</v>
      </c>
      <c r="AZ224" s="22" t="n">
        <f aca="false">100*(AZ90-AZ89)</f>
        <v>8.91182825920227</v>
      </c>
      <c r="BA224" s="22" t="n">
        <f aca="false">100*(BA90-BA89)</f>
        <v>8.94198204881049</v>
      </c>
      <c r="BB224" s="22" t="n">
        <f aca="false">100*(BB90-BB89)</f>
        <v>8.97347169349154</v>
      </c>
      <c r="BC224" s="22" t="n">
        <f aca="false">100*(BC90-BC89)</f>
        <v>9.00611714440163</v>
      </c>
      <c r="BD224" s="22" t="n">
        <f aca="false">100*(BD90-BD89)</f>
        <v>9.0396694026273</v>
      </c>
      <c r="BE224" s="22" t="n">
        <f aca="false">100*(BE90-BE89)</f>
        <v>9.07381983478759</v>
      </c>
      <c r="BF224" s="22" t="n">
        <f aca="false">100*(BF90-BF89)</f>
        <v>9.10821142549572</v>
      </c>
      <c r="BG224" s="22" t="n">
        <f aca="false">100*(BG90-BG89)</f>
        <v>9.14244965255482</v>
      </c>
      <c r="BH224" s="22" t="n">
        <f aca="false">AVERAGE(C224:BG224)</f>
        <v>6.97647866783964</v>
      </c>
    </row>
    <row r="225" customFormat="false" ht="15" hidden="false" customHeight="false" outlineLevel="0" collapsed="false">
      <c r="A225" s="20" t="n">
        <f aca="false">A91</f>
        <v>-34</v>
      </c>
      <c r="B225" s="21" t="n">
        <f aca="false">B91</f>
        <v>44788</v>
      </c>
      <c r="C225" s="22" t="n">
        <f aca="false">100*(C91-C90)</f>
        <v>-5.1319856933967</v>
      </c>
      <c r="D225" s="22" t="n">
        <f aca="false">100*(D91-D90)</f>
        <v>-5.95408476378869</v>
      </c>
      <c r="E225" s="22" t="n">
        <f aca="false">100*(E91-E90)</f>
        <v>-6.59262318433811</v>
      </c>
      <c r="F225" s="22" t="n">
        <f aca="false">100*(F91-F90)</f>
        <v>-7.09345797699981</v>
      </c>
      <c r="G225" s="22" t="n">
        <f aca="false">100*(G91-G90)</f>
        <v>-7.49925827299351</v>
      </c>
      <c r="H225" s="22" t="n">
        <f aca="false">100*(H91-H90)</f>
        <v>-7.8403894783651</v>
      </c>
      <c r="I225" s="22" t="n">
        <f aca="false">100*(I91-I90)</f>
        <v>-8.1365471875082</v>
      </c>
      <c r="J225" s="22" t="n">
        <f aca="false">100*(J91-J90)</f>
        <v>-8.4001534089037</v>
      </c>
      <c r="K225" s="22" t="n">
        <f aca="false">100*(K91-K90)</f>
        <v>-8.63897511951879</v>
      </c>
      <c r="L225" s="22" t="n">
        <f aca="false">100*(L91-L90)</f>
        <v>-8.85772809698571</v>
      </c>
      <c r="M225" s="22" t="n">
        <f aca="false">100*(M91-M90)</f>
        <v>-9.0592782308903</v>
      </c>
      <c r="N225" s="22" t="n">
        <f aca="false">100*(N91-N90)</f>
        <v>-9.24529498419411</v>
      </c>
      <c r="O225" s="22" t="n">
        <f aca="false">100*(O91-O90)</f>
        <v>-9.41689098656342</v>
      </c>
      <c r="P225" s="22" t="n">
        <f aca="false">100*(P91-P90)</f>
        <v>-9.5749498665892</v>
      </c>
      <c r="Q225" s="22" t="n">
        <f aca="false">100*(Q91-Q90)</f>
        <v>-9.720273160071</v>
      </c>
      <c r="R225" s="22" t="n">
        <f aca="false">100*(R91-R90)</f>
        <v>-9.8537194183971</v>
      </c>
      <c r="S225" s="22" t="n">
        <f aca="false">100*(S91-S90)</f>
        <v>-9.97617857268001</v>
      </c>
      <c r="T225" s="22" t="n">
        <f aca="false">100*(T91-T90)</f>
        <v>-10.0886217870657</v>
      </c>
      <c r="U225" s="22" t="n">
        <f aca="false">100*(U91-U90)</f>
        <v>-10.1919727778444</v>
      </c>
      <c r="V225" s="22" t="n">
        <f aca="false">100*(V91-V90)</f>
        <v>-10.2870694753777</v>
      </c>
      <c r="W225" s="22" t="n">
        <f aca="false">100*(W91-W90)</f>
        <v>-10.3746827008177</v>
      </c>
      <c r="X225" s="22" t="n">
        <f aca="false">100*(X91-X90)</f>
        <v>-10.4555210553196</v>
      </c>
      <c r="Y225" s="22" t="n">
        <f aca="false">100*(Y91-Y90)</f>
        <v>-10.5301583990149</v>
      </c>
      <c r="Z225" s="22" t="n">
        <f aca="false">100*(Z91-Z90)</f>
        <v>-10.5990006418749</v>
      </c>
      <c r="AA225" s="22" t="n">
        <f aca="false">100*(AA91-AA90)</f>
        <v>-10.6623565367368</v>
      </c>
      <c r="AB225" s="22" t="n">
        <f aca="false">100*(AB91-AB90)</f>
        <v>-10.7204974757973</v>
      </c>
      <c r="AC225" s="22" t="n">
        <f aca="false">100*(AC91-AC90)</f>
        <v>-10.7736809806234</v>
      </c>
      <c r="AD225" s="22" t="n">
        <f aca="false">100*(AD91-AD90)</f>
        <v>-10.8221552579789</v>
      </c>
      <c r="AE225" s="22" t="n">
        <f aca="false">100*(AE91-AE90)</f>
        <v>-10.866160656492</v>
      </c>
      <c r="AF225" s="22" t="n">
        <f aca="false">100*(AF91-AF90)</f>
        <v>-10.9059310255196</v>
      </c>
      <c r="AG225" s="22" t="n">
        <f aca="false">100*(AG91-AG90)</f>
        <v>-10.9417056926707</v>
      </c>
      <c r="AH225" s="22" t="n">
        <f aca="false">100*(AH91-AH90)</f>
        <v>-10.9737330262561</v>
      </c>
      <c r="AI225" s="22" t="n">
        <f aca="false">100*(AI91-AI90)</f>
        <v>-11.0022547146106</v>
      </c>
      <c r="AJ225" s="22" t="n">
        <f aca="false">100*(AJ91-AJ90)</f>
        <v>-11.0275080026202</v>
      </c>
      <c r="AK225" s="22" t="n">
        <f aca="false">100*(AK91-AK90)</f>
        <v>-11.0497265786095</v>
      </c>
      <c r="AL225" s="22" t="n">
        <f aca="false">100*(AL91-AL90)</f>
        <v>-11.0691380549361</v>
      </c>
      <c r="AM225" s="22" t="n">
        <f aca="false">100*(AM91-AM90)</f>
        <v>-11.0859590616994</v>
      </c>
      <c r="AN225" s="22" t="n">
        <f aca="false">100*(AN91-AN90)</f>
        <v>-11.1003891501241</v>
      </c>
      <c r="AO225" s="22" t="n">
        <f aca="false">100*(AO91-AO90)</f>
        <v>-11.1126095160962</v>
      </c>
      <c r="AP225" s="22" t="n">
        <f aca="false">100*(AP91-AP90)</f>
        <v>-11.1227802101238</v>
      </c>
      <c r="AQ225" s="22" t="n">
        <f aca="false">100*(AQ91-AQ90)</f>
        <v>-11.1310401129638</v>
      </c>
      <c r="AR225" s="22" t="n">
        <f aca="false">100*(AR91-AR90)</f>
        <v>-11.1375082989972</v>
      </c>
      <c r="AS225" s="22" t="n">
        <f aca="false">100*(AS91-AS90)</f>
        <v>-11.1422851052668</v>
      </c>
      <c r="AT225" s="22" t="n">
        <f aca="false">100*(AT91-AT90)</f>
        <v>-11.1454539852661</v>
      </c>
      <c r="AU225" s="22" t="n">
        <f aca="false">100*(AU91-AU90)</f>
        <v>-11.147082296477</v>
      </c>
      <c r="AV225" s="22" t="n">
        <f aca="false">100*(AV91-AV90)</f>
        <v>-11.147225005137</v>
      </c>
      <c r="AW225" s="22" t="n">
        <f aca="false">100*(AW91-AW90)</f>
        <v>-11.1459264420649</v>
      </c>
      <c r="AX225" s="22" t="n">
        <f aca="false">100*(AX91-AX90)</f>
        <v>-11.1432205463796</v>
      </c>
      <c r="AY225" s="22" t="n">
        <f aca="false">100*(AY91-AY90)</f>
        <v>-11.1391370667106</v>
      </c>
      <c r="AZ225" s="22" t="n">
        <f aca="false">100*(AZ91-AZ90)</f>
        <v>-11.1337053102243</v>
      </c>
      <c r="BA225" s="22" t="n">
        <f aca="false">100*(BA91-BA90)</f>
        <v>-11.1269547370854</v>
      </c>
      <c r="BB225" s="22" t="n">
        <f aca="false">100*(BB91-BB90)</f>
        <v>-11.1189178455838</v>
      </c>
      <c r="BC225" s="22" t="n">
        <f aca="false">100*(BC91-BC90)</f>
        <v>-11.1096322000803</v>
      </c>
      <c r="BD225" s="22" t="n">
        <f aca="false">100*(BD91-BD90)</f>
        <v>-11.0991424087683</v>
      </c>
      <c r="BE225" s="22" t="n">
        <f aca="false">100*(BE91-BE90)</f>
        <v>-11.0875018700685</v>
      </c>
      <c r="BF225" s="22" t="n">
        <f aca="false">100*(BF91-BF90)</f>
        <v>-11.0747749053362</v>
      </c>
      <c r="BG225" s="22" t="n">
        <f aca="false">100*(BG91-BG90)</f>
        <v>-11.0610375566457</v>
      </c>
      <c r="BH225" s="22" t="n">
        <f aca="false">AVERAGE(C225:BG225)</f>
        <v>-10.1376481907623</v>
      </c>
    </row>
    <row r="226" customFormat="false" ht="15" hidden="false" customHeight="false" outlineLevel="0" collapsed="false">
      <c r="A226" s="20" t="n">
        <f aca="false">A92</f>
        <v>-33</v>
      </c>
      <c r="B226" s="21" t="n">
        <f aca="false">B92</f>
        <v>44789</v>
      </c>
      <c r="C226" s="22" t="n">
        <f aca="false">100*(C92-C91)</f>
        <v>13.224411670791</v>
      </c>
      <c r="D226" s="22" t="n">
        <f aca="false">100*(D92-D91)</f>
        <v>12.9666328167802</v>
      </c>
      <c r="E226" s="22" t="n">
        <f aca="false">100*(E92-E91)</f>
        <v>12.7169509411805</v>
      </c>
      <c r="F226" s="22" t="n">
        <f aca="false">100*(F92-F91)</f>
        <v>12.5231898201708</v>
      </c>
      <c r="G226" s="22" t="n">
        <f aca="false">100*(G92-G91)</f>
        <v>12.3852322071157</v>
      </c>
      <c r="H226" s="22" t="n">
        <f aca="false">100*(H92-H91)</f>
        <v>12.290903787166</v>
      </c>
      <c r="I226" s="22" t="n">
        <f aca="false">100*(I92-I91)</f>
        <v>12.2264754574707</v>
      </c>
      <c r="J226" s="22" t="n">
        <f aca="false">100*(J92-J91)</f>
        <v>12.1796383323592</v>
      </c>
      <c r="K226" s="22" t="n">
        <f aca="false">100*(K92-K91)</f>
        <v>12.1400494806178</v>
      </c>
      <c r="L226" s="22" t="n">
        <f aca="false">100*(L92-L91)</f>
        <v>12.0995492690365</v>
      </c>
      <c r="M226" s="22" t="n">
        <f aca="false">100*(M92-M91)</f>
        <v>12.0518113745124</v>
      </c>
      <c r="N226" s="22" t="n">
        <f aca="false">100*(N92-N91)</f>
        <v>11.9921844300258</v>
      </c>
      <c r="O226" s="22" t="n">
        <f aca="false">100*(O92-O91)</f>
        <v>11.9173840863097</v>
      </c>
      <c r="P226" s="22" t="n">
        <f aca="false">100*(P92-P91)</f>
        <v>11.8254991719846</v>
      </c>
      <c r="Q226" s="22" t="n">
        <f aca="false">100*(Q92-Q91)</f>
        <v>11.7158744189862</v>
      </c>
      <c r="R226" s="22" t="n">
        <f aca="false">100*(R92-R91)</f>
        <v>11.5890208152798</v>
      </c>
      <c r="S226" s="22" t="n">
        <f aca="false">100*(S92-S91)</f>
        <v>11.4463918486734</v>
      </c>
      <c r="T226" s="22" t="n">
        <f aca="false">100*(T92-T91)</f>
        <v>11.2902286484956</v>
      </c>
      <c r="U226" s="22" t="n">
        <f aca="false">100*(U92-U91)</f>
        <v>11.1232047783847</v>
      </c>
      <c r="V226" s="22" t="n">
        <f aca="false">100*(V92-V91)</f>
        <v>10.9481807537082</v>
      </c>
      <c r="W226" s="22" t="n">
        <f aca="false">100*(W92-W91)</f>
        <v>10.7681591078911</v>
      </c>
      <c r="X226" s="22" t="n">
        <f aca="false">100*(X92-X91)</f>
        <v>10.5862495872989</v>
      </c>
      <c r="Y226" s="22" t="n">
        <f aca="false">100*(Y92-Y91)</f>
        <v>10.4054935659766</v>
      </c>
      <c r="Z226" s="22" t="n">
        <f aca="false">100*(Z92-Z91)</f>
        <v>10.2286176467469</v>
      </c>
      <c r="AA226" s="22" t="n">
        <f aca="false">100*(AA92-AA91)</f>
        <v>10.0579398223501</v>
      </c>
      <c r="AB226" s="22" t="n">
        <f aca="false">100*(AB92-AB91)</f>
        <v>9.89529479786291</v>
      </c>
      <c r="AC226" s="22" t="n">
        <f aca="false">100*(AC92-AC91)</f>
        <v>9.74203204239261</v>
      </c>
      <c r="AD226" s="22" t="n">
        <f aca="false">100*(AD92-AD91)</f>
        <v>9.5990840174208</v>
      </c>
      <c r="AE226" s="22" t="n">
        <f aca="false">100*(AE92-AE91)</f>
        <v>9.46703133194031</v>
      </c>
      <c r="AF226" s="22" t="n">
        <f aca="false">100*(AF92-AF91)</f>
        <v>9.3461558735445</v>
      </c>
      <c r="AG226" s="22" t="n">
        <f aca="false">100*(AG92-AG91)</f>
        <v>9.2364724488065</v>
      </c>
      <c r="AH226" s="22" t="n">
        <f aca="false">100*(AH92-AH91)</f>
        <v>9.13775286227279</v>
      </c>
      <c r="AI226" s="22" t="n">
        <f aca="false">100*(AI92-AI91)</f>
        <v>9.04958158086799</v>
      </c>
      <c r="AJ226" s="22" t="n">
        <f aca="false">100*(AJ92-AJ91)</f>
        <v>8.97140207226981</v>
      </c>
      <c r="AK226" s="22" t="n">
        <f aca="false">100*(AK92-AK91)</f>
        <v>8.90254624212892</v>
      </c>
      <c r="AL226" s="22" t="n">
        <f aca="false">100*(AL92-AL91)</f>
        <v>8.8422855402106</v>
      </c>
      <c r="AM226" s="22" t="n">
        <f aca="false">100*(AM92-AM91)</f>
        <v>8.78986648626783</v>
      </c>
      <c r="AN226" s="22" t="n">
        <f aca="false">100*(AN92-AN91)</f>
        <v>8.7445383931227</v>
      </c>
      <c r="AO226" s="22" t="n">
        <f aca="false">100*(AO92-AO91)</f>
        <v>8.70556256253421</v>
      </c>
      <c r="AP226" s="22" t="n">
        <f aca="false">100*(AP92-AP91)</f>
        <v>8.672224456775</v>
      </c>
      <c r="AQ226" s="22" t="n">
        <f aca="false">100*(AQ92-AQ91)</f>
        <v>8.64383816377901</v>
      </c>
      <c r="AR226" s="22" t="n">
        <f aca="false">100*(AR92-AR91)</f>
        <v>8.61975191686422</v>
      </c>
      <c r="AS226" s="22" t="n">
        <f aca="false">100*(AS92-AS91)</f>
        <v>8.59935325671559</v>
      </c>
      <c r="AT226" s="22" t="n">
        <f aca="false">100*(AT92-AT91)</f>
        <v>8.58208109597052</v>
      </c>
      <c r="AU226" s="22" t="n">
        <f aca="false">100*(AU92-AU91)</f>
        <v>8.5674349789457</v>
      </c>
      <c r="AV226" s="22" t="n">
        <f aca="false">100*(AV92-AV91)</f>
        <v>8.55497852302638</v>
      </c>
      <c r="AW226" s="22" t="n">
        <f aca="false">100*(AW92-AW91)</f>
        <v>8.54434326313949</v>
      </c>
      <c r="AX226" s="22" t="n">
        <f aca="false">100*(AX92-AX91)</f>
        <v>8.53522866518621</v>
      </c>
      <c r="AY226" s="22" t="n">
        <f aca="false">100*(AY92-AY91)</f>
        <v>8.52739279079349</v>
      </c>
      <c r="AZ226" s="22" t="n">
        <f aca="false">100*(AZ92-AZ91)</f>
        <v>8.52064364179621</v>
      </c>
      <c r="BA226" s="22" t="n">
        <f aca="false">100*(BA92-BA91)</f>
        <v>8.51483307496093</v>
      </c>
      <c r="BB226" s="22" t="n">
        <f aca="false">100*(BB92-BB91)</f>
        <v>8.5098424107287</v>
      </c>
      <c r="BC226" s="22" t="n">
        <f aca="false">100*(BC92-BC91)</f>
        <v>8.50557139125732</v>
      </c>
      <c r="BD226" s="22" t="n">
        <f aca="false">100*(BD92-BD91)</f>
        <v>8.5019330685201</v>
      </c>
      <c r="BE226" s="22" t="n">
        <f aca="false">100*(BE92-BE91)</f>
        <v>8.4988512117854</v>
      </c>
      <c r="BF226" s="22" t="n">
        <f aca="false">100*(BF92-BF91)</f>
        <v>8.4962592608953</v>
      </c>
      <c r="BG226" s="22" t="n">
        <f aca="false">100*(BG92-BG91)</f>
        <v>8.49409625834614</v>
      </c>
      <c r="BH226" s="22" t="n">
        <f aca="false">AVERAGE(C226:BG226)</f>
        <v>10.0880269740428</v>
      </c>
    </row>
    <row r="227" customFormat="false" ht="15" hidden="false" customHeight="false" outlineLevel="0" collapsed="false">
      <c r="A227" s="20" t="n">
        <f aca="false">A93</f>
        <v>-32</v>
      </c>
      <c r="B227" s="21" t="n">
        <f aca="false">B93</f>
        <v>44790</v>
      </c>
      <c r="C227" s="22" t="n">
        <f aca="false">100*(C93-C92)</f>
        <v>22.2937648278942</v>
      </c>
      <c r="D227" s="22" t="n">
        <f aca="false">100*(D93-D92)</f>
        <v>21.2983287139917</v>
      </c>
      <c r="E227" s="22" t="n">
        <f aca="false">100*(E93-E92)</f>
        <v>20.2297201700913</v>
      </c>
      <c r="F227" s="22" t="n">
        <f aca="false">100*(F93-F92)</f>
        <v>19.2259273688784</v>
      </c>
      <c r="G227" s="22" t="n">
        <f aca="false">100*(G93-G92)</f>
        <v>18.3431147759798</v>
      </c>
      <c r="H227" s="22" t="n">
        <f aca="false">100*(H93-H92)</f>
        <v>17.5940237261905</v>
      </c>
      <c r="I227" s="22" t="n">
        <f aca="false">100*(I93-I92)</f>
        <v>16.9712563205132</v>
      </c>
      <c r="J227" s="22" t="n">
        <f aca="false">100*(J93-J92)</f>
        <v>16.4591520587561</v>
      </c>
      <c r="K227" s="22" t="n">
        <f aca="false">100*(K93-K92)</f>
        <v>16.0390353787962</v>
      </c>
      <c r="L227" s="22" t="n">
        <f aca="false">100*(L93-L92)</f>
        <v>15.6918067259974</v>
      </c>
      <c r="M227" s="22" t="n">
        <f aca="false">100*(M93-M92)</f>
        <v>15.3989712377697</v>
      </c>
      <c r="N227" s="22" t="n">
        <f aca="false">100*(N93-N92)</f>
        <v>15.143569218769</v>
      </c>
      <c r="O227" s="22" t="n">
        <f aca="false">100*(O93-O92)</f>
        <v>14.9108080622696</v>
      </c>
      <c r="P227" s="22" t="n">
        <f aca="false">100*(P93-P92)</f>
        <v>14.6887896251406</v>
      </c>
      <c r="Q227" s="22" t="n">
        <f aca="false">100*(Q93-Q92)</f>
        <v>14.4685007328902</v>
      </c>
      <c r="R227" s="22" t="n">
        <f aca="false">100*(R93-R92)</f>
        <v>14.2439612203395</v>
      </c>
      <c r="S227" s="22" t="n">
        <f aca="false">100*(S93-S92)</f>
        <v>14.0117806366004</v>
      </c>
      <c r="T227" s="22" t="n">
        <f aca="false">100*(T93-T92)</f>
        <v>13.7708459875728</v>
      </c>
      <c r="U227" s="22" t="n">
        <f aca="false">100*(U93-U92)</f>
        <v>13.5215798156669</v>
      </c>
      <c r="V227" s="22" t="n">
        <f aca="false">100*(V93-V92)</f>
        <v>13.2653695818536</v>
      </c>
      <c r="W227" s="22" t="n">
        <f aca="false">100*(W93-W92)</f>
        <v>13.0043585798187</v>
      </c>
      <c r="X227" s="22" t="n">
        <f aca="false">100*(X93-X92)</f>
        <v>12.7412830626238</v>
      </c>
      <c r="Y227" s="22" t="n">
        <f aca="false">100*(Y93-Y92)</f>
        <v>12.4791256551521</v>
      </c>
      <c r="Z227" s="22" t="n">
        <f aca="false">100*(Z93-Z92)</f>
        <v>12.2207228278009</v>
      </c>
      <c r="AA227" s="22" t="n">
        <f aca="false">100*(AA93-AA92)</f>
        <v>11.9686720743908</v>
      </c>
      <c r="AB227" s="22" t="n">
        <f aca="false">100*(AB93-AB92)</f>
        <v>11.7251870762052</v>
      </c>
      <c r="AC227" s="22" t="n">
        <f aca="false">100*(AC93-AC92)</f>
        <v>11.4919814430803</v>
      </c>
      <c r="AD227" s="22" t="n">
        <f aca="false">100*(AD93-AD92)</f>
        <v>11.270327090609</v>
      </c>
      <c r="AE227" s="22" t="n">
        <f aca="false">100*(AE93-AE92)</f>
        <v>11.0611232513776</v>
      </c>
      <c r="AF227" s="22" t="n">
        <f aca="false">100*(AF93-AF92)</f>
        <v>10.8649526799076</v>
      </c>
      <c r="AG227" s="22" t="n">
        <f aca="false">100*(AG93-AG92)</f>
        <v>10.6821031296609</v>
      </c>
      <c r="AH227" s="22" t="n">
        <f aca="false">100*(AH93-AH92)</f>
        <v>10.5125438544357</v>
      </c>
      <c r="AI227" s="22" t="n">
        <f aca="false">100*(AI93-AI92)</f>
        <v>10.3559701138367</v>
      </c>
      <c r="AJ227" s="22" t="n">
        <f aca="false">100*(AJ93-AJ92)</f>
        <v>10.2118627984329</v>
      </c>
      <c r="AK227" s="22" t="n">
        <f aca="false">100*(AK93-AK92)</f>
        <v>10.0795280964596</v>
      </c>
      <c r="AL227" s="22" t="n">
        <f aca="false">100*(AL93-AL92)</f>
        <v>9.95815722411457</v>
      </c>
      <c r="AM227" s="22" t="n">
        <f aca="false">100*(AM93-AM92)</f>
        <v>9.8468678836503</v>
      </c>
      <c r="AN227" s="22" t="n">
        <f aca="false">100*(AN93-AN92)</f>
        <v>9.74473570475132</v>
      </c>
      <c r="AO227" s="22" t="n">
        <f aca="false">100*(AO93-AO92)</f>
        <v>9.65080407870809</v>
      </c>
      <c r="AP227" s="22" t="n">
        <f aca="false">100*(AP93-AP92)</f>
        <v>9.5640845276062</v>
      </c>
      <c r="AQ227" s="22" t="n">
        <f aca="false">100*(AQ93-AQ92)</f>
        <v>9.48355901383051</v>
      </c>
      <c r="AR227" s="22" t="n">
        <f aca="false">100*(AR93-AR92)</f>
        <v>9.40818491258062</v>
      </c>
      <c r="AS227" s="22" t="n">
        <f aca="false">100*(AS93-AS92)</f>
        <v>9.33690211548393</v>
      </c>
      <c r="AT227" s="22" t="n">
        <f aca="false">100*(AT93-AT92)</f>
        <v>9.26865787643121</v>
      </c>
      <c r="AU227" s="22" t="n">
        <f aca="false">100*(AU93-AU92)</f>
        <v>9.20242706225269</v>
      </c>
      <c r="AV227" s="22" t="n">
        <f aca="false">100*(AV93-AV92)</f>
        <v>9.13722954315803</v>
      </c>
      <c r="AW227" s="22" t="n">
        <f aca="false">100*(AW93-AW92)</f>
        <v>9.07214537759598</v>
      </c>
      <c r="AX227" s="22" t="n">
        <f aca="false">100*(AX93-AX92)</f>
        <v>9.00632367886201</v>
      </c>
      <c r="AY227" s="22" t="n">
        <f aca="false">100*(AY93-AY92)</f>
        <v>8.93900987017839</v>
      </c>
      <c r="AZ227" s="22" t="n">
        <f aca="false">100*(AZ93-AZ92)</f>
        <v>8.8695606630699</v>
      </c>
      <c r="BA227" s="22" t="n">
        <f aca="false">100*(BA93-BA92)</f>
        <v>8.79743788981369</v>
      </c>
      <c r="BB227" s="22" t="n">
        <f aca="false">100*(BB93-BB92)</f>
        <v>8.72222035173897</v>
      </c>
      <c r="BC227" s="22" t="n">
        <f aca="false">100*(BC93-BC92)</f>
        <v>8.64361386409032</v>
      </c>
      <c r="BD227" s="22" t="n">
        <f aca="false">100*(BD93-BD92)</f>
        <v>8.56145398894643</v>
      </c>
      <c r="BE227" s="22" t="n">
        <f aca="false">100*(BE93-BE92)</f>
        <v>8.47570497551922</v>
      </c>
      <c r="BF227" s="22" t="n">
        <f aca="false">100*(BF93-BF92)</f>
        <v>8.38646043898899</v>
      </c>
      <c r="BG227" s="22" t="n">
        <f aca="false">100*(BG93-BG92)</f>
        <v>8.2939395022692</v>
      </c>
      <c r="BH227" s="22" t="n">
        <f aca="false">AVERAGE(C227:BG227)</f>
        <v>12.2563075169016</v>
      </c>
    </row>
    <row r="228" customFormat="false" ht="15" hidden="false" customHeight="false" outlineLevel="0" collapsed="false">
      <c r="A228" s="20" t="n">
        <f aca="false">A94</f>
        <v>-31</v>
      </c>
      <c r="B228" s="21" t="n">
        <f aca="false">B94</f>
        <v>44791</v>
      </c>
      <c r="C228" s="22" t="n">
        <f aca="false">100*(C94-C93)</f>
        <v>2.27331801692356</v>
      </c>
      <c r="D228" s="22" t="n">
        <f aca="false">100*(D94-D93)</f>
        <v>2.37616839240742</v>
      </c>
      <c r="E228" s="22" t="n">
        <f aca="false">100*(E94-E93)</f>
        <v>2.37424585823711</v>
      </c>
      <c r="F228" s="22" t="n">
        <f aca="false">100*(F94-F93)</f>
        <v>2.29820577956943</v>
      </c>
      <c r="G228" s="22" t="n">
        <f aca="false">100*(G94-G93)</f>
        <v>2.17105236476169</v>
      </c>
      <c r="H228" s="22" t="n">
        <f aca="false">100*(H94-H93)</f>
        <v>2.01006697720212</v>
      </c>
      <c r="I228" s="22" t="n">
        <f aca="false">100*(I94-I93)</f>
        <v>1.82926972787598</v>
      </c>
      <c r="J228" s="22" t="n">
        <f aca="false">100*(J94-J93)</f>
        <v>1.63968931373666</v>
      </c>
      <c r="K228" s="22" t="n">
        <f aca="false">100*(K94-K93)</f>
        <v>1.44995276943063</v>
      </c>
      <c r="L228" s="22" t="n">
        <f aca="false">100*(L94-L93)</f>
        <v>1.26633914071963</v>
      </c>
      <c r="M228" s="22" t="n">
        <f aca="false">100*(M94-M93)</f>
        <v>1.0926432258962</v>
      </c>
      <c r="N228" s="22" t="n">
        <f aca="false">100*(N94-N93)</f>
        <v>0.93063928858399</v>
      </c>
      <c r="O228" s="22" t="n">
        <f aca="false">100*(O94-O93)</f>
        <v>0.780692423390406</v>
      </c>
      <c r="P228" s="22" t="n">
        <f aca="false">100*(P94-P93)</f>
        <v>0.642329530779406</v>
      </c>
      <c r="Q228" s="22" t="n">
        <f aca="false">100*(Q94-Q93)</f>
        <v>0.514533125914074</v>
      </c>
      <c r="R228" s="22" t="n">
        <f aca="false">100*(R94-R93)</f>
        <v>0.396022418172226</v>
      </c>
      <c r="S228" s="22" t="n">
        <f aca="false">100*(S94-S93)</f>
        <v>0.285445071775614</v>
      </c>
      <c r="T228" s="22" t="n">
        <f aca="false">100*(T94-T93)</f>
        <v>0.181494420673101</v>
      </c>
      <c r="U228" s="22" t="n">
        <f aca="false">100*(U94-U93)</f>
        <v>0.083026458157498</v>
      </c>
      <c r="V228" s="22" t="n">
        <f aca="false">100*(V94-V93)</f>
        <v>-0.0109756389115923</v>
      </c>
      <c r="W228" s="22" t="n">
        <f aca="false">100*(W94-W93)</f>
        <v>-0.101429971271205</v>
      </c>
      <c r="X228" s="22" t="n">
        <f aca="false">100*(X94-X93)</f>
        <v>-0.189169500754804</v>
      </c>
      <c r="Y228" s="22" t="n">
        <f aca="false">100*(Y94-Y93)</f>
        <v>-0.274911094217067</v>
      </c>
      <c r="Z228" s="22" t="n">
        <f aca="false">100*(Z94-Z93)</f>
        <v>-0.359260160183084</v>
      </c>
      <c r="AA228" s="22" t="n">
        <f aca="false">100*(AA94-AA93)</f>
        <v>-0.442746945731498</v>
      </c>
      <c r="AB228" s="22" t="n">
        <f aca="false">100*(AB94-AB93)</f>
        <v>-0.525850806246497</v>
      </c>
      <c r="AC228" s="22" t="n">
        <f aca="false">100*(AC94-AC93)</f>
        <v>-0.609013324555185</v>
      </c>
      <c r="AD228" s="22" t="n">
        <f aca="false">100*(AD94-AD93)</f>
        <v>-0.692644832900369</v>
      </c>
      <c r="AE228" s="22" t="n">
        <f aca="false">100*(AE94-AE93)</f>
        <v>-0.777129295743606</v>
      </c>
      <c r="AF228" s="22" t="n">
        <f aca="false">100*(AF94-AF93)</f>
        <v>-0.862828241809677</v>
      </c>
      <c r="AG228" s="22" t="n">
        <f aca="false">100*(AG94-AG93)</f>
        <v>-0.950067055361625</v>
      </c>
      <c r="AH228" s="22" t="n">
        <f aca="false">100*(AH94-AH93)</f>
        <v>-1.03911386214328</v>
      </c>
      <c r="AI228" s="22" t="n">
        <f aca="false">100*(AI94-AI93)</f>
        <v>-1.13018490644041</v>
      </c>
      <c r="AJ228" s="22" t="n">
        <f aca="false">100*(AJ94-AJ93)</f>
        <v>-1.22340887222481</v>
      </c>
      <c r="AK228" s="22" t="n">
        <f aca="false">100*(AK94-AK93)</f>
        <v>-1.31882445928828</v>
      </c>
      <c r="AL228" s="22" t="n">
        <f aca="false">100*(AL94-AL93)</f>
        <v>-1.41635872535879</v>
      </c>
      <c r="AM228" s="22" t="n">
        <f aca="false">100*(AM94-AM93)</f>
        <v>-1.51582799943522</v>
      </c>
      <c r="AN228" s="22" t="n">
        <f aca="false">100*(AN94-AN93)</f>
        <v>-1.61695631552421</v>
      </c>
      <c r="AO228" s="22" t="n">
        <f aca="false">100*(AO94-AO93)</f>
        <v>-1.7193977131404</v>
      </c>
      <c r="AP228" s="22" t="n">
        <f aca="false">100*(AP94-AP93)</f>
        <v>-1.82278603533437</v>
      </c>
      <c r="AQ228" s="22" t="n">
        <f aca="false">100*(AQ94-AQ93)</f>
        <v>-1.92676005678423</v>
      </c>
      <c r="AR228" s="22" t="n">
        <f aca="false">100*(AR94-AR93)</f>
        <v>-2.0309983852822</v>
      </c>
      <c r="AS228" s="22" t="n">
        <f aca="false">100*(AS94-AS93)</f>
        <v>-2.1352410473146</v>
      </c>
      <c r="AT228" s="22" t="n">
        <f aca="false">100*(AT94-AT93)</f>
        <v>-2.23928249841192</v>
      </c>
      <c r="AU228" s="22" t="n">
        <f aca="false">100*(AU94-AU93)</f>
        <v>-2.34296285238083</v>
      </c>
      <c r="AV228" s="22" t="n">
        <f aca="false">100*(AV94-AV93)</f>
        <v>-2.44615683045999</v>
      </c>
      <c r="AW228" s="22" t="n">
        <f aca="false">100*(AW94-AW93)</f>
        <v>-2.54876355927869</v>
      </c>
      <c r="AX228" s="22" t="n">
        <f aca="false">100*(AX94-AX93)</f>
        <v>-2.65069990565872</v>
      </c>
      <c r="AY228" s="22" t="n">
        <f aca="false">100*(AY94-AY93)</f>
        <v>-2.75188743985937</v>
      </c>
      <c r="AZ228" s="22" t="n">
        <f aca="false">100*(AZ94-AZ93)</f>
        <v>-2.8522431022731</v>
      </c>
      <c r="BA228" s="22" t="n">
        <f aca="false">100*(BA94-BA93)</f>
        <v>-2.95167808581911</v>
      </c>
      <c r="BB228" s="22" t="n">
        <f aca="false">100*(BB94-BB93)</f>
        <v>-3.0500903862984</v>
      </c>
      <c r="BC228" s="22" t="n">
        <f aca="false">100*(BC94-BC93)</f>
        <v>-3.14735796637904</v>
      </c>
      <c r="BD228" s="22" t="n">
        <f aca="false">100*(BD94-BD93)</f>
        <v>-3.24333447743701</v>
      </c>
      <c r="BE228" s="22" t="n">
        <f aca="false">100*(BE94-BE93)</f>
        <v>-3.3378461242414</v>
      </c>
      <c r="BF228" s="22" t="n">
        <f aca="false">100*(BF94-BF93)</f>
        <v>-3.43068705168297</v>
      </c>
      <c r="BG228" s="22" t="n">
        <f aca="false">100*(BG94-BG93)</f>
        <v>-3.52162098180462</v>
      </c>
      <c r="BH228" s="22" t="n">
        <f aca="false">AVERAGE(C228:BG228)</f>
        <v>-0.712480038662025</v>
      </c>
    </row>
    <row r="229" customFormat="false" ht="15" hidden="false" customHeight="false" outlineLevel="0" collapsed="false">
      <c r="A229" s="20" t="n">
        <f aca="false">A95</f>
        <v>-30</v>
      </c>
      <c r="B229" s="21" t="n">
        <f aca="false">B95</f>
        <v>44792</v>
      </c>
      <c r="C229" s="22" t="n">
        <f aca="false">100*(C95-C94)</f>
        <v>8.92276176220972</v>
      </c>
      <c r="D229" s="22" t="n">
        <f aca="false">100*(D95-D94)</f>
        <v>9.55866524364026</v>
      </c>
      <c r="E229" s="22" t="n">
        <f aca="false">100*(E95-E94)</f>
        <v>9.97262880863947</v>
      </c>
      <c r="F229" s="22" t="n">
        <f aca="false">100*(F95-F94)</f>
        <v>10.2852536213398</v>
      </c>
      <c r="G229" s="22" t="n">
        <f aca="false">100*(G95-G94)</f>
        <v>10.5502876943295</v>
      </c>
      <c r="H229" s="22" t="n">
        <f aca="false">100*(H95-H94)</f>
        <v>10.7902874272946</v>
      </c>
      <c r="I229" s="22" t="n">
        <f aca="false">100*(I95-I94)</f>
        <v>11.013594070356</v>
      </c>
      <c r="J229" s="22" t="n">
        <f aca="false">100*(J95-J94)</f>
        <v>11.22188207207</v>
      </c>
      <c r="K229" s="22" t="n">
        <f aca="false">100*(K95-K94)</f>
        <v>11.414436762777</v>
      </c>
      <c r="L229" s="22" t="n">
        <f aca="false">100*(L95-L94)</f>
        <v>11.5901265816378</v>
      </c>
      <c r="M229" s="22" t="n">
        <f aca="false">100*(M95-M94)</f>
        <v>11.7476090059351</v>
      </c>
      <c r="N229" s="22" t="n">
        <f aca="false">100*(N95-N94)</f>
        <v>11.8859934816592</v>
      </c>
      <c r="O229" s="22" t="n">
        <f aca="false">100*(O95-O94)</f>
        <v>12.00480920046</v>
      </c>
      <c r="P229" s="22" t="n">
        <f aca="false">100*(P95-P94)</f>
        <v>12.1041844450831</v>
      </c>
      <c r="Q229" s="22" t="n">
        <f aca="false">100*(Q95-Q94)</f>
        <v>12.1847937632106</v>
      </c>
      <c r="R229" s="22" t="n">
        <f aca="false">100*(R95-R94)</f>
        <v>12.2478128832341</v>
      </c>
      <c r="S229" s="22" t="n">
        <f aca="false">100*(S95-S94)</f>
        <v>12.2947049154908</v>
      </c>
      <c r="T229" s="22" t="n">
        <f aca="false">100*(T95-T94)</f>
        <v>12.327154867709</v>
      </c>
      <c r="U229" s="22" t="n">
        <f aca="false">100*(U95-U94)</f>
        <v>12.3470294765427</v>
      </c>
      <c r="V229" s="22" t="n">
        <f aca="false">100*(V95-V94)</f>
        <v>12.3561818008142</v>
      </c>
      <c r="W229" s="22" t="n">
        <f aca="false">100*(W95-W94)</f>
        <v>12.3564450837642</v>
      </c>
      <c r="X229" s="22" t="n">
        <f aca="false">100*(X95-X94)</f>
        <v>12.3496457992837</v>
      </c>
      <c r="Y229" s="22" t="n">
        <f aca="false">100*(Y95-Y94)</f>
        <v>12.3375979212007</v>
      </c>
      <c r="Z229" s="22" t="n">
        <f aca="false">100*(Z95-Z94)</f>
        <v>12.3219788265695</v>
      </c>
      <c r="AA229" s="22" t="n">
        <f aca="false">100*(AA95-AA94)</f>
        <v>12.3043440059091</v>
      </c>
      <c r="AB229" s="22" t="n">
        <f aca="false">100*(AB95-AB94)</f>
        <v>12.2860439526633</v>
      </c>
      <c r="AC229" s="22" t="n">
        <f aca="false">100*(AC95-AC94)</f>
        <v>12.2680976385425</v>
      </c>
      <c r="AD229" s="22" t="n">
        <f aca="false">100*(AD95-AD94)</f>
        <v>12.2512271530181</v>
      </c>
      <c r="AE229" s="22" t="n">
        <f aca="false">100*(AE95-AE94)</f>
        <v>12.2359040902451</v>
      </c>
      <c r="AF229" s="22" t="n">
        <f aca="false">100*(AF95-AF94)</f>
        <v>12.2223869281626</v>
      </c>
      <c r="AG229" s="22" t="n">
        <f aca="false">100*(AG95-AG94)</f>
        <v>12.2107146799736</v>
      </c>
      <c r="AH229" s="22" t="n">
        <f aca="false">100*(AH95-AH94)</f>
        <v>12.200639519595</v>
      </c>
      <c r="AI229" s="22" t="n">
        <f aca="false">100*(AI95-AI94)</f>
        <v>12.1916816418059</v>
      </c>
      <c r="AJ229" s="22" t="n">
        <f aca="false">100*(AJ95-AJ94)</f>
        <v>12.1832361688176</v>
      </c>
      <c r="AK229" s="22" t="n">
        <f aca="false">100*(AK95-AK94)</f>
        <v>12.174610031251</v>
      </c>
      <c r="AL229" s="22" t="n">
        <f aca="false">100*(AL95-AL94)</f>
        <v>12.1650812456214</v>
      </c>
      <c r="AM229" s="22" t="n">
        <f aca="false">100*(AM95-AM94)</f>
        <v>12.1539411593666</v>
      </c>
      <c r="AN229" s="22" t="n">
        <f aca="false">100*(AN95-AN94)</f>
        <v>12.1405290588529</v>
      </c>
      <c r="AO229" s="22" t="n">
        <f aca="false">100*(AO95-AO94)</f>
        <v>12.124245362316</v>
      </c>
      <c r="AP229" s="22" t="n">
        <f aca="false">100*(AP95-AP94)</f>
        <v>12.1045856318196</v>
      </c>
      <c r="AQ229" s="22" t="n">
        <f aca="false">100*(AQ95-AQ94)</f>
        <v>12.0811508192152</v>
      </c>
      <c r="AR229" s="22" t="n">
        <f aca="false">100*(AR95-AR94)</f>
        <v>12.0536596478313</v>
      </c>
      <c r="AS229" s="22" t="n">
        <f aca="false">100*(AS95-AS94)</f>
        <v>12.0219554482775</v>
      </c>
      <c r="AT229" s="22" t="n">
        <f aca="false">100*(AT95-AT94)</f>
        <v>11.9859987236759</v>
      </c>
      <c r="AU229" s="22" t="n">
        <f aca="false">100*(AU95-AU94)</f>
        <v>11.9458599033605</v>
      </c>
      <c r="AV229" s="22" t="n">
        <f aca="false">100*(AV95-AV94)</f>
        <v>11.9017018516226</v>
      </c>
      <c r="AW229" s="22" t="n">
        <f aca="false">100*(AW95-AW94)</f>
        <v>11.8537674200378</v>
      </c>
      <c r="AX229" s="22" t="n">
        <f aca="false">100*(AX95-AX94)</f>
        <v>11.8023695686572</v>
      </c>
      <c r="AY229" s="22" t="n">
        <f aca="false">100*(AY95-AY94)</f>
        <v>11.7478706364478</v>
      </c>
      <c r="AZ229" s="22" t="n">
        <f aca="false">100*(AZ95-AZ94)</f>
        <v>11.6906705990292</v>
      </c>
      <c r="BA229" s="22" t="n">
        <f aca="false">100*(BA95-BA94)</f>
        <v>11.6312018777392</v>
      </c>
      <c r="BB229" s="22" t="n">
        <f aca="false">100*(BB95-BB94)</f>
        <v>11.569916527185</v>
      </c>
      <c r="BC229" s="22" t="n">
        <f aca="false">100*(BC95-BC94)</f>
        <v>11.5072774485736</v>
      </c>
      <c r="BD229" s="22" t="n">
        <f aca="false">100*(BD95-BD94)</f>
        <v>11.4437534561582</v>
      </c>
      <c r="BE229" s="22" t="n">
        <f aca="false">100*(BE95-BE94)</f>
        <v>11.3798141364196</v>
      </c>
      <c r="BF229" s="22" t="n">
        <f aca="false">100*(BF95-BF94)</f>
        <v>11.3159237478754</v>
      </c>
      <c r="BG229" s="22" t="n">
        <f aca="false">100*(BG95-BG94)</f>
        <v>11.252538838799</v>
      </c>
      <c r="BH229" s="22" t="n">
        <f aca="false">AVERAGE(C229:BG229)</f>
        <v>11.7647116567389</v>
      </c>
    </row>
    <row r="230" customFormat="false" ht="15" hidden="false" customHeight="false" outlineLevel="0" collapsed="false">
      <c r="A230" s="20" t="n">
        <f aca="false">A96</f>
        <v>-29</v>
      </c>
      <c r="B230" s="21" t="n">
        <f aca="false">B96</f>
        <v>44795</v>
      </c>
      <c r="C230" s="22" t="n">
        <f aca="false">100*(C96-C95)</f>
        <v>8.6801877979461</v>
      </c>
      <c r="D230" s="22" t="n">
        <f aca="false">100*(D96-D95)</f>
        <v>9.16897483818961</v>
      </c>
      <c r="E230" s="22" t="n">
        <f aca="false">100*(E96-E95)</f>
        <v>9.26908579954282</v>
      </c>
      <c r="F230" s="22" t="n">
        <f aca="false">100*(F96-F95)</f>
        <v>9.19129212725358</v>
      </c>
      <c r="G230" s="22" t="n">
        <f aca="false">100*(G96-G95)</f>
        <v>9.0404478381596</v>
      </c>
      <c r="H230" s="22" t="n">
        <f aca="false">100*(H96-H95)</f>
        <v>8.86966104213349</v>
      </c>
      <c r="I230" s="22" t="n">
        <f aca="false">100*(I96-I95)</f>
        <v>8.7057478779133</v>
      </c>
      <c r="J230" s="22" t="n">
        <f aca="false">100*(J96-J95)</f>
        <v>8.56178963364931</v>
      </c>
      <c r="K230" s="22" t="n">
        <f aca="false">100*(K96-K95)</f>
        <v>8.44341886274989</v>
      </c>
      <c r="L230" s="22" t="n">
        <f aca="false">100*(L96-L95)</f>
        <v>8.35248221228748</v>
      </c>
      <c r="M230" s="22" t="n">
        <f aca="false">100*(M96-M95)</f>
        <v>8.28873272495558</v>
      </c>
      <c r="N230" s="22" t="n">
        <f aca="false">100*(N96-N95)</f>
        <v>8.25098430617528</v>
      </c>
      <c r="O230" s="22" t="n">
        <f aca="false">100*(O96-O95)</f>
        <v>8.23746888785779</v>
      </c>
      <c r="P230" s="22" t="n">
        <f aca="false">100*(P96-P95)</f>
        <v>8.24611846038512</v>
      </c>
      <c r="Q230" s="22" t="n">
        <f aca="false">100*(Q96-Q95)</f>
        <v>8.2746691230458</v>
      </c>
      <c r="R230" s="22" t="n">
        <f aca="false">100*(R96-R95)</f>
        <v>8.32071563391441</v>
      </c>
      <c r="S230" s="22" t="n">
        <f aca="false">100*(S96-S95)</f>
        <v>8.3817497220418</v>
      </c>
      <c r="T230" s="22" t="n">
        <f aca="false">100*(T96-T95)</f>
        <v>8.45517084332221</v>
      </c>
      <c r="U230" s="22" t="n">
        <f aca="false">100*(U96-U95)</f>
        <v>8.53854148008519</v>
      </c>
      <c r="V230" s="22" t="n">
        <f aca="false">100*(V96-V95)</f>
        <v>8.6296311347009</v>
      </c>
      <c r="W230" s="22" t="n">
        <f aca="false">100*(W96-W95)</f>
        <v>8.72637324888181</v>
      </c>
      <c r="X230" s="22" t="n">
        <f aca="false">100*(X96-X95)</f>
        <v>8.82684505821563</v>
      </c>
      <c r="Y230" s="22" t="n">
        <f aca="false">100*(Y96-Y95)</f>
        <v>8.92937343077742</v>
      </c>
      <c r="Z230" s="22" t="n">
        <f aca="false">100*(Z96-Z95)</f>
        <v>9.0326098535586</v>
      </c>
      <c r="AA230" s="22" t="n">
        <f aca="false">100*(AA96-AA95)</f>
        <v>9.13549129495999</v>
      </c>
      <c r="AB230" s="22" t="n">
        <f aca="false">100*(AB96-AB95)</f>
        <v>9.2371985487461</v>
      </c>
      <c r="AC230" s="22" t="n">
        <f aca="false">100*(AC96-AC95)</f>
        <v>9.33711559671111</v>
      </c>
      <c r="AD230" s="22" t="n">
        <f aca="false">100*(AD96-AD95)</f>
        <v>9.43479713546669</v>
      </c>
      <c r="AE230" s="22" t="n">
        <f aca="false">100*(AE96-AE95)</f>
        <v>9.52994190260728</v>
      </c>
      <c r="AF230" s="22" t="n">
        <f aca="false">100*(AF96-AF95)</f>
        <v>9.62237069440701</v>
      </c>
      <c r="AG230" s="22" t="n">
        <f aca="false">100*(AG96-AG95)</f>
        <v>9.71200132729861</v>
      </c>
      <c r="AH230" s="22" t="n">
        <f aca="false">100*(AH96-AH95)</f>
        <v>9.7988118476362</v>
      </c>
      <c r="AI230" s="22" t="n">
        <f aca="false">100*(AI96-AI95)</f>
        <v>9.88280834515902</v>
      </c>
      <c r="AJ230" s="22" t="n">
        <f aca="false">100*(AJ96-AJ95)</f>
        <v>9.96401199953731</v>
      </c>
      <c r="AK230" s="22" t="n">
        <f aca="false">100*(AK96-AK95)</f>
        <v>10.0424495068355</v>
      </c>
      <c r="AL230" s="22" t="n">
        <f aca="false">100*(AL96-AL95)</f>
        <v>10.1181285571362</v>
      </c>
      <c r="AM230" s="22" t="n">
        <f aca="false">100*(AM96-AM95)</f>
        <v>10.1910293038862</v>
      </c>
      <c r="AN230" s="22" t="n">
        <f aca="false">100*(AN96-AN95)</f>
        <v>10.2611037508665</v>
      </c>
      <c r="AO230" s="22" t="n">
        <f aca="false">100*(AO96-AO95)</f>
        <v>10.3282820387185</v>
      </c>
      <c r="AP230" s="22" t="n">
        <f aca="false">100*(AP96-AP95)</f>
        <v>10.3924894284338</v>
      </c>
      <c r="AQ230" s="22" t="n">
        <f aca="false">100*(AQ96-AQ95)</f>
        <v>10.4536551825291</v>
      </c>
      <c r="AR230" s="22" t="n">
        <f aca="false">100*(AR96-AR95)</f>
        <v>10.5117290254971</v>
      </c>
      <c r="AS230" s="22" t="n">
        <f aca="false">100*(AS96-AS95)</f>
        <v>10.5666919477117</v>
      </c>
      <c r="AT230" s="22" t="n">
        <f aca="false">100*(AT96-AT95)</f>
        <v>10.6185578224859</v>
      </c>
      <c r="AU230" s="22" t="n">
        <f aca="false">100*(AU96-AU95)</f>
        <v>10.6673736862529</v>
      </c>
      <c r="AV230" s="22" t="n">
        <f aca="false">100*(AV96-AV95)</f>
        <v>10.7132157966505</v>
      </c>
      <c r="AW230" s="22" t="n">
        <f aca="false">100*(AW96-AW95)</f>
        <v>10.75618740922</v>
      </c>
      <c r="AX230" s="22" t="n">
        <f aca="false">100*(AX96-AX95)</f>
        <v>10.7964167919214</v>
      </c>
      <c r="AY230" s="22" t="n">
        <f aca="false">100*(AY96-AY95)</f>
        <v>10.8340454519355</v>
      </c>
      <c r="AZ230" s="22" t="n">
        <f aca="false">100*(AZ96-AZ95)</f>
        <v>10.8692206814154</v>
      </c>
      <c r="BA230" s="22" t="n">
        <f aca="false">100*(BA96-BA95)</f>
        <v>10.9020933197465</v>
      </c>
      <c r="BB230" s="22" t="n">
        <f aca="false">100*(BB96-BB95)</f>
        <v>10.932807450869</v>
      </c>
      <c r="BC230" s="22" t="n">
        <f aca="false">100*(BC96-BC95)</f>
        <v>10.96149301676</v>
      </c>
      <c r="BD230" s="22" t="n">
        <f aca="false">100*(BD96-BD95)</f>
        <v>10.9882623693489</v>
      </c>
      <c r="BE230" s="22" t="n">
        <f aca="false">100*(BE96-BE95)</f>
        <v>11.0132080439661</v>
      </c>
      <c r="BF230" s="22" t="n">
        <f aca="false">100*(BF96-BF95)</f>
        <v>11.0364005248747</v>
      </c>
      <c r="BG230" s="22" t="n">
        <f aca="false">100*(BG96-BG95)</f>
        <v>11.0578895613244</v>
      </c>
      <c r="BH230" s="22" t="n">
        <f aca="false">AVERAGE(C230:BG230)</f>
        <v>9.61560265436242</v>
      </c>
    </row>
    <row r="231" customFormat="false" ht="15" hidden="false" customHeight="false" outlineLevel="0" collapsed="false">
      <c r="A231" s="20" t="n">
        <f aca="false">A97</f>
        <v>-28</v>
      </c>
      <c r="B231" s="21" t="n">
        <f aca="false">B97</f>
        <v>44796</v>
      </c>
      <c r="C231" s="22" t="n">
        <f aca="false">100*(C97-C96)</f>
        <v>8.40007200187349</v>
      </c>
      <c r="D231" s="22" t="n">
        <f aca="false">100*(D97-D96)</f>
        <v>9.95096535089521</v>
      </c>
      <c r="E231" s="22" t="n">
        <f aca="false">100*(E97-E96)</f>
        <v>10.581576876724</v>
      </c>
      <c r="F231" s="22" t="n">
        <f aca="false">100*(F97-F96)</f>
        <v>10.6849801656075</v>
      </c>
      <c r="G231" s="22" t="n">
        <f aca="false">100*(G97-G96)</f>
        <v>10.4778375321206</v>
      </c>
      <c r="H231" s="22" t="n">
        <f aca="false">100*(H97-H96)</f>
        <v>10.0869693153966</v>
      </c>
      <c r="I231" s="22" t="n">
        <f aca="false">100*(I97-I96)</f>
        <v>9.59158740900992</v>
      </c>
      <c r="J231" s="22" t="n">
        <f aca="false">100*(J97-J96)</f>
        <v>9.0450372365575</v>
      </c>
      <c r="K231" s="22" t="n">
        <f aca="false">100*(K97-K96)</f>
        <v>8.48538835294228</v>
      </c>
      <c r="L231" s="22" t="n">
        <f aca="false">100*(L97-L96)</f>
        <v>7.94018735430422</v>
      </c>
      <c r="M231" s="22" t="n">
        <f aca="false">100*(M97-M96)</f>
        <v>7.42847625861529</v>
      </c>
      <c r="N231" s="22" t="n">
        <f aca="false">100*(N97-N96)</f>
        <v>6.96235643723941</v>
      </c>
      <c r="O231" s="22" t="n">
        <f aca="false">100*(O97-O96)</f>
        <v>6.54838098159387</v>
      </c>
      <c r="P231" s="22" t="n">
        <f aca="false">100*(P97-P96)</f>
        <v>6.1887674583486</v>
      </c>
      <c r="Q231" s="22" t="n">
        <f aca="false">100*(Q97-Q96)</f>
        <v>5.88241048671243</v>
      </c>
      <c r="R231" s="22" t="n">
        <f aca="false">100*(R97-R96)</f>
        <v>5.62574210699811</v>
      </c>
      <c r="S231" s="22" t="n">
        <f aca="false">100*(S97-S96)</f>
        <v>5.41364162291331</v>
      </c>
      <c r="T231" s="22" t="n">
        <f aca="false">100*(T97-T96)</f>
        <v>5.23986527252309</v>
      </c>
      <c r="U231" s="22" t="n">
        <f aca="false">100*(U97-U96)</f>
        <v>5.09821473878089</v>
      </c>
      <c r="V231" s="22" t="n">
        <f aca="false">100*(V97-V96)</f>
        <v>4.98296668553557</v>
      </c>
      <c r="W231" s="22" t="n">
        <f aca="false">100*(W97-W96)</f>
        <v>4.8887813963483</v>
      </c>
      <c r="X231" s="22" t="n">
        <f aca="false">100*(X97-X96)</f>
        <v>4.81066323439658</v>
      </c>
      <c r="Y231" s="22" t="n">
        <f aca="false">100*(Y97-Y96)</f>
        <v>4.7443661924238</v>
      </c>
      <c r="Z231" s="22" t="n">
        <f aca="false">100*(Z97-Z96)</f>
        <v>4.68675446521782</v>
      </c>
      <c r="AA231" s="22" t="n">
        <f aca="false">100*(AA97-AA96)</f>
        <v>4.63553033753943</v>
      </c>
      <c r="AB231" s="22" t="n">
        <f aca="false">100*(AB97-AB96)</f>
        <v>4.58896225617078</v>
      </c>
      <c r="AC231" s="22" t="n">
        <f aca="false">100*(AC97-AC96)</f>
        <v>4.54574502685481</v>
      </c>
      <c r="AD231" s="22" t="n">
        <f aca="false">100*(AD97-AD96)</f>
        <v>4.50492689645681</v>
      </c>
      <c r="AE231" s="22" t="n">
        <f aca="false">100*(AE97-AE96)</f>
        <v>4.46585432788602</v>
      </c>
      <c r="AF231" s="22" t="n">
        <f aca="false">100*(AF97-AF96)</f>
        <v>4.42812642884172</v>
      </c>
      <c r="AG231" s="22" t="n">
        <f aca="false">100*(AG97-AG96)</f>
        <v>4.39152854572917</v>
      </c>
      <c r="AH231" s="22" t="n">
        <f aca="false">100*(AH97-AH96)</f>
        <v>4.35593857116947</v>
      </c>
      <c r="AI231" s="22" t="n">
        <f aca="false">100*(AI97-AI96)</f>
        <v>4.32129650590958</v>
      </c>
      <c r="AJ231" s="22" t="n">
        <f aca="false">100*(AJ97-AJ96)</f>
        <v>4.28758634283186</v>
      </c>
      <c r="AK231" s="22" t="n">
        <f aca="false">100*(AK97-AK96)</f>
        <v>4.254824737705</v>
      </c>
      <c r="AL231" s="22" t="n">
        <f aca="false">100*(AL97-AL96)</f>
        <v>4.2230426123234</v>
      </c>
      <c r="AM231" s="22" t="n">
        <f aca="false">100*(AM97-AM96)</f>
        <v>4.19227449928843</v>
      </c>
      <c r="AN231" s="22" t="n">
        <f aca="false">100*(AN97-AN96)</f>
        <v>4.16254979373809</v>
      </c>
      <c r="AO231" s="22" t="n">
        <f aca="false">100*(AO97-AO96)</f>
        <v>4.1338876010375</v>
      </c>
      <c r="AP231" s="22" t="n">
        <f aca="false">100*(AP97-AP96)</f>
        <v>4.10628249645151</v>
      </c>
      <c r="AQ231" s="22" t="n">
        <f aca="false">100*(AQ97-AQ96)</f>
        <v>4.07969972916789</v>
      </c>
      <c r="AR231" s="22" t="n">
        <f aca="false">100*(AR97-AR96)</f>
        <v>4.05407016079988</v>
      </c>
      <c r="AS231" s="22" t="n">
        <f aca="false">100*(AS97-AS96)</f>
        <v>4.02928871475861</v>
      </c>
      <c r="AT231" s="22" t="n">
        <f aca="false">100*(AT97-AT96)</f>
        <v>4.00522014603602</v>
      </c>
      <c r="AU231" s="22" t="n">
        <f aca="false">100*(AU97-AU96)</f>
        <v>3.98170505447721</v>
      </c>
      <c r="AV231" s="22" t="n">
        <f aca="false">100*(AV97-AV96)</f>
        <v>3.95856728967261</v>
      </c>
      <c r="AW231" s="22" t="n">
        <f aca="false">100*(AW97-AW96)</f>
        <v>3.93562066189421</v>
      </c>
      <c r="AX231" s="22" t="n">
        <f aca="false">100*(AX97-AX96)</f>
        <v>3.91267286221249</v>
      </c>
      <c r="AY231" s="22" t="n">
        <f aca="false">100*(AY97-AY96)</f>
        <v>3.88953588928067</v>
      </c>
      <c r="AZ231" s="22" t="n">
        <f aca="false">100*(AZ97-AZ96)</f>
        <v>3.86603346914951</v>
      </c>
      <c r="BA231" s="22" t="n">
        <f aca="false">100*(BA97-BA96)</f>
        <v>3.84200103661572</v>
      </c>
      <c r="BB231" s="22" t="n">
        <f aca="false">100*(BB97-BB96)</f>
        <v>3.81728954555811</v>
      </c>
      <c r="BC231" s="22" t="n">
        <f aca="false">100*(BC97-BC96)</f>
        <v>3.79176897541762</v>
      </c>
      <c r="BD231" s="22" t="n">
        <f aca="false">100*(BD97-BD96)</f>
        <v>3.7653299879945</v>
      </c>
      <c r="BE231" s="22" t="n">
        <f aca="false">100*(BE97-BE96)</f>
        <v>3.7378853063017</v>
      </c>
      <c r="BF231" s="22" t="n">
        <f aca="false">100*(BF97-BF96)</f>
        <v>3.70937257897808</v>
      </c>
      <c r="BG231" s="22" t="n">
        <f aca="false">100*(BG97-BG96)</f>
        <v>3.67975374962199</v>
      </c>
      <c r="BH231" s="22" t="n">
        <f aca="false">AVERAGE(C231:BG231)</f>
        <v>5.42807300124472</v>
      </c>
    </row>
    <row r="232" customFormat="false" ht="15" hidden="false" customHeight="false" outlineLevel="0" collapsed="false">
      <c r="A232" s="20" t="n">
        <f aca="false">A98</f>
        <v>-27</v>
      </c>
      <c r="B232" s="21" t="n">
        <f aca="false">B98</f>
        <v>44797</v>
      </c>
      <c r="C232" s="22" t="n">
        <f aca="false">100*(C98-C97)</f>
        <v>23.1910715863728</v>
      </c>
      <c r="D232" s="22" t="n">
        <f aca="false">100*(D98-D97)</f>
        <v>23.735711034551</v>
      </c>
      <c r="E232" s="22" t="n">
        <f aca="false">100*(E98-E97)</f>
        <v>23.5339151022431</v>
      </c>
      <c r="F232" s="22" t="n">
        <f aca="false">100*(F98-F97)</f>
        <v>22.9392757678548</v>
      </c>
      <c r="G232" s="22" t="n">
        <f aca="false">100*(G98-G97)</f>
        <v>22.1317884087577</v>
      </c>
      <c r="H232" s="22" t="n">
        <f aca="false">100*(H98-H97)</f>
        <v>21.2114637186681</v>
      </c>
      <c r="I232" s="22" t="n">
        <f aca="false">100*(I98-I97)</f>
        <v>20.238431714924</v>
      </c>
      <c r="J232" s="22" t="n">
        <f aca="false">100*(J98-J97)</f>
        <v>19.2516170048881</v>
      </c>
      <c r="K232" s="22" t="n">
        <f aca="false">100*(K98-K97)</f>
        <v>18.2775951208699</v>
      </c>
      <c r="L232" s="22" t="n">
        <f aca="false">100*(L98-L97)</f>
        <v>17.3354508822576</v>
      </c>
      <c r="M232" s="22" t="n">
        <f aca="false">100*(M98-M97)</f>
        <v>16.4390253046067</v>
      </c>
      <c r="N232" s="22" t="n">
        <f aca="false">100*(N98-N97)</f>
        <v>15.597838187918</v>
      </c>
      <c r="O232" s="22" t="n">
        <f aca="false">100*(O98-O97)</f>
        <v>14.8176533483555</v>
      </c>
      <c r="P232" s="22" t="n">
        <f aca="false">100*(P98-P97)</f>
        <v>14.100694661331</v>
      </c>
      <c r="Q232" s="22" t="n">
        <f aca="false">100*(Q98-Q97)</f>
        <v>13.4461869194784</v>
      </c>
      <c r="R232" s="22" t="n">
        <f aca="false">100*(R98-R97)</f>
        <v>12.8508927131922</v>
      </c>
      <c r="S232" s="22" t="n">
        <f aca="false">100*(S98-S97)</f>
        <v>12.3099256542429</v>
      </c>
      <c r="T232" s="22" t="n">
        <f aca="false">100*(T98-T97)</f>
        <v>11.8171141377499</v>
      </c>
      <c r="U232" s="22" t="n">
        <f aca="false">100*(U98-U97)</f>
        <v>11.366193304536</v>
      </c>
      <c r="V232" s="22" t="n">
        <f aca="false">100*(V98-V97)</f>
        <v>10.9512617674361</v>
      </c>
      <c r="W232" s="22" t="n">
        <f aca="false">100*(W98-W97)</f>
        <v>10.5667130060809</v>
      </c>
      <c r="X232" s="22" t="n">
        <f aca="false">100*(X98-X97)</f>
        <v>10.2072184695133</v>
      </c>
      <c r="Y232" s="22" t="n">
        <f aca="false">100*(Y98-Y97)</f>
        <v>9.86819663009788</v>
      </c>
      <c r="Z232" s="22" t="n">
        <f aca="false">100*(Z98-Z97)</f>
        <v>9.5462201014723</v>
      </c>
      <c r="AA232" s="22" t="n">
        <f aca="false">100*(AA98-AA97)</f>
        <v>9.2387406849658</v>
      </c>
      <c r="AB232" s="22" t="n">
        <f aca="false">100*(AB98-AB97)</f>
        <v>8.9438262844578</v>
      </c>
      <c r="AC232" s="22" t="n">
        <f aca="false">100*(AC98-AC97)</f>
        <v>8.6600295780868</v>
      </c>
      <c r="AD232" s="22" t="n">
        <f aca="false">100*(AD98-AD97)</f>
        <v>8.38630765284401</v>
      </c>
      <c r="AE232" s="22" t="n">
        <f aca="false">100*(AE98-AE97)</f>
        <v>8.12195881589637</v>
      </c>
      <c r="AF232" s="22" t="n">
        <f aca="false">100*(AF98-AF97)</f>
        <v>7.86657051711459</v>
      </c>
      <c r="AG232" s="22" t="n">
        <f aca="false">100*(AG98-AG97)</f>
        <v>7.619952992609</v>
      </c>
      <c r="AH232" s="22" t="n">
        <f aca="false">100*(AH98-AH97)</f>
        <v>7.38206353339299</v>
      </c>
      <c r="AI232" s="22" t="n">
        <f aca="false">100*(AI98-AI97)</f>
        <v>7.15295310260391</v>
      </c>
      <c r="AJ232" s="22" t="n">
        <f aca="false">100*(AJ98-AJ97)</f>
        <v>6.93271173542551</v>
      </c>
      <c r="AK232" s="22" t="n">
        <f aca="false">100*(AK98-AK97)</f>
        <v>6.72145417012779</v>
      </c>
      <c r="AL232" s="22" t="n">
        <f aca="false">100*(AL98-AL97)</f>
        <v>6.5193028649396</v>
      </c>
      <c r="AM232" s="22" t="n">
        <f aca="false">100*(AM98-AM97)</f>
        <v>6.3263739961017</v>
      </c>
      <c r="AN232" s="22" t="n">
        <f aca="false">100*(AN98-AN97)</f>
        <v>6.14276070332291</v>
      </c>
      <c r="AO232" s="22" t="n">
        <f aca="false">100*(AO98-AO97)</f>
        <v>5.96851916825991</v>
      </c>
      <c r="AP232" s="22" t="n">
        <f aca="false">100*(AP98-AP97)</f>
        <v>5.80362433499122</v>
      </c>
      <c r="AQ232" s="22" t="n">
        <f aca="false">100*(AQ98-AQ97)</f>
        <v>5.64795644780611</v>
      </c>
      <c r="AR232" s="22" t="n">
        <f aca="false">100*(AR98-AR97)</f>
        <v>5.50129093166558</v>
      </c>
      <c r="AS232" s="22" t="n">
        <f aca="false">100*(AS98-AS97)</f>
        <v>5.36329818234669</v>
      </c>
      <c r="AT232" s="22" t="n">
        <f aca="false">100*(AT98-AT97)</f>
        <v>5.2335709452227</v>
      </c>
      <c r="AU232" s="22" t="n">
        <f aca="false">100*(AU98-AU97)</f>
        <v>5.11164706406078</v>
      </c>
      <c r="AV232" s="22" t="n">
        <f aca="false">100*(AV98-AV97)</f>
        <v>4.9970304734499</v>
      </c>
      <c r="AW232" s="22" t="n">
        <f aca="false">100*(AW98-AW97)</f>
        <v>4.88920662564549</v>
      </c>
      <c r="AX232" s="22" t="n">
        <f aca="false">100*(AX98-AX97)</f>
        <v>4.78764597984003</v>
      </c>
      <c r="AY232" s="22" t="n">
        <f aca="false">100*(AY98-AY97)</f>
        <v>4.69182112025841</v>
      </c>
      <c r="AZ232" s="22" t="n">
        <f aca="false">100*(AZ98-AZ97)</f>
        <v>4.60121909962137</v>
      </c>
      <c r="BA232" s="22" t="n">
        <f aca="false">100*(BA98-BA97)</f>
        <v>4.5153418696819</v>
      </c>
      <c r="BB232" s="22" t="n">
        <f aca="false">100*(BB98-BB97)</f>
        <v>4.4337130086626</v>
      </c>
      <c r="BC232" s="22" t="n">
        <f aca="false">100*(BC98-BC97)</f>
        <v>4.355884167488</v>
      </c>
      <c r="BD232" s="22" t="n">
        <f aca="false">100*(BD98-BD97)</f>
        <v>4.281440921645</v>
      </c>
      <c r="BE232" s="22" t="n">
        <f aca="false">100*(BE98-BE97)</f>
        <v>4.21000878814941</v>
      </c>
      <c r="BF232" s="22" t="n">
        <f aca="false">100*(BF98-BF97)</f>
        <v>4.1412625651732</v>
      </c>
      <c r="BG232" s="22" t="n">
        <f aca="false">100*(BG98-BG97)</f>
        <v>4.07492256649724</v>
      </c>
      <c r="BH232" s="22" t="n">
        <f aca="false">AVERAGE(C232:BG232)</f>
        <v>10.2518572884167</v>
      </c>
    </row>
    <row r="233" customFormat="false" ht="15" hidden="false" customHeight="false" outlineLevel="0" collapsed="false">
      <c r="A233" s="20" t="n">
        <f aca="false">A99</f>
        <v>-26</v>
      </c>
      <c r="B233" s="21" t="n">
        <f aca="false">B99</f>
        <v>44798</v>
      </c>
      <c r="C233" s="22" t="n">
        <f aca="false">100*(C99-C98)</f>
        <v>-11.5686801267716</v>
      </c>
      <c r="D233" s="22" t="n">
        <f aca="false">100*(D99-D98)</f>
        <v>-12.0213766486888</v>
      </c>
      <c r="E233" s="22" t="n">
        <f aca="false">100*(E99-E98)</f>
        <v>-12.066701468254</v>
      </c>
      <c r="F233" s="22" t="n">
        <f aca="false">100*(F99-F98)</f>
        <v>-11.8761359933898</v>
      </c>
      <c r="G233" s="22" t="n">
        <f aca="false">100*(G99-G98)</f>
        <v>-11.5434796084596</v>
      </c>
      <c r="H233" s="22" t="n">
        <f aca="false">100*(H99-H98)</f>
        <v>-11.1235844096315</v>
      </c>
      <c r="I233" s="22" t="n">
        <f aca="false">100*(I99-I98)</f>
        <v>-10.6512101599536</v>
      </c>
      <c r="J233" s="22" t="n">
        <f aca="false">100*(J99-J98)</f>
        <v>-10.1502220331142</v>
      </c>
      <c r="K233" s="22" t="n">
        <f aca="false">100*(K99-K98)</f>
        <v>-9.63829119519271</v>
      </c>
      <c r="L233" s="22" t="n">
        <f aca="false">100*(L99-L98)</f>
        <v>-9.12859871912217</v>
      </c>
      <c r="M233" s="22" t="n">
        <f aca="false">100*(M99-M98)</f>
        <v>-8.63048061466119</v>
      </c>
      <c r="N233" s="22" t="n">
        <f aca="false">100*(N99-N98)</f>
        <v>-8.1501051487114</v>
      </c>
      <c r="O233" s="22" t="n">
        <f aca="false">100*(O99-O98)</f>
        <v>-7.69097011404232</v>
      </c>
      <c r="P233" s="22" t="n">
        <f aca="false">100*(P99-P98)</f>
        <v>-7.25474192172459</v>
      </c>
      <c r="Q233" s="22" t="n">
        <f aca="false">100*(Q99-Q98)</f>
        <v>-6.84178495822634</v>
      </c>
      <c r="R233" s="22" t="n">
        <f aca="false">100*(R99-R98)</f>
        <v>-6.4515993535692</v>
      </c>
      <c r="S233" s="22" t="n">
        <f aca="false">100*(S99-S98)</f>
        <v>-6.08332864476182</v>
      </c>
      <c r="T233" s="22" t="n">
        <f aca="false">100*(T99-T98)</f>
        <v>-5.73600060947168</v>
      </c>
      <c r="U233" s="22" t="n">
        <f aca="false">100*(U99-U98)</f>
        <v>-5.40884404243549</v>
      </c>
      <c r="V233" s="22" t="n">
        <f aca="false">100*(V99-V98)</f>
        <v>-5.1014378972011</v>
      </c>
      <c r="W233" s="22" t="n">
        <f aca="false">100*(W99-W98)</f>
        <v>-4.81364426068791</v>
      </c>
      <c r="X233" s="22" t="n">
        <f aca="false">100*(X99-X98)</f>
        <v>-4.54554853617659</v>
      </c>
      <c r="Y233" s="22" t="n">
        <f aca="false">100*(Y99-Y98)</f>
        <v>-4.29743805463891</v>
      </c>
      <c r="Z233" s="22" t="n">
        <f aca="false">100*(Z99-Z98)</f>
        <v>-4.06980418395904</v>
      </c>
      <c r="AA233" s="22" t="n">
        <f aca="false">100*(AA99-AA98)</f>
        <v>-3.86302485130772</v>
      </c>
      <c r="AB233" s="22" t="n">
        <f aca="false">100*(AB99-AB98)</f>
        <v>-3.6771310926361</v>
      </c>
      <c r="AC233" s="22" t="n">
        <f aca="false">100*(AC99-AC98)</f>
        <v>-3.51181061729839</v>
      </c>
      <c r="AD233" s="22" t="n">
        <f aca="false">100*(AD99-AD98)</f>
        <v>-3.36645820452919</v>
      </c>
      <c r="AE233" s="22" t="n">
        <f aca="false">100*(AE99-AE98)</f>
        <v>-3.24022147337266</v>
      </c>
      <c r="AF233" s="22" t="n">
        <f aca="false">100*(AF99-AF98)</f>
        <v>-3.13203872875323</v>
      </c>
      <c r="AG233" s="22" t="n">
        <f aca="false">100*(AG99-AG98)</f>
        <v>-3.04069059955978</v>
      </c>
      <c r="AH233" s="22" t="n">
        <f aca="false">100*(AH99-AH98)</f>
        <v>-2.96484515887387</v>
      </c>
      <c r="AI233" s="22" t="n">
        <f aca="false">100*(AI99-AI98)</f>
        <v>-2.90311160128689</v>
      </c>
      <c r="AJ233" s="22" t="n">
        <f aca="false">100*(AJ99-AJ98)</f>
        <v>-2.8541131132962</v>
      </c>
      <c r="AK233" s="22" t="n">
        <f aca="false">100*(AK99-AK98)</f>
        <v>-2.81650972569887</v>
      </c>
      <c r="AL233" s="22" t="n">
        <f aca="false">100*(AL99-AL98)</f>
        <v>-2.78905441237178</v>
      </c>
      <c r="AM233" s="22" t="n">
        <f aca="false">100*(AM99-AM98)</f>
        <v>-2.7706166530383</v>
      </c>
      <c r="AN233" s="22" t="n">
        <f aca="false">100*(AN99-AN98)</f>
        <v>-2.76019306327471</v>
      </c>
      <c r="AO233" s="22" t="n">
        <f aca="false">100*(AO99-AO98)</f>
        <v>-2.75689614915282</v>
      </c>
      <c r="AP233" s="22" t="n">
        <f aca="false">100*(AP99-AP98)</f>
        <v>-2.75993528002503</v>
      </c>
      <c r="AQ233" s="22" t="n">
        <f aca="false">100*(AQ99-AQ98)</f>
        <v>-2.76860196726463</v>
      </c>
      <c r="AR233" s="22" t="n">
        <f aca="false">100*(AR99-AR98)</f>
        <v>-2.7822517997687</v>
      </c>
      <c r="AS233" s="22" t="n">
        <f aca="false">100*(AS99-AS98)</f>
        <v>-2.80029209255259</v>
      </c>
      <c r="AT233" s="22" t="n">
        <f aca="false">100*(AT99-AT98)</f>
        <v>-2.82218517849411</v>
      </c>
      <c r="AU233" s="22" t="n">
        <f aca="false">100*(AU99-AU98)</f>
        <v>-2.84744911316981</v>
      </c>
      <c r="AV233" s="22" t="n">
        <f aca="false">100*(AV99-AV98)</f>
        <v>-2.87565540886598</v>
      </c>
      <c r="AW233" s="22" t="n">
        <f aca="false">100*(AW99-AW98)</f>
        <v>-2.90642595556481</v>
      </c>
      <c r="AX233" s="22" t="n">
        <f aca="false">100*(AX99-AX98)</f>
        <v>-2.93943055712931</v>
      </c>
      <c r="AY233" s="22" t="n">
        <f aca="false">100*(AY99-AY98)</f>
        <v>-2.9743866627221</v>
      </c>
      <c r="AZ233" s="22" t="n">
        <f aca="false">100*(AZ99-AZ98)</f>
        <v>-3.01105639906418</v>
      </c>
      <c r="BA233" s="22" t="n">
        <f aca="false">100*(BA99-BA98)</f>
        <v>-3.04924248521172</v>
      </c>
      <c r="BB233" s="22" t="n">
        <f aca="false">100*(BB99-BB98)</f>
        <v>-3.08878407285822</v>
      </c>
      <c r="BC233" s="22" t="n">
        <f aca="false">100*(BC99-BC98)</f>
        <v>-3.12955150166419</v>
      </c>
      <c r="BD233" s="22" t="n">
        <f aca="false">100*(BD99-BD98)</f>
        <v>-3.1714389053688</v>
      </c>
      <c r="BE233" s="22" t="n">
        <f aca="false">100*(BE99-BE98)</f>
        <v>-3.2143589135158</v>
      </c>
      <c r="BF233" s="22" t="n">
        <f aca="false">100*(BF99-BF98)</f>
        <v>-3.25823697742926</v>
      </c>
      <c r="BG233" s="22" t="n">
        <f aca="false">100*(BG99-BG98)</f>
        <v>-3.30300370630572</v>
      </c>
      <c r="BH233" s="22" t="n">
        <f aca="false">AVERAGE(C233:BG233)</f>
        <v>-5.17531598463634</v>
      </c>
    </row>
    <row r="234" customFormat="false" ht="15" hidden="false" customHeight="false" outlineLevel="0" collapsed="false">
      <c r="A234" s="20" t="n">
        <f aca="false">A100</f>
        <v>-25</v>
      </c>
      <c r="B234" s="21" t="n">
        <f aca="false">B100</f>
        <v>44799</v>
      </c>
      <c r="C234" s="22" t="n">
        <f aca="false">100*(C100-C99)</f>
        <v>1.91069641070212</v>
      </c>
      <c r="D234" s="22" t="n">
        <f aca="false">100*(D100-D99)</f>
        <v>1.38377060335979</v>
      </c>
      <c r="E234" s="22" t="n">
        <f aca="false">100*(E100-E99)</f>
        <v>0.806512588739317</v>
      </c>
      <c r="F234" s="22" t="n">
        <f aca="false">100*(F100-F99)</f>
        <v>0.261604249512493</v>
      </c>
      <c r="G234" s="22" t="n">
        <f aca="false">100*(G100-G99)</f>
        <v>-0.215128395564879</v>
      </c>
      <c r="H234" s="22" t="n">
        <f aca="false">100*(H100-H99)</f>
        <v>-0.611879268762294</v>
      </c>
      <c r="I234" s="22" t="n">
        <f aca="false">100*(I100-I99)</f>
        <v>-0.93010249182206</v>
      </c>
      <c r="J234" s="22" t="n">
        <f aca="false">100*(J100-J99)</f>
        <v>-1.17639258173168</v>
      </c>
      <c r="K234" s="22" t="n">
        <f aca="false">100*(K100-K99)</f>
        <v>-1.35895040506342</v>
      </c>
      <c r="L234" s="22" t="n">
        <f aca="false">100*(L100-L99)</f>
        <v>-1.48722442315492</v>
      </c>
      <c r="M234" s="22" t="n">
        <f aca="false">100*(M100-M99)</f>
        <v>-1.56962005542982</v>
      </c>
      <c r="N234" s="22" t="n">
        <f aca="false">100*(N100-N99)</f>
        <v>-1.61423458140542</v>
      </c>
      <c r="O234" s="22" t="n">
        <f aca="false">100*(O100-O99)</f>
        <v>-1.62802649268969</v>
      </c>
      <c r="P234" s="22" t="n">
        <f aca="false">100*(P100-P99)</f>
        <v>-1.6171092603563</v>
      </c>
      <c r="Q234" s="22" t="n">
        <f aca="false">100*(Q100-Q99)</f>
        <v>-1.58678674855306</v>
      </c>
      <c r="R234" s="22" t="n">
        <f aca="false">100*(R100-R99)</f>
        <v>-1.54140585373832</v>
      </c>
      <c r="S234" s="22" t="n">
        <f aca="false">100*(S100-S99)</f>
        <v>-1.48458324334997</v>
      </c>
      <c r="T234" s="22" t="n">
        <f aca="false">100*(T100-T99)</f>
        <v>-1.41935753841391</v>
      </c>
      <c r="U234" s="22" t="n">
        <f aca="false">100*(U100-U99)</f>
        <v>-1.34826834642459</v>
      </c>
      <c r="V234" s="22" t="n">
        <f aca="false">100*(V100-V99)</f>
        <v>-1.27364772627749</v>
      </c>
      <c r="W234" s="22" t="n">
        <f aca="false">100*(W100-W99)</f>
        <v>-1.197674330724</v>
      </c>
      <c r="X234" s="22" t="n">
        <f aca="false">100*(X100-X99)</f>
        <v>-1.1223726268617</v>
      </c>
      <c r="Y234" s="22" t="n">
        <f aca="false">100*(Y100-Y99)</f>
        <v>-1.04949301007347</v>
      </c>
      <c r="Z234" s="22" t="n">
        <f aca="false">100*(Z100-Z99)</f>
        <v>-0.980585122080457</v>
      </c>
      <c r="AA234" s="22" t="n">
        <f aca="false">100*(AA100-AA99)</f>
        <v>-0.916928054176092</v>
      </c>
      <c r="AB234" s="22" t="n">
        <f aca="false">100*(AB100-AB99)</f>
        <v>-0.859543912985572</v>
      </c>
      <c r="AC234" s="22" t="n">
        <f aca="false">100*(AC100-AC99)</f>
        <v>-0.809304502742414</v>
      </c>
      <c r="AD234" s="22" t="n">
        <f aca="false">100*(AD100-AD99)</f>
        <v>-0.766961226818941</v>
      </c>
      <c r="AE234" s="22" t="n">
        <f aca="false">100*(AE100-AE99)</f>
        <v>-0.733163899861911</v>
      </c>
      <c r="AF234" s="22" t="n">
        <f aca="false">100*(AF100-AF99)</f>
        <v>-0.708477718889977</v>
      </c>
      <c r="AG234" s="22" t="n">
        <f aca="false">100*(AG100-AG99)</f>
        <v>-0.693459661309204</v>
      </c>
      <c r="AH234" s="22" t="n">
        <f aca="false">100*(AH100-AH99)</f>
        <v>-0.688694970384285</v>
      </c>
      <c r="AI234" s="22" t="n">
        <f aca="false">100*(AI100-AI99)</f>
        <v>-0.694729158129936</v>
      </c>
      <c r="AJ234" s="22" t="n">
        <f aca="false">100*(AJ100-AJ99)</f>
        <v>-0.712056534753991</v>
      </c>
      <c r="AK234" s="22" t="n">
        <f aca="false">100*(AK100-AK99)</f>
        <v>-0.741116777870943</v>
      </c>
      <c r="AL234" s="22" t="n">
        <f aca="false">100*(AL100-AL99)</f>
        <v>-0.782260557798598</v>
      </c>
      <c r="AM234" s="22" t="n">
        <f aca="false">100*(AM100-AM99)</f>
        <v>-0.835717917303525</v>
      </c>
      <c r="AN234" s="22" t="n">
        <f aca="false">100*(AN100-AN99)</f>
        <v>-0.90156522252709</v>
      </c>
      <c r="AO234" s="22" t="n">
        <f aca="false">100*(AO100-AO99)</f>
        <v>-0.979715151771465</v>
      </c>
      <c r="AP234" s="22" t="n">
        <f aca="false">100*(AP100-AP99)</f>
        <v>-1.06987129590799</v>
      </c>
      <c r="AQ234" s="22" t="n">
        <f aca="false">100*(AQ100-AQ99)</f>
        <v>-1.17152200548469</v>
      </c>
      <c r="AR234" s="22" t="n">
        <f aca="false">100*(AR100-AR99)</f>
        <v>-1.28393407072189</v>
      </c>
      <c r="AS234" s="22" t="n">
        <f aca="false">100*(AS100-AS99)</f>
        <v>-1.406157667145</v>
      </c>
      <c r="AT234" s="22" t="n">
        <f aca="false">100*(AT100-AT99)</f>
        <v>-1.53706231660919</v>
      </c>
      <c r="AU234" s="22" t="n">
        <f aca="false">100*(AU100-AU99)</f>
        <v>-1.67536679326097</v>
      </c>
      <c r="AV234" s="22" t="n">
        <f aca="false">100*(AV100-AV99)</f>
        <v>-1.81968312132921</v>
      </c>
      <c r="AW234" s="22" t="n">
        <f aca="false">100*(AW100-AW99)</f>
        <v>-1.96855295066598</v>
      </c>
      <c r="AX234" s="22" t="n">
        <f aca="false">100*(AX100-AX99)</f>
        <v>-2.12049122074989</v>
      </c>
      <c r="AY234" s="22" t="n">
        <f aca="false">100*(AY100-AY99)</f>
        <v>-2.27406470797309</v>
      </c>
      <c r="AZ234" s="22" t="n">
        <f aca="false">100*(AZ100-AZ99)</f>
        <v>-2.42792715855771</v>
      </c>
      <c r="BA234" s="22" t="n">
        <f aca="false">100*(BA100-BA99)</f>
        <v>-2.58082164943931</v>
      </c>
      <c r="BB234" s="22" t="n">
        <f aca="false">100*(BB100-BB99)</f>
        <v>-2.73162836694087</v>
      </c>
      <c r="BC234" s="22" t="n">
        <f aca="false">100*(BC100-BC99)</f>
        <v>-2.87939154574071</v>
      </c>
      <c r="BD234" s="22" t="n">
        <f aca="false">100*(BD100-BD99)</f>
        <v>-3.0233174614557</v>
      </c>
      <c r="BE234" s="22" t="n">
        <f aca="false">100*(BE100-BE99)</f>
        <v>-3.16276946575722</v>
      </c>
      <c r="BF234" s="22" t="n">
        <f aca="false">100*(BF100-BF99)</f>
        <v>-3.29726487090531</v>
      </c>
      <c r="BG234" s="22" t="n">
        <f aca="false">100*(BG100-BG99)</f>
        <v>-3.42647436573289</v>
      </c>
      <c r="BH234" s="22" t="n">
        <f aca="false">AVERAGE(C234:BG234)</f>
        <v>-1.27246061319062</v>
      </c>
    </row>
    <row r="235" customFormat="false" ht="15" hidden="false" customHeight="false" outlineLevel="0" collapsed="false">
      <c r="A235" s="20" t="n">
        <f aca="false">A101</f>
        <v>-24</v>
      </c>
      <c r="B235" s="21" t="n">
        <f aca="false">B101</f>
        <v>44803</v>
      </c>
      <c r="C235" s="22" t="n">
        <f aca="false">100*(C101-C100)</f>
        <v>12.2120257092851</v>
      </c>
      <c r="D235" s="22" t="n">
        <f aca="false">100*(D101-D100)</f>
        <v>11.8432126589061</v>
      </c>
      <c r="E235" s="22" t="n">
        <f aca="false">100*(E101-E100)</f>
        <v>11.6711431973875</v>
      </c>
      <c r="F235" s="22" t="n">
        <f aca="false">100*(F101-F100)</f>
        <v>11.6203706045623</v>
      </c>
      <c r="G235" s="22" t="n">
        <f aca="false">100*(G101-G100)</f>
        <v>11.6397158084555</v>
      </c>
      <c r="H235" s="22" t="n">
        <f aca="false">100*(H101-H100)</f>
        <v>11.698010369127</v>
      </c>
      <c r="I235" s="22" t="n">
        <f aca="false">100*(I101-I100)</f>
        <v>11.7761410111539</v>
      </c>
      <c r="J235" s="22" t="n">
        <f aca="false">100*(J101-J100)</f>
        <v>11.8622750959156</v>
      </c>
      <c r="K235" s="22" t="n">
        <f aca="false">100*(K101-K100)</f>
        <v>11.9492670092979</v>
      </c>
      <c r="L235" s="22" t="n">
        <f aca="false">100*(L101-L100)</f>
        <v>12.0330399401713</v>
      </c>
      <c r="M235" s="22" t="n">
        <f aca="false">100*(M101-M100)</f>
        <v>12.1118430761563</v>
      </c>
      <c r="N235" s="22" t="n">
        <f aca="false">100*(N101-N100)</f>
        <v>12.185418107895</v>
      </c>
      <c r="O235" s="22" t="n">
        <f aca="false">100*(O101-O100)</f>
        <v>12.2543026850505</v>
      </c>
      <c r="P235" s="22" t="n">
        <f aca="false">100*(P101-P100)</f>
        <v>12.3194453570028</v>
      </c>
      <c r="Q235" s="22" t="n">
        <f aca="false">100*(Q101-Q100)</f>
        <v>12.3819660176937</v>
      </c>
      <c r="R235" s="22" t="n">
        <f aca="false">100*(R101-R100)</f>
        <v>12.4429538745493</v>
      </c>
      <c r="S235" s="22" t="n">
        <f aca="false">100*(S101-S100)</f>
        <v>12.5033816947944</v>
      </c>
      <c r="T235" s="22" t="n">
        <f aca="false">100*(T101-T100)</f>
        <v>12.5640625718925</v>
      </c>
      <c r="U235" s="22" t="n">
        <f aca="false">100*(U101-U100)</f>
        <v>12.625577717771</v>
      </c>
      <c r="V235" s="22" t="n">
        <f aca="false">100*(V101-V100)</f>
        <v>12.6882374002103</v>
      </c>
      <c r="W235" s="22" t="n">
        <f aca="false">100*(W101-W100)</f>
        <v>12.7521341279464</v>
      </c>
      <c r="X235" s="22" t="n">
        <f aca="false">100*(X101-X100)</f>
        <v>12.8171898816067</v>
      </c>
      <c r="Y235" s="22" t="n">
        <f aca="false">100*(Y101-Y100)</f>
        <v>12.8831692148058</v>
      </c>
      <c r="Z235" s="22" t="n">
        <f aca="false">100*(Z101-Z100)</f>
        <v>12.9496344254856</v>
      </c>
      <c r="AA235" s="22" t="n">
        <f aca="false">100*(AA101-AA100)</f>
        <v>13.015970611861</v>
      </c>
      <c r="AB235" s="22" t="n">
        <f aca="false">100*(AB101-AB100)</f>
        <v>13.081509711889</v>
      </c>
      <c r="AC235" s="22" t="n">
        <f aca="false">100*(AC101-AC100)</f>
        <v>13.1456470247672</v>
      </c>
      <c r="AD235" s="22" t="n">
        <f aca="false">100*(AD101-AD100)</f>
        <v>13.2078425099989</v>
      </c>
      <c r="AE235" s="22" t="n">
        <f aca="false">100*(AE101-AE100)</f>
        <v>13.2676106843765</v>
      </c>
      <c r="AF235" s="22" t="n">
        <f aca="false">100*(AF101-AF100)</f>
        <v>13.3245126829856</v>
      </c>
      <c r="AG235" s="22" t="n">
        <f aca="false">100*(AG101-AG100)</f>
        <v>13.3781900337876</v>
      </c>
      <c r="AH235" s="22" t="n">
        <f aca="false">100*(AH101-AH100)</f>
        <v>13.4284343747062</v>
      </c>
      <c r="AI235" s="22" t="n">
        <f aca="false">100*(AI101-AI100)</f>
        <v>13.475120858955</v>
      </c>
      <c r="AJ235" s="22" t="n">
        <f aca="false">100*(AJ101-AJ100)</f>
        <v>13.5181631578115</v>
      </c>
      <c r="AK235" s="22" t="n">
        <f aca="false">100*(AK101-AK100)</f>
        <v>13.5574954286088</v>
      </c>
      <c r="AL235" s="22" t="n">
        <f aca="false">100*(AL101-AL100)</f>
        <v>13.5930375626208</v>
      </c>
      <c r="AM235" s="22" t="n">
        <f aca="false">100*(AM101-AM100)</f>
        <v>13.6246831118084</v>
      </c>
      <c r="AN235" s="22" t="n">
        <f aca="false">100*(AN101-AN100)</f>
        <v>13.6522969944241</v>
      </c>
      <c r="AO235" s="22" t="n">
        <f aca="false">100*(AO101-AO100)</f>
        <v>13.6757173121042</v>
      </c>
      <c r="AP235" s="22" t="n">
        <f aca="false">100*(AP101-AP100)</f>
        <v>13.6947562163494</v>
      </c>
      <c r="AQ235" s="22" t="n">
        <f aca="false">100*(AQ101-AQ100)</f>
        <v>13.7092023103795</v>
      </c>
      <c r="AR235" s="22" t="n">
        <f aca="false">100*(AR101-AR100)</f>
        <v>13.7188257541906</v>
      </c>
      <c r="AS235" s="22" t="n">
        <f aca="false">100*(AS101-AS100)</f>
        <v>13.723383224914</v>
      </c>
      <c r="AT235" s="22" t="n">
        <f aca="false">100*(AT101-AT100)</f>
        <v>13.722627561542</v>
      </c>
      <c r="AU235" s="22" t="n">
        <f aca="false">100*(AU101-AU100)</f>
        <v>13.7163161615353</v>
      </c>
      <c r="AV235" s="22" t="n">
        <f aca="false">100*(AV101-AV100)</f>
        <v>13.7042255358527</v>
      </c>
      <c r="AW235" s="22" t="n">
        <f aca="false">100*(AW101-AW100)</f>
        <v>13.6861621255999</v>
      </c>
      <c r="AX235" s="22" t="n">
        <f aca="false">100*(AX101-AX100)</f>
        <v>13.6619667803341</v>
      </c>
      <c r="AY235" s="22" t="n">
        <f aca="false">100*(AY101-AY100)</f>
        <v>13.6315331416903</v>
      </c>
      <c r="AZ235" s="22" t="n">
        <f aca="false">100*(AZ101-AZ100)</f>
        <v>13.5948173481185</v>
      </c>
      <c r="BA235" s="22" t="n">
        <f aca="false">100*(BA101-BA100)</f>
        <v>13.5518352144717</v>
      </c>
      <c r="BB235" s="22" t="n">
        <f aca="false">100*(BB101-BB100)</f>
        <v>13.5026726099028</v>
      </c>
      <c r="BC235" s="22" t="n">
        <f aca="false">100*(BC101-BC100)</f>
        <v>13.4474920194798</v>
      </c>
      <c r="BD235" s="22" t="n">
        <f aca="false">100*(BD101-BD100)</f>
        <v>13.3865311225999</v>
      </c>
      <c r="BE235" s="22" t="n">
        <f aca="false">100*(BE101-BE100)</f>
        <v>13.3200971664238</v>
      </c>
      <c r="BF235" s="22" t="n">
        <f aca="false">100*(BF101-BF100)</f>
        <v>13.2485600730563</v>
      </c>
      <c r="BG235" s="22" t="n">
        <f aca="false">100*(BG101-BG100)</f>
        <v>13.1723509456286</v>
      </c>
      <c r="BH235" s="22" t="n">
        <f aca="false">AVERAGE(C235:BG235)</f>
        <v>12.9635807882438</v>
      </c>
    </row>
    <row r="236" customFormat="false" ht="15" hidden="false" customHeight="false" outlineLevel="0" collapsed="false">
      <c r="A236" s="20" t="n">
        <f aca="false">A102</f>
        <v>-23</v>
      </c>
      <c r="B236" s="21" t="n">
        <f aca="false">B102</f>
        <v>44804</v>
      </c>
      <c r="C236" s="22" t="n">
        <f aca="false">100*(C102-C101)</f>
        <v>9.06175610285849</v>
      </c>
      <c r="D236" s="22" t="n">
        <f aca="false">100*(D102-D101)</f>
        <v>8.62086407839842</v>
      </c>
      <c r="E236" s="22" t="n">
        <f aca="false">100*(E102-E101)</f>
        <v>8.37695840445178</v>
      </c>
      <c r="F236" s="22" t="n">
        <f aca="false">100*(F102-F101)</f>
        <v>8.26492488546391</v>
      </c>
      <c r="G236" s="22" t="n">
        <f aca="false">100*(G102-G101)</f>
        <v>8.2378795314443</v>
      </c>
      <c r="H236" s="22" t="n">
        <f aca="false">100*(H102-H101)</f>
        <v>8.26376685253649</v>
      </c>
      <c r="I236" s="22" t="n">
        <f aca="false">100*(I102-I101)</f>
        <v>8.320997693846</v>
      </c>
      <c r="J236" s="22" t="n">
        <f aca="false">100*(J102-J101)</f>
        <v>8.39561716460868</v>
      </c>
      <c r="K236" s="22" t="n">
        <f aca="false">100*(K102-K101)</f>
        <v>8.47910473089022</v>
      </c>
      <c r="L236" s="22" t="n">
        <f aca="false">100*(L102-L101)</f>
        <v>8.56633339730792</v>
      </c>
      <c r="M236" s="22" t="n">
        <f aca="false">100*(M102-M101)</f>
        <v>8.65436202659371</v>
      </c>
      <c r="N236" s="22" t="n">
        <f aca="false">100*(N102-N101)</f>
        <v>8.74143279092321</v>
      </c>
      <c r="O236" s="22" t="n">
        <f aca="false">100*(O102-O101)</f>
        <v>8.82629127828403</v>
      </c>
      <c r="P236" s="22" t="n">
        <f aca="false">100*(P102-P101)</f>
        <v>8.90784004408367</v>
      </c>
      <c r="Q236" s="22" t="n">
        <f aca="false">100*(Q102-Q101)</f>
        <v>8.98495809092141</v>
      </c>
      <c r="R236" s="22" t="n">
        <f aca="false">100*(R102-R101)</f>
        <v>9.05639634418809</v>
      </c>
      <c r="S236" s="22" t="n">
        <f aca="false">100*(S102-S101)</f>
        <v>9.12083198292621</v>
      </c>
      <c r="T236" s="22" t="n">
        <f aca="false">100*(T102-T101)</f>
        <v>9.1767909080001</v>
      </c>
      <c r="U236" s="22" t="n">
        <f aca="false">100*(U102-U101)</f>
        <v>9.2230612398148</v>
      </c>
      <c r="V236" s="22" t="n">
        <f aca="false">100*(V102-V101)</f>
        <v>9.25878966917861</v>
      </c>
      <c r="W236" s="22" t="n">
        <f aca="false">100*(W102-W101)</f>
        <v>9.28340773905978</v>
      </c>
      <c r="X236" s="22" t="n">
        <f aca="false">100*(X102-X101)</f>
        <v>9.29659686460407</v>
      </c>
      <c r="Y236" s="22" t="n">
        <f aca="false">100*(Y102-Y101)</f>
        <v>9.29844447720001</v>
      </c>
      <c r="Z236" s="22" t="n">
        <f aca="false">100*(Z102-Z101)</f>
        <v>9.28952312177018</v>
      </c>
      <c r="AA236" s="22" t="n">
        <f aca="false">100*(AA102-AA101)</f>
        <v>9.27071877501127</v>
      </c>
      <c r="AB236" s="22" t="n">
        <f aca="false">100*(AB102-AB101)</f>
        <v>9.24307738238439</v>
      </c>
      <c r="AC236" s="22" t="n">
        <f aca="false">100*(AC102-AC101)</f>
        <v>9.20773792116161</v>
      </c>
      <c r="AD236" s="22" t="n">
        <f aca="false">100*(AD102-AD101)</f>
        <v>9.16591401553828</v>
      </c>
      <c r="AE236" s="22" t="n">
        <f aca="false">100*(AE102-AE101)</f>
        <v>9.11888227308317</v>
      </c>
      <c r="AF236" s="22" t="n">
        <f aca="false">100*(AF102-AF101)</f>
        <v>9.06797191004238</v>
      </c>
      <c r="AG236" s="22" t="n">
        <f aca="false">100*(AG102-AG101)</f>
        <v>9.01451371884532</v>
      </c>
      <c r="AH236" s="22" t="n">
        <f aca="false">100*(AH102-AH101)</f>
        <v>8.95978642639048</v>
      </c>
      <c r="AI236" s="22" t="n">
        <f aca="false">100*(AI102-AI101)</f>
        <v>8.90502328382961</v>
      </c>
      <c r="AJ236" s="22" t="n">
        <f aca="false">100*(AJ102-AJ101)</f>
        <v>8.85139084679922</v>
      </c>
      <c r="AK236" s="22" t="n">
        <f aca="false">100*(AK102-AK101)</f>
        <v>8.79998550569403</v>
      </c>
      <c r="AL236" s="22" t="n">
        <f aca="false">100*(AL102-AL101)</f>
        <v>8.75181368690141</v>
      </c>
      <c r="AM236" s="22" t="n">
        <f aca="false">100*(AM102-AM101)</f>
        <v>8.70777427725682</v>
      </c>
      <c r="AN236" s="22" t="n">
        <f aca="false">100*(AN102-AN101)</f>
        <v>8.66863442677159</v>
      </c>
      <c r="AO236" s="22" t="n">
        <f aca="false">100*(AO102-AO101)</f>
        <v>8.6350229411015</v>
      </c>
      <c r="AP236" s="22" t="n">
        <f aca="false">100*(AP102-AP101)</f>
        <v>8.60739502655536</v>
      </c>
      <c r="AQ236" s="22" t="n">
        <f aca="false">100*(AQ102-AQ101)</f>
        <v>8.58602827359571</v>
      </c>
      <c r="AR236" s="22" t="n">
        <f aca="false">100*(AR102-AR101)</f>
        <v>8.571013578955</v>
      </c>
      <c r="AS236" s="22" t="n">
        <f aca="false">100*(AS102-AS101)</f>
        <v>8.56225666625852</v>
      </c>
      <c r="AT236" s="22" t="n">
        <f aca="false">100*(AT102-AT101)</f>
        <v>8.55949409031771</v>
      </c>
      <c r="AU236" s="22" t="n">
        <f aca="false">100*(AU102-AU101)</f>
        <v>8.56231109860288</v>
      </c>
      <c r="AV236" s="22" t="n">
        <f aca="false">100*(AV102-AV101)</f>
        <v>8.57016853409793</v>
      </c>
      <c r="AW236" s="22" t="n">
        <f aca="false">100*(AW102-AW101)</f>
        <v>8.58242679436989</v>
      </c>
      <c r="AX236" s="22" t="n">
        <f aca="false">100*(AX102-AX101)</f>
        <v>8.59837004650093</v>
      </c>
      <c r="AY236" s="22" t="n">
        <f aca="false">100*(AY102-AY101)</f>
        <v>8.61725206239279</v>
      </c>
      <c r="AZ236" s="22" t="n">
        <f aca="false">100*(AZ102-AZ101)</f>
        <v>8.63832322018152</v>
      </c>
      <c r="BA236" s="22" t="n">
        <f aca="false">100*(BA102-BA101)</f>
        <v>8.6608360362979</v>
      </c>
      <c r="BB236" s="22" t="n">
        <f aca="false">100*(BB102-BB101)</f>
        <v>8.68407233315121</v>
      </c>
      <c r="BC236" s="22" t="n">
        <f aca="false">100*(BC102-BC101)</f>
        <v>8.70736282417948</v>
      </c>
      <c r="BD236" s="22" t="n">
        <f aca="false">100*(BD102-BD101)</f>
        <v>8.7300954723244</v>
      </c>
      <c r="BE236" s="22" t="n">
        <f aca="false">100*(BE102-BE101)</f>
        <v>8.75172155488886</v>
      </c>
      <c r="BF236" s="22" t="n">
        <f aca="false">100*(BF102-BF101)</f>
        <v>8.77176545015619</v>
      </c>
      <c r="BG236" s="22" t="n">
        <f aca="false">100*(BG102-BG101)</f>
        <v>8.78983053801168</v>
      </c>
      <c r="BH236" s="22" t="n">
        <f aca="false">AVERAGE(C236:BG236)</f>
        <v>8.80045439317549</v>
      </c>
    </row>
    <row r="237" customFormat="false" ht="15" hidden="false" customHeight="false" outlineLevel="0" collapsed="false">
      <c r="A237" s="20" t="n">
        <f aca="false">A103</f>
        <v>-22</v>
      </c>
      <c r="B237" s="21" t="n">
        <f aca="false">B103</f>
        <v>44805</v>
      </c>
      <c r="C237" s="22" t="n">
        <f aca="false">100*(C103-C102)</f>
        <v>7.15611086715451</v>
      </c>
      <c r="D237" s="22" t="n">
        <f aca="false">100*(D103-D102)</f>
        <v>6.7049990072392</v>
      </c>
      <c r="E237" s="22" t="n">
        <f aca="false">100*(E103-E102)</f>
        <v>6.5565713421893</v>
      </c>
      <c r="F237" s="22" t="n">
        <f aca="false">100*(F103-F102)</f>
        <v>6.6348813037076</v>
      </c>
      <c r="G237" s="22" t="n">
        <f aca="false">100*(G103-G102)</f>
        <v>6.86547959792478</v>
      </c>
      <c r="H237" s="22" t="n">
        <f aca="false">100*(H103-H102)</f>
        <v>7.18994359167269</v>
      </c>
      <c r="I237" s="22" t="n">
        <f aca="false">100*(I103-I102)</f>
        <v>7.5647234544975</v>
      </c>
      <c r="J237" s="22" t="n">
        <f aca="false">100*(J103-J102)</f>
        <v>7.95860101119761</v>
      </c>
      <c r="K237" s="22" t="n">
        <f aca="false">100*(K103-K102)</f>
        <v>8.34999029262429</v>
      </c>
      <c r="L237" s="22" t="n">
        <f aca="false">100*(L103-L102)</f>
        <v>8.72513184472146</v>
      </c>
      <c r="M237" s="22" t="n">
        <f aca="false">100*(M103-M102)</f>
        <v>9.07608785053102</v>
      </c>
      <c r="N237" s="22" t="n">
        <f aca="false">100*(N103-N102)</f>
        <v>9.39953915831109</v>
      </c>
      <c r="O237" s="22" t="n">
        <f aca="false">100*(O103-O102)</f>
        <v>9.6952332194757</v>
      </c>
      <c r="P237" s="22" t="n">
        <f aca="false">100*(P103-P102)</f>
        <v>9.96501351820931</v>
      </c>
      <c r="Q237" s="22" t="n">
        <f aca="false">100*(Q103-Q102)</f>
        <v>10.2120991520252</v>
      </c>
      <c r="R237" s="22" t="n">
        <f aca="false">100*(R103-R102)</f>
        <v>10.4404149215263</v>
      </c>
      <c r="S237" s="22" t="n">
        <f aca="false">100*(S103-S102)</f>
        <v>10.6540810831412</v>
      </c>
      <c r="T237" s="22" t="n">
        <f aca="false">100*(T103-T102)</f>
        <v>10.8572540588056</v>
      </c>
      <c r="U237" s="22" t="n">
        <f aca="false">100*(U103-U102)</f>
        <v>11.053428867035</v>
      </c>
      <c r="V237" s="22" t="n">
        <f aca="false">100*(V103-V102)</f>
        <v>11.2452181626482</v>
      </c>
      <c r="W237" s="22" t="n">
        <f aca="false">100*(W103-W102)</f>
        <v>11.4345283775933</v>
      </c>
      <c r="X237" s="22" t="n">
        <f aca="false">100*(X103-X102)</f>
        <v>11.6226826715853</v>
      </c>
      <c r="Y237" s="22" t="n">
        <f aca="false">100*(Y103-Y102)</f>
        <v>11.810244954922</v>
      </c>
      <c r="Z237" s="22" t="n">
        <f aca="false">100*(Z103-Z102)</f>
        <v>11.9968251734971</v>
      </c>
      <c r="AA237" s="22" t="n">
        <f aca="false">100*(AA103-AA102)</f>
        <v>12.18138211645</v>
      </c>
      <c r="AB237" s="22" t="n">
        <f aca="false">100*(AB103-AB102)</f>
        <v>12.3626638615834</v>
      </c>
      <c r="AC237" s="22" t="n">
        <f aca="false">100*(AC103-AC102)</f>
        <v>12.5394856641111</v>
      </c>
      <c r="AD237" s="22" t="n">
        <f aca="false">100*(AD103-AD102)</f>
        <v>12.7107429791506</v>
      </c>
      <c r="AE237" s="22" t="n">
        <f aca="false">100*(AE103-AE102)</f>
        <v>12.8753989305782</v>
      </c>
      <c r="AF237" s="22" t="n">
        <f aca="false">100*(AF103-AF102)</f>
        <v>13.0324753638201</v>
      </c>
      <c r="AG237" s="22" t="n">
        <f aca="false">100*(AG103-AG102)</f>
        <v>13.1811495133631</v>
      </c>
      <c r="AH237" s="22" t="n">
        <f aca="false">100*(AH103-AH102)</f>
        <v>13.3209148614379</v>
      </c>
      <c r="AI237" s="22" t="n">
        <f aca="false">100*(AI103-AI102)</f>
        <v>13.4514908815425</v>
      </c>
      <c r="AJ237" s="22" t="n">
        <f aca="false">100*(AJ103-AJ102)</f>
        <v>13.572791244474</v>
      </c>
      <c r="AK237" s="22" t="n">
        <f aca="false">100*(AK103-AK102)</f>
        <v>13.6848933569665</v>
      </c>
      <c r="AL237" s="22" t="n">
        <f aca="false">100*(AL103-AL102)</f>
        <v>13.78799986197</v>
      </c>
      <c r="AM237" s="22" t="n">
        <f aca="false">100*(AM103-AM102)</f>
        <v>13.8824076178409</v>
      </c>
      <c r="AN237" s="22" t="n">
        <f aca="false">100*(AN103-AN102)</f>
        <v>13.9684773547121</v>
      </c>
      <c r="AO237" s="22" t="n">
        <f aca="false">100*(AO103-AO102)</f>
        <v>14.0466206478404</v>
      </c>
      <c r="AP237" s="22" t="n">
        <f aca="false">100*(AP103-AP102)</f>
        <v>14.1172881408761</v>
      </c>
      <c r="AQ237" s="22" t="n">
        <f aca="false">100*(AQ103-AQ102)</f>
        <v>14.1809628226106</v>
      </c>
      <c r="AR237" s="22" t="n">
        <f aca="false">100*(AR103-AR102)</f>
        <v>14.2381550035962</v>
      </c>
      <c r="AS237" s="22" t="n">
        <f aca="false">100*(AS103-AS102)</f>
        <v>14.2893963018442</v>
      </c>
      <c r="AT237" s="22" t="n">
        <f aca="false">100*(AT103-AT102)</f>
        <v>14.3352215718247</v>
      </c>
      <c r="AU237" s="22" t="n">
        <f aca="false">100*(AU103-AU102)</f>
        <v>14.3761568950693</v>
      </c>
      <c r="AV237" s="22" t="n">
        <f aca="false">100*(AV103-AV102)</f>
        <v>14.4127062501833</v>
      </c>
      <c r="AW237" s="22" t="n">
        <f aca="false">100*(AW103-AW102)</f>
        <v>14.4453428226879</v>
      </c>
      <c r="AX237" s="22" t="n">
        <f aca="false">100*(AX103-AX102)</f>
        <v>14.4745043708999</v>
      </c>
      <c r="AY237" s="22" t="n">
        <f aca="false">100*(AY103-AY102)</f>
        <v>14.5005841912289</v>
      </c>
      <c r="AZ237" s="22" t="n">
        <f aca="false">100*(AZ103-AZ102)</f>
        <v>14.5239296021975</v>
      </c>
      <c r="BA237" s="22" t="n">
        <f aca="false">100*(BA103-BA102)</f>
        <v>14.5448440578283</v>
      </c>
      <c r="BB237" s="22" t="n">
        <f aca="false">100*(BB103-BB102)</f>
        <v>14.5635794617999</v>
      </c>
      <c r="BC237" s="22" t="n">
        <f aca="false">100*(BC103-BC102)</f>
        <v>14.5803307775195</v>
      </c>
      <c r="BD237" s="22" t="n">
        <f aca="false">100*(BD103-BD102)</f>
        <v>14.5952306076303</v>
      </c>
      <c r="BE237" s="22" t="n">
        <f aca="false">100*(BE103-BE102)</f>
        <v>14.6083465963844</v>
      </c>
      <c r="BF237" s="22" t="n">
        <f aca="false">100*(BF103-BF102)</f>
        <v>14.6196781385092</v>
      </c>
      <c r="BG237" s="22" t="n">
        <f aca="false">100*(BG103-BG102)</f>
        <v>14.6291553499258</v>
      </c>
      <c r="BH237" s="22" t="n">
        <f aca="false">AVERAGE(C237:BG237)</f>
        <v>11.961462994749</v>
      </c>
    </row>
    <row r="238" customFormat="false" ht="15" hidden="false" customHeight="false" outlineLevel="0" collapsed="false">
      <c r="A238" s="20" t="n">
        <f aca="false">A104</f>
        <v>-21</v>
      </c>
      <c r="B238" s="21" t="n">
        <f aca="false">B104</f>
        <v>44806</v>
      </c>
      <c r="C238" s="22" t="n">
        <f aca="false">100*(C104-C103)</f>
        <v>-1.74909765295159</v>
      </c>
      <c r="D238" s="22" t="n">
        <f aca="false">100*(D104-D103)</f>
        <v>-1.7949451028779</v>
      </c>
      <c r="E238" s="22" t="n">
        <f aca="false">100*(E104-E103)</f>
        <v>-1.80721925247789</v>
      </c>
      <c r="F238" s="22" t="n">
        <f aca="false">100*(F104-F103)</f>
        <v>-1.80262050271511</v>
      </c>
      <c r="G238" s="22" t="n">
        <f aca="false">100*(G104-G103)</f>
        <v>-1.78602865860249</v>
      </c>
      <c r="H238" s="22" t="n">
        <f aca="false">100*(H104-H103)</f>
        <v>-1.7596611834187</v>
      </c>
      <c r="I238" s="22" t="n">
        <f aca="false">100*(I104-I103)</f>
        <v>-1.72525946063158</v>
      </c>
      <c r="J238" s="22" t="n">
        <f aca="false">100*(J104-J103)</f>
        <v>-1.68409779803569</v>
      </c>
      <c r="K238" s="22" t="n">
        <f aca="false">100*(K104-K103)</f>
        <v>-1.63701135662357</v>
      </c>
      <c r="L238" s="22" t="n">
        <f aca="false">100*(L104-L103)</f>
        <v>-1.58430424745926</v>
      </c>
      <c r="M238" s="22" t="n">
        <f aca="false">100*(M104-M103)</f>
        <v>-1.52625376292641</v>
      </c>
      <c r="N238" s="22" t="n">
        <f aca="false">100*(N104-N103)</f>
        <v>-1.46266231237719</v>
      </c>
      <c r="O238" s="22" t="n">
        <f aca="false">100*(O104-O103)</f>
        <v>-1.39326081726381</v>
      </c>
      <c r="P238" s="22" t="n">
        <f aca="false">100*(P104-P103)</f>
        <v>-1.31765680514979</v>
      </c>
      <c r="Q238" s="22" t="n">
        <f aca="false">100*(Q104-Q103)</f>
        <v>-1.23543867184241</v>
      </c>
      <c r="R238" s="22" t="n">
        <f aca="false">100*(R104-R103)</f>
        <v>-1.14627468900741</v>
      </c>
      <c r="S238" s="22" t="n">
        <f aca="false">100*(S104-S103)</f>
        <v>-1.04995827356751</v>
      </c>
      <c r="T238" s="22" t="n">
        <f aca="false">100*(T104-T103)</f>
        <v>-0.946469923714499</v>
      </c>
      <c r="U238" s="22" t="n">
        <f aca="false">100*(U104-U103)</f>
        <v>-0.835920897808107</v>
      </c>
      <c r="V238" s="22" t="n">
        <f aca="false">100*(V104-V103)</f>
        <v>-0.718632479869719</v>
      </c>
      <c r="W238" s="22" t="n">
        <f aca="false">100*(W104-W103)</f>
        <v>-0.595098227788116</v>
      </c>
      <c r="X238" s="22" t="n">
        <f aca="false">100*(X104-X103)</f>
        <v>-0.465924961785014</v>
      </c>
      <c r="Y238" s="22" t="n">
        <f aca="false">100*(Y104-Y103)</f>
        <v>-0.331714822413032</v>
      </c>
      <c r="Z238" s="22" t="n">
        <f aca="false">100*(Z104-Z103)</f>
        <v>-0.193103670084094</v>
      </c>
      <c r="AA238" s="22" t="n">
        <f aca="false">100*(AA104-AA103)</f>
        <v>-0.0507219884325227</v>
      </c>
      <c r="AB238" s="22" t="n">
        <f aca="false">100*(AB104-AB103)</f>
        <v>0.0948388382159937</v>
      </c>
      <c r="AC238" s="22" t="n">
        <f aca="false">100*(AC104-AC103)</f>
        <v>0.243021063322724</v>
      </c>
      <c r="AD238" s="22" t="n">
        <f aca="false">100*(AD104-AD103)</f>
        <v>0.393295145299888</v>
      </c>
      <c r="AE238" s="22" t="n">
        <f aca="false">100*(AE104-AE103)</f>
        <v>0.54515534049151</v>
      </c>
      <c r="AF238" s="22" t="n">
        <f aca="false">100*(AF104-AF103)</f>
        <v>0.698114867001598</v>
      </c>
      <c r="AG238" s="22" t="n">
        <f aca="false">100*(AG104-AG103)</f>
        <v>0.851668351215906</v>
      </c>
      <c r="AH238" s="22" t="n">
        <f aca="false">100*(AH104-AH103)</f>
        <v>1.00530662107841</v>
      </c>
      <c r="AI238" s="22" t="n">
        <f aca="false">100*(AI104-AI103)</f>
        <v>1.15856126589331</v>
      </c>
      <c r="AJ238" s="22" t="n">
        <f aca="false">100*(AJ104-AJ103)</f>
        <v>1.31100098699357</v>
      </c>
      <c r="AK238" s="22" t="n">
        <f aca="false">100*(AK104-AK103)</f>
        <v>1.46222476687301</v>
      </c>
      <c r="AL238" s="22" t="n">
        <f aca="false">100*(AL104-AL103)</f>
        <v>1.6118607178631</v>
      </c>
      <c r="AM238" s="22" t="n">
        <f aca="false">100*(AM104-AM103)</f>
        <v>1.75956500440368</v>
      </c>
      <c r="AN238" s="22" t="n">
        <f aca="false">100*(AN104-AN103)</f>
        <v>1.90501746347072</v>
      </c>
      <c r="AO238" s="22" t="n">
        <f aca="false">100*(AO104-AO103)</f>
        <v>2.04792814273937</v>
      </c>
      <c r="AP238" s="22" t="n">
        <f aca="false">100*(AP104-AP103)</f>
        <v>2.1880643280598</v>
      </c>
      <c r="AQ238" s="22" t="n">
        <f aca="false">100*(AQ104-AQ103)</f>
        <v>2.32525917984519</v>
      </c>
      <c r="AR238" s="22" t="n">
        <f aca="false">100*(AR104-AR103)</f>
        <v>2.45942816466629</v>
      </c>
      <c r="AS238" s="22" t="n">
        <f aca="false">100*(AS104-AS103)</f>
        <v>2.5905732331307</v>
      </c>
      <c r="AT238" s="22" t="n">
        <f aca="false">100*(AT104-AT103)</f>
        <v>2.7187609953458</v>
      </c>
      <c r="AU238" s="22" t="n">
        <f aca="false">100*(AU104-AU103)</f>
        <v>2.84410829877539</v>
      </c>
      <c r="AV238" s="22" t="n">
        <f aca="false">100*(AV104-AV103)</f>
        <v>2.9667687484602</v>
      </c>
      <c r="AW238" s="22" t="n">
        <f aca="false">100*(AW104-AW103)</f>
        <v>3.08692318287891</v>
      </c>
      <c r="AX238" s="22" t="n">
        <f aca="false">100*(AX104-AX103)</f>
        <v>3.20476638489038</v>
      </c>
      <c r="AY238" s="22" t="n">
        <f aca="false">100*(AY104-AY103)</f>
        <v>3.32048680321559</v>
      </c>
      <c r="AZ238" s="22" t="n">
        <f aca="false">100*(AZ104-AZ103)</f>
        <v>3.43426019847408</v>
      </c>
      <c r="BA238" s="22" t="n">
        <f aca="false">100*(BA104-BA103)</f>
        <v>3.54624746794321</v>
      </c>
      <c r="BB238" s="22" t="n">
        <f aca="false">100*(BB104-BB103)</f>
        <v>3.65657901230998</v>
      </c>
      <c r="BC238" s="22" t="n">
        <f aca="false">100*(BC104-BC103)</f>
        <v>3.76534366079202</v>
      </c>
      <c r="BD238" s="22" t="n">
        <f aca="false">100*(BD104-BD103)</f>
        <v>3.87257574855249</v>
      </c>
      <c r="BE238" s="22" t="n">
        <f aca="false">100*(BE104-BE103)</f>
        <v>3.97824760035048</v>
      </c>
      <c r="BF238" s="22" t="n">
        <f aca="false">100*(BF104-BF103)</f>
        <v>4.08226236000773</v>
      </c>
      <c r="BG238" s="22" t="n">
        <f aca="false">100*(BG104-BG103)</f>
        <v>4.18444936199678</v>
      </c>
      <c r="BH238" s="22" t="n">
        <f aca="false">AVERAGE(C238:BG238)</f>
        <v>0.749356592714639</v>
      </c>
    </row>
    <row r="239" customFormat="false" ht="15" hidden="false" customHeight="false" outlineLevel="0" collapsed="false">
      <c r="A239" s="20" t="n">
        <f aca="false">A105</f>
        <v>-20</v>
      </c>
      <c r="B239" s="21" t="n">
        <f aca="false">B105</f>
        <v>44809</v>
      </c>
      <c r="C239" s="22" t="n">
        <f aca="false">100*(C105-C104)</f>
        <v>9.1386261352131</v>
      </c>
      <c r="D239" s="22" t="n">
        <f aca="false">100*(D105-D104)</f>
        <v>8.86698329717248</v>
      </c>
      <c r="E239" s="22" t="n">
        <f aca="false">100*(E105-E104)</f>
        <v>8.48472584043738</v>
      </c>
      <c r="F239" s="22" t="n">
        <f aca="false">100*(F105-F104)</f>
        <v>8.02845549871272</v>
      </c>
      <c r="G239" s="22" t="n">
        <f aca="false">100*(G105-G104)</f>
        <v>7.52677850829069</v>
      </c>
      <c r="H239" s="22" t="n">
        <f aca="false">100*(H105-H104)</f>
        <v>6.9993508692733</v>
      </c>
      <c r="I239" s="22" t="n">
        <f aca="false">100*(I105-I104)</f>
        <v>6.4598265206044</v>
      </c>
      <c r="J239" s="22" t="n">
        <f aca="false">100*(J105-J104)</f>
        <v>5.91717214606646</v>
      </c>
      <c r="K239" s="22" t="n">
        <f aca="false">100*(K105-K104)</f>
        <v>5.37699954063808</v>
      </c>
      <c r="L239" s="22" t="n">
        <f aca="false">100*(L105-L104)</f>
        <v>4.84230592450077</v>
      </c>
      <c r="M239" s="22" t="n">
        <f aca="false">100*(M105-M104)</f>
        <v>4.31392215465061</v>
      </c>
      <c r="N239" s="22" t="n">
        <f aca="false">100*(N105-N104)</f>
        <v>3.79112965058659</v>
      </c>
      <c r="O239" s="22" t="n">
        <f aca="false">100*(O105-O104)</f>
        <v>3.27212671827719</v>
      </c>
      <c r="P239" s="22" t="n">
        <f aca="false">100*(P105-P104)</f>
        <v>2.75460000079231</v>
      </c>
      <c r="Q239" s="22" t="n">
        <f aca="false">100*(Q105-Q104)</f>
        <v>2.2361036012347</v>
      </c>
      <c r="R239" s="22" t="n">
        <f aca="false">100*(R105-R104)</f>
        <v>1.71458327047249</v>
      </c>
      <c r="S239" s="22" t="n">
        <f aca="false">100*(S105-S104)</f>
        <v>1.18888719406911</v>
      </c>
      <c r="T239" s="22" t="n">
        <f aca="false">100*(T105-T104)</f>
        <v>0.658935823501583</v>
      </c>
      <c r="U239" s="22" t="n">
        <f aca="false">100*(U105-U104)</f>
        <v>0.125808173395692</v>
      </c>
      <c r="V239" s="22" t="n">
        <f aca="false">100*(V105-V104)</f>
        <v>-0.408437391406702</v>
      </c>
      <c r="W239" s="22" t="n">
        <f aca="false">100*(W105-W104)</f>
        <v>-0.940967545498994</v>
      </c>
      <c r="X239" s="22" t="n">
        <f aca="false">100*(X105-X104)</f>
        <v>-1.46832216455368</v>
      </c>
      <c r="Y239" s="22" t="n">
        <f aca="false">100*(Y105-Y104)</f>
        <v>-1.98652171727169</v>
      </c>
      <c r="Z239" s="22" t="n">
        <f aca="false">100*(Z105-Z104)</f>
        <v>-2.49122772389843</v>
      </c>
      <c r="AA239" s="22" t="n">
        <f aca="false">100*(AA105-AA104)</f>
        <v>-2.97803443161069</v>
      </c>
      <c r="AB239" s="22" t="n">
        <f aca="false">100*(AB105-AB104)</f>
        <v>-3.44295828130221</v>
      </c>
      <c r="AC239" s="22" t="n">
        <f aca="false">100*(AC105-AC104)</f>
        <v>-3.88273343466601</v>
      </c>
      <c r="AD239" s="22" t="n">
        <f aca="false">100*(AD105-AD104)</f>
        <v>-4.29472946416247</v>
      </c>
      <c r="AE239" s="22" t="n">
        <f aca="false">100*(AE105-AE104)</f>
        <v>-4.67685207009172</v>
      </c>
      <c r="AF239" s="22" t="n">
        <f aca="false">100*(AF105-AF104)</f>
        <v>-5.02746491029109</v>
      </c>
      <c r="AG239" s="22" t="n">
        <f aca="false">100*(AG105-AG104)</f>
        <v>-5.34549129128319</v>
      </c>
      <c r="AH239" s="22" t="n">
        <f aca="false">100*(AH105-AH104)</f>
        <v>-5.6305817981098</v>
      </c>
      <c r="AI239" s="22" t="n">
        <f aca="false">100*(AI105-AI104)</f>
        <v>-5.88297473109081</v>
      </c>
      <c r="AJ239" s="22" t="n">
        <f aca="false">100*(AJ105-AJ104)</f>
        <v>-6.10344547838628</v>
      </c>
      <c r="AK239" s="22" t="n">
        <f aca="false">100*(AK105-AK104)</f>
        <v>-6.293231825373</v>
      </c>
      <c r="AL239" s="22" t="n">
        <f aca="false">100*(AL105-AL104)</f>
        <v>-6.45394511777839</v>
      </c>
      <c r="AM239" s="22" t="n">
        <f aca="false">100*(AM105-AM104)</f>
        <v>-6.58748381943357</v>
      </c>
      <c r="AN239" s="22" t="n">
        <f aca="false">100*(AN105-AN104)</f>
        <v>-6.69594561209279</v>
      </c>
      <c r="AO239" s="22" t="n">
        <f aca="false">100*(AO105-AO104)</f>
        <v>-6.78157405923736</v>
      </c>
      <c r="AP239" s="22" t="n">
        <f aca="false">100*(AP105-AP104)</f>
        <v>-6.84667880021861</v>
      </c>
      <c r="AQ239" s="22" t="n">
        <f aca="false">100*(AQ105-AQ104)</f>
        <v>-6.8935956617163</v>
      </c>
      <c r="AR239" s="22" t="n">
        <f aca="false">100*(AR105-AR104)</f>
        <v>-6.92462254070168</v>
      </c>
      <c r="AS239" s="22" t="n">
        <f aca="false">100*(AS105-AS104)</f>
        <v>-6.94197866580031</v>
      </c>
      <c r="AT239" s="22" t="n">
        <f aca="false">100*(AT105-AT104)</f>
        <v>-6.9477641551579</v>
      </c>
      <c r="AU239" s="22" t="n">
        <f aca="false">100*(AU105-AU104)</f>
        <v>-6.94393768541981</v>
      </c>
      <c r="AV239" s="22" t="n">
        <f aca="false">100*(AV105-AV104)</f>
        <v>-6.9322981888023</v>
      </c>
      <c r="AW239" s="22" t="n">
        <f aca="false">100*(AW105-AW104)</f>
        <v>-6.9144751438615</v>
      </c>
      <c r="AX239" s="22" t="n">
        <f aca="false">100*(AX105-AX104)</f>
        <v>-6.89193089056577</v>
      </c>
      <c r="AY239" s="22" t="n">
        <f aca="false">100*(AY105-AY104)</f>
        <v>-6.86596025285442</v>
      </c>
      <c r="AZ239" s="22" t="n">
        <f aca="false">100*(AZ105-AZ104)</f>
        <v>-6.83769754113741</v>
      </c>
      <c r="BA239" s="22" t="n">
        <f aca="false">100*(BA105-BA104)</f>
        <v>-6.80813036535719</v>
      </c>
      <c r="BB239" s="22" t="n">
        <f aca="false">100*(BB105-BB104)</f>
        <v>-6.77810803888779</v>
      </c>
      <c r="BC239" s="22" t="n">
        <f aca="false">100*(BC105-BC104)</f>
        <v>-6.74834951137422</v>
      </c>
      <c r="BD239" s="22" t="n">
        <f aca="false">100*(BD105-BD104)</f>
        <v>-6.71945229369859</v>
      </c>
      <c r="BE239" s="22" t="n">
        <f aca="false">100*(BE105-BE104)</f>
        <v>-6.69190050050661</v>
      </c>
      <c r="BF239" s="22" t="n">
        <f aca="false">100*(BF105-BF104)</f>
        <v>-6.66607146708302</v>
      </c>
      <c r="BG239" s="22" t="n">
        <f aca="false">100*(BG105-BG104)</f>
        <v>-6.64224721526279</v>
      </c>
      <c r="BH239" s="22" t="n">
        <f aca="false">AVERAGE(C239:BG239)</f>
        <v>-2.08194387575536</v>
      </c>
    </row>
    <row r="240" customFormat="false" ht="15" hidden="false" customHeight="false" outlineLevel="0" collapsed="false">
      <c r="A240" s="20" t="n">
        <f aca="false">A106</f>
        <v>-19</v>
      </c>
      <c r="B240" s="21" t="n">
        <f aca="false">B106</f>
        <v>44810</v>
      </c>
      <c r="C240" s="22" t="n">
        <f aca="false">100*(C106-C105)</f>
        <v>-2.987581907384</v>
      </c>
      <c r="D240" s="22" t="n">
        <f aca="false">100*(D106-D105)</f>
        <v>-0.384084389717865</v>
      </c>
      <c r="E240" s="22" t="n">
        <f aca="false">100*(E106-E105)</f>
        <v>1.70498803732064</v>
      </c>
      <c r="F240" s="22" t="n">
        <f aca="false">100*(F106-F105)</f>
        <v>3.4205258851419</v>
      </c>
      <c r="G240" s="22" t="n">
        <f aca="false">100*(G106-G105)</f>
        <v>4.85724326334349</v>
      </c>
      <c r="H240" s="22" t="n">
        <f aca="false">100*(H106-H105)</f>
        <v>6.0771165028084</v>
      </c>
      <c r="I240" s="22" t="n">
        <f aca="false">100*(I106-I105)</f>
        <v>7.12114373959727</v>
      </c>
      <c r="J240" s="22" t="n">
        <f aca="false">100*(J106-J105)</f>
        <v>8.01729180480182</v>
      </c>
      <c r="K240" s="22" t="n">
        <f aca="false">100*(K106-K105)</f>
        <v>8.78627277118871</v>
      </c>
      <c r="L240" s="22" t="n">
        <f aca="false">100*(L106-L105)</f>
        <v>9.4449223511563</v>
      </c>
      <c r="M240" s="22" t="n">
        <f aca="false">100*(M106-M105)</f>
        <v>10.0077979435178</v>
      </c>
      <c r="N240" s="22" t="n">
        <f aca="false">100*(N106-N105)</f>
        <v>10.4882417071379</v>
      </c>
      <c r="O240" s="22" t="n">
        <f aca="false">100*(O106-O105)</f>
        <v>10.8984860938951</v>
      </c>
      <c r="P240" s="22" t="n">
        <f aca="false">100*(P106-P105)</f>
        <v>11.249677502961</v>
      </c>
      <c r="Q240" s="22" t="n">
        <f aca="false">100*(Q106-Q105)</f>
        <v>11.5519263549088</v>
      </c>
      <c r="R240" s="22" t="n">
        <f aca="false">100*(R106-R105)</f>
        <v>11.8142493483503</v>
      </c>
      <c r="S240" s="22" t="n">
        <f aca="false">100*(S106-S105)</f>
        <v>12.0446646059638</v>
      </c>
      <c r="T240" s="22" t="n">
        <f aca="false">100*(T106-T105)</f>
        <v>12.2503820450681</v>
      </c>
      <c r="U240" s="22" t="n">
        <f aca="false">100*(U106-U105)</f>
        <v>12.4374934836608</v>
      </c>
      <c r="V240" s="22" t="n">
        <f aca="false">100*(V106-V105)</f>
        <v>12.610962403461</v>
      </c>
      <c r="W240" s="22" t="n">
        <f aca="false">100*(W106-W105)</f>
        <v>12.7748540690569</v>
      </c>
      <c r="X240" s="22" t="n">
        <f aca="false">100*(X106-X105)</f>
        <v>12.9324981336085</v>
      </c>
      <c r="Y240" s="22" t="n">
        <f aca="false">100*(Y106-Y105)</f>
        <v>13.086377176186</v>
      </c>
      <c r="Z240" s="22" t="n">
        <f aca="false">100*(Z106-Z105)</f>
        <v>13.2379984300749</v>
      </c>
      <c r="AA240" s="22" t="n">
        <f aca="false">100*(AA106-AA105)</f>
        <v>13.3881391341722</v>
      </c>
      <c r="AB240" s="22" t="n">
        <f aca="false">100*(AB106-AB105)</f>
        <v>13.537133049059</v>
      </c>
      <c r="AC240" s="22" t="n">
        <f aca="false">100*(AC106-AC105)</f>
        <v>13.6850502346732</v>
      </c>
      <c r="AD240" s="22" t="n">
        <f aca="false">100*(AD106-AD105)</f>
        <v>13.8317495384428</v>
      </c>
      <c r="AE240" s="22" t="n">
        <f aca="false">100*(AE106-AE105)</f>
        <v>13.9769115972439</v>
      </c>
      <c r="AF240" s="22" t="n">
        <f aca="false">100*(AF106-AF105)</f>
        <v>14.1200661818638</v>
      </c>
      <c r="AG240" s="22" t="n">
        <f aca="false">100*(AG106-AG105)</f>
        <v>14.2606527644342</v>
      </c>
      <c r="AH240" s="22" t="n">
        <f aca="false">100*(AH106-AH105)</f>
        <v>14.3981067308457</v>
      </c>
      <c r="AI240" s="22" t="n">
        <f aca="false">100*(AI106-AI105)</f>
        <v>14.5318558117976</v>
      </c>
      <c r="AJ240" s="22" t="n">
        <f aca="false">100*(AJ106-AJ105)</f>
        <v>14.6613352246584</v>
      </c>
      <c r="AK240" s="22" t="n">
        <f aca="false">100*(AK106-AK105)</f>
        <v>14.785992392173</v>
      </c>
      <c r="AL240" s="22" t="n">
        <f aca="false">100*(AL106-AL105)</f>
        <v>14.9053008829798</v>
      </c>
      <c r="AM240" s="22" t="n">
        <f aca="false">100*(AM106-AM105)</f>
        <v>15.0187800353192</v>
      </c>
      <c r="AN240" s="22" t="n">
        <f aca="false">100*(AN106-AN105)</f>
        <v>15.1260196872302</v>
      </c>
      <c r="AO240" s="22" t="n">
        <f aca="false">100*(AO106-AO105)</f>
        <v>15.2266891583378</v>
      </c>
      <c r="AP240" s="22" t="n">
        <f aca="false">100*(AP106-AP105)</f>
        <v>15.320564478866</v>
      </c>
      <c r="AQ240" s="22" t="n">
        <f aca="false">100*(AQ106-AQ105)</f>
        <v>15.4075298955381</v>
      </c>
      <c r="AR240" s="22" t="n">
        <f aca="false">100*(AR106-AR105)</f>
        <v>15.4875723051422</v>
      </c>
      <c r="AS240" s="22" t="n">
        <f aca="false">100*(AS106-AS105)</f>
        <v>15.5607723804698</v>
      </c>
      <c r="AT240" s="22" t="n">
        <f aca="false">100*(AT106-AT105)</f>
        <v>15.6272875640468</v>
      </c>
      <c r="AU240" s="22" t="n">
        <f aca="false">100*(AU106-AU105)</f>
        <v>15.6873389294274</v>
      </c>
      <c r="AV240" s="22" t="n">
        <f aca="false">100*(AV106-AV105)</f>
        <v>15.7411968107627</v>
      </c>
      <c r="AW240" s="22" t="n">
        <f aca="false">100*(AW106-AW105)</f>
        <v>15.7891691601586</v>
      </c>
      <c r="AX240" s="22" t="n">
        <f aca="false">100*(AX106-AX105)</f>
        <v>15.8315888521351</v>
      </c>
      <c r="AY240" s="22" t="n">
        <f aca="false">100*(AY106-AY105)</f>
        <v>15.868795761947</v>
      </c>
      <c r="AZ240" s="22" t="n">
        <f aca="false">100*(AZ106-AZ105)</f>
        <v>15.9011291167492</v>
      </c>
      <c r="BA240" s="22" t="n">
        <f aca="false">100*(BA106-BA105)</f>
        <v>15.9289251251368</v>
      </c>
      <c r="BB240" s="22" t="n">
        <f aca="false">100*(BB106-BB105)</f>
        <v>15.9525052534305</v>
      </c>
      <c r="BC240" s="22" t="n">
        <f aca="false">100*(BC106-BC105)</f>
        <v>15.9721688445385</v>
      </c>
      <c r="BD240" s="22" t="n">
        <f aca="false">100*(BD106-BD105)</f>
        <v>15.9881885579898</v>
      </c>
      <c r="BE240" s="22" t="n">
        <f aca="false">100*(BE106-BE105)</f>
        <v>16.000806654061</v>
      </c>
      <c r="BF240" s="22" t="n">
        <f aca="false">100*(BF106-BF105)</f>
        <v>16.0102306268272</v>
      </c>
      <c r="BG240" s="22" t="n">
        <f aca="false">100*(BG106-BG105)</f>
        <v>16.0166347153078</v>
      </c>
      <c r="BH240" s="22" t="n">
        <f aca="false">AVERAGE(C240:BG240)</f>
        <v>12.5085900844188</v>
      </c>
    </row>
    <row r="241" customFormat="false" ht="15" hidden="false" customHeight="false" outlineLevel="0" collapsed="false">
      <c r="A241" s="20" t="n">
        <f aca="false">A107</f>
        <v>-18</v>
      </c>
      <c r="B241" s="21" t="n">
        <f aca="false">B107</f>
        <v>44811</v>
      </c>
      <c r="C241" s="22" t="n">
        <f aca="false">100*(C107-C106)</f>
        <v>-12.9005896990213</v>
      </c>
      <c r="D241" s="22" t="n">
        <f aca="false">100*(D107-D106)</f>
        <v>-11.5130600813208</v>
      </c>
      <c r="E241" s="22" t="n">
        <f aca="false">100*(E107-E106)</f>
        <v>-10.1942116109061</v>
      </c>
      <c r="F241" s="22" t="n">
        <f aca="false">100*(F107-F106)</f>
        <v>-8.98996603990478</v>
      </c>
      <c r="G241" s="22" t="n">
        <f aca="false">100*(G107-G106)</f>
        <v>-7.90254628022109</v>
      </c>
      <c r="H241" s="22" t="n">
        <f aca="false">100*(H107-H106)</f>
        <v>-6.92501374286132</v>
      </c>
      <c r="I241" s="22" t="n">
        <f aca="false">100*(I107-I106)</f>
        <v>-6.05000891959846</v>
      </c>
      <c r="J241" s="22" t="n">
        <f aca="false">100*(J107-J106)</f>
        <v>-5.27178508102129</v>
      </c>
      <c r="K241" s="22" t="n">
        <f aca="false">100*(K107-K106)</f>
        <v>-4.58578980805902</v>
      </c>
      <c r="L241" s="22" t="n">
        <f aca="false">100*(L107-L106)</f>
        <v>-3.9877456297055</v>
      </c>
      <c r="M241" s="22" t="n">
        <f aca="false">100*(M107-M106)</f>
        <v>-3.47298332606232</v>
      </c>
      <c r="N241" s="22" t="n">
        <f aca="false">100*(N107-N106)</f>
        <v>-3.0358157110312</v>
      </c>
      <c r="O241" s="22" t="n">
        <f aca="false">100*(O107-O106)</f>
        <v>-2.6695525405926</v>
      </c>
      <c r="P241" s="22" t="n">
        <f aca="false">100*(P107-P106)</f>
        <v>-2.36655143422042</v>
      </c>
      <c r="Q241" s="22" t="n">
        <f aca="false">100*(Q107-Q106)</f>
        <v>-2.11841633585559</v>
      </c>
      <c r="R241" s="22" t="n">
        <f aca="false">100*(R107-R106)</f>
        <v>-1.916336520113</v>
      </c>
      <c r="S241" s="22" t="n">
        <f aca="false">100*(S107-S106)</f>
        <v>-1.7515694219052</v>
      </c>
      <c r="T241" s="22" t="n">
        <f aca="false">100*(T107-T106)</f>
        <v>-1.615523541007</v>
      </c>
      <c r="U241" s="22" t="n">
        <f aca="false">100*(U107-U106)</f>
        <v>-1.50047625235081</v>
      </c>
      <c r="V241" s="22" t="n">
        <f aca="false">100*(V107-V106)</f>
        <v>-1.39975090912272</v>
      </c>
      <c r="W241" s="22" t="n">
        <f aca="false">100*(W107-W106)</f>
        <v>-1.3075052008015</v>
      </c>
      <c r="X241" s="22" t="n">
        <f aca="false">100*(X107-X106)</f>
        <v>-1.2185949844127</v>
      </c>
      <c r="Y241" s="22" t="n">
        <f aca="false">100*(Y107-Y106)</f>
        <v>-1.12883486564588</v>
      </c>
      <c r="Z241" s="22" t="n">
        <f aca="false">100*(Z107-Z106)</f>
        <v>-1.03524123379137</v>
      </c>
      <c r="AA241" s="22" t="n">
        <f aca="false">100*(AA107-AA106)</f>
        <v>-0.935782504561189</v>
      </c>
      <c r="AB241" s="22" t="n">
        <f aca="false">100*(AB107-AB106)</f>
        <v>-0.82917280147452</v>
      </c>
      <c r="AC241" s="22" t="n">
        <f aca="false">100*(AC107-AC106)</f>
        <v>-0.714750535506381</v>
      </c>
      <c r="AD241" s="22" t="n">
        <f aca="false">100*(AD107-AD106)</f>
        <v>-0.592377799747013</v>
      </c>
      <c r="AE241" s="22" t="n">
        <f aca="false">100*(AE107-AE106)</f>
        <v>-0.462358544068886</v>
      </c>
      <c r="AF241" s="22" t="n">
        <f aca="false">100*(AF107-AF106)</f>
        <v>-0.325371926699614</v>
      </c>
      <c r="AG241" s="22" t="n">
        <f aca="false">100*(AG107-AG106)</f>
        <v>-0.182414685046384</v>
      </c>
      <c r="AH241" s="22" t="n">
        <f aca="false">100*(AH107-AH106)</f>
        <v>-0.0347244105421307</v>
      </c>
      <c r="AI241" s="22" t="n">
        <f aca="false">100*(AI107-AI106)</f>
        <v>0.116305566570318</v>
      </c>
      <c r="AJ241" s="22" t="n">
        <f aca="false">100*(AJ107-AJ106)</f>
        <v>0.269194076572266</v>
      </c>
      <c r="AK241" s="22" t="n">
        <f aca="false">100*(AK107-AK106)</f>
        <v>0.422404234176277</v>
      </c>
      <c r="AL241" s="22" t="n">
        <f aca="false">100*(AL107-AL106)</f>
        <v>0.574403844657789</v>
      </c>
      <c r="AM241" s="22" t="n">
        <f aca="false">100*(AM107-AM106)</f>
        <v>0.723706453183493</v>
      </c>
      <c r="AN241" s="22" t="n">
        <f aca="false">100*(AN107-AN106)</f>
        <v>0.868906592359497</v>
      </c>
      <c r="AO241" s="22" t="n">
        <f aca="false">100*(AO107-AO106)</f>
        <v>1.00870041539811</v>
      </c>
      <c r="AP241" s="22" t="n">
        <f aca="false">100*(AP107-AP106)</f>
        <v>1.14194453315482</v>
      </c>
      <c r="AQ241" s="22" t="n">
        <f aca="false">100*(AQ107-AQ106)</f>
        <v>1.2676693033014</v>
      </c>
      <c r="AR241" s="22" t="n">
        <f aca="false">100*(AR107-AR106)</f>
        <v>1.38510334041797</v>
      </c>
      <c r="AS241" s="22" t="n">
        <f aca="false">100*(AS107-AS106)</f>
        <v>1.49367831140621</v>
      </c>
      <c r="AT241" s="22" t="n">
        <f aca="false">100*(AT107-AT106)</f>
        <v>1.59301334134909</v>
      </c>
      <c r="AU241" s="22" t="n">
        <f aca="false">100*(AU107-AU106)</f>
        <v>1.68289848168577</v>
      </c>
      <c r="AV241" s="22" t="n">
        <f aca="false">100*(AV107-AV106)</f>
        <v>1.76327435642141</v>
      </c>
      <c r="AW241" s="22" t="n">
        <f aca="false">100*(AW107-AW106)</f>
        <v>1.83421525939766</v>
      </c>
      <c r="AX241" s="22" t="n">
        <f aca="false">100*(AX107-AX106)</f>
        <v>1.89591081676102</v>
      </c>
      <c r="AY241" s="22" t="n">
        <f aca="false">100*(AY107-AY106)</f>
        <v>1.94863143811377</v>
      </c>
      <c r="AZ241" s="22" t="n">
        <f aca="false">100*(AZ107-AZ106)</f>
        <v>1.99270807569496</v>
      </c>
      <c r="BA241" s="22" t="n">
        <f aca="false">100*(BA107-BA106)</f>
        <v>2.02852300015053</v>
      </c>
      <c r="BB241" s="22" t="n">
        <f aca="false">100*(BB107-BB106)</f>
        <v>2.056487797624</v>
      </c>
      <c r="BC241" s="22" t="n">
        <f aca="false">100*(BC107-BC106)</f>
        <v>2.07702883176171</v>
      </c>
      <c r="BD241" s="22" t="n">
        <f aca="false">100*(BD107-BD106)</f>
        <v>2.09057907683943</v>
      </c>
      <c r="BE241" s="22" t="n">
        <f aca="false">100*(BE107-BE106)</f>
        <v>2.09757156665948</v>
      </c>
      <c r="BF241" s="22" t="n">
        <f aca="false">100*(BF107-BF106)</f>
        <v>2.09843309679152</v>
      </c>
      <c r="BG241" s="22" t="n">
        <f aca="false">100*(BG107-BG106)</f>
        <v>2.09358581657058</v>
      </c>
      <c r="BH241" s="22" t="n">
        <f aca="false">AVERAGE(C241:BG241)</f>
        <v>-1.27034990789753</v>
      </c>
    </row>
    <row r="242" customFormat="false" ht="15" hidden="false" customHeight="false" outlineLevel="0" collapsed="false">
      <c r="A242" s="20" t="n">
        <f aca="false">A108</f>
        <v>-17</v>
      </c>
      <c r="B242" s="21" t="n">
        <f aca="false">B108</f>
        <v>44812</v>
      </c>
      <c r="C242" s="22" t="n">
        <f aca="false">100*(C108-C107)</f>
        <v>7.75140527432949</v>
      </c>
      <c r="D242" s="22" t="n">
        <f aca="false">100*(D108-D107)</f>
        <v>8.0368989809668</v>
      </c>
      <c r="E242" s="22" t="n">
        <f aca="false">100*(E108-E107)</f>
        <v>8.55323675313939</v>
      </c>
      <c r="F242" s="22" t="n">
        <f aca="false">100*(F108-F107)</f>
        <v>9.16540098773688</v>
      </c>
      <c r="G242" s="22" t="n">
        <f aca="false">100*(G108-G107)</f>
        <v>9.80195727779503</v>
      </c>
      <c r="H242" s="22" t="n">
        <f aca="false">100*(H108-H107)</f>
        <v>10.4200666378503</v>
      </c>
      <c r="I242" s="22" t="n">
        <f aca="false">100*(I108-I107)</f>
        <v>10.9925066936888</v>
      </c>
      <c r="J242" s="22" t="n">
        <f aca="false">100*(J108-J107)</f>
        <v>11.5022605944742</v>
      </c>
      <c r="K242" s="22" t="n">
        <f aca="false">100*(K108-K107)</f>
        <v>11.9398047158564</v>
      </c>
      <c r="L242" s="22" t="n">
        <f aca="false">100*(L108-L107)</f>
        <v>12.301888457616</v>
      </c>
      <c r="M242" s="22" t="n">
        <f aca="false">100*(M108-M107)</f>
        <v>12.5904595762584</v>
      </c>
      <c r="N242" s="22" t="n">
        <f aca="false">100*(N108-N107)</f>
        <v>12.8112927536498</v>
      </c>
      <c r="O242" s="22" t="n">
        <f aca="false">100*(O108-O107)</f>
        <v>12.9722637489632</v>
      </c>
      <c r="P242" s="22" t="n">
        <f aca="false">100*(P108-P107)</f>
        <v>13.082259256444</v>
      </c>
      <c r="Q242" s="22" t="n">
        <f aca="false">100*(Q108-Q107)</f>
        <v>13.1506039426241</v>
      </c>
      <c r="R242" s="22" t="n">
        <f aca="false">100*(R108-R107)</f>
        <v>13.186469974175</v>
      </c>
      <c r="S242" s="22" t="n">
        <f aca="false">100*(S108-S107)</f>
        <v>13.198413884689</v>
      </c>
      <c r="T242" s="22" t="n">
        <f aca="false">100*(T108-T107)</f>
        <v>13.1942974683434</v>
      </c>
      <c r="U242" s="22" t="n">
        <f aca="false">100*(U108-U107)</f>
        <v>13.1808272199282</v>
      </c>
      <c r="V242" s="22" t="n">
        <f aca="false">100*(V108-V107)</f>
        <v>13.1635214006462</v>
      </c>
      <c r="W242" s="22" t="n">
        <f aca="false">100*(W108-W107)</f>
        <v>13.1469527644182</v>
      </c>
      <c r="X242" s="22" t="n">
        <f aca="false">100*(X108-X107)</f>
        <v>13.1349169113649</v>
      </c>
      <c r="Y242" s="22" t="n">
        <f aca="false">100*(Y108-Y107)</f>
        <v>13.1303056332719</v>
      </c>
      <c r="Z242" s="22" t="n">
        <f aca="false">100*(Z108-Z107)</f>
        <v>13.1349701143947</v>
      </c>
      <c r="AA242" s="22" t="n">
        <f aca="false">100*(AA108-AA107)</f>
        <v>13.1499053732632</v>
      </c>
      <c r="AB242" s="22" t="n">
        <f aca="false">100*(AB108-AB107)</f>
        <v>13.1754934310169</v>
      </c>
      <c r="AC242" s="22" t="n">
        <f aca="false">100*(AC108-AC107)</f>
        <v>13.211688693366</v>
      </c>
      <c r="AD242" s="22" t="n">
        <f aca="false">100*(AD108-AD107)</f>
        <v>13.2580946377996</v>
      </c>
      <c r="AE242" s="22" t="n">
        <f aca="false">100*(AE108-AE107)</f>
        <v>13.3140186461191</v>
      </c>
      <c r="AF242" s="22" t="n">
        <f aca="false">100*(AF108-AF107)</f>
        <v>13.3785174771976</v>
      </c>
      <c r="AG242" s="22" t="n">
        <f aca="false">100*(AG108-AG107)</f>
        <v>13.4504848175806</v>
      </c>
      <c r="AH242" s="22" t="n">
        <f aca="false">100*(AH108-AH107)</f>
        <v>13.5287674023374</v>
      </c>
      <c r="AI242" s="22" t="n">
        <f aca="false">100*(AI108-AI107)</f>
        <v>13.6121717350699</v>
      </c>
      <c r="AJ242" s="22" t="n">
        <f aca="false">100*(AJ108-AJ107)</f>
        <v>13.6994879573563</v>
      </c>
      <c r="AK242" s="22" t="n">
        <f aca="false">100*(AK108-AK107)</f>
        <v>13.7895005733934</v>
      </c>
      <c r="AL242" s="22" t="n">
        <f aca="false">100*(AL108-AL107)</f>
        <v>13.8810112150504</v>
      </c>
      <c r="AM242" s="22" t="n">
        <f aca="false">100*(AM108-AM107)</f>
        <v>13.9728524528749</v>
      </c>
      <c r="AN242" s="22" t="n">
        <f aca="false">100*(AN108-AN107)</f>
        <v>14.0638975727823</v>
      </c>
      <c r="AO242" s="22" t="n">
        <f aca="false">100*(AO108-AO107)</f>
        <v>14.1530663446325</v>
      </c>
      <c r="AP242" s="22" t="n">
        <f aca="false">100*(AP108-AP107)</f>
        <v>14.239343314042</v>
      </c>
      <c r="AQ242" s="22" t="n">
        <f aca="false">100*(AQ108-AQ107)</f>
        <v>14.3217814062286</v>
      </c>
      <c r="AR242" s="22" t="n">
        <f aca="false">100*(AR108-AR107)</f>
        <v>14.3995135948</v>
      </c>
      <c r="AS242" s="22" t="n">
        <f aca="false">100*(AS108-AS107)</f>
        <v>14.4717571090648</v>
      </c>
      <c r="AT242" s="22" t="n">
        <f aca="false">100*(AT108-AT107)</f>
        <v>14.5378182866081</v>
      </c>
      <c r="AU242" s="22" t="n">
        <f aca="false">100*(AU108-AU107)</f>
        <v>14.5970934252366</v>
      </c>
      <c r="AV242" s="22" t="n">
        <f aca="false">100*(AV108-AV107)</f>
        <v>14.6490708483603</v>
      </c>
      <c r="AW242" s="22" t="n">
        <f aca="false">100*(AW108-AW107)</f>
        <v>14.6933315458163</v>
      </c>
      <c r="AX242" s="22" t="n">
        <f aca="false">100*(AX108-AX107)</f>
        <v>14.7295494665274</v>
      </c>
      <c r="AY242" s="22" t="n">
        <f aca="false">100*(AY108-AY107)</f>
        <v>14.7575000554823</v>
      </c>
      <c r="AZ242" s="22" t="n">
        <f aca="false">100*(AZ108-AZ107)</f>
        <v>14.777060935334</v>
      </c>
      <c r="BA242" s="22" t="n">
        <f aca="false">100*(BA108-BA107)</f>
        <v>14.7882046883026</v>
      </c>
      <c r="BB242" s="22" t="n">
        <f aca="false">100*(BB108-BB107)</f>
        <v>14.7910020554461</v>
      </c>
      <c r="BC242" s="22" t="n">
        <f aca="false">100*(BC108-BC107)</f>
        <v>14.7856199969787</v>
      </c>
      <c r="BD242" s="22" t="n">
        <f aca="false">100*(BD108-BD107)</f>
        <v>14.7723100594912</v>
      </c>
      <c r="BE242" s="22" t="n">
        <f aca="false">100*(BE108-BE107)</f>
        <v>14.7513962429447</v>
      </c>
      <c r="BF242" s="22" t="n">
        <f aca="false">100*(BF108-BF107)</f>
        <v>14.7232631334605</v>
      </c>
      <c r="BG242" s="22" t="n">
        <f aca="false">100*(BG108-BG107)</f>
        <v>14.6883533235408</v>
      </c>
      <c r="BH242" s="22" t="n">
        <f aca="false">AVERAGE(C242:BG242)</f>
        <v>13.169401909476</v>
      </c>
    </row>
    <row r="243" customFormat="false" ht="15" hidden="false" customHeight="false" outlineLevel="0" collapsed="false">
      <c r="A243" s="20" t="n">
        <f aca="false">A109</f>
        <v>-16</v>
      </c>
      <c r="B243" s="21" t="n">
        <f aca="false">B109</f>
        <v>44813</v>
      </c>
      <c r="C243" s="22" t="n">
        <f aca="false">100*(C109-C108)</f>
        <v>0.450239969329402</v>
      </c>
      <c r="D243" s="22" t="n">
        <f aca="false">100*(D109-D108)</f>
        <v>0.612593556812424</v>
      </c>
      <c r="E243" s="22" t="n">
        <f aca="false">100*(E109-E108)</f>
        <v>0.657192806375129</v>
      </c>
      <c r="F243" s="22" t="n">
        <f aca="false">100*(F109-F108)</f>
        <v>0.572517089553903</v>
      </c>
      <c r="G243" s="22" t="n">
        <f aca="false">100*(G109-G108)</f>
        <v>0.377628157985788</v>
      </c>
      <c r="H243" s="22" t="n">
        <f aca="false">100*(H109-H108)</f>
        <v>0.0994174630140066</v>
      </c>
      <c r="I243" s="22" t="n">
        <f aca="false">100*(I109-I108)</f>
        <v>-0.235110991710297</v>
      </c>
      <c r="J243" s="22" t="n">
        <f aca="false">100*(J109-J108)</f>
        <v>-0.602313048062886</v>
      </c>
      <c r="K243" s="22" t="n">
        <f aca="false">100*(K109-K108)</f>
        <v>-0.982793648071123</v>
      </c>
      <c r="L243" s="22" t="n">
        <f aca="false">100*(L109-L108)</f>
        <v>-1.36110518897898</v>
      </c>
      <c r="M243" s="22" t="n">
        <f aca="false">100*(M109-M108)</f>
        <v>-1.72559326650981</v>
      </c>
      <c r="N243" s="22" t="n">
        <f aca="false">100*(N109-N108)</f>
        <v>-2.06757594043472</v>
      </c>
      <c r="O243" s="22" t="n">
        <f aca="false">100*(O109-O108)</f>
        <v>-2.38092074159919</v>
      </c>
      <c r="P243" s="22" t="n">
        <f aca="false">100*(P109-P108)</f>
        <v>-2.66138678331118</v>
      </c>
      <c r="Q243" s="22" t="n">
        <f aca="false">100*(Q109-Q108)</f>
        <v>-2.90628879286392</v>
      </c>
      <c r="R243" s="22" t="n">
        <f aca="false">100*(R109-R108)</f>
        <v>-3.1141917445201</v>
      </c>
      <c r="S243" s="22" t="n">
        <f aca="false">100*(S109-S108)</f>
        <v>-3.2846378176739</v>
      </c>
      <c r="T243" s="22" t="n">
        <f aca="false">100*(T109-T108)</f>
        <v>-3.41782971413132</v>
      </c>
      <c r="U243" s="22" t="n">
        <f aca="false">100*(U109-U108)</f>
        <v>-3.51453856242272</v>
      </c>
      <c r="V243" s="22" t="n">
        <f aca="false">100*(V109-V108)</f>
        <v>-3.5761213246202</v>
      </c>
      <c r="W243" s="22" t="n">
        <f aca="false">100*(W109-W108)</f>
        <v>-3.60440320833111</v>
      </c>
      <c r="X243" s="22" t="n">
        <f aca="false">100*(X109-X108)</f>
        <v>-3.60156922580481</v>
      </c>
      <c r="Y243" s="22" t="n">
        <f aca="false">100*(Y109-Y108)</f>
        <v>-3.57008643864889</v>
      </c>
      <c r="Z243" s="22" t="n">
        <f aca="false">100*(Z109-Z108)</f>
        <v>-3.51274813040479</v>
      </c>
      <c r="AA243" s="22" t="n">
        <f aca="false">100*(AA109-AA108)</f>
        <v>-3.4326196989928</v>
      </c>
      <c r="AB243" s="22" t="n">
        <f aca="false">100*(AB109-AB108)</f>
        <v>-3.33281844043252</v>
      </c>
      <c r="AC243" s="22" t="n">
        <f aca="false">100*(AC109-AC108)</f>
        <v>-3.21633366088903</v>
      </c>
      <c r="AD243" s="22" t="n">
        <f aca="false">100*(AD109-AD108)</f>
        <v>-3.0860320234916</v>
      </c>
      <c r="AE243" s="22" t="n">
        <f aca="false">100*(AE109-AE108)</f>
        <v>-2.94467671130731</v>
      </c>
      <c r="AF243" s="22" t="n">
        <f aca="false">100*(AF109-AF108)</f>
        <v>-2.79494222079419</v>
      </c>
      <c r="AG243" s="22" t="n">
        <f aca="false">100*(AG109-AG108)</f>
        <v>-2.63933626228829</v>
      </c>
      <c r="AH243" s="22" t="n">
        <f aca="false">100*(AH109-AH108)</f>
        <v>-2.48004166449727</v>
      </c>
      <c r="AI243" s="22" t="n">
        <f aca="false">100*(AI109-AI108)</f>
        <v>-2.31897805658652</v>
      </c>
      <c r="AJ243" s="22" t="n">
        <f aca="false">100*(AJ109-AJ108)</f>
        <v>-2.15783001657059</v>
      </c>
      <c r="AK243" s="22" t="n">
        <f aca="false">100*(AK109-AK108)</f>
        <v>-1.99807376512768</v>
      </c>
      <c r="AL243" s="22" t="n">
        <f aca="false">100*(AL109-AL108)</f>
        <v>-1.84098957436678</v>
      </c>
      <c r="AM243" s="22" t="n">
        <f aca="false">100*(AM109-AM108)</f>
        <v>-1.68767238061762</v>
      </c>
      <c r="AN243" s="22" t="n">
        <f aca="false">100*(AN109-AN108)</f>
        <v>-1.53904350487277</v>
      </c>
      <c r="AO243" s="22" t="n">
        <f aca="false">100*(AO109-AO108)</f>
        <v>-1.39586525425179</v>
      </c>
      <c r="AP243" s="22" t="n">
        <f aca="false">100*(AP109-AP108)</f>
        <v>-1.2587525487822</v>
      </c>
      <c r="AQ243" s="22" t="n">
        <f aca="false">100*(AQ109-AQ108)</f>
        <v>-1.12818929973901</v>
      </c>
      <c r="AR243" s="22" t="n">
        <f aca="false">100*(AR109-AR108)</f>
        <v>-1.00454557266221</v>
      </c>
      <c r="AS243" s="22" t="n">
        <f aca="false">100*(AS109-AS108)</f>
        <v>-0.888095008649081</v>
      </c>
      <c r="AT243" s="22" t="n">
        <f aca="false">100*(AT109-AT108)</f>
        <v>-0.779032806197799</v>
      </c>
      <c r="AU243" s="22" t="n">
        <f aca="false">100*(AU109-AU108)</f>
        <v>-0.677487890302597</v>
      </c>
      <c r="AV243" s="22" t="n">
        <f aca="false">100*(AV109-AV108)</f>
        <v>-0.583533620611698</v>
      </c>
      <c r="AW243" s="22" t="n">
        <f aca="false">100*(AW109-AW108)</f>
        <v>-0.49719411279292</v>
      </c>
      <c r="AX243" s="22" t="n">
        <f aca="false">100*(AX109-AX108)</f>
        <v>-0.418447358718499</v>
      </c>
      <c r="AY243" s="22" t="n">
        <f aca="false">100*(AY109-AY108)</f>
        <v>-0.347220507138779</v>
      </c>
      <c r="AZ243" s="22" t="n">
        <f aca="false">100*(AZ109-AZ108)</f>
        <v>-0.28338614208101</v>
      </c>
      <c r="BA243" s="22" t="n">
        <f aca="false">100*(BA109-BA108)</f>
        <v>-0.226765816348617</v>
      </c>
      <c r="BB243" s="22" t="n">
        <f aca="false">100*(BB109-BB108)</f>
        <v>-0.17712481484029</v>
      </c>
      <c r="BC243" s="22" t="n">
        <f aca="false">100*(BC109-BC108)</f>
        <v>-0.134171696313201</v>
      </c>
      <c r="BD243" s="22" t="n">
        <f aca="false">100*(BD109-BD108)</f>
        <v>-0.097569690242727</v>
      </c>
      <c r="BE243" s="22" t="n">
        <f aca="false">100*(BE109-BE108)</f>
        <v>-0.0669478685616731</v>
      </c>
      <c r="BF243" s="22" t="n">
        <f aca="false">100*(BF109-BF108)</f>
        <v>-0.0419116293918886</v>
      </c>
      <c r="BG243" s="22" t="n">
        <f aca="false">100*(BG109-BG108)</f>
        <v>-0.022046404908993</v>
      </c>
      <c r="BH243" s="22" t="n">
        <f aca="false">AVERAGE(C243:BG243)</f>
        <v>-1.55872458856841</v>
      </c>
    </row>
    <row r="244" customFormat="false" ht="15" hidden="false" customHeight="false" outlineLevel="0" collapsed="false">
      <c r="A244" s="20" t="n">
        <f aca="false">A110</f>
        <v>-15</v>
      </c>
      <c r="B244" s="21" t="n">
        <f aca="false">B110</f>
        <v>44816</v>
      </c>
      <c r="C244" s="22" t="n">
        <f aca="false">100*(C110-C109)</f>
        <v>-5.75530858802238</v>
      </c>
      <c r="D244" s="22" t="n">
        <f aca="false">100*(D110-D109)</f>
        <v>-5.80664945429583</v>
      </c>
      <c r="E244" s="22" t="n">
        <f aca="false">100*(E110-E109)</f>
        <v>-5.69444638716443</v>
      </c>
      <c r="F244" s="22" t="n">
        <f aca="false">100*(F110-F109)</f>
        <v>-5.55610639572022</v>
      </c>
      <c r="G244" s="22" t="n">
        <f aca="false">100*(G110-G109)</f>
        <v>-5.44689936312901</v>
      </c>
      <c r="H244" s="22" t="n">
        <f aca="false">100*(H110-H109)</f>
        <v>-5.38606862294118</v>
      </c>
      <c r="I244" s="22" t="n">
        <f aca="false">100*(I110-I109)</f>
        <v>-5.37644606797869</v>
      </c>
      <c r="J244" s="22" t="n">
        <f aca="false">100*(J110-J109)</f>
        <v>-5.41319960642368</v>
      </c>
      <c r="K244" s="22" t="n">
        <f aca="false">100*(K110-K109)</f>
        <v>-5.48811229557589</v>
      </c>
      <c r="L244" s="22" t="n">
        <f aca="false">100*(L110-L109)</f>
        <v>-5.59217914250549</v>
      </c>
      <c r="M244" s="22" t="n">
        <f aca="false">100*(M110-M109)</f>
        <v>-5.7168844821994</v>
      </c>
      <c r="N244" s="22" t="n">
        <f aca="false">100*(N110-N109)</f>
        <v>-5.85504243449271</v>
      </c>
      <c r="O244" s="22" t="n">
        <f aca="false">100*(O110-O109)</f>
        <v>-6.00078735891452</v>
      </c>
      <c r="P244" s="22" t="n">
        <f aca="false">100*(P110-P109)</f>
        <v>-6.1495833643046</v>
      </c>
      <c r="Q244" s="22" t="n">
        <f aca="false">100*(Q110-Q109)</f>
        <v>-6.2980265288608</v>
      </c>
      <c r="R244" s="22" t="n">
        <f aca="false">100*(R110-R109)</f>
        <v>-6.44358925455162</v>
      </c>
      <c r="S244" s="22" t="n">
        <f aca="false">100*(S110-S109)</f>
        <v>-6.5843411592414</v>
      </c>
      <c r="T244" s="22" t="n">
        <f aca="false">100*(T110-T109)</f>
        <v>-6.71871965543218</v>
      </c>
      <c r="U244" s="22" t="n">
        <f aca="false">100*(U110-U109)</f>
        <v>-6.84544507185647</v>
      </c>
      <c r="V244" s="22" t="n">
        <f aca="false">100*(V110-V109)</f>
        <v>-6.96350193802808</v>
      </c>
      <c r="W244" s="22" t="n">
        <f aca="false">100*(W110-W109)</f>
        <v>-7.07208527590577</v>
      </c>
      <c r="X244" s="22" t="n">
        <f aca="false">100*(X110-X109)</f>
        <v>-7.17055660928128</v>
      </c>
      <c r="Y244" s="22" t="n">
        <f aca="false">100*(Y110-Y109)</f>
        <v>-7.25844113496121</v>
      </c>
      <c r="Z244" s="22" t="n">
        <f aca="false">100*(Z110-Z109)</f>
        <v>-7.33547136909509</v>
      </c>
      <c r="AA244" s="22" t="n">
        <f aca="false">100*(AA110-AA109)</f>
        <v>-7.4016301798316</v>
      </c>
      <c r="AB244" s="22" t="n">
        <f aca="false">100*(AB110-AB109)</f>
        <v>-7.45713099718439</v>
      </c>
      <c r="AC244" s="22" t="n">
        <f aca="false">100*(AC110-AC109)</f>
        <v>-7.50236199121148</v>
      </c>
      <c r="AD244" s="22" t="n">
        <f aca="false">100*(AD110-AD109)</f>
        <v>-7.53785625131398</v>
      </c>
      <c r="AE244" s="22" t="n">
        <f aca="false">100*(AE110-AE109)</f>
        <v>-7.56426914259021</v>
      </c>
      <c r="AF244" s="22" t="n">
        <f aca="false">100*(AF110-AF109)</f>
        <v>-7.58235931884843</v>
      </c>
      <c r="AG244" s="22" t="n">
        <f aca="false">100*(AG110-AG109)</f>
        <v>-7.5929416405994</v>
      </c>
      <c r="AH244" s="22" t="n">
        <f aca="false">100*(AH110-AH109)</f>
        <v>-7.59683338062152</v>
      </c>
      <c r="AI244" s="22" t="n">
        <f aca="false">100*(AI110-AI109)</f>
        <v>-7.59484671837627</v>
      </c>
      <c r="AJ244" s="22" t="n">
        <f aca="false">100*(AJ110-AJ109)</f>
        <v>-7.58776116632509</v>
      </c>
      <c r="AK244" s="22" t="n">
        <f aca="false">100*(AK110-AK109)</f>
        <v>-7.5763210633804</v>
      </c>
      <c r="AL244" s="22" t="n">
        <f aca="false">100*(AL110-AL109)</f>
        <v>-7.56122611846348</v>
      </c>
      <c r="AM244" s="22" t="n">
        <f aca="false">100*(AM110-AM109)</f>
        <v>-7.5431256842518</v>
      </c>
      <c r="AN244" s="22" t="n">
        <f aca="false">100*(AN110-AN109)</f>
        <v>-7.52261495299069</v>
      </c>
      <c r="AO244" s="22" t="n">
        <f aca="false">100*(AO110-AO109)</f>
        <v>-7.5002386277057</v>
      </c>
      <c r="AP244" s="22" t="n">
        <f aca="false">100*(AP110-AP109)</f>
        <v>-7.476495523398</v>
      </c>
      <c r="AQ244" s="22" t="n">
        <f aca="false">100*(AQ110-AQ109)</f>
        <v>-7.45184373331718</v>
      </c>
      <c r="AR244" s="22" t="n">
        <f aca="false">100*(AR110-AR109)</f>
        <v>-7.42670452209411</v>
      </c>
      <c r="AS244" s="22" t="n">
        <f aca="false">100*(AS110-AS109)</f>
        <v>-7.40146527306549</v>
      </c>
      <c r="AT244" s="22" t="n">
        <f aca="false">100*(AT110-AT109)</f>
        <v>-7.37647518919271</v>
      </c>
      <c r="AU244" s="22" t="n">
        <f aca="false">100*(AU110-AU109)</f>
        <v>-7.35204315893223</v>
      </c>
      <c r="AV244" s="22" t="n">
        <f aca="false">100*(AV110-AV109)</f>
        <v>-7.3284342303674</v>
      </c>
      <c r="AW244" s="22" t="n">
        <f aca="false">100*(AW110-AW109)</f>
        <v>-7.3058668735011</v>
      </c>
      <c r="AX244" s="22" t="n">
        <f aca="false">100*(AX110-AX109)</f>
        <v>-7.28451119726148</v>
      </c>
      <c r="AY244" s="22" t="n">
        <f aca="false">100*(AY110-AY109)</f>
        <v>-7.26448855797783</v>
      </c>
      <c r="AZ244" s="22" t="n">
        <f aca="false">100*(AZ110-AZ109)</f>
        <v>-7.24587326810369</v>
      </c>
      <c r="BA244" s="22" t="n">
        <f aca="false">100*(BA110-BA109)</f>
        <v>-7.22869616165438</v>
      </c>
      <c r="BB244" s="22" t="n">
        <f aca="false">100*(BB110-BB109)</f>
        <v>-7.21294377842869</v>
      </c>
      <c r="BC244" s="22" t="n">
        <f aca="false">100*(BC110-BC109)</f>
        <v>-7.19856005032509</v>
      </c>
      <c r="BD244" s="22" t="n">
        <f aca="false">100*(BD110-BD109)</f>
        <v>-7.18545297245807</v>
      </c>
      <c r="BE244" s="22" t="n">
        <f aca="false">100*(BE110-BE109)</f>
        <v>-7.17350090485032</v>
      </c>
      <c r="BF244" s="22" t="n">
        <f aca="false">100*(BF110-BF109)</f>
        <v>-7.16255878179419</v>
      </c>
      <c r="BG244" s="22" t="n">
        <f aca="false">100*(BG110-BG109)</f>
        <v>-7.15246279671611</v>
      </c>
      <c r="BH244" s="22" t="n">
        <f aca="false">AVERAGE(C244:BG244)</f>
        <v>-6.88206641698271</v>
      </c>
    </row>
    <row r="245" customFormat="false" ht="15" hidden="false" customHeight="false" outlineLevel="0" collapsed="false">
      <c r="A245" s="20" t="n">
        <f aca="false">A111</f>
        <v>-14</v>
      </c>
      <c r="B245" s="21" t="n">
        <f aca="false">B111</f>
        <v>44817</v>
      </c>
      <c r="C245" s="22" t="n">
        <f aca="false">100*(C111-C110)</f>
        <v>9.8066710460436</v>
      </c>
      <c r="D245" s="22" t="n">
        <f aca="false">100*(D111-D110)</f>
        <v>10.0874224763355</v>
      </c>
      <c r="E245" s="22" t="n">
        <f aca="false">100*(E111-E110)</f>
        <v>10.2969429717617</v>
      </c>
      <c r="F245" s="22" t="n">
        <f aca="false">100*(F111-F110)</f>
        <v>10.434628669955</v>
      </c>
      <c r="G245" s="22" t="n">
        <f aca="false">100*(G111-G110)</f>
        <v>10.5079064447522</v>
      </c>
      <c r="H245" s="22" t="n">
        <f aca="false">100*(H111-H110)</f>
        <v>10.5260444138489</v>
      </c>
      <c r="I245" s="22" t="n">
        <f aca="false">100*(I111-I110)</f>
        <v>10.4975344689812</v>
      </c>
      <c r="J245" s="22" t="n">
        <f aca="false">100*(J111-J110)</f>
        <v>10.4292859017448</v>
      </c>
      <c r="K245" s="22" t="n">
        <f aca="false">100*(K111-K110)</f>
        <v>10.3266605706905</v>
      </c>
      <c r="L245" s="22" t="n">
        <f aca="false">100*(L111-L110)</f>
        <v>10.1936738039078</v>
      </c>
      <c r="M245" s="22" t="n">
        <f aca="false">100*(M111-M110)</f>
        <v>10.0334117038786</v>
      </c>
      <c r="N245" s="22" t="n">
        <f aca="false">100*(N111-N110)</f>
        <v>9.8482495116587</v>
      </c>
      <c r="O245" s="22" t="n">
        <f aca="false">100*(O111-O110)</f>
        <v>9.64034827095559</v>
      </c>
      <c r="P245" s="22" t="n">
        <f aca="false">100*(P111-P110)</f>
        <v>9.41177417373789</v>
      </c>
      <c r="Q245" s="22" t="n">
        <f aca="false">100*(Q111-Q110)</f>
        <v>9.16462599221624</v>
      </c>
      <c r="R245" s="22" t="n">
        <f aca="false">100*(R111-R110)</f>
        <v>8.90123188108394</v>
      </c>
      <c r="S245" s="22" t="n">
        <f aca="false">100*(S111-S110)</f>
        <v>8.62419666275893</v>
      </c>
      <c r="T245" s="22" t="n">
        <f aca="false">100*(T111-T110)</f>
        <v>8.3364268998765</v>
      </c>
      <c r="U245" s="22" t="n">
        <f aca="false">100*(U111-U110)</f>
        <v>8.04094579059038</v>
      </c>
      <c r="V245" s="22" t="n">
        <f aca="false">100*(V111-V110)</f>
        <v>7.74078414419739</v>
      </c>
      <c r="W245" s="22" t="n">
        <f aca="false">100*(W111-W110)</f>
        <v>7.43897705909418</v>
      </c>
      <c r="X245" s="22" t="n">
        <f aca="false">100*(X111-X110)</f>
        <v>7.13855398065779</v>
      </c>
      <c r="Y245" s="22" t="n">
        <f aca="false">100*(Y111-Y110)</f>
        <v>6.8424019004881</v>
      </c>
      <c r="Z245" s="22" t="n">
        <f aca="false">100*(Z111-Z110)</f>
        <v>6.553096184996</v>
      </c>
      <c r="AA245" s="22" t="n">
        <f aca="false">100*(AA111-AA110)</f>
        <v>6.27273587089539</v>
      </c>
      <c r="AB245" s="22" t="n">
        <f aca="false">100*(AB111-AB110)</f>
        <v>6.00287628268941</v>
      </c>
      <c r="AC245" s="22" t="n">
        <f aca="false">100*(AC111-AC110)</f>
        <v>5.74458509997577</v>
      </c>
      <c r="AD245" s="22" t="n">
        <f aca="false">100*(AD111-AD110)</f>
        <v>5.49851858988748</v>
      </c>
      <c r="AE245" s="22" t="n">
        <f aca="false">100*(AE111-AE110)</f>
        <v>5.26498589028992</v>
      </c>
      <c r="AF245" s="22" t="n">
        <f aca="false">100*(AF111-AF110)</f>
        <v>5.04400216877272</v>
      </c>
      <c r="AG245" s="22" t="n">
        <f aca="false">100*(AG111-AG110)</f>
        <v>4.83536334657604</v>
      </c>
      <c r="AH245" s="22" t="n">
        <f aca="false">100*(AH111-AH110)</f>
        <v>4.6387089212363</v>
      </c>
      <c r="AI245" s="22" t="n">
        <f aca="false">100*(AI111-AI110)</f>
        <v>4.4535731903999</v>
      </c>
      <c r="AJ245" s="22" t="n">
        <f aca="false">100*(AJ111-AJ110)</f>
        <v>4.2794601102977</v>
      </c>
      <c r="AK245" s="22" t="n">
        <f aca="false">100*(AK111-AK110)</f>
        <v>4.11587094301558</v>
      </c>
      <c r="AL245" s="22" t="n">
        <f aca="false">100*(AL111-AL110)</f>
        <v>3.9623588827979</v>
      </c>
      <c r="AM245" s="22" t="n">
        <f aca="false">100*(AM111-AM110)</f>
        <v>3.81854600900509</v>
      </c>
      <c r="AN245" s="22" t="n">
        <f aca="false">100*(AN111-AN110)</f>
        <v>3.6841239641547</v>
      </c>
      <c r="AO245" s="22" t="n">
        <f aca="false">100*(AO111-AO110)</f>
        <v>3.5588355368839</v>
      </c>
      <c r="AP245" s="22" t="n">
        <f aca="false">100*(AP111-AP110)</f>
        <v>3.44243289500943</v>
      </c>
      <c r="AQ245" s="22" t="n">
        <f aca="false">100*(AQ111-AQ110)</f>
        <v>3.33465788450718</v>
      </c>
      <c r="AR245" s="22" t="n">
        <f aca="false">100*(AR111-AR110)</f>
        <v>3.23520712291239</v>
      </c>
      <c r="AS245" s="22" t="n">
        <f aca="false">100*(AS111-AS110)</f>
        <v>3.14371648615457</v>
      </c>
      <c r="AT245" s="22" t="n">
        <f aca="false">100*(AT111-AT110)</f>
        <v>3.05976772482071</v>
      </c>
      <c r="AU245" s="22" t="n">
        <f aca="false">100*(AU111-AU110)</f>
        <v>2.98289565576324</v>
      </c>
      <c r="AV245" s="22" t="n">
        <f aca="false">100*(AV111-AV110)</f>
        <v>2.91259725139819</v>
      </c>
      <c r="AW245" s="22" t="n">
        <f aca="false">100*(AW111-AW110)</f>
        <v>2.84833797128901</v>
      </c>
      <c r="AX245" s="22" t="n">
        <f aca="false">100*(AX111-AX110)</f>
        <v>2.78955803642069</v>
      </c>
      <c r="AY245" s="22" t="n">
        <f aca="false">100*(AY111-AY110)</f>
        <v>2.73570061098432</v>
      </c>
      <c r="AZ245" s="22" t="n">
        <f aca="false">100*(AZ111-AZ110)</f>
        <v>2.68622711569511</v>
      </c>
      <c r="BA245" s="22" t="n">
        <f aca="false">100*(BA111-BA110)</f>
        <v>2.64062030577867</v>
      </c>
      <c r="BB245" s="22" t="n">
        <f aca="false">100*(BB111-BB110)</f>
        <v>2.59840615378688</v>
      </c>
      <c r="BC245" s="22" t="n">
        <f aca="false">100*(BC111-BC110)</f>
        <v>2.55916581359981</v>
      </c>
      <c r="BD245" s="22" t="n">
        <f aca="false">100*(BD111-BD110)</f>
        <v>2.52253682032118</v>
      </c>
      <c r="BE245" s="22" t="n">
        <f aca="false">100*(BE111-BE110)</f>
        <v>2.48821253813403</v>
      </c>
      <c r="BF245" s="22" t="n">
        <f aca="false">100*(BF111-BF110)</f>
        <v>2.45594128028799</v>
      </c>
      <c r="BG245" s="22" t="n">
        <f aca="false">100*(BG111-BG110)</f>
        <v>2.42551552645809</v>
      </c>
      <c r="BH245" s="22" t="n">
        <f aca="false">AVERAGE(C245:BG245)</f>
        <v>6.0150497706037</v>
      </c>
    </row>
    <row r="246" customFormat="false" ht="15" hidden="false" customHeight="false" outlineLevel="0" collapsed="false">
      <c r="A246" s="20" t="n">
        <f aca="false">A112</f>
        <v>-13</v>
      </c>
      <c r="B246" s="21" t="n">
        <f aca="false">B112</f>
        <v>44818</v>
      </c>
      <c r="C246" s="22" t="n">
        <f aca="false">100*(C112-C111)</f>
        <v>-2.56970687768821</v>
      </c>
      <c r="D246" s="22" t="n">
        <f aca="false">100*(D112-D111)</f>
        <v>-2.3239505149975</v>
      </c>
      <c r="E246" s="22" t="n">
        <f aca="false">100*(E112-E111)</f>
        <v>-1.951328529415</v>
      </c>
      <c r="F246" s="22" t="n">
        <f aca="false">100*(F112-F111)</f>
        <v>-1.57503399281627</v>
      </c>
      <c r="G246" s="22" t="n">
        <f aca="false">100*(G112-G111)</f>
        <v>-1.2494349654943</v>
      </c>
      <c r="H246" s="22" t="n">
        <f aca="false">100*(H112-H111)</f>
        <v>-0.994433951569818</v>
      </c>
      <c r="I246" s="22" t="n">
        <f aca="false">100*(I112-I111)</f>
        <v>-0.814089554921571</v>
      </c>
      <c r="J246" s="22" t="n">
        <f aca="false">100*(J112-J111)</f>
        <v>-0.705612159370883</v>
      </c>
      <c r="K246" s="22" t="n">
        <f aca="false">100*(K112-K111)</f>
        <v>-0.663364726610194</v>
      </c>
      <c r="L246" s="22" t="n">
        <f aca="false">100*(L112-L111)</f>
        <v>-0.680691678848389</v>
      </c>
      <c r="M246" s="22" t="n">
        <f aca="false">100*(M112-M111)</f>
        <v>-0.750393851179476</v>
      </c>
      <c r="N246" s="22" t="n">
        <f aca="false">100*(N112-N111)</f>
        <v>-0.865323056173573</v>
      </c>
      <c r="O246" s="22" t="n">
        <f aca="false">100*(O112-O111)</f>
        <v>-1.018383764539</v>
      </c>
      <c r="P246" s="22" t="n">
        <f aca="false">100*(P112-P111)</f>
        <v>-1.20265300208109</v>
      </c>
      <c r="Q246" s="22" t="n">
        <f aca="false">100*(Q112-Q111)</f>
        <v>-1.4113326080627</v>
      </c>
      <c r="R246" s="22" t="n">
        <f aca="false">100*(R112-R111)</f>
        <v>-1.6377141238388</v>
      </c>
      <c r="S246" s="22" t="n">
        <f aca="false">100*(S112-S111)</f>
        <v>-1.8752778843953</v>
      </c>
      <c r="T246" s="22" t="n">
        <f aca="false">100*(T112-T111)</f>
        <v>-2.11765211821748</v>
      </c>
      <c r="U246" s="22" t="n">
        <f aca="false">100*(U112-U111)</f>
        <v>-2.35913683459792</v>
      </c>
      <c r="V246" s="22" t="n">
        <f aca="false">100*(V112-V111)</f>
        <v>-2.59480433484938</v>
      </c>
      <c r="W246" s="22" t="n">
        <f aca="false">100*(W112-W111)</f>
        <v>-2.82034174496268</v>
      </c>
      <c r="X246" s="22" t="n">
        <f aca="false">100*(X112-X111)</f>
        <v>-3.03195636366658</v>
      </c>
      <c r="Y246" s="22" t="n">
        <f aca="false">100*(Y112-Y111)</f>
        <v>-3.22659770253848</v>
      </c>
      <c r="Z246" s="22" t="n">
        <f aca="false">100*(Z112-Z111)</f>
        <v>-3.40215018227301</v>
      </c>
      <c r="AA246" s="22" t="n">
        <f aca="false">100*(AA112-AA111)</f>
        <v>-3.55732740290931</v>
      </c>
      <c r="AB246" s="22" t="n">
        <f aca="false">100*(AB112-AB111)</f>
        <v>-3.69153532275659</v>
      </c>
      <c r="AC246" s="22" t="n">
        <f aca="false">100*(AC112-AC111)</f>
        <v>-3.80474668014439</v>
      </c>
      <c r="AD246" s="22" t="n">
        <f aca="false">100*(AD112-AD111)</f>
        <v>-3.89740866350397</v>
      </c>
      <c r="AE246" s="22" t="n">
        <f aca="false">100*(AE112-AE111)</f>
        <v>-3.97036877853862</v>
      </c>
      <c r="AF246" s="22" t="n">
        <f aca="false">100*(AF112-AF111)</f>
        <v>-4.02481304955509</v>
      </c>
      <c r="AG246" s="22" t="n">
        <f aca="false">100*(AG112-AG111)</f>
        <v>-4.06216045134613</v>
      </c>
      <c r="AH246" s="22" t="n">
        <f aca="false">100*(AH112-AH111)</f>
        <v>-4.08396540904961</v>
      </c>
      <c r="AI246" s="22" t="n">
        <f aca="false">100*(AI112-AI111)</f>
        <v>-4.0918780902127</v>
      </c>
      <c r="AJ246" s="22" t="n">
        <f aca="false">100*(AJ112-AJ111)</f>
        <v>-4.0875740383417</v>
      </c>
      <c r="AK246" s="22" t="n">
        <f aca="false">100*(AK112-AK111)</f>
        <v>-4.0727281048901</v>
      </c>
      <c r="AL246" s="22" t="n">
        <f aca="false">100*(AL112-AL111)</f>
        <v>-4.04896265045163</v>
      </c>
      <c r="AM246" s="22" t="n">
        <f aca="false">100*(AM112-AM111)</f>
        <v>-4.01781959145051</v>
      </c>
      <c r="AN246" s="22" t="n">
        <f aca="false">100*(AN112-AN111)</f>
        <v>-3.98074099851802</v>
      </c>
      <c r="AO246" s="22" t="n">
        <f aca="false">100*(AO112-AO111)</f>
        <v>-3.93906281364602</v>
      </c>
      <c r="AP246" s="22" t="n">
        <f aca="false">100*(AP112-AP111)</f>
        <v>-3.89399016739751</v>
      </c>
      <c r="AQ246" s="22" t="n">
        <f aca="false">100*(AQ112-AQ111)</f>
        <v>-3.84659608278399</v>
      </c>
      <c r="AR246" s="22" t="n">
        <f aca="false">100*(AR112-AR111)</f>
        <v>-3.79781012752227</v>
      </c>
      <c r="AS246" s="22" t="n">
        <f aca="false">100*(AS112-AS111)</f>
        <v>-3.74841966499768</v>
      </c>
      <c r="AT246" s="22" t="n">
        <f aca="false">100*(AT112-AT111)</f>
        <v>-3.6990810180217</v>
      </c>
      <c r="AU246" s="22" t="n">
        <f aca="false">100*(AU112-AU111)</f>
        <v>-3.65033192196362</v>
      </c>
      <c r="AV246" s="22" t="n">
        <f aca="false">100*(AV112-AV111)</f>
        <v>-3.60260988823349</v>
      </c>
      <c r="AW246" s="22" t="n">
        <f aca="false">100*(AW112-AW111)</f>
        <v>-3.55626862845382</v>
      </c>
      <c r="AX246" s="22" t="n">
        <f aca="false">100*(AX112-AX111)</f>
        <v>-3.51159674920538</v>
      </c>
      <c r="AY246" s="22" t="n">
        <f aca="false">100*(AY112-AY111)</f>
        <v>-3.46883584183559</v>
      </c>
      <c r="AZ246" s="22" t="n">
        <f aca="false">100*(AZ112-AZ111)</f>
        <v>-3.4281890873177</v>
      </c>
      <c r="BA246" s="22" t="n">
        <f aca="false">100*(BA112-BA111)</f>
        <v>-3.38982522674329</v>
      </c>
      <c r="BB246" s="22" t="n">
        <f aca="false">100*(BB112-BB111)</f>
        <v>-3.35388237230481</v>
      </c>
      <c r="BC246" s="22" t="n">
        <f aca="false">100*(BC112-BC111)</f>
        <v>-3.3204697214273</v>
      </c>
      <c r="BD246" s="22" t="n">
        <f aca="false">100*(BD112-BD111)</f>
        <v>-3.28966688898529</v>
      </c>
      <c r="BE246" s="22" t="n">
        <f aca="false">100*(BE112-BE111)</f>
        <v>-3.26152631197014</v>
      </c>
      <c r="BF246" s="22" t="n">
        <f aca="false">100*(BF112-BF111)</f>
        <v>-3.23607645127217</v>
      </c>
      <c r="BG246" s="22" t="n">
        <f aca="false">100*(BG112-BG111)</f>
        <v>-3.2133234678227</v>
      </c>
      <c r="BH246" s="22" t="n">
        <f aca="false">AVERAGE(C246:BG246)</f>
        <v>-2.88492905590667</v>
      </c>
    </row>
    <row r="247" customFormat="false" ht="15" hidden="false" customHeight="false" outlineLevel="0" collapsed="false">
      <c r="A247" s="20" t="n">
        <f aca="false">A113</f>
        <v>-12</v>
      </c>
      <c r="B247" s="21" t="n">
        <f aca="false">B113</f>
        <v>44819</v>
      </c>
      <c r="C247" s="22" t="n">
        <f aca="false">100*(C113-C112)</f>
        <v>2.52288760081298</v>
      </c>
      <c r="D247" s="22" t="n">
        <f aca="false">100*(D113-D112)</f>
        <v>2.60345728216831</v>
      </c>
      <c r="E247" s="22" t="n">
        <f aca="false">100*(E113-E112)</f>
        <v>2.6606861117652</v>
      </c>
      <c r="F247" s="22" t="n">
        <f aca="false">100*(F113-F112)</f>
        <v>2.67955769069839</v>
      </c>
      <c r="G247" s="22" t="n">
        <f aca="false">100*(G113-G112)</f>
        <v>2.65599028705443</v>
      </c>
      <c r="H247" s="22" t="n">
        <f aca="false">100*(H113-H112)</f>
        <v>2.59478004139799</v>
      </c>
      <c r="I247" s="22" t="n">
        <f aca="false">100*(I113-I112)</f>
        <v>2.50532564885488</v>
      </c>
      <c r="J247" s="22" t="n">
        <f aca="false">100*(J113-J112)</f>
        <v>2.39828026592579</v>
      </c>
      <c r="K247" s="22" t="n">
        <f aca="false">100*(K113-K112)</f>
        <v>2.28378512932279</v>
      </c>
      <c r="L247" s="22" t="n">
        <f aca="false">100*(L113-L112)</f>
        <v>2.17039274147473</v>
      </c>
      <c r="M247" s="22" t="n">
        <f aca="false">100*(M113-M112)</f>
        <v>2.0651745996954</v>
      </c>
      <c r="N247" s="22" t="n">
        <f aca="false">100*(N113-N112)</f>
        <v>1.97351717419729</v>
      </c>
      <c r="O247" s="22" t="n">
        <f aca="false">100*(O113-O112)</f>
        <v>1.89937705659822</v>
      </c>
      <c r="P247" s="22" t="n">
        <f aca="false">100*(P113-P112)</f>
        <v>1.8451834584587</v>
      </c>
      <c r="Q247" s="22" t="n">
        <f aca="false">100*(Q113-Q112)</f>
        <v>1.81194167324268</v>
      </c>
      <c r="R247" s="22" t="n">
        <f aca="false">100*(R113-R112)</f>
        <v>1.7993219716423</v>
      </c>
      <c r="S247" s="22" t="n">
        <f aca="false">100*(S113-S112)</f>
        <v>1.80585564557929</v>
      </c>
      <c r="T247" s="22" t="n">
        <f aca="false">100*(T113-T112)</f>
        <v>1.82905747635638</v>
      </c>
      <c r="U247" s="22" t="n">
        <f aca="false">100*(U113-U112)</f>
        <v>1.8660654588333</v>
      </c>
      <c r="V247" s="22" t="n">
        <f aca="false">100*(V113-V112)</f>
        <v>1.91386866116527</v>
      </c>
      <c r="W247" s="22" t="n">
        <f aca="false">100*(W113-W112)</f>
        <v>1.96933918047861</v>
      </c>
      <c r="X247" s="22" t="n">
        <f aca="false">100*(X113-X112)</f>
        <v>2.02929416881257</v>
      </c>
      <c r="Y247" s="22" t="n">
        <f aca="false">100*(Y113-Y112)</f>
        <v>2.09083785017841</v>
      </c>
      <c r="Z247" s="22" t="n">
        <f aca="false">100*(Z113-Z112)</f>
        <v>2.15158784463161</v>
      </c>
      <c r="AA247" s="22" t="n">
        <f aca="false">100*(AA113-AA112)</f>
        <v>2.20966513872383</v>
      </c>
      <c r="AB247" s="22" t="n">
        <f aca="false">100*(AB113-AB112)</f>
        <v>2.26368216101998</v>
      </c>
      <c r="AC247" s="22" t="n">
        <f aca="false">100*(AC113-AC112)</f>
        <v>2.31269820984732</v>
      </c>
      <c r="AD247" s="22" t="n">
        <f aca="false">100*(AD113-AD112)</f>
        <v>2.3561502419005</v>
      </c>
      <c r="AE247" s="22" t="n">
        <f aca="false">100*(AE113-AE112)</f>
        <v>2.39379386312182</v>
      </c>
      <c r="AF247" s="22" t="n">
        <f aca="false">100*(AF113-AF112)</f>
        <v>2.42565523372429</v>
      </c>
      <c r="AG247" s="22" t="n">
        <f aca="false">100*(AG113-AG112)</f>
        <v>2.4520002702721</v>
      </c>
      <c r="AH247" s="22" t="n">
        <f aca="false">100*(AH113-AH112)</f>
        <v>2.47328419278561</v>
      </c>
      <c r="AI247" s="22" t="n">
        <f aca="false">100*(AI113-AI112)</f>
        <v>2.49006491799326</v>
      </c>
      <c r="AJ247" s="22" t="n">
        <f aca="false">100*(AJ113-AJ112)</f>
        <v>2.50295995142009</v>
      </c>
      <c r="AK247" s="22" t="n">
        <f aca="false">100*(AK113-AK112)</f>
        <v>2.51261901875552</v>
      </c>
      <c r="AL247" s="22" t="n">
        <f aca="false">100*(AL113-AL112)</f>
        <v>2.51967183236861</v>
      </c>
      <c r="AM247" s="22" t="n">
        <f aca="false">100*(AM113-AM112)</f>
        <v>2.52470365425372</v>
      </c>
      <c r="AN247" s="22" t="n">
        <f aca="false">100*(AN113-AN112)</f>
        <v>2.52823926941033</v>
      </c>
      <c r="AO247" s="22" t="n">
        <f aca="false">100*(AO113-AO112)</f>
        <v>2.53073911134183</v>
      </c>
      <c r="AP247" s="22" t="n">
        <f aca="false">100*(AP113-AP112)</f>
        <v>2.53258355692938</v>
      </c>
      <c r="AQ247" s="22" t="n">
        <f aca="false">100*(AQ113-AQ112)</f>
        <v>2.53407244173993</v>
      </c>
      <c r="AR247" s="22" t="n">
        <f aca="false">100*(AR113-AR112)</f>
        <v>2.53542404528351</v>
      </c>
      <c r="AS247" s="22" t="n">
        <f aca="false">100*(AS113-AS112)</f>
        <v>2.53677730101791</v>
      </c>
      <c r="AT247" s="22" t="n">
        <f aca="false">100*(AT113-AT112)</f>
        <v>2.5381963684227</v>
      </c>
      <c r="AU247" s="22" t="n">
        <f aca="false">100*(AU113-AU112)</f>
        <v>2.53967697865769</v>
      </c>
      <c r="AV247" s="22" t="n">
        <f aca="false">100*(AV113-AV112)</f>
        <v>2.54115520736038</v>
      </c>
      <c r="AW247" s="22" t="n">
        <f aca="false">100*(AW113-AW112)</f>
        <v>2.54251504349292</v>
      </c>
      <c r="AX247" s="22" t="n">
        <f aca="false">100*(AX113-AX112)</f>
        <v>2.54359575914798</v>
      </c>
      <c r="AY247" s="22" t="n">
        <f aca="false">100*(AY113-AY112)</f>
        <v>2.54420785373157</v>
      </c>
      <c r="AZ247" s="22" t="n">
        <f aca="false">100*(AZ113-AZ112)</f>
        <v>2.5441429419041</v>
      </c>
      <c r="BA247" s="22" t="n">
        <f aca="false">100*(BA113-BA112)</f>
        <v>2.5431784385797</v>
      </c>
      <c r="BB247" s="22" t="n">
        <f aca="false">100*(BB113-BB112)</f>
        <v>2.54109382953533</v>
      </c>
      <c r="BC247" s="22" t="n">
        <f aca="false">100*(BC113-BC112)</f>
        <v>2.53768284280658</v>
      </c>
      <c r="BD247" s="22" t="n">
        <f aca="false">100*(BD113-BD112)</f>
        <v>2.53276349453349</v>
      </c>
      <c r="BE247" s="22" t="n">
        <f aca="false">100*(BE113-BE112)</f>
        <v>2.52618315275841</v>
      </c>
      <c r="BF247" s="22" t="n">
        <f aca="false">100*(BF113-BF112)</f>
        <v>2.51782467006016</v>
      </c>
      <c r="BG247" s="22" t="n">
        <f aca="false">100*(BG113-BG112)</f>
        <v>2.50761473226642</v>
      </c>
      <c r="BH247" s="22" t="n">
        <f aca="false">AVERAGE(C247:BG247)</f>
        <v>2.35544176744759</v>
      </c>
    </row>
    <row r="248" customFormat="false" ht="15" hidden="false" customHeight="false" outlineLevel="0" collapsed="false">
      <c r="A248" s="20" t="n">
        <f aca="false">A114</f>
        <v>-11</v>
      </c>
      <c r="B248" s="21" t="n">
        <f aca="false">B114</f>
        <v>44820</v>
      </c>
      <c r="C248" s="22" t="n">
        <f aca="false">100*(C114-C113)</f>
        <v>5.34692907249532</v>
      </c>
      <c r="D248" s="22" t="n">
        <f aca="false">100*(D114-D113)</f>
        <v>5.14910642623669</v>
      </c>
      <c r="E248" s="22" t="n">
        <f aca="false">100*(E114-E113)</f>
        <v>4.9319178794645</v>
      </c>
      <c r="F248" s="22" t="n">
        <f aca="false">100*(F114-F113)</f>
        <v>4.70675871471222</v>
      </c>
      <c r="G248" s="22" t="n">
        <f aca="false">100*(G114-G113)</f>
        <v>4.46898515568339</v>
      </c>
      <c r="H248" s="22" t="n">
        <f aca="false">100*(H114-H113)</f>
        <v>4.21442965832699</v>
      </c>
      <c r="I248" s="22" t="n">
        <f aca="false">100*(I114-I113)</f>
        <v>3.94209591474071</v>
      </c>
      <c r="J248" s="22" t="n">
        <f aca="false">100*(J114-J113)</f>
        <v>3.65427357350607</v>
      </c>
      <c r="K248" s="22" t="n">
        <f aca="false">100*(K114-K113)</f>
        <v>3.35587071133738</v>
      </c>
      <c r="L248" s="22" t="n">
        <f aca="false">100*(L114-L113)</f>
        <v>3.05312986000437</v>
      </c>
      <c r="M248" s="22" t="n">
        <f aca="false">100*(M114-M113)</f>
        <v>2.7536049443186</v>
      </c>
      <c r="N248" s="22" t="n">
        <f aca="false">100*(N114-N113)</f>
        <v>2.46475054845829</v>
      </c>
      <c r="O248" s="22" t="n">
        <f aca="false">100*(O114-O113)</f>
        <v>2.19316497348099</v>
      </c>
      <c r="P248" s="22" t="n">
        <f aca="false">100*(P114-P113)</f>
        <v>1.94397746281232</v>
      </c>
      <c r="Q248" s="22" t="n">
        <f aca="false">100*(Q114-Q113)</f>
        <v>1.7206486264278</v>
      </c>
      <c r="R248" s="22" t="n">
        <f aca="false">100*(R114-R113)</f>
        <v>1.52499827572758</v>
      </c>
      <c r="S248" s="22" t="n">
        <f aca="false">100*(S114-S113)</f>
        <v>1.35743056009288</v>
      </c>
      <c r="T248" s="22" t="n">
        <f aca="false">100*(T114-T113)</f>
        <v>1.21715167040528</v>
      </c>
      <c r="U248" s="22" t="n">
        <f aca="false">100*(U114-U113)</f>
        <v>1.10273412425612</v>
      </c>
      <c r="V248" s="22" t="n">
        <f aca="false">100*(V114-V113)</f>
        <v>1.01226315550291</v>
      </c>
      <c r="W248" s="22" t="n">
        <f aca="false">100*(W114-W113)</f>
        <v>0.943435736384979</v>
      </c>
      <c r="X248" s="22" t="n">
        <f aca="false">100*(X114-X113)</f>
        <v>0.893684958573893</v>
      </c>
      <c r="Y248" s="22" t="n">
        <f aca="false">100*(Y114-Y113)</f>
        <v>0.860477104725499</v>
      </c>
      <c r="Z248" s="22" t="n">
        <f aca="false">100*(Z114-Z113)</f>
        <v>0.841396858713184</v>
      </c>
      <c r="AA248" s="22" t="n">
        <f aca="false">100*(AA114-AA113)</f>
        <v>0.834152339514871</v>
      </c>
      <c r="AB248" s="22" t="n">
        <f aca="false">100*(AB114-AB113)</f>
        <v>0.836658765654086</v>
      </c>
      <c r="AC248" s="22" t="n">
        <f aca="false">100*(AC114-AC113)</f>
        <v>0.847079881843182</v>
      </c>
      <c r="AD248" s="22" t="n">
        <f aca="false">100*(AD114-AD113)</f>
        <v>0.863793367175791</v>
      </c>
      <c r="AE248" s="22" t="n">
        <f aca="false">100*(AE114-AE113)</f>
        <v>0.885357407879717</v>
      </c>
      <c r="AF248" s="22" t="n">
        <f aca="false">100*(AF114-AF113)</f>
        <v>0.910485477026413</v>
      </c>
      <c r="AG248" s="22" t="n">
        <f aca="false">100*(AG114-AG113)</f>
        <v>0.938109046038527</v>
      </c>
      <c r="AH248" s="22" t="n">
        <f aca="false">100*(AH114-AH113)</f>
        <v>0.967373018881901</v>
      </c>
      <c r="AI248" s="22" t="n">
        <f aca="false">100*(AI114-AI113)</f>
        <v>0.997515880834321</v>
      </c>
      <c r="AJ248" s="22" t="n">
        <f aca="false">100*(AJ114-AJ113)</f>
        <v>1.02787639198234</v>
      </c>
      <c r="AK248" s="22" t="n">
        <f aca="false">100*(AK114-AK113)</f>
        <v>1.05787343496249</v>
      </c>
      <c r="AL248" s="22" t="n">
        <f aca="false">100*(AL114-AL113)</f>
        <v>1.08697738082961</v>
      </c>
      <c r="AM248" s="22" t="n">
        <f aca="false">100*(AM114-AM113)</f>
        <v>1.11470667810161</v>
      </c>
      <c r="AN248" s="22" t="n">
        <f aca="false">100*(AN114-AN113)</f>
        <v>1.14062949269607</v>
      </c>
      <c r="AO248" s="22" t="n">
        <f aca="false">100*(AO114-AO113)</f>
        <v>1.16436341059947</v>
      </c>
      <c r="AP248" s="22" t="n">
        <f aca="false">100*(AP114-AP113)</f>
        <v>1.18557580756922</v>
      </c>
      <c r="AQ248" s="22" t="n">
        <f aca="false">100*(AQ114-AQ113)</f>
        <v>1.20398117614666</v>
      </c>
      <c r="AR248" s="22" t="n">
        <f aca="false">100*(AR114-AR113)</f>
        <v>1.21934938917239</v>
      </c>
      <c r="AS248" s="22" t="n">
        <f aca="false">100*(AS114-AS113)</f>
        <v>1.23150443861109</v>
      </c>
      <c r="AT248" s="22" t="n">
        <f aca="false">100*(AT114-AT113)</f>
        <v>1.24031921679082</v>
      </c>
      <c r="AU248" s="22" t="n">
        <f aca="false">100*(AU114-AU113)</f>
        <v>1.24571149421682</v>
      </c>
      <c r="AV248" s="22" t="n">
        <f aca="false">100*(AV114-AV113)</f>
        <v>1.24763806768979</v>
      </c>
      <c r="AW248" s="22" t="n">
        <f aca="false">100*(AW114-AW113)</f>
        <v>1.24609182713358</v>
      </c>
      <c r="AX248" s="22" t="n">
        <f aca="false">100*(AX114-AX113)</f>
        <v>1.24109799293048</v>
      </c>
      <c r="AY248" s="22" t="n">
        <f aca="false">100*(AY114-AY113)</f>
        <v>1.23271130923293</v>
      </c>
      <c r="AZ248" s="22" t="n">
        <f aca="false">100*(AZ114-AZ113)</f>
        <v>1.22101662414327</v>
      </c>
      <c r="BA248" s="22" t="n">
        <f aca="false">100*(BA114-BA113)</f>
        <v>1.20612588347151</v>
      </c>
      <c r="BB248" s="22" t="n">
        <f aca="false">100*(BB114-BB113)</f>
        <v>1.1881761408032</v>
      </c>
      <c r="BC248" s="22" t="n">
        <f aca="false">100*(BC114-BC113)</f>
        <v>1.16732925844403</v>
      </c>
      <c r="BD248" s="22" t="n">
        <f aca="false">100*(BD114-BD113)</f>
        <v>1.14377162378929</v>
      </c>
      <c r="BE248" s="22" t="n">
        <f aca="false">100*(BE114-BE113)</f>
        <v>1.11771030116521</v>
      </c>
      <c r="BF248" s="22" t="n">
        <f aca="false">100*(BF114-BF113)</f>
        <v>1.08936993419224</v>
      </c>
      <c r="BG248" s="22" t="n">
        <f aca="false">100*(BG114-BG113)</f>
        <v>1.05899140883161</v>
      </c>
      <c r="BH248" s="22" t="n">
        <f aca="false">AVERAGE(C248:BG248)</f>
        <v>1.75109894446917</v>
      </c>
    </row>
    <row r="249" customFormat="false" ht="15" hidden="false" customHeight="false" outlineLevel="0" collapsed="false">
      <c r="A249" s="20" t="n">
        <f aca="false">A115</f>
        <v>-10</v>
      </c>
      <c r="B249" s="21" t="n">
        <f aca="false">B115</f>
        <v>44824</v>
      </c>
      <c r="C249" s="22" t="n">
        <f aca="false">100*(C115-C114)</f>
        <v>16.2516526019227</v>
      </c>
      <c r="D249" s="22" t="n">
        <f aca="false">100*(D115-D114)</f>
        <v>16.1563232151219</v>
      </c>
      <c r="E249" s="22" t="n">
        <f aca="false">100*(E115-E114)</f>
        <v>16.0445060026165</v>
      </c>
      <c r="F249" s="22" t="n">
        <f aca="false">100*(F115-F114)</f>
        <v>15.9120348724604</v>
      </c>
      <c r="G249" s="22" t="n">
        <f aca="false">100*(G115-G114)</f>
        <v>15.7566412902181</v>
      </c>
      <c r="H249" s="22" t="n">
        <f aca="false">100*(H115-H114)</f>
        <v>15.5788413907888</v>
      </c>
      <c r="I249" s="22" t="n">
        <f aca="false">100*(I115-I114)</f>
        <v>15.3809469170866</v>
      </c>
      <c r="J249" s="22" t="n">
        <f aca="false">100*(J115-J114)</f>
        <v>15.166293337888</v>
      </c>
      <c r="K249" s="22" t="n">
        <f aca="false">100*(K115-K114)</f>
        <v>14.938727756062</v>
      </c>
      <c r="L249" s="22" t="n">
        <f aca="false">100*(L115-L114)</f>
        <v>14.7022362782677</v>
      </c>
      <c r="M249" s="22" t="n">
        <f aca="false">100*(M115-M114)</f>
        <v>14.4606341700488</v>
      </c>
      <c r="N249" s="22" t="n">
        <f aca="false">100*(N115-N114)</f>
        <v>14.2175066924611</v>
      </c>
      <c r="O249" s="22" t="n">
        <f aca="false">100*(O115-O114)</f>
        <v>13.9760213981325</v>
      </c>
      <c r="P249" s="22" t="n">
        <f aca="false">100*(P115-P114)</f>
        <v>13.7389101108646</v>
      </c>
      <c r="Q249" s="22" t="n">
        <f aca="false">100*(Q115-Q114)</f>
        <v>13.508423992776</v>
      </c>
      <c r="R249" s="22" t="n">
        <f aca="false">100*(R115-R114)</f>
        <v>13.2863511015219</v>
      </c>
      <c r="S249" s="22" t="n">
        <f aca="false">100*(S115-S114)</f>
        <v>13.0740945802544</v>
      </c>
      <c r="T249" s="22" t="n">
        <f aca="false">100*(T115-T114)</f>
        <v>12.8727335611417</v>
      </c>
      <c r="U249" s="22" t="n">
        <f aca="false">100*(U115-U114)</f>
        <v>12.6831072706819</v>
      </c>
      <c r="V249" s="22" t="n">
        <f aca="false">100*(V115-V114)</f>
        <v>12.5058473487855</v>
      </c>
      <c r="W249" s="22" t="n">
        <f aca="false">100*(W115-W114)</f>
        <v>12.3414203113405</v>
      </c>
      <c r="X249" s="22" t="n">
        <f aca="false">100*(X115-X114)</f>
        <v>12.1901653895402</v>
      </c>
      <c r="Y249" s="22" t="n">
        <f aca="false">100*(Y115-Y114)</f>
        <v>12.052313305712</v>
      </c>
      <c r="Z249" s="22" t="n">
        <f aca="false">100*(Z115-Z114)</f>
        <v>11.9279534753005</v>
      </c>
      <c r="AA249" s="22" t="n">
        <f aca="false">100*(AA115-AA114)</f>
        <v>11.8169753565661</v>
      </c>
      <c r="AB249" s="22" t="n">
        <f aca="false">100*(AB115-AB114)</f>
        <v>11.7190793844385</v>
      </c>
      <c r="AC249" s="22" t="n">
        <f aca="false">100*(AC115-AC114)</f>
        <v>11.6338217138317</v>
      </c>
      <c r="AD249" s="22" t="n">
        <f aca="false">100*(AD115-AD114)</f>
        <v>11.5606384556219</v>
      </c>
      <c r="AE249" s="22" t="n">
        <f aca="false">100*(AE115-AE114)</f>
        <v>11.4988644335274</v>
      </c>
      <c r="AF249" s="22" t="n">
        <f aca="false">100*(AF115-AF114)</f>
        <v>11.447748524371</v>
      </c>
      <c r="AG249" s="22" t="n">
        <f aca="false">100*(AG115-AG114)</f>
        <v>11.4064739308036</v>
      </c>
      <c r="AH249" s="22" t="n">
        <f aca="false">100*(AH115-AH114)</f>
        <v>11.3742004074678</v>
      </c>
      <c r="AI249" s="22" t="n">
        <f aca="false">100*(AI115-AI114)</f>
        <v>11.3500854292576</v>
      </c>
      <c r="AJ249" s="22" t="n">
        <f aca="false">100*(AJ115-AJ114)</f>
        <v>11.3332888541233</v>
      </c>
      <c r="AK249" s="22" t="n">
        <f aca="false">100*(AK115-AK114)</f>
        <v>11.3229822777726</v>
      </c>
      <c r="AL249" s="22" t="n">
        <f aca="false">100*(AL115-AL114)</f>
        <v>11.3183740770814</v>
      </c>
      <c r="AM249" s="22" t="n">
        <f aca="false">100*(AM115-AM114)</f>
        <v>11.3187151925649</v>
      </c>
      <c r="AN249" s="22" t="n">
        <f aca="false">100*(AN115-AN114)</f>
        <v>11.3232967219984</v>
      </c>
      <c r="AO249" s="22" t="n">
        <f aca="false">100*(AO115-AO114)</f>
        <v>11.3314449316715</v>
      </c>
      <c r="AP249" s="22" t="n">
        <f aca="false">100*(AP115-AP114)</f>
        <v>11.34251395052</v>
      </c>
      <c r="AQ249" s="22" t="n">
        <f aca="false">100*(AQ115-AQ114)</f>
        <v>11.3558813408497</v>
      </c>
      <c r="AR249" s="22" t="n">
        <f aca="false">100*(AR115-AR114)</f>
        <v>11.3709456386796</v>
      </c>
      <c r="AS249" s="22" t="n">
        <f aca="false">100*(AS115-AS114)</f>
        <v>11.3871250072975</v>
      </c>
      <c r="AT249" s="22" t="n">
        <f aca="false">100*(AT115-AT114)</f>
        <v>11.4038625443504</v>
      </c>
      <c r="AU249" s="22" t="n">
        <f aca="false">100*(AU115-AU114)</f>
        <v>11.4206293839193</v>
      </c>
      <c r="AV249" s="22" t="n">
        <f aca="false">100*(AV115-AV114)</f>
        <v>11.4369307231282</v>
      </c>
      <c r="AW249" s="22" t="n">
        <f aca="false">100*(AW115-AW114)</f>
        <v>11.4523096821312</v>
      </c>
      <c r="AX249" s="22" t="n">
        <f aca="false">100*(AX115-AX114)</f>
        <v>11.4663511289126</v>
      </c>
      <c r="AY249" s="22" t="n">
        <f aca="false">100*(AY115-AY114)</f>
        <v>11.4786914229359</v>
      </c>
      <c r="AZ249" s="22" t="n">
        <f aca="false">100*(AZ115-AZ114)</f>
        <v>11.4890206250369</v>
      </c>
      <c r="BA249" s="22" t="n">
        <f aca="false">100*(BA115-BA114)</f>
        <v>11.4970786711786</v>
      </c>
      <c r="BB249" s="22" t="n">
        <f aca="false">100*(BB115-BB114)</f>
        <v>11.5026559361212</v>
      </c>
      <c r="BC249" s="22" t="n">
        <f aca="false">100*(BC115-BC114)</f>
        <v>11.5055915881462</v>
      </c>
      <c r="BD249" s="22" t="n">
        <f aca="false">100*(BD115-BD114)</f>
        <v>11.5057692645554</v>
      </c>
      <c r="BE249" s="22" t="n">
        <f aca="false">100*(BE115-BE114)</f>
        <v>11.5031130490136</v>
      </c>
      <c r="BF249" s="22" t="n">
        <f aca="false">100*(BF115-BF114)</f>
        <v>11.4975840771484</v>
      </c>
      <c r="BG249" s="22" t="n">
        <f aca="false">100*(BG115-BG114)</f>
        <v>11.4891755513171</v>
      </c>
      <c r="BH249" s="22" t="n">
        <f aca="false">AVERAGE(C249:BG249)</f>
        <v>12.5716650113567</v>
      </c>
    </row>
    <row r="250" customFormat="false" ht="15" hidden="false" customHeight="false" outlineLevel="0" collapsed="false">
      <c r="A250" s="20" t="n">
        <f aca="false">A116</f>
        <v>-9</v>
      </c>
      <c r="B250" s="21" t="n">
        <f aca="false">B116</f>
        <v>44825</v>
      </c>
      <c r="C250" s="22" t="n">
        <f aca="false">100*(C116-C115)</f>
        <v>8.10793537244718</v>
      </c>
      <c r="D250" s="22" t="n">
        <f aca="false">100*(D116-D115)</f>
        <v>8.41556234730398</v>
      </c>
      <c r="E250" s="22" t="n">
        <f aca="false">100*(E116-E115)</f>
        <v>8.53272473986393</v>
      </c>
      <c r="F250" s="22" t="n">
        <f aca="false">100*(F116-F115)</f>
        <v>8.49345272578943</v>
      </c>
      <c r="G250" s="22" t="n">
        <f aca="false">100*(G116-G115)</f>
        <v>8.3343503334476</v>
      </c>
      <c r="H250" s="22" t="n">
        <f aca="false">100*(H116-H115)</f>
        <v>8.08307014675678</v>
      </c>
      <c r="I250" s="22" t="n">
        <f aca="false">100*(I116-I115)</f>
        <v>7.76030731323418</v>
      </c>
      <c r="J250" s="22" t="n">
        <f aca="false">100*(J116-J115)</f>
        <v>7.38233574266327</v>
      </c>
      <c r="K250" s="22" t="n">
        <f aca="false">100*(K116-K115)</f>
        <v>6.96264026869979</v>
      </c>
      <c r="L250" s="22" t="n">
        <f aca="false">100*(L116-L115)</f>
        <v>6.5129909318272</v>
      </c>
      <c r="M250" s="22" t="n">
        <f aca="false">100*(M116-M115)</f>
        <v>6.0440029091283</v>
      </c>
      <c r="N250" s="22" t="n">
        <f aca="false">100*(N116-N115)</f>
        <v>5.5655075664288</v>
      </c>
      <c r="O250" s="22" t="n">
        <f aca="false">100*(O116-O115)</f>
        <v>5.08645942167063</v>
      </c>
      <c r="P250" s="22" t="n">
        <f aca="false">100*(P116-P115)</f>
        <v>4.61495254976043</v>
      </c>
      <c r="Q250" s="22" t="n">
        <f aca="false">100*(Q116-Q115)</f>
        <v>4.15814556827372</v>
      </c>
      <c r="R250" s="22" t="n">
        <f aca="false">100*(R116-R115)</f>
        <v>3.72209547360129</v>
      </c>
      <c r="S250" s="22" t="n">
        <f aca="false">100*(S116-S115)</f>
        <v>3.3116432721247</v>
      </c>
      <c r="T250" s="22" t="n">
        <f aca="false">100*(T116-T115)</f>
        <v>2.9303811063953</v>
      </c>
      <c r="U250" s="22" t="n">
        <f aca="false">100*(U116-U115)</f>
        <v>2.5806597072525</v>
      </c>
      <c r="V250" s="22" t="n">
        <f aca="false">100*(V116-V115)</f>
        <v>2.26376734561811</v>
      </c>
      <c r="W250" s="22" t="n">
        <f aca="false">100*(W116-W115)</f>
        <v>1.98014984478148</v>
      </c>
      <c r="X250" s="22" t="n">
        <f aca="false">100*(X116-X115)</f>
        <v>1.72957996602969</v>
      </c>
      <c r="Y250" s="22" t="n">
        <f aca="false">100*(Y116-Y115)</f>
        <v>1.51124636298658</v>
      </c>
      <c r="Z250" s="22" t="n">
        <f aca="false">100*(Z116-Z115)</f>
        <v>1.32378390633838</v>
      </c>
      <c r="AA250" s="22" t="n">
        <f aca="false">100*(AA116-AA115)</f>
        <v>1.16532282188637</v>
      </c>
      <c r="AB250" s="22" t="n">
        <f aca="false">100*(AB116-AB115)</f>
        <v>1.03370151998408</v>
      </c>
      <c r="AC250" s="22" t="n">
        <f aca="false">100*(AC116-AC115)</f>
        <v>0.926643147846207</v>
      </c>
      <c r="AD250" s="22" t="n">
        <f aca="false">100*(AD116-AD115)</f>
        <v>0.841783305584887</v>
      </c>
      <c r="AE250" s="22" t="n">
        <f aca="false">100*(AE116-AE115)</f>
        <v>0.776683725446103</v>
      </c>
      <c r="AF250" s="22" t="n">
        <f aca="false">100*(AF116-AF115)</f>
        <v>0.72884625927987</v>
      </c>
      <c r="AG250" s="22" t="n">
        <f aca="false">100*(AG116-AG115)</f>
        <v>0.695828565403733</v>
      </c>
      <c r="AH250" s="22" t="n">
        <f aca="false">100*(AH116-AH115)</f>
        <v>0.675375007205892</v>
      </c>
      <c r="AI250" s="22" t="n">
        <f aca="false">100*(AI116-AI115)</f>
        <v>0.665380727374298</v>
      </c>
      <c r="AJ250" s="22" t="n">
        <f aca="false">100*(AJ116-AJ115)</f>
        <v>0.663889780375992</v>
      </c>
      <c r="AK250" s="22" t="n">
        <f aca="false">100*(AK116-AK115)</f>
        <v>0.669089309056981</v>
      </c>
      <c r="AL250" s="22" t="n">
        <f aca="false">100*(AL116-AL115)</f>
        <v>0.679324311156293</v>
      </c>
      <c r="AM250" s="22" t="n">
        <f aca="false">100*(AM116-AM115)</f>
        <v>0.693094245304904</v>
      </c>
      <c r="AN250" s="22" t="n">
        <f aca="false">100*(AN116-AN115)</f>
        <v>0.70904346774201</v>
      </c>
      <c r="AO250" s="22" t="n">
        <f aca="false">100*(AO116-AO115)</f>
        <v>0.725949019300876</v>
      </c>
      <c r="AP250" s="22" t="n">
        <f aca="false">100*(AP116-AP115)</f>
        <v>0.742713328916489</v>
      </c>
      <c r="AQ250" s="22" t="n">
        <f aca="false">100*(AQ116-AQ115)</f>
        <v>0.758353933881084</v>
      </c>
      <c r="AR250" s="22" t="n">
        <f aca="false">100*(AR116-AR115)</f>
        <v>0.772000081342394</v>
      </c>
      <c r="AS250" s="22" t="n">
        <f aca="false">100*(AS116-AS115)</f>
        <v>0.782886571031538</v>
      </c>
      <c r="AT250" s="22" t="n">
        <f aca="false">100*(AT116-AT115)</f>
        <v>0.790351899847108</v>
      </c>
      <c r="AU250" s="22" t="n">
        <f aca="false">100*(AU116-AU115)</f>
        <v>0.79383370524031</v>
      </c>
      <c r="AV250" s="22" t="n">
        <f aca="false">100*(AV116-AV115)</f>
        <v>0.792865669773502</v>
      </c>
      <c r="AW250" s="22" t="n">
        <f aca="false">100*(AW116-AW115)</f>
        <v>0.787072482855411</v>
      </c>
      <c r="AX250" s="22" t="n">
        <f aca="false">100*(AX116-AX115)</f>
        <v>0.776163205848501</v>
      </c>
      <c r="AY250" s="22" t="n">
        <f aca="false">100*(AY116-AY115)</f>
        <v>0.759930291995214</v>
      </c>
      <c r="AZ250" s="22" t="n">
        <f aca="false">100*(AZ116-AZ115)</f>
        <v>0.738245908041124</v>
      </c>
      <c r="BA250" s="22" t="n">
        <f aca="false">100*(BA116-BA115)</f>
        <v>0.711055406162986</v>
      </c>
      <c r="BB250" s="22" t="n">
        <f aca="false">100*(BB116-BB115)</f>
        <v>0.678374706189677</v>
      </c>
      <c r="BC250" s="22" t="n">
        <f aca="false">100*(BC116-BC115)</f>
        <v>0.640286337960516</v>
      </c>
      <c r="BD250" s="22" t="n">
        <f aca="false">100*(BD116-BD115)</f>
        <v>0.596933752865025</v>
      </c>
      <c r="BE250" s="22" t="n">
        <f aca="false">100*(BE116-BE115)</f>
        <v>0.548514689326307</v>
      </c>
      <c r="BF250" s="22" t="n">
        <f aca="false">100*(BF116-BF115)</f>
        <v>0.495274594500117</v>
      </c>
      <c r="BG250" s="22" t="n">
        <f aca="false">100*(BG116-BG115)</f>
        <v>0.43750042120152</v>
      </c>
      <c r="BH250" s="22" t="n">
        <f aca="false">AVERAGE(C250:BG250)</f>
        <v>2.62561503723422</v>
      </c>
    </row>
    <row r="251" customFormat="false" ht="15" hidden="false" customHeight="false" outlineLevel="0" collapsed="false">
      <c r="A251" s="20" t="n">
        <f aca="false">A117</f>
        <v>-8</v>
      </c>
      <c r="B251" s="21" t="n">
        <f aca="false">B117</f>
        <v>44826</v>
      </c>
      <c r="C251" s="22" t="n">
        <f aca="false">100*(C117-C116)</f>
        <v>14.0051557737208</v>
      </c>
      <c r="D251" s="22" t="n">
        <f aca="false">100*(D117-D116)</f>
        <v>15.4657713164744</v>
      </c>
      <c r="E251" s="22" t="n">
        <f aca="false">100*(E117-E116)</f>
        <v>16.4826099024595</v>
      </c>
      <c r="F251" s="22" t="n">
        <f aca="false">100*(F117-F116)</f>
        <v>17.2282936051157</v>
      </c>
      <c r="G251" s="22" t="n">
        <f aca="false">100*(G117-G116)</f>
        <v>17.7876830773546</v>
      </c>
      <c r="H251" s="22" t="n">
        <f aca="false">100*(H117-H116)</f>
        <v>18.2056941457929</v>
      </c>
      <c r="I251" s="22" t="n">
        <f aca="false">100*(I117-I116)</f>
        <v>18.5086109352733</v>
      </c>
      <c r="J251" s="22" t="n">
        <f aca="false">100*(J117-J116)</f>
        <v>18.7141245980017</v>
      </c>
      <c r="K251" s="22" t="n">
        <f aca="false">100*(K117-K116)</f>
        <v>18.8361116981378</v>
      </c>
      <c r="L251" s="22" t="n">
        <f aca="false">100*(L117-L116)</f>
        <v>18.8869128986156</v>
      </c>
      <c r="M251" s="22" t="n">
        <f aca="false">100*(M117-M116)</f>
        <v>18.8782672987324</v>
      </c>
      <c r="N251" s="22" t="n">
        <f aca="false">100*(N117-N116)</f>
        <v>18.8220525033371</v>
      </c>
      <c r="O251" s="22" t="n">
        <f aca="false">100*(O117-O116)</f>
        <v>18.729930383225</v>
      </c>
      <c r="P251" s="22" t="n">
        <f aca="false">100*(P117-P116)</f>
        <v>18.612983304805</v>
      </c>
      <c r="Q251" s="22" t="n">
        <f aca="false">100*(Q117-Q116)</f>
        <v>18.4813021863863</v>
      </c>
      <c r="R251" s="22" t="n">
        <f aca="false">100*(R117-R116)</f>
        <v>18.3435762678728</v>
      </c>
      <c r="S251" s="22" t="n">
        <f aca="false">100*(S117-S116)</f>
        <v>18.2069606400562</v>
      </c>
      <c r="T251" s="22" t="n">
        <f aca="false">100*(T117-T116)</f>
        <v>18.0771553204876</v>
      </c>
      <c r="U251" s="22" t="n">
        <f aca="false">100*(U117-U116)</f>
        <v>17.9582843842544</v>
      </c>
      <c r="V251" s="22" t="n">
        <f aca="false">100*(V117-V116)</f>
        <v>17.8530769569302</v>
      </c>
      <c r="W251" s="22" t="n">
        <f aca="false">100*(W117-W116)</f>
        <v>17.7631559729544</v>
      </c>
      <c r="X251" s="22" t="n">
        <f aca="false">100*(X117-X116)</f>
        <v>17.689247938124</v>
      </c>
      <c r="Y251" s="22" t="n">
        <f aca="false">100*(Y117-Y116)</f>
        <v>17.6312086974163</v>
      </c>
      <c r="Z251" s="22" t="n">
        <f aca="false">100*(Z117-Z116)</f>
        <v>17.5880303924782</v>
      </c>
      <c r="AA251" s="22" t="n">
        <f aca="false">100*(AA117-AA116)</f>
        <v>17.5580099056713</v>
      </c>
      <c r="AB251" s="22" t="n">
        <f aca="false">100*(AB117-AB116)</f>
        <v>17.5391803090755</v>
      </c>
      <c r="AC251" s="22" t="n">
        <f aca="false">100*(AC117-AC116)</f>
        <v>17.5296109091444</v>
      </c>
      <c r="AD251" s="22" t="n">
        <f aca="false">100*(AD117-AD116)</f>
        <v>17.5274191950681</v>
      </c>
      <c r="AE251" s="22" t="n">
        <f aca="false">100*(AE117-AE116)</f>
        <v>17.5307633102206</v>
      </c>
      <c r="AF251" s="22" t="n">
        <f aca="false">100*(AF117-AF116)</f>
        <v>17.5378412986619</v>
      </c>
      <c r="AG251" s="22" t="n">
        <f aca="false">100*(AG117-AG116)</f>
        <v>17.5470735881566</v>
      </c>
      <c r="AH251" s="22" t="n">
        <f aca="false">100*(AH117-AH116)</f>
        <v>17.5572783903815</v>
      </c>
      <c r="AI251" s="22" t="n">
        <f aca="false">100*(AI117-AI116)</f>
        <v>17.5675735968517</v>
      </c>
      <c r="AJ251" s="22" t="n">
        <f aca="false">100*(AJ117-AJ116)</f>
        <v>17.5773650364003</v>
      </c>
      <c r="AK251" s="22" t="n">
        <f aca="false">100*(AK117-AK116)</f>
        <v>17.5863178687813</v>
      </c>
      <c r="AL251" s="22" t="n">
        <f aca="false">100*(AL117-AL116)</f>
        <v>17.5943405778996</v>
      </c>
      <c r="AM251" s="22" t="n">
        <f aca="false">100*(AM117-AM116)</f>
        <v>17.6015467406597</v>
      </c>
      <c r="AN251" s="22" t="n">
        <f aca="false">100*(AN117-AN116)</f>
        <v>17.6082096247335</v>
      </c>
      <c r="AO251" s="22" t="n">
        <f aca="false">100*(AO117-AO116)</f>
        <v>17.6147196834761</v>
      </c>
      <c r="AP251" s="22" t="n">
        <f aca="false">100*(AP117-AP116)</f>
        <v>17.6215160381626</v>
      </c>
      <c r="AQ251" s="22" t="n">
        <f aca="false">100*(AQ117-AQ116)</f>
        <v>17.6290530638268</v>
      </c>
      <c r="AR251" s="22" t="n">
        <f aca="false">100*(AR117-AR116)</f>
        <v>17.6377423711245</v>
      </c>
      <c r="AS251" s="22" t="n">
        <f aca="false">100*(AS117-AS116)</f>
        <v>17.6479242465896</v>
      </c>
      <c r="AT251" s="22" t="n">
        <f aca="false">100*(AT117-AT116)</f>
        <v>17.6598519602745</v>
      </c>
      <c r="AU251" s="22" t="n">
        <f aca="false">100*(AU117-AU116)</f>
        <v>17.6736872917405</v>
      </c>
      <c r="AV251" s="22" t="n">
        <f aca="false">100*(AV117-AV116)</f>
        <v>17.6894969898551</v>
      </c>
      <c r="AW251" s="22" t="n">
        <f aca="false">100*(AW117-AW116)</f>
        <v>17.7072540617709</v>
      </c>
      <c r="AX251" s="22" t="n">
        <f aca="false">100*(AX117-AX116)</f>
        <v>17.7268456818348</v>
      </c>
      <c r="AY251" s="22" t="n">
        <f aca="false">100*(AY117-AY116)</f>
        <v>17.7480948628544</v>
      </c>
      <c r="AZ251" s="22" t="n">
        <f aca="false">100*(AZ117-AZ116)</f>
        <v>17.7707743923827</v>
      </c>
      <c r="BA251" s="22" t="n">
        <f aca="false">100*(BA117-BA116)</f>
        <v>17.7946133693421</v>
      </c>
      <c r="BB251" s="22" t="n">
        <f aca="false">100*(BB117-BB116)</f>
        <v>17.8193095828529</v>
      </c>
      <c r="BC251" s="22" t="n">
        <f aca="false">100*(BC117-BC116)</f>
        <v>17.8445379416395</v>
      </c>
      <c r="BD251" s="22" t="n">
        <f aca="false">100*(BD117-BD116)</f>
        <v>17.8699558430484</v>
      </c>
      <c r="BE251" s="22" t="n">
        <f aca="false">100*(BE117-BE116)</f>
        <v>17.8952078326025</v>
      </c>
      <c r="BF251" s="22" t="n">
        <f aca="false">100*(BF117-BF116)</f>
        <v>17.9199312014952</v>
      </c>
      <c r="BG251" s="22" t="n">
        <f aca="false">100*(BG117-BG116)</f>
        <v>17.943759288031</v>
      </c>
      <c r="BH251" s="22" t="n">
        <f aca="false">AVERAGE(C251:BG251)</f>
        <v>17.7514562500459</v>
      </c>
    </row>
    <row r="252" customFormat="false" ht="15" hidden="false" customHeight="false" outlineLevel="0" collapsed="false">
      <c r="A252" s="20" t="n">
        <f aca="false">A118</f>
        <v>-7</v>
      </c>
      <c r="B252" s="21" t="n">
        <f aca="false">B118</f>
        <v>44827</v>
      </c>
      <c r="C252" s="22" t="n">
        <f aca="false">100*(C118-C117)</f>
        <v>45.2729578624624</v>
      </c>
      <c r="D252" s="22" t="n">
        <f aca="false">100*(D118-D117)</f>
        <v>48.212573235127</v>
      </c>
      <c r="E252" s="22" t="n">
        <f aca="false">100*(E118-E117)</f>
        <v>49.6352616521531</v>
      </c>
      <c r="F252" s="22" t="n">
        <f aca="false">100*(F118-F117)</f>
        <v>49.9421626856459</v>
      </c>
      <c r="G252" s="22" t="n">
        <f aca="false">100*(G118-G117)</f>
        <v>49.4434601356667</v>
      </c>
      <c r="H252" s="22" t="n">
        <f aca="false">100*(H118-H117)</f>
        <v>48.3737516770256</v>
      </c>
      <c r="I252" s="22" t="n">
        <f aca="false">100*(I118-I117)</f>
        <v>46.9106793286261</v>
      </c>
      <c r="J252" s="22" t="n">
        <f aca="false">100*(J118-J117)</f>
        <v>45.1882691983575</v>
      </c>
      <c r="K252" s="22" t="n">
        <f aca="false">100*(K118-K117)</f>
        <v>43.3083210824603</v>
      </c>
      <c r="L252" s="22" t="n">
        <f aca="false">100*(L118-L117)</f>
        <v>41.3492487555992</v>
      </c>
      <c r="M252" s="22" t="n">
        <f aca="false">100*(M118-M117)</f>
        <v>39.3720884250032</v>
      </c>
      <c r="N252" s="22" t="n">
        <f aca="false">100*(N118-N117)</f>
        <v>37.4244519365498</v>
      </c>
      <c r="O252" s="22" t="n">
        <f aca="false">100*(O118-O117)</f>
        <v>35.5426070514224</v>
      </c>
      <c r="P252" s="22" t="n">
        <f aca="false">100*(P118-P117)</f>
        <v>33.7534869116656</v>
      </c>
      <c r="Q252" s="22" t="n">
        <f aca="false">100*(Q118-Q117)</f>
        <v>32.0760349785482</v>
      </c>
      <c r="R252" s="22" t="n">
        <f aca="false">100*(R118-R117)</f>
        <v>30.5225004397592</v>
      </c>
      <c r="S252" s="22" t="n">
        <f aca="false">100*(S118-S117)</f>
        <v>29.0997244706161</v>
      </c>
      <c r="T252" s="22" t="n">
        <f aca="false">100*(T118-T117)</f>
        <v>27.8101595157322</v>
      </c>
      <c r="U252" s="22" t="n">
        <f aca="false">100*(U118-U117)</f>
        <v>26.6531508351156</v>
      </c>
      <c r="V252" s="22" t="n">
        <f aca="false">100*(V118-V117)</f>
        <v>25.6256501134893</v>
      </c>
      <c r="W252" s="22" t="n">
        <f aca="false">100*(W118-W117)</f>
        <v>24.7227129774036</v>
      </c>
      <c r="X252" s="22" t="n">
        <f aca="false">100*(X118-X117)</f>
        <v>23.9379371892487</v>
      </c>
      <c r="Y252" s="22" t="n">
        <f aca="false">100*(Y118-Y117)</f>
        <v>23.2640958900966</v>
      </c>
      <c r="Z252" s="22" t="n">
        <f aca="false">100*(Z118-Z117)</f>
        <v>22.6934103059341</v>
      </c>
      <c r="AA252" s="22" t="n">
        <f aca="false">100*(AA118-AA117)</f>
        <v>22.2173802704579</v>
      </c>
      <c r="AB252" s="22" t="n">
        <f aca="false">100*(AB118-AB117)</f>
        <v>21.8273086015913</v>
      </c>
      <c r="AC252" s="22" t="n">
        <f aca="false">100*(AC118-AC117)</f>
        <v>21.5147634298098</v>
      </c>
      <c r="AD252" s="22" t="n">
        <f aca="false">100*(AD118-AD117)</f>
        <v>21.2715628642991</v>
      </c>
      <c r="AE252" s="22" t="n">
        <f aca="false">100*(AE118-AE117)</f>
        <v>21.089735933781</v>
      </c>
      <c r="AF252" s="22" t="n">
        <f aca="false">100*(AF118-AF117)</f>
        <v>20.9615016233811</v>
      </c>
      <c r="AG252" s="22" t="n">
        <f aca="false">100*(AG118-AG117)</f>
        <v>20.8795837858963</v>
      </c>
      <c r="AH252" s="22" t="n">
        <f aca="false">100*(AH118-AH117)</f>
        <v>20.8375030565528</v>
      </c>
      <c r="AI252" s="22" t="n">
        <f aca="false">100*(AI118-AI117)</f>
        <v>20.8293793195554</v>
      </c>
      <c r="AJ252" s="22" t="n">
        <f aca="false">100*(AJ118-AJ117)</f>
        <v>20.8498771261225</v>
      </c>
      <c r="AK252" s="22" t="n">
        <f aca="false">100*(AK118-AK117)</f>
        <v>20.8941520992124</v>
      </c>
      <c r="AL252" s="22" t="n">
        <f aca="false">100*(AL118-AL117)</f>
        <v>20.9578294490593</v>
      </c>
      <c r="AM252" s="22" t="n">
        <f aca="false">100*(AM118-AM117)</f>
        <v>21.0369650555514</v>
      </c>
      <c r="AN252" s="22" t="n">
        <f aca="false">100*(AN118-AN117)</f>
        <v>21.128002683757</v>
      </c>
      <c r="AO252" s="22" t="n">
        <f aca="false">100*(AO118-AO117)</f>
        <v>21.2277329875224</v>
      </c>
      <c r="AP252" s="22" t="n">
        <f aca="false">100*(AP118-AP117)</f>
        <v>21.3332597515836</v>
      </c>
      <c r="AQ252" s="22" t="n">
        <f aca="false">100*(AQ118-AQ117)</f>
        <v>21.4419694111621</v>
      </c>
      <c r="AR252" s="22" t="n">
        <f aca="false">100*(AR118-AR117)</f>
        <v>21.5515183708478</v>
      </c>
      <c r="AS252" s="22" t="n">
        <f aca="false">100*(AS118-AS117)</f>
        <v>21.6598154640528</v>
      </c>
      <c r="AT252" s="22" t="n">
        <f aca="false">100*(AT118-AT117)</f>
        <v>21.7650137028874</v>
      </c>
      <c r="AU252" s="22" t="n">
        <f aca="false">100*(AU118-AU117)</f>
        <v>21.865497417503</v>
      </c>
      <c r="AV252" s="22" t="n">
        <f aca="false">100*(AV118-AV117)</f>
        <v>21.959873231657</v>
      </c>
      <c r="AW252" s="22" t="n">
        <f aca="false">100*(AW118-AW117)</f>
        <v>22.0469575555185</v>
      </c>
      <c r="AX252" s="22" t="n">
        <f aca="false">100*(AX118-AX117)</f>
        <v>22.1257625266221</v>
      </c>
      <c r="AY252" s="22" t="n">
        <f aca="false">100*(AY118-AY117)</f>
        <v>22.1954971993381</v>
      </c>
      <c r="AZ252" s="22" t="n">
        <f aca="false">100*(AZ118-AZ117)</f>
        <v>22.2555599733832</v>
      </c>
      <c r="BA252" s="22" t="n">
        <f aca="false">100*(BA118-BA117)</f>
        <v>22.3055214472037</v>
      </c>
      <c r="BB252" s="22" t="n">
        <f aca="false">100*(BB118-BB117)</f>
        <v>22.3451102114187</v>
      </c>
      <c r="BC252" s="22" t="n">
        <f aca="false">100*(BC118-BC117)</f>
        <v>22.3741983303341</v>
      </c>
      <c r="BD252" s="22" t="n">
        <f aca="false">100*(BD118-BD117)</f>
        <v>22.3927846521261</v>
      </c>
      <c r="BE252" s="22" t="n">
        <f aca="false">100*(BE118-BE117)</f>
        <v>22.4009778834348</v>
      </c>
      <c r="BF252" s="22" t="n">
        <f aca="false">100*(BF118-BF117)</f>
        <v>22.3989808148327</v>
      </c>
      <c r="BG252" s="22" t="n">
        <f aca="false">100*(BG118-BG117)</f>
        <v>22.3870768787423</v>
      </c>
      <c r="BH252" s="22" t="n">
        <f aca="false">AVERAGE(C252:BG252)</f>
        <v>27.9730412239106</v>
      </c>
    </row>
    <row r="253" customFormat="false" ht="15" hidden="false" customHeight="false" outlineLevel="0" collapsed="false">
      <c r="A253" s="20" t="n">
        <f aca="false">A119</f>
        <v>-6</v>
      </c>
      <c r="B253" s="21" t="n">
        <f aca="false">B119</f>
        <v>44830</v>
      </c>
      <c r="C253" s="22" t="n">
        <f aca="false">100*(C119-C118)</f>
        <v>44.1356322495596</v>
      </c>
      <c r="D253" s="22" t="n">
        <f aca="false">100*(D119-D118)</f>
        <v>43.4778995897343</v>
      </c>
      <c r="E253" s="22" t="n">
        <f aca="false">100*(E119-E118)</f>
        <v>42.7934933634548</v>
      </c>
      <c r="F253" s="22" t="n">
        <f aca="false">100*(F119-F118)</f>
        <v>42.108506064235</v>
      </c>
      <c r="G253" s="22" t="n">
        <f aca="false">100*(G119-G118)</f>
        <v>41.4394276522427</v>
      </c>
      <c r="H253" s="22" t="n">
        <f aca="false">100*(H119-H118)</f>
        <v>40.7855903141484</v>
      </c>
      <c r="I253" s="22" t="n">
        <f aca="false">100*(I119-I118)</f>
        <v>40.1374030198643</v>
      </c>
      <c r="J253" s="22" t="n">
        <f aca="false">100*(J119-J118)</f>
        <v>39.4836118222425</v>
      </c>
      <c r="K253" s="22" t="n">
        <f aca="false">100*(K119-K118)</f>
        <v>38.8158618759332</v>
      </c>
      <c r="L253" s="22" t="n">
        <f aca="false">100*(L119-L118)</f>
        <v>38.1326762475104</v>
      </c>
      <c r="M253" s="22" t="n">
        <f aca="false">100*(M119-M118)</f>
        <v>37.4402113235286</v>
      </c>
      <c r="N253" s="22" t="n">
        <f aca="false">100*(N119-N118)</f>
        <v>36.7506990688586</v>
      </c>
      <c r="O253" s="22" t="n">
        <f aca="false">100*(O119-O118)</f>
        <v>36.0794951982459</v>
      </c>
      <c r="P253" s="22" t="n">
        <f aca="false">100*(P119-P118)</f>
        <v>35.4433568259278</v>
      </c>
      <c r="Q253" s="22" t="n">
        <f aca="false">100*(Q119-Q118)</f>
        <v>34.8594577444988</v>
      </c>
      <c r="R253" s="22" t="n">
        <f aca="false">100*(R119-R118)</f>
        <v>34.3436640987004</v>
      </c>
      <c r="S253" s="22" t="n">
        <f aca="false">100*(S119-S118)</f>
        <v>33.9090614588266</v>
      </c>
      <c r="T253" s="22" t="n">
        <f aca="false">100*(T119-T118)</f>
        <v>33.5655424800291</v>
      </c>
      <c r="U253" s="22" t="n">
        <f aca="false">100*(U119-U118)</f>
        <v>33.3186226703893</v>
      </c>
      <c r="V253" s="22" t="n">
        <f aca="false">100*(V119-V118)</f>
        <v>33.169825366919</v>
      </c>
      <c r="W253" s="22" t="n">
        <f aca="false">100*(W119-W118)</f>
        <v>33.1175090735289</v>
      </c>
      <c r="X253" s="22" t="n">
        <f aca="false">100*(X119-X118)</f>
        <v>33.1574389058495</v>
      </c>
      <c r="Y253" s="22" t="n">
        <f aca="false">100*(Y119-Y118)</f>
        <v>33.2827357146756</v>
      </c>
      <c r="Z253" s="22" t="n">
        <f aca="false">100*(Z119-Z118)</f>
        <v>33.4839559533801</v>
      </c>
      <c r="AA253" s="22" t="n">
        <f aca="false">100*(AA119-AA118)</f>
        <v>33.7499060503088</v>
      </c>
      <c r="AB253" s="22" t="n">
        <f aca="false">100*(AB119-AB118)</f>
        <v>34.0691088107113</v>
      </c>
      <c r="AC253" s="22" t="n">
        <f aca="false">100*(AC119-AC118)</f>
        <v>34.4306526258392</v>
      </c>
      <c r="AD253" s="22" t="n">
        <f aca="false">100*(AD119-AD118)</f>
        <v>34.8241517910505</v>
      </c>
      <c r="AE253" s="22" t="n">
        <f aca="false">100*(AE119-AE118)</f>
        <v>35.2396643332929</v>
      </c>
      <c r="AF253" s="22" t="n">
        <f aca="false">100*(AF119-AF118)</f>
        <v>35.667645539628</v>
      </c>
      <c r="AG253" s="22" t="n">
        <f aca="false">100*(AG119-AG118)</f>
        <v>36.0995238754243</v>
      </c>
      <c r="AH253" s="22" t="n">
        <f aca="false">100*(AH119-AH118)</f>
        <v>36.5282051828828</v>
      </c>
      <c r="AI253" s="22" t="n">
        <f aca="false">100*(AI119-AI118)</f>
        <v>36.9477539320918</v>
      </c>
      <c r="AJ253" s="22" t="n">
        <f aca="false">100*(AJ119-AJ118)</f>
        <v>37.3533454448897</v>
      </c>
      <c r="AK253" s="22" t="n">
        <f aca="false">100*(AK119-AK118)</f>
        <v>37.7411517363549</v>
      </c>
      <c r="AL253" s="22" t="n">
        <f aca="false">100*(AL119-AL118)</f>
        <v>38.1082692256197</v>
      </c>
      <c r="AM253" s="22" t="n">
        <f aca="false">100*(AM119-AM118)</f>
        <v>38.4526014543279</v>
      </c>
      <c r="AN253" s="22" t="n">
        <f aca="false">100*(AN119-AN118)</f>
        <v>38.7727363767645</v>
      </c>
      <c r="AO253" s="22" t="n">
        <f aca="false">100*(AO119-AO118)</f>
        <v>39.0678484882043</v>
      </c>
      <c r="AP253" s="22" t="n">
        <f aca="false">100*(AP119-AP118)</f>
        <v>39.3375973760529</v>
      </c>
      <c r="AQ253" s="22" t="n">
        <f aca="false">100*(AQ119-AQ118)</f>
        <v>39.5820545264441</v>
      </c>
      <c r="AR253" s="22" t="n">
        <f aca="false">100*(AR119-AR118)</f>
        <v>39.8016180622093</v>
      </c>
      <c r="AS253" s="22" t="n">
        <f aca="false">100*(AS119-AS118)</f>
        <v>39.9969492843305</v>
      </c>
      <c r="AT253" s="22" t="n">
        <f aca="false">100*(AT119-AT118)</f>
        <v>40.1689036929126</v>
      </c>
      <c r="AU253" s="22" t="n">
        <f aca="false">100*(AU119-AU118)</f>
        <v>40.3184840438813</v>
      </c>
      <c r="AV253" s="22" t="n">
        <f aca="false">100*(AV119-AV118)</f>
        <v>40.4467875726438</v>
      </c>
      <c r="AW253" s="22" t="n">
        <f aca="false">100*(AW119-AW118)</f>
        <v>40.5549703168811</v>
      </c>
      <c r="AX253" s="22" t="n">
        <f aca="false">100*(AX119-AX118)</f>
        <v>40.6442164035479</v>
      </c>
      <c r="AY253" s="22" t="n">
        <f aca="false">100*(AY119-AY118)</f>
        <v>40.7156972305454</v>
      </c>
      <c r="AZ253" s="22" t="n">
        <f aca="false">100*(AZ119-AZ118)</f>
        <v>40.7705571854971</v>
      </c>
      <c r="BA253" s="22" t="n">
        <f aca="false">100*(BA119-BA118)</f>
        <v>40.8099084200364</v>
      </c>
      <c r="BB253" s="22" t="n">
        <f aca="false">100*(BB119-BB118)</f>
        <v>40.8348008741475</v>
      </c>
      <c r="BC253" s="22" t="n">
        <f aca="false">100*(BC119-BC118)</f>
        <v>40.8462087283152</v>
      </c>
      <c r="BD253" s="22" t="n">
        <f aca="false">100*(BD119-BD118)</f>
        <v>40.845028296493</v>
      </c>
      <c r="BE253" s="22" t="n">
        <f aca="false">100*(BE119-BE118)</f>
        <v>40.8320787689507</v>
      </c>
      <c r="BF253" s="22" t="n">
        <f aca="false">100*(BF119-BF118)</f>
        <v>40.8081040330691</v>
      </c>
      <c r="BG253" s="22" t="n">
        <f aca="false">100*(BG119-BG118)</f>
        <v>40.7737792656485</v>
      </c>
      <c r="BH253" s="22" t="n">
        <f aca="false">AVERAGE(C253:BG253)</f>
        <v>38.0416138075663</v>
      </c>
    </row>
    <row r="254" customFormat="false" ht="15" hidden="false" customHeight="false" outlineLevel="0" collapsed="false">
      <c r="A254" s="20" t="n">
        <f aca="false">A120</f>
        <v>-5</v>
      </c>
      <c r="B254" s="21" t="n">
        <f aca="false">B120</f>
        <v>44831</v>
      </c>
      <c r="C254" s="22" t="n">
        <f aca="false">100*(C120-C119)</f>
        <v>12.1138151506064</v>
      </c>
      <c r="D254" s="22" t="n">
        <f aca="false">100*(D120-D119)</f>
        <v>12.2455440369182</v>
      </c>
      <c r="E254" s="22" t="n">
        <f aca="false">100*(E120-E119)</f>
        <v>12.5170096613987</v>
      </c>
      <c r="F254" s="22" t="n">
        <f aca="false">100*(F120-F119)</f>
        <v>12.9715296778206</v>
      </c>
      <c r="G254" s="22" t="n">
        <f aca="false">100*(G120-G119)</f>
        <v>13.5996428682177</v>
      </c>
      <c r="H254" s="22" t="n">
        <f aca="false">100*(H120-H119)</f>
        <v>14.3745475738436</v>
      </c>
      <c r="I254" s="22" t="n">
        <f aca="false">100*(I120-I119)</f>
        <v>15.2650516495705</v>
      </c>
      <c r="J254" s="22" t="n">
        <f aca="false">100*(J120-J119)</f>
        <v>16.2405136084471</v>
      </c>
      <c r="K254" s="22" t="n">
        <f aca="false">100*(K120-K119)</f>
        <v>17.2724877908506</v>
      </c>
      <c r="L254" s="22" t="n">
        <f aca="false">100*(L120-L119)</f>
        <v>18.3354549443206</v>
      </c>
      <c r="M254" s="22" t="n">
        <f aca="false">100*(M120-M119)</f>
        <v>19.4069727617547</v>
      </c>
      <c r="N254" s="22" t="n">
        <f aca="false">100*(N120-N119)</f>
        <v>20.4682482660437</v>
      </c>
      <c r="O254" s="22" t="n">
        <f aca="false">100*(O120-O119)</f>
        <v>21.5043925646479</v>
      </c>
      <c r="P254" s="22" t="n">
        <f aca="false">100*(P120-P119)</f>
        <v>22.5046654299928</v>
      </c>
      <c r="Q254" s="22" t="n">
        <f aca="false">100*(Q120-Q119)</f>
        <v>23.4626161535977</v>
      </c>
      <c r="R254" s="22" t="n">
        <f aca="false">100*(R120-R119)</f>
        <v>24.3757928092072</v>
      </c>
      <c r="S254" s="22" t="n">
        <f aca="false">100*(S120-S119)</f>
        <v>25.2450620375493</v>
      </c>
      <c r="T254" s="22" t="n">
        <f aca="false">100*(T120-T119)</f>
        <v>26.0742660299713</v>
      </c>
      <c r="U254" s="22" t="n">
        <f aca="false">100*(U120-U119)</f>
        <v>26.8685758571756</v>
      </c>
      <c r="V254" s="22" t="n">
        <f aca="false">100*(V120-V119)</f>
        <v>27.6338404945813</v>
      </c>
      <c r="W254" s="22" t="n">
        <f aca="false">100*(W120-W119)</f>
        <v>28.376442836514</v>
      </c>
      <c r="X254" s="22" t="n">
        <f aca="false">100*(X120-X119)</f>
        <v>29.1030961647111</v>
      </c>
      <c r="Y254" s="22" t="n">
        <f aca="false">100*(Y120-Y119)</f>
        <v>29.8199649911782</v>
      </c>
      <c r="Z254" s="22" t="n">
        <f aca="false">100*(Z120-Z119)</f>
        <v>30.5320960217798</v>
      </c>
      <c r="AA254" s="22" t="n">
        <f aca="false">100*(AA120-AA119)</f>
        <v>31.2434954313869</v>
      </c>
      <c r="AB254" s="22" t="n">
        <f aca="false">100*(AB120-AB119)</f>
        <v>31.9570250966156</v>
      </c>
      <c r="AC254" s="22" t="n">
        <f aca="false">100*(AC120-AC119)</f>
        <v>32.674369699379</v>
      </c>
      <c r="AD254" s="22" t="n">
        <f aca="false">100*(AD120-AD119)</f>
        <v>33.3962102091088</v>
      </c>
      <c r="AE254" s="22" t="n">
        <f aca="false">100*(AE120-AE119)</f>
        <v>34.1223807128305</v>
      </c>
      <c r="AF254" s="22" t="n">
        <f aca="false">100*(AF120-AF119)</f>
        <v>34.8519937104783</v>
      </c>
      <c r="AG254" s="22" t="n">
        <f aca="false">100*(AG120-AG119)</f>
        <v>35.5834360553588</v>
      </c>
      <c r="AH254" s="22" t="n">
        <f aca="false">100*(AH120-AH119)</f>
        <v>36.3144180161833</v>
      </c>
      <c r="AI254" s="22" t="n">
        <f aca="false">100*(AI120-AI119)</f>
        <v>37.0423573607917</v>
      </c>
      <c r="AJ254" s="22" t="n">
        <f aca="false">100*(AJ120-AJ119)</f>
        <v>37.7645834983277</v>
      </c>
      <c r="AK254" s="22" t="n">
        <f aca="false">100*(AK120-AK119)</f>
        <v>38.4784281824037</v>
      </c>
      <c r="AL254" s="22" t="n">
        <f aca="false">100*(AL120-AL119)</f>
        <v>39.1813938042199</v>
      </c>
      <c r="AM254" s="22" t="n">
        <f aca="false">100*(AM120-AM119)</f>
        <v>39.8712284569842</v>
      </c>
      <c r="AN254" s="22" t="n">
        <f aca="false">100*(AN120-AN119)</f>
        <v>40.5459700558035</v>
      </c>
      <c r="AO254" s="22" t="n">
        <f aca="false">100*(AO120-AO119)</f>
        <v>41.2039584524925</v>
      </c>
      <c r="AP254" s="22" t="n">
        <f aca="false">100*(AP120-AP119)</f>
        <v>41.843888732297</v>
      </c>
      <c r="AQ254" s="22" t="n">
        <f aca="false">100*(AQ120-AQ119)</f>
        <v>42.4647946789548</v>
      </c>
      <c r="AR254" s="22" t="n">
        <f aca="false">100*(AR120-AR119)</f>
        <v>43.0660139686611</v>
      </c>
      <c r="AS254" s="22" t="n">
        <f aca="false">100*(AS120-AS119)</f>
        <v>43.6471471064809</v>
      </c>
      <c r="AT254" s="22" t="n">
        <f aca="false">100*(AT120-AT119)</f>
        <v>44.2079892545958</v>
      </c>
      <c r="AU254" s="22" t="n">
        <f aca="false">100*(AU120-AU119)</f>
        <v>44.7484837154686</v>
      </c>
      <c r="AV254" s="22" t="n">
        <f aca="false">100*(AV120-AV119)</f>
        <v>45.26866974377</v>
      </c>
      <c r="AW254" s="22" t="n">
        <f aca="false">100*(AW120-AW119)</f>
        <v>45.7686487146192</v>
      </c>
      <c r="AX254" s="22" t="n">
        <f aca="false">100*(AX120-AX119)</f>
        <v>46.248557147476</v>
      </c>
      <c r="AY254" s="22" t="n">
        <f aca="false">100*(AY120-AY119)</f>
        <v>46.7085300685506</v>
      </c>
      <c r="AZ254" s="22" t="n">
        <f aca="false">100*(AZ120-AZ119)</f>
        <v>47.1486878623297</v>
      </c>
      <c r="BA254" s="22" t="n">
        <f aca="false">100*(BA120-BA119)</f>
        <v>47.5691317470199</v>
      </c>
      <c r="BB254" s="22" t="n">
        <f aca="false">100*(BB120-BB119)</f>
        <v>47.969921431139</v>
      </c>
      <c r="BC254" s="22" t="n">
        <f aca="false">100*(BC120-BC119)</f>
        <v>48.3510632056798</v>
      </c>
      <c r="BD254" s="22" t="n">
        <f aca="false">100*(BD120-BD119)</f>
        <v>48.7125031570464</v>
      </c>
      <c r="BE254" s="22" t="n">
        <f aca="false">100*(BE120-BE119)</f>
        <v>49.054121691945</v>
      </c>
      <c r="BF254" s="22" t="n">
        <f aca="false">100*(BF120-BF119)</f>
        <v>49.3757292970905</v>
      </c>
      <c r="BG254" s="22" t="n">
        <f aca="false">100*(BG120-BG119)</f>
        <v>49.6770752135409</v>
      </c>
      <c r="BH254" s="22" t="n">
        <f aca="false">AVERAGE(C254:BG254)</f>
        <v>32.9188392080654</v>
      </c>
    </row>
    <row r="255" customFormat="false" ht="15" hidden="false" customHeight="false" outlineLevel="0" collapsed="false">
      <c r="A255" s="20" t="n">
        <f aca="false">A121</f>
        <v>-4</v>
      </c>
      <c r="B255" s="21" t="n">
        <f aca="false">B121</f>
        <v>44832</v>
      </c>
      <c r="C255" s="22" t="n">
        <f aca="false">100*(C121-C120)</f>
        <v>-25.1128795729715</v>
      </c>
      <c r="D255" s="22" t="n">
        <f aca="false">100*(D121-D120)</f>
        <v>-25.4808916730722</v>
      </c>
      <c r="E255" s="22" t="n">
        <f aca="false">100*(E121-E120)</f>
        <v>-26.0334795837176</v>
      </c>
      <c r="F255" s="22" t="n">
        <f aca="false">100*(F121-F120)</f>
        <v>-26.7472113187416</v>
      </c>
      <c r="G255" s="22" t="n">
        <f aca="false">100*(G121-G120)</f>
        <v>-27.5679597725772</v>
      </c>
      <c r="H255" s="22" t="n">
        <f aca="false">100*(H121-H120)</f>
        <v>-28.4454473162445</v>
      </c>
      <c r="I255" s="22" t="n">
        <f aca="false">100*(I121-I120)</f>
        <v>-29.341111032222</v>
      </c>
      <c r="J255" s="22" t="n">
        <f aca="false">100*(J121-J120)</f>
        <v>-30.2296821514144</v>
      </c>
      <c r="K255" s="22" t="n">
        <f aca="false">100*(K121-K120)</f>
        <v>-31.0980115073408</v>
      </c>
      <c r="L255" s="22" t="n">
        <f aca="false">100*(L121-L120)</f>
        <v>-31.9432001842363</v>
      </c>
      <c r="M255" s="22" t="n">
        <f aca="false">100*(M121-M120)</f>
        <v>-32.7704436327011</v>
      </c>
      <c r="N255" s="22" t="n">
        <f aca="false">100*(N121-N120)</f>
        <v>-33.5909349049771</v>
      </c>
      <c r="O255" s="22" t="n">
        <f aca="false">100*(O121-O120)</f>
        <v>-34.4204136659585</v>
      </c>
      <c r="P255" s="22" t="n">
        <f aca="false">100*(P121-P120)</f>
        <v>-35.2780932848478</v>
      </c>
      <c r="Q255" s="22" t="n">
        <f aca="false">100*(Q121-Q120)</f>
        <v>-36.1857911383219</v>
      </c>
      <c r="R255" s="22" t="n">
        <f aca="false">100*(R121-R120)</f>
        <v>-37.1667042407233</v>
      </c>
      <c r="S255" s="22" t="n">
        <f aca="false">100*(S121-S120)</f>
        <v>-38.2437864502649</v>
      </c>
      <c r="T255" s="22" t="n">
        <f aca="false">100*(T121-T120)</f>
        <v>-39.4393723527774</v>
      </c>
      <c r="U255" s="22" t="n">
        <f aca="false">100*(U121-U120)</f>
        <v>-40.7714917461863</v>
      </c>
      <c r="V255" s="22" t="n">
        <f aca="false">100*(V121-V120)</f>
        <v>-42.2536047473407</v>
      </c>
      <c r="W255" s="22" t="n">
        <f aca="false">100*(W121-W120)</f>
        <v>-43.895546252597</v>
      </c>
      <c r="X255" s="22" t="n">
        <f aca="false">100*(X121-X120)</f>
        <v>-45.7039516215526</v>
      </c>
      <c r="Y255" s="22" t="n">
        <f aca="false">100*(Y121-Y120)</f>
        <v>-47.6805433699639</v>
      </c>
      <c r="Z255" s="22" t="n">
        <f aca="false">100*(Z121-Z120)</f>
        <v>-49.8213974123587</v>
      </c>
      <c r="AA255" s="22" t="n">
        <f aca="false">100*(AA121-AA120)</f>
        <v>-52.1183617187758</v>
      </c>
      <c r="AB255" s="22" t="n">
        <f aca="false">100*(AB121-AB120)</f>
        <v>-54.5597178553217</v>
      </c>
      <c r="AC255" s="22" t="n">
        <f aca="false">100*(AC121-AC120)</f>
        <v>-57.1305392720502</v>
      </c>
      <c r="AD255" s="22" t="n">
        <f aca="false">100*(AD121-AD120)</f>
        <v>-59.8131948176066</v>
      </c>
      <c r="AE255" s="22" t="n">
        <f aca="false">100*(AE121-AE120)</f>
        <v>-62.5877713331999</v>
      </c>
      <c r="AF255" s="22" t="n">
        <f aca="false">100*(AF121-AF120)</f>
        <v>-65.4324156970858</v>
      </c>
      <c r="AG255" s="22" t="n">
        <f aca="false">100*(AG121-AG120)</f>
        <v>-68.3235537192121</v>
      </c>
      <c r="AH255" s="22" t="n">
        <f aca="false">100*(AH121-AH120)</f>
        <v>-71.2362958704789</v>
      </c>
      <c r="AI255" s="22" t="n">
        <f aca="false">100*(AI121-AI120)</f>
        <v>-74.1457882573966</v>
      </c>
      <c r="AJ255" s="22" t="n">
        <f aca="false">100*(AJ121-AJ120)</f>
        <v>-77.02807951396</v>
      </c>
      <c r="AK255" s="22" t="n">
        <f aca="false">100*(AK121-AK120)</f>
        <v>-79.860457672611</v>
      </c>
      <c r="AL255" s="22" t="n">
        <f aca="false">100*(AL121-AL120)</f>
        <v>-82.6222615764948</v>
      </c>
      <c r="AM255" s="22" t="n">
        <f aca="false">100*(AM121-AM120)</f>
        <v>-85.2952277298506</v>
      </c>
      <c r="AN255" s="22" t="n">
        <f aca="false">100*(AN121-AN120)</f>
        <v>-87.8636942223403</v>
      </c>
      <c r="AO255" s="22" t="n">
        <f aca="false">100*(AO121-AO120)</f>
        <v>-90.314622735564</v>
      </c>
      <c r="AP255" s="22" t="n">
        <f aca="false">100*(AP121-AP120)</f>
        <v>-92.6379345420977</v>
      </c>
      <c r="AQ255" s="22" t="n">
        <f aca="false">100*(AQ121-AQ120)</f>
        <v>-94.8263920616747</v>
      </c>
      <c r="AR255" s="22" t="n">
        <f aca="false">100*(AR121-AR120)</f>
        <v>-96.8754975568876</v>
      </c>
      <c r="AS255" s="22" t="n">
        <f aca="false">100*(AS121-AS120)</f>
        <v>-98.7832676732515</v>
      </c>
      <c r="AT255" s="22" t="n">
        <f aca="false">100*(AT121-AT120)</f>
        <v>-100.549850651011</v>
      </c>
      <c r="AU255" s="22" t="n">
        <f aca="false">100*(AU121-AU120)</f>
        <v>-102.177215271668</v>
      </c>
      <c r="AV255" s="22" t="n">
        <f aca="false">100*(AV121-AV120)</f>
        <v>-103.668801155261</v>
      </c>
      <c r="AW255" s="22" t="n">
        <f aca="false">100*(AW121-AW120)</f>
        <v>-105.029262552841</v>
      </c>
      <c r="AX255" s="22" t="n">
        <f aca="false">100*(AX121-AX120)</f>
        <v>-106.264228736042</v>
      </c>
      <c r="AY255" s="22" t="n">
        <f aca="false">100*(AY121-AY120)</f>
        <v>-107.379935908827</v>
      </c>
      <c r="AZ255" s="22" t="n">
        <f aca="false">100*(AZ121-AZ120)</f>
        <v>-108.383049507157</v>
      </c>
      <c r="BA255" s="22" t="n">
        <f aca="false">100*(BA121-BA120)</f>
        <v>-109.280570696646</v>
      </c>
      <c r="BB255" s="22" t="n">
        <f aca="false">100*(BB121-BB120)</f>
        <v>-110.07957962223</v>
      </c>
      <c r="BC255" s="22" t="n">
        <f aca="false">100*(BC121-BC120)</f>
        <v>-110.787079253606</v>
      </c>
      <c r="BD255" s="22" t="n">
        <f aca="false">100*(BD121-BD120)</f>
        <v>-111.409892336421</v>
      </c>
      <c r="BE255" s="22" t="n">
        <f aca="false">100*(BE121-BE120)</f>
        <v>-111.954569086166</v>
      </c>
      <c r="BF255" s="22" t="n">
        <f aca="false">100*(BF121-BF120)</f>
        <v>-112.427292646402</v>
      </c>
      <c r="BG255" s="22" t="n">
        <f aca="false">100*(BG121-BG120)</f>
        <v>-112.833889471449</v>
      </c>
      <c r="BH255" s="22" t="n">
        <f aca="false">AVERAGE(C255:BG255)</f>
        <v>-66.7175831518367</v>
      </c>
    </row>
    <row r="256" customFormat="false" ht="15" hidden="false" customHeight="false" outlineLevel="0" collapsed="false">
      <c r="A256" s="20" t="n">
        <f aca="false">A122</f>
        <v>-3</v>
      </c>
      <c r="B256" s="21" t="n">
        <f aca="false">B122</f>
        <v>44833</v>
      </c>
      <c r="C256" s="22" t="n">
        <f aca="false">100*(C122-C121)</f>
        <v>8.15357054097934</v>
      </c>
      <c r="D256" s="22" t="n">
        <f aca="false">100*(D122-D121)</f>
        <v>8.27076083025311</v>
      </c>
      <c r="E256" s="22" t="n">
        <f aca="false">100*(E122-E121)</f>
        <v>8.39094580933697</v>
      </c>
      <c r="F256" s="22" t="n">
        <f aca="false">100*(F122-F121)</f>
        <v>8.49295682331483</v>
      </c>
      <c r="G256" s="22" t="n">
        <f aca="false">100*(G122-G121)</f>
        <v>8.56043556594948</v>
      </c>
      <c r="H256" s="22" t="n">
        <f aca="false">100*(H122-H121)</f>
        <v>8.5843788286792</v>
      </c>
      <c r="I256" s="22" t="n">
        <f aca="false">100*(I122-I121)</f>
        <v>8.56196983463375</v>
      </c>
      <c r="J256" s="22" t="n">
        <f aca="false">100*(J122-J121)</f>
        <v>8.49525577540566</v>
      </c>
      <c r="K256" s="22" t="n">
        <f aca="false">100*(K122-K121)</f>
        <v>8.38958527069487</v>
      </c>
      <c r="L256" s="22" t="n">
        <f aca="false">100*(L122-L121)</f>
        <v>8.25204370317163</v>
      </c>
      <c r="M256" s="22" t="n">
        <f aca="false">100*(M122-M121)</f>
        <v>8.09004937460944</v>
      </c>
      <c r="N256" s="22" t="n">
        <f aca="false">100*(N122-N121)</f>
        <v>7.9106127807921</v>
      </c>
      <c r="O256" s="22" t="n">
        <f aca="false">100*(O122-O121)</f>
        <v>7.71986870349597</v>
      </c>
      <c r="P256" s="22" t="n">
        <f aca="false">100*(P122-P121)</f>
        <v>7.52307790123368</v>
      </c>
      <c r="Q256" s="22" t="n">
        <f aca="false">100*(Q122-Q121)</f>
        <v>7.32460290486712</v>
      </c>
      <c r="R256" s="22" t="n">
        <f aca="false">100*(R122-R121)</f>
        <v>7.12799566466851</v>
      </c>
      <c r="S256" s="22" t="n">
        <f aca="false">100*(S122-S121)</f>
        <v>6.93613387216407</v>
      </c>
      <c r="T256" s="22" t="n">
        <f aca="false">100*(T122-T121)</f>
        <v>6.75140343813601</v>
      </c>
      <c r="U256" s="22" t="n">
        <f aca="false">100*(U122-U121)</f>
        <v>6.57543250796806</v>
      </c>
      <c r="V256" s="22" t="n">
        <f aca="false">100*(V122-V121)</f>
        <v>6.40910458150179</v>
      </c>
      <c r="W256" s="22" t="n">
        <f aca="false">100*(W122-W121)</f>
        <v>6.25271220799144</v>
      </c>
      <c r="X256" s="22" t="n">
        <f aca="false">100*(X122-X121)</f>
        <v>6.10606168905532</v>
      </c>
      <c r="Y256" s="22" t="n">
        <f aca="false">100*(Y122-Y121)</f>
        <v>5.96839778103862</v>
      </c>
      <c r="Z256" s="22" t="n">
        <f aca="false">100*(Z122-Z121)</f>
        <v>5.83836302965359</v>
      </c>
      <c r="AA256" s="22" t="n">
        <f aca="false">100*(AA122-AA121)</f>
        <v>5.71421137422448</v>
      </c>
      <c r="AB256" s="22" t="n">
        <f aca="false">100*(AB122-AB121)</f>
        <v>5.59394617879896</v>
      </c>
      <c r="AC256" s="22" t="n">
        <f aca="false">100*(AC122-AC121)</f>
        <v>5.47535117928071</v>
      </c>
      <c r="AD256" s="22" t="n">
        <f aca="false">100*(AD122-AD121)</f>
        <v>5.35602319177215</v>
      </c>
      <c r="AE256" s="22" t="n">
        <f aca="false">100*(AE122-AE121)</f>
        <v>5.23340131879495</v>
      </c>
      <c r="AF256" s="22" t="n">
        <f aca="false">100*(AF122-AF121)</f>
        <v>5.10479252458724</v>
      </c>
      <c r="AG256" s="22" t="n">
        <f aca="false">100*(AG122-AG121)</f>
        <v>4.96741551146025</v>
      </c>
      <c r="AH256" s="22" t="n">
        <f aca="false">100*(AH122-AH121)</f>
        <v>4.81846531261327</v>
      </c>
      <c r="AI256" s="22" t="n">
        <f aca="false">100*(AI122-AI121)</f>
        <v>4.65537044830118</v>
      </c>
      <c r="AJ256" s="22" t="n">
        <f aca="false">100*(AJ122-AJ121)</f>
        <v>4.47596040265248</v>
      </c>
      <c r="AK256" s="22" t="n">
        <f aca="false">100*(AK122-AK121)</f>
        <v>4.27850384779616</v>
      </c>
      <c r="AL256" s="22" t="n">
        <f aca="false">100*(AL122-AL121)</f>
        <v>4.06184291459093</v>
      </c>
      <c r="AM256" s="22" t="n">
        <f aca="false">100*(AM122-AM121)</f>
        <v>3.82535705017899</v>
      </c>
      <c r="AN256" s="22" t="n">
        <f aca="false">100*(AN122-AN121)</f>
        <v>3.56888076410158</v>
      </c>
      <c r="AO256" s="22" t="n">
        <f aca="false">100*(AO122-AO121)</f>
        <v>3.2926399835143</v>
      </c>
      <c r="AP256" s="22" t="n">
        <f aca="false">100*(AP122-AP121)</f>
        <v>2.99719334243251</v>
      </c>
      <c r="AQ256" s="22" t="n">
        <f aca="false">100*(AQ122-AQ121)</f>
        <v>2.68338444271938</v>
      </c>
      <c r="AR256" s="22" t="n">
        <f aca="false">100*(AR122-AR121)</f>
        <v>2.3522782224171</v>
      </c>
      <c r="AS256" s="22" t="n">
        <f aca="false">100*(AS122-AS121)</f>
        <v>2.00511550712119</v>
      </c>
      <c r="AT256" s="22" t="n">
        <f aca="false">100*(AT122-AT121)</f>
        <v>1.64325951463158</v>
      </c>
      <c r="AU256" s="22" t="n">
        <f aca="false">100*(AU122-AU121)</f>
        <v>1.2681606847575</v>
      </c>
      <c r="AV256" s="22" t="n">
        <f aca="false">100*(AV122-AV121)</f>
        <v>0.88131548751158</v>
      </c>
      <c r="AW256" s="22" t="n">
        <f aca="false">100*(AW122-AW121)</f>
        <v>0.484237314106517</v>
      </c>
      <c r="AX256" s="22" t="n">
        <f aca="false">100*(AX122-AX121)</f>
        <v>0.0784269608018917</v>
      </c>
      <c r="AY256" s="22" t="n">
        <f aca="false">100*(AY122-AY121)</f>
        <v>-0.334667880936435</v>
      </c>
      <c r="AZ256" s="22" t="n">
        <f aca="false">100*(AZ122-AZ121)</f>
        <v>-0.753664998358605</v>
      </c>
      <c r="BA256" s="22" t="n">
        <f aca="false">100*(BA122-BA121)</f>
        <v>-1.17724983451279</v>
      </c>
      <c r="BB256" s="22" t="n">
        <f aca="false">100*(BB122-BB121)</f>
        <v>-1.60420493450268</v>
      </c>
      <c r="BC256" s="22" t="n">
        <f aca="false">100*(BC122-BC121)</f>
        <v>-2.03341577961158</v>
      </c>
      <c r="BD256" s="22" t="n">
        <f aca="false">100*(BD122-BD121)</f>
        <v>-2.46385486990186</v>
      </c>
      <c r="BE256" s="22" t="n">
        <f aca="false">100*(BE122-BE121)</f>
        <v>-2.89455803134473</v>
      </c>
      <c r="BF256" s="22" t="n">
        <f aca="false">100*(BF122-BF121)</f>
        <v>-3.32459921519268</v>
      </c>
      <c r="BG256" s="22" t="n">
        <f aca="false">100*(BG122-BG121)</f>
        <v>-3.75308776436847</v>
      </c>
      <c r="BH256" s="22" t="n">
        <f aca="false">AVERAGE(C256:BG256)</f>
        <v>4.33617455421108</v>
      </c>
    </row>
    <row r="257" customFormat="false" ht="15" hidden="false" customHeight="false" outlineLevel="0" collapsed="false">
      <c r="A257" s="20" t="n">
        <f aca="false">A123</f>
        <v>-2</v>
      </c>
      <c r="B257" s="21" t="n">
        <f aca="false">B123</f>
        <v>44834</v>
      </c>
      <c r="C257" s="22" t="n">
        <f aca="false">100*(C123-C122)</f>
        <v>-3.94874705600001</v>
      </c>
      <c r="D257" s="22" t="n">
        <f aca="false">100*(D123-D122)</f>
        <v>-2.23274274325593</v>
      </c>
      <c r="E257" s="22" t="n">
        <f aca="false">100*(E123-E122)</f>
        <v>-1.02660376146453</v>
      </c>
      <c r="F257" s="22" t="n">
        <f aca="false">100*(F123-F122)</f>
        <v>-0.228321336392501</v>
      </c>
      <c r="G257" s="22" t="n">
        <f aca="false">100*(G123-G122)</f>
        <v>0.260444544311067</v>
      </c>
      <c r="H257" s="22" t="n">
        <f aca="false">100*(H123-H122)</f>
        <v>0.52238782603462</v>
      </c>
      <c r="I257" s="22" t="n">
        <f aca="false">100*(I123-I122)</f>
        <v>0.622647320359526</v>
      </c>
      <c r="J257" s="22" t="n">
        <f aca="false">100*(J123-J122)</f>
        <v>0.610039370744087</v>
      </c>
      <c r="K257" s="22" t="n">
        <f aca="false">100*(K123-K122)</f>
        <v>0.518904193615644</v>
      </c>
      <c r="L257" s="22" t="n">
        <f aca="false">100*(L123-L122)</f>
        <v>0.370944934267126</v>
      </c>
      <c r="M257" s="22" t="n">
        <f aca="false">100*(M123-M122)</f>
        <v>0.177649339488628</v>
      </c>
      <c r="N257" s="22" t="n">
        <f aca="false">100*(N123-N122)</f>
        <v>-0.0572069029225908</v>
      </c>
      <c r="O257" s="22" t="n">
        <f aca="false">100*(O123-O122)</f>
        <v>-0.333911707050927</v>
      </c>
      <c r="P257" s="22" t="n">
        <f aca="false">100*(P123-P122)</f>
        <v>-0.65442688902877</v>
      </c>
      <c r="Q257" s="22" t="n">
        <f aca="false">100*(Q123-Q122)</f>
        <v>-1.02102159465982</v>
      </c>
      <c r="R257" s="22" t="n">
        <f aca="false">100*(R123-R122)</f>
        <v>-1.434767446076</v>
      </c>
      <c r="S257" s="22" t="n">
        <f aca="false">100*(S123-S122)</f>
        <v>-1.89496378401248</v>
      </c>
      <c r="T257" s="22" t="n">
        <f aca="false">100*(T123-T122)</f>
        <v>-2.39893572898122</v>
      </c>
      <c r="U257" s="22" t="n">
        <f aca="false">100*(U123-U122)</f>
        <v>-2.94219198658627</v>
      </c>
      <c r="V257" s="22" t="n">
        <f aca="false">100*(V123-V122)</f>
        <v>-3.51885130820282</v>
      </c>
      <c r="W257" s="22" t="n">
        <f aca="false">100*(W123-W122)</f>
        <v>-4.12193355510935</v>
      </c>
      <c r="X257" s="22" t="n">
        <f aca="false">100*(X123-X122)</f>
        <v>-4.74357035899846</v>
      </c>
      <c r="Y257" s="22" t="n">
        <f aca="false">100*(Y123-Y122)</f>
        <v>-5.3752899169095</v>
      </c>
      <c r="Z257" s="22" t="n">
        <f aca="false">100*(Z123-Z122)</f>
        <v>-6.00838207394272</v>
      </c>
      <c r="AA257" s="22" t="n">
        <f aca="false">100*(AA123-AA122)</f>
        <v>-6.63426921357173</v>
      </c>
      <c r="AB257" s="22" t="n">
        <f aca="false">100*(AB123-AB122)</f>
        <v>-7.24526383780013</v>
      </c>
      <c r="AC257" s="22" t="n">
        <f aca="false">100*(AC123-AC122)</f>
        <v>-7.83498633787021</v>
      </c>
      <c r="AD257" s="22" t="n">
        <f aca="false">100*(AD123-AD122)</f>
        <v>-8.39819311948391</v>
      </c>
      <c r="AE257" s="22" t="n">
        <f aca="false">100*(AE123-AE122)</f>
        <v>-8.93059910054248</v>
      </c>
      <c r="AF257" s="22" t="n">
        <f aca="false">100*(AF123-AF122)</f>
        <v>-9.42874286115556</v>
      </c>
      <c r="AG257" s="22" t="n">
        <f aca="false">100*(AG123-AG122)</f>
        <v>-9.89022312491352</v>
      </c>
      <c r="AH257" s="22" t="n">
        <f aca="false">100*(AH123-AH122)</f>
        <v>-10.3139149642288</v>
      </c>
      <c r="AI257" s="22" t="n">
        <f aca="false">100*(AI123-AI122)</f>
        <v>-10.6996229383776</v>
      </c>
      <c r="AJ257" s="22" t="n">
        <f aca="false">100*(AJ123-AJ122)</f>
        <v>-11.0479313463784</v>
      </c>
      <c r="AK257" s="22" t="n">
        <f aca="false">100*(AK123-AK122)</f>
        <v>-11.3600717397239</v>
      </c>
      <c r="AL257" s="22" t="n">
        <f aca="false">100*(AL123-AL122)</f>
        <v>-11.6377547408813</v>
      </c>
      <c r="AM257" s="22" t="n">
        <f aca="false">100*(AM123-AM122)</f>
        <v>-11.8830667781349</v>
      </c>
      <c r="AN257" s="22" t="n">
        <f aca="false">100*(AN123-AN122)</f>
        <v>-12.098388424972</v>
      </c>
      <c r="AO257" s="22" t="n">
        <f aca="false">100*(AO123-AO122)</f>
        <v>-12.286353934537</v>
      </c>
      <c r="AP257" s="22" t="n">
        <f aca="false">100*(AP123-AP122)</f>
        <v>-12.4498074485863</v>
      </c>
      <c r="AQ257" s="22" t="n">
        <f aca="false">100*(AQ123-AQ122)</f>
        <v>-12.5917643210802</v>
      </c>
      <c r="AR257" s="22" t="n">
        <f aca="false">100*(AR123-AR122)</f>
        <v>-12.7153566106786</v>
      </c>
      <c r="AS257" s="22" t="n">
        <f aca="false">100*(AS123-AS122)</f>
        <v>-12.8237859658607</v>
      </c>
      <c r="AT257" s="22" t="n">
        <f aca="false">100*(AT123-AT122)</f>
        <v>-12.9202501754565</v>
      </c>
      <c r="AU257" s="22" t="n">
        <f aca="false">100*(AU123-AU122)</f>
        <v>-13.0079001648116</v>
      </c>
      <c r="AV257" s="22" t="n">
        <f aca="false">100*(AV123-AV122)</f>
        <v>-13.0897827380014</v>
      </c>
      <c r="AW257" s="22" t="n">
        <f aca="false">100*(AW123-AW122)</f>
        <v>-13.1688116389813</v>
      </c>
      <c r="AX257" s="22" t="n">
        <f aca="false">100*(AX123-AX122)</f>
        <v>-13.2477374299532</v>
      </c>
      <c r="AY257" s="22" t="n">
        <f aca="false">100*(AY123-AY122)</f>
        <v>-13.3290748194035</v>
      </c>
      <c r="AZ257" s="22" t="n">
        <f aca="false">100*(AZ123-AZ122)</f>
        <v>-13.4150895259142</v>
      </c>
      <c r="BA257" s="22" t="n">
        <f aca="false">100*(BA123-BA122)</f>
        <v>-13.5078038218831</v>
      </c>
      <c r="BB257" s="22" t="n">
        <f aca="false">100*(BB123-BB122)</f>
        <v>-13.6089516870497</v>
      </c>
      <c r="BC257" s="22" t="n">
        <f aca="false">100*(BC123-BC122)</f>
        <v>-13.7199626457447</v>
      </c>
      <c r="BD257" s="22" t="n">
        <f aca="false">100*(BD123-BD122)</f>
        <v>-13.8419576428831</v>
      </c>
      <c r="BE257" s="22" t="n">
        <f aca="false">100*(BE123-BE122)</f>
        <v>-13.9757512512678</v>
      </c>
      <c r="BF257" s="22" t="n">
        <f aca="false">100*(BF123-BF122)</f>
        <v>-14.1218516989319</v>
      </c>
      <c r="BG257" s="22" t="n">
        <f aca="false">100*(BG123-BG122)</f>
        <v>-14.280467660399</v>
      </c>
      <c r="BH257" s="22" t="n">
        <f aca="false">AVERAGE(C257:BG257)</f>
        <v>-7.51516386544266</v>
      </c>
    </row>
    <row r="258" customFormat="false" ht="15" hidden="false" customHeight="false" outlineLevel="0" collapsed="false">
      <c r="A258" s="20" t="n">
        <f aca="false">A124</f>
        <v>-1</v>
      </c>
      <c r="B258" s="21" t="n">
        <f aca="false">B124</f>
        <v>44837</v>
      </c>
      <c r="C258" s="22" t="n">
        <f aca="false">100*(C124-C123)</f>
        <v>-21.625507501192</v>
      </c>
      <c r="D258" s="22" t="n">
        <f aca="false">100*(D124-D123)</f>
        <v>-21.3559533821951</v>
      </c>
      <c r="E258" s="22" t="n">
        <f aca="false">100*(E124-E123)</f>
        <v>-21.0155719476151</v>
      </c>
      <c r="F258" s="22" t="n">
        <f aca="false">100*(F124-F123)</f>
        <v>-20.6460199906645</v>
      </c>
      <c r="G258" s="22" t="n">
        <f aca="false">100*(G124-G123)</f>
        <v>-20.2502435830334</v>
      </c>
      <c r="H258" s="22" t="n">
        <f aca="false">100*(H124-H123)</f>
        <v>-19.8261849774405</v>
      </c>
      <c r="I258" s="22" t="n">
        <f aca="false">100*(I124-I123)</f>
        <v>-19.3718666753162</v>
      </c>
      <c r="J258" s="22" t="n">
        <f aca="false">100*(J124-J123)</f>
        <v>-18.8852107132762</v>
      </c>
      <c r="K258" s="22" t="n">
        <f aca="false">100*(K124-K123)</f>
        <v>-18.3636070403327</v>
      </c>
      <c r="L258" s="22" t="n">
        <f aca="false">100*(L124-L123)</f>
        <v>-17.8038500863602</v>
      </c>
      <c r="M258" s="22" t="n">
        <f aca="false">100*(M124-M123)</f>
        <v>-17.2022093262808</v>
      </c>
      <c r="N258" s="22" t="n">
        <f aca="false">100*(N124-N123)</f>
        <v>-16.5551999340915</v>
      </c>
      <c r="O258" s="22" t="n">
        <f aca="false">100*(O124-O123)</f>
        <v>-15.8596829303546</v>
      </c>
      <c r="P258" s="22" t="n">
        <f aca="false">100*(P124-P123)</f>
        <v>-15.1130713372416</v>
      </c>
      <c r="Q258" s="22" t="n">
        <f aca="false">100*(Q124-Q123)</f>
        <v>-14.3132632069236</v>
      </c>
      <c r="R258" s="22" t="n">
        <f aca="false">100*(R124-R123)</f>
        <v>-13.458928464507</v>
      </c>
      <c r="S258" s="22" t="n">
        <f aca="false">100*(S124-S123)</f>
        <v>-12.5499794944356</v>
      </c>
      <c r="T258" s="22" t="n">
        <f aca="false">100*(T124-T123)</f>
        <v>-11.5876517645149</v>
      </c>
      <c r="U258" s="22" t="n">
        <f aca="false">100*(U124-U123)</f>
        <v>-10.5752204807544</v>
      </c>
      <c r="V258" s="22" t="n">
        <f aca="false">100*(V124-V123)</f>
        <v>-9.51785966252374</v>
      </c>
      <c r="W258" s="22" t="n">
        <f aca="false">100*(W124-W123)</f>
        <v>-8.42224850990938</v>
      </c>
      <c r="X258" s="22" t="n">
        <f aca="false">100*(X124-X123)</f>
        <v>-7.29630443310994</v>
      </c>
      <c r="Y258" s="22" t="n">
        <f aca="false">100*(Y124-Y123)</f>
        <v>-6.14925275565934</v>
      </c>
      <c r="Z258" s="22" t="n">
        <f aca="false">100*(Z124-Z123)</f>
        <v>-4.99151875821671</v>
      </c>
      <c r="AA258" s="22" t="n">
        <f aca="false">100*(AA124-AA123)</f>
        <v>-3.83388484498006</v>
      </c>
      <c r="AB258" s="22" t="n">
        <f aca="false">100*(AB124-AB123)</f>
        <v>-2.68643646564666</v>
      </c>
      <c r="AC258" s="22" t="n">
        <f aca="false">100*(AC124-AC123)</f>
        <v>-1.55815267020536</v>
      </c>
      <c r="AD258" s="22" t="n">
        <f aca="false">100*(AD124-AD123)</f>
        <v>-0.457055503582815</v>
      </c>
      <c r="AE258" s="22" t="n">
        <f aca="false">100*(AE124-AE123)</f>
        <v>0.609640462313887</v>
      </c>
      <c r="AF258" s="22" t="n">
        <f aca="false">100*(AF124-AF123)</f>
        <v>1.63541938003746</v>
      </c>
      <c r="AG258" s="22" t="n">
        <f aca="false">100*(AG124-AG123)</f>
        <v>2.61470779703084</v>
      </c>
      <c r="AH258" s="22" t="n">
        <f aca="false">100*(AH124-AH123)</f>
        <v>3.54309040740786</v>
      </c>
      <c r="AI258" s="22" t="n">
        <f aca="false">100*(AI124-AI123)</f>
        <v>4.41716822981735</v>
      </c>
      <c r="AJ258" s="22" t="n">
        <f aca="false">100*(AJ124-AJ123)</f>
        <v>5.23451132674722</v>
      </c>
      <c r="AK258" s="22" t="n">
        <f aca="false">100*(AK124-AK123)</f>
        <v>5.9935494438228</v>
      </c>
      <c r="AL258" s="22" t="n">
        <f aca="false">100*(AL124-AL123)</f>
        <v>6.69349480115455</v>
      </c>
      <c r="AM258" s="22" t="n">
        <f aca="false">100*(AM124-AM123)</f>
        <v>7.33426749413932</v>
      </c>
      <c r="AN258" s="22" t="n">
        <f aca="false">100*(AN124-AN123)</f>
        <v>7.91643220185705</v>
      </c>
      <c r="AO258" s="22" t="n">
        <f aca="false">100*(AO124-AO123)</f>
        <v>8.44116840730038</v>
      </c>
      <c r="AP258" s="22" t="n">
        <f aca="false">100*(AP124-AP123)</f>
        <v>8.91030329369578</v>
      </c>
      <c r="AQ258" s="22" t="n">
        <f aca="false">100*(AQ124-AQ123)</f>
        <v>9.32626725609609</v>
      </c>
      <c r="AR258" s="22" t="n">
        <f aca="false">100*(AR124-AR123)</f>
        <v>9.69203750817909</v>
      </c>
      <c r="AS258" s="22" t="n">
        <f aca="false">100*(AS124-AS123)</f>
        <v>10.0110600654369</v>
      </c>
      <c r="AT258" s="22" t="n">
        <f aca="false">100*(AT124-AT123)</f>
        <v>10.2870994457245</v>
      </c>
      <c r="AU258" s="22" t="n">
        <f aca="false">100*(AU124-AU123)</f>
        <v>10.5241389537635</v>
      </c>
      <c r="AV258" s="22" t="n">
        <f aca="false">100*(AV124-AV123)</f>
        <v>10.7262559853655</v>
      </c>
      <c r="AW258" s="22" t="n">
        <f aca="false">100*(AW124-AW123)</f>
        <v>10.8975485385039</v>
      </c>
      <c r="AX258" s="22" t="n">
        <f aca="false">100*(AX124-AX123)</f>
        <v>11.0420680903227</v>
      </c>
      <c r="AY258" s="22" t="n">
        <f aca="false">100*(AY124-AY123)</f>
        <v>11.1636866032656</v>
      </c>
      <c r="AZ258" s="22" t="n">
        <f aca="false">100*(AZ124-AZ123)</f>
        <v>11.2660563439988</v>
      </c>
      <c r="BA258" s="22" t="n">
        <f aca="false">100*(BA124-BA123)</f>
        <v>11.3526051012802</v>
      </c>
      <c r="BB258" s="22" t="n">
        <f aca="false">100*(BB124-BB123)</f>
        <v>11.4264556458518</v>
      </c>
      <c r="BC258" s="22" t="n">
        <f aca="false">100*(BC124-BC123)</f>
        <v>11.4903898063612</v>
      </c>
      <c r="BD258" s="22" t="n">
        <f aca="false">100*(BD124-BD123)</f>
        <v>11.5468343851413</v>
      </c>
      <c r="BE258" s="22" t="n">
        <f aca="false">100*(BE124-BE123)</f>
        <v>11.597851243521</v>
      </c>
      <c r="BF258" s="22" t="n">
        <f aca="false">100*(BF124-BF123)</f>
        <v>11.6451248383584</v>
      </c>
      <c r="BG258" s="22" t="n">
        <f aca="false">100*(BG124-BG123)</f>
        <v>11.6899794832837</v>
      </c>
      <c r="BH258" s="22" t="n">
        <f aca="false">AVERAGE(C258:BG258)</f>
        <v>-2.14460919123834</v>
      </c>
    </row>
    <row r="259" customFormat="false" ht="15" hidden="false" customHeight="false" outlineLevel="0" collapsed="false">
      <c r="A259" s="20" t="n">
        <f aca="false">A125</f>
        <v>0</v>
      </c>
      <c r="B259" s="21" t="n">
        <f aca="false">B125</f>
        <v>44838</v>
      </c>
      <c r="C259" s="22" t="n">
        <f aca="false">100*(C125-C124)</f>
        <v>-11.0887244726472</v>
      </c>
      <c r="D259" s="22" t="n">
        <f aca="false">100*(D125-D124)</f>
        <v>-11.2179615222832</v>
      </c>
      <c r="E259" s="22" t="n">
        <f aca="false">100*(E125-E124)</f>
        <v>-11.2821391811013</v>
      </c>
      <c r="F259" s="22" t="n">
        <f aca="false">100*(F125-F124)</f>
        <v>-11.257988634318</v>
      </c>
      <c r="G259" s="22" t="n">
        <f aca="false">100*(G125-G124)</f>
        <v>-11.1536468954995</v>
      </c>
      <c r="H259" s="22" t="n">
        <f aca="false">100*(H125-H124)</f>
        <v>-10.9866703649375</v>
      </c>
      <c r="I259" s="22" t="n">
        <f aca="false">100*(I125-I124)</f>
        <v>-10.7749876114509</v>
      </c>
      <c r="J259" s="22" t="n">
        <f aca="false">100*(J125-J124)</f>
        <v>-10.5326952238119</v>
      </c>
      <c r="K259" s="22" t="n">
        <f aca="false">100*(K125-K124)</f>
        <v>-10.2687203604748</v>
      </c>
      <c r="L259" s="22" t="n">
        <f aca="false">100*(L125-L124)</f>
        <v>-9.9871930181997</v>
      </c>
      <c r="M259" s="22" t="n">
        <f aca="false">100*(M125-M124)</f>
        <v>-9.6880685647641</v>
      </c>
      <c r="N259" s="22" t="n">
        <f aca="false">100*(N125-N124)</f>
        <v>-9.36878681069286</v>
      </c>
      <c r="O259" s="22" t="n">
        <f aca="false">100*(O125-O124)</f>
        <v>-9.02507636316052</v>
      </c>
      <c r="P259" s="22" t="n">
        <f aca="false">100*(P125-P124)</f>
        <v>-8.65175888717231</v>
      </c>
      <c r="Q259" s="22" t="n">
        <f aca="false">100*(Q125-Q124)</f>
        <v>-8.24311273747691</v>
      </c>
      <c r="R259" s="22" t="n">
        <f aca="false">100*(R125-R124)</f>
        <v>-7.7933581531962</v>
      </c>
      <c r="S259" s="22" t="n">
        <f aca="false">100*(S125-S124)</f>
        <v>-7.29718680439189</v>
      </c>
      <c r="T259" s="22" t="n">
        <f aca="false">100*(T125-T124)</f>
        <v>-6.7499320676955</v>
      </c>
      <c r="U259" s="22" t="n">
        <f aca="false">100*(U125-U124)</f>
        <v>-6.14848109544499</v>
      </c>
      <c r="V259" s="22" t="n">
        <f aca="false">100*(V125-V124)</f>
        <v>-5.49124930588669</v>
      </c>
      <c r="W259" s="22" t="n">
        <f aca="false">100*(W125-W124)</f>
        <v>-4.77786385837868</v>
      </c>
      <c r="X259" s="22" t="n">
        <f aca="false">100*(X125-X124)</f>
        <v>-4.00899800592307</v>
      </c>
      <c r="Y259" s="22" t="n">
        <f aca="false">100*(Y125-Y124)</f>
        <v>-3.18677653226449</v>
      </c>
      <c r="Z259" s="22" t="n">
        <f aca="false">100*(Z125-Z124)</f>
        <v>-2.31489367663831</v>
      </c>
      <c r="AA259" s="22" t="n">
        <f aca="false">100*(AA125-AA124)</f>
        <v>-1.39801815887921</v>
      </c>
      <c r="AB259" s="22" t="n">
        <f aca="false">100*(AB125-AB124)</f>
        <v>-0.441461524024867</v>
      </c>
      <c r="AC259" s="22" t="n">
        <f aca="false">100*(AC125-AC124)</f>
        <v>0.548918544700072</v>
      </c>
      <c r="AD259" s="22" t="n">
        <f aca="false">100*(AD125-AD124)</f>
        <v>1.56680373440992</v>
      </c>
      <c r="AE259" s="22" t="n">
        <f aca="false">100*(AE125-AE124)</f>
        <v>2.60548707594293</v>
      </c>
      <c r="AF259" s="22" t="n">
        <f aca="false">100*(AF125-AF124)</f>
        <v>3.657931698155</v>
      </c>
      <c r="AG259" s="22" t="n">
        <f aca="false">100*(AG125-AG124)</f>
        <v>4.71679519018702</v>
      </c>
      <c r="AH259" s="22" t="n">
        <f aca="false">100*(AH125-AH124)</f>
        <v>5.77448976755353</v>
      </c>
      <c r="AI259" s="22" t="n">
        <f aca="false">100*(AI125-AI124)</f>
        <v>6.8234844602622</v>
      </c>
      <c r="AJ259" s="22" t="n">
        <f aca="false">100*(AJ125-AJ124)</f>
        <v>7.85647805125196</v>
      </c>
      <c r="AK259" s="22" t="n">
        <f aca="false">100*(AK125-AK124)</f>
        <v>8.86649016914909</v>
      </c>
      <c r="AL259" s="22" t="n">
        <f aca="false">100*(AL125-AL124)</f>
        <v>9.8470792572015</v>
      </c>
      <c r="AM259" s="22" t="n">
        <f aca="false">100*(AM125-AM124)</f>
        <v>10.7924828718055</v>
      </c>
      <c r="AN259" s="22" t="n">
        <f aca="false">100*(AN125-AN124)</f>
        <v>11.6977282997945</v>
      </c>
      <c r="AO259" s="22" t="n">
        <f aca="false">100*(AO125-AO124)</f>
        <v>12.5586848599284</v>
      </c>
      <c r="AP259" s="22" t="n">
        <f aca="false">100*(AP125-AP124)</f>
        <v>13.3722438682797</v>
      </c>
      <c r="AQ259" s="22" t="n">
        <f aca="false">100*(AQ125-AQ124)</f>
        <v>14.136300229737</v>
      </c>
      <c r="AR259" s="22" t="n">
        <f aca="false">100*(AR125-AR124)</f>
        <v>14.8497603947508</v>
      </c>
      <c r="AS259" s="22" t="n">
        <f aca="false">100*(AS125-AS124)</f>
        <v>15.5124792185297</v>
      </c>
      <c r="AT259" s="22" t="n">
        <f aca="false">100*(AT125-AT124)</f>
        <v>16.1251398067381</v>
      </c>
      <c r="AU259" s="22" t="n">
        <f aca="false">100*(AU125-AU124)</f>
        <v>16.6891478169998</v>
      </c>
      <c r="AV259" s="22" t="n">
        <f aca="false">100*(AV125-AV124)</f>
        <v>17.2065084013272</v>
      </c>
      <c r="AW259" s="22" t="n">
        <f aca="false">100*(AW125-AW124)</f>
        <v>17.6797371687012</v>
      </c>
      <c r="AX259" s="22" t="n">
        <f aca="false">100*(AX125-AX124)</f>
        <v>18.1117568032052</v>
      </c>
      <c r="AY259" s="22" t="n">
        <f aca="false">100*(AY125-AY124)</f>
        <v>18.505691971523</v>
      </c>
      <c r="AZ259" s="22" t="n">
        <f aca="false">100*(AZ125-AZ124)</f>
        <v>18.8647801288021</v>
      </c>
      <c r="BA259" s="22" t="n">
        <f aca="false">100*(BA125-BA124)</f>
        <v>19.1923272029972</v>
      </c>
      <c r="BB259" s="22" t="n">
        <f aca="false">100*(BB125-BB124)</f>
        <v>19.4915679488572</v>
      </c>
      <c r="BC259" s="22" t="n">
        <f aca="false">100*(BC125-BC124)</f>
        <v>19.7655863460499</v>
      </c>
      <c r="BD259" s="22" t="n">
        <f aca="false">100*(BD125-BD124)</f>
        <v>20.0172622564958</v>
      </c>
      <c r="BE259" s="22" t="n">
        <f aca="false">100*(BE125-BE124)</f>
        <v>20.2492239778145</v>
      </c>
      <c r="BF259" s="22" t="n">
        <f aca="false">100*(BF125-BF124)</f>
        <v>20.4637977355697</v>
      </c>
      <c r="BG259" s="22" t="n">
        <f aca="false">100*(BG125-BG124)</f>
        <v>20.6630015073165</v>
      </c>
      <c r="BH259" s="22" t="n">
        <f aca="false">AVERAGE(C259:BG259)</f>
        <v>3.59777924444424</v>
      </c>
    </row>
    <row r="260" customFormat="false" ht="15" hidden="false" customHeight="false" outlineLevel="0" collapsed="false">
      <c r="A260" s="20" t="n">
        <f aca="false">A126</f>
        <v>1</v>
      </c>
      <c r="B260" s="21" t="n">
        <f aca="false">B126</f>
        <v>44839</v>
      </c>
      <c r="C260" s="22" t="n">
        <f aca="false">100*(C126-C125)</f>
        <v>9.07344687251364</v>
      </c>
      <c r="D260" s="22" t="n">
        <f aca="false">100*(D126-D125)</f>
        <v>9.20024237753898</v>
      </c>
      <c r="E260" s="22" t="n">
        <f aca="false">100*(E126-E125)</f>
        <v>9.56503032606388</v>
      </c>
      <c r="F260" s="22" t="n">
        <f aca="false">100*(F126-F125)</f>
        <v>10.0779878454351</v>
      </c>
      <c r="G260" s="22" t="n">
        <f aca="false">100*(G126-G125)</f>
        <v>10.6670362781799</v>
      </c>
      <c r="H260" s="22" t="n">
        <f aca="false">100*(H126-H125)</f>
        <v>11.2791423900505</v>
      </c>
      <c r="I260" s="22" t="n">
        <f aca="false">100*(I126-I125)</f>
        <v>11.8766242281366</v>
      </c>
      <c r="J260" s="22" t="n">
        <f aca="false">100*(J126-J125)</f>
        <v>12.4345698721138</v>
      </c>
      <c r="K260" s="22" t="n">
        <f aca="false">100*(K126-K125)</f>
        <v>12.938067533479</v>
      </c>
      <c r="L260" s="22" t="n">
        <f aca="false">100*(L126-L125)</f>
        <v>13.3793160356932</v>
      </c>
      <c r="M260" s="22" t="n">
        <f aca="false">100*(M126-M125)</f>
        <v>13.7560511846561</v>
      </c>
      <c r="N260" s="22" t="n">
        <f aca="false">100*(N126-N125)</f>
        <v>14.0698886052734</v>
      </c>
      <c r="O260" s="22" t="n">
        <f aca="false">100*(O126-O125)</f>
        <v>14.3253824591236</v>
      </c>
      <c r="P260" s="22" t="n">
        <f aca="false">100*(P126-P125)</f>
        <v>14.5290833338058</v>
      </c>
      <c r="Q260" s="22" t="n">
        <f aca="false">100*(Q126-Q125)</f>
        <v>14.6889269629597</v>
      </c>
      <c r="R260" s="22" t="n">
        <f aca="false">100*(R126-R125)</f>
        <v>14.813609012442</v>
      </c>
      <c r="S260" s="22" t="n">
        <f aca="false">100*(S126-S125)</f>
        <v>14.9119816084373</v>
      </c>
      <c r="T260" s="22" t="n">
        <f aca="false">100*(T126-T125)</f>
        <v>14.9928666021534</v>
      </c>
      <c r="U260" s="22" t="n">
        <f aca="false">100*(U126-U125)</f>
        <v>15.0642443845701</v>
      </c>
      <c r="V260" s="22" t="n">
        <f aca="false">100*(V126-V125)</f>
        <v>15.1331883101258</v>
      </c>
      <c r="W260" s="22" t="n">
        <f aca="false">100*(W126-W125)</f>
        <v>15.206052238308</v>
      </c>
      <c r="X260" s="22" t="n">
        <f aca="false">100*(X126-X125)</f>
        <v>15.288538105042</v>
      </c>
      <c r="Y260" s="22" t="n">
        <f aca="false">100*(Y126-Y125)</f>
        <v>15.3852337668751</v>
      </c>
      <c r="Z260" s="22" t="n">
        <f aca="false">100*(Z126-Z125)</f>
        <v>15.4992876780975</v>
      </c>
      <c r="AA260" s="22" t="n">
        <f aca="false">100*(AA126-AA125)</f>
        <v>15.6323094120475</v>
      </c>
      <c r="AB260" s="22" t="n">
        <f aca="false">100*(AB126-AB125)</f>
        <v>15.7847679757865</v>
      </c>
      <c r="AC260" s="22" t="n">
        <f aca="false">100*(AC126-AC125)</f>
        <v>15.9563693266169</v>
      </c>
      <c r="AD260" s="22" t="n">
        <f aca="false">100*(AD126-AD125)</f>
        <v>16.1461885642058</v>
      </c>
      <c r="AE260" s="22" t="n">
        <f aca="false">100*(AE126-AE125)</f>
        <v>16.3527685020914</v>
      </c>
      <c r="AF260" s="22" t="n">
        <f aca="false">100*(AF126-AF125)</f>
        <v>16.5742125902046</v>
      </c>
      <c r="AG260" s="22" t="n">
        <f aca="false">100*(AG126-AG125)</f>
        <v>16.808523192225</v>
      </c>
      <c r="AH260" s="22" t="n">
        <f aca="false">100*(AH126-AH125)</f>
        <v>17.0538070477505</v>
      </c>
      <c r="AI260" s="22" t="n">
        <f aca="false">100*(AI126-AI125)</f>
        <v>17.308125427031</v>
      </c>
      <c r="AJ260" s="22" t="n">
        <f aca="false">100*(AJ126-AJ125)</f>
        <v>17.5694827323462</v>
      </c>
      <c r="AK260" s="22" t="n">
        <f aca="false">100*(AK126-AK125)</f>
        <v>17.8358283062735</v>
      </c>
      <c r="AL260" s="22" t="n">
        <f aca="false">100*(AL126-AL125)</f>
        <v>18.105058240168</v>
      </c>
      <c r="AM260" s="22" t="n">
        <f aca="false">100*(AM126-AM125)</f>
        <v>18.3750747725069</v>
      </c>
      <c r="AN260" s="22" t="n">
        <f aca="false">100*(AN126-AN125)</f>
        <v>18.6438564708652</v>
      </c>
      <c r="AO260" s="22" t="n">
        <f aca="false">100*(AO126-AO125)</f>
        <v>18.9095092299962</v>
      </c>
      <c r="AP260" s="22" t="n">
        <f aca="false">100*(AP126-AP125)</f>
        <v>19.1703660779605</v>
      </c>
      <c r="AQ260" s="22" t="n">
        <f aca="false">100*(AQ126-AQ125)</f>
        <v>19.4250053065356</v>
      </c>
      <c r="AR260" s="22" t="n">
        <f aca="false">100*(AR126-AR125)</f>
        <v>19.6722882357911</v>
      </c>
      <c r="AS260" s="22" t="n">
        <f aca="false">100*(AS126-AS125)</f>
        <v>19.9113577563176</v>
      </c>
      <c r="AT260" s="22" t="n">
        <f aca="false">100*(AT126-AT125)</f>
        <v>20.1416162815099</v>
      </c>
      <c r="AU260" s="22" t="n">
        <f aca="false">100*(AU126-AU125)</f>
        <v>20.3627003518826</v>
      </c>
      <c r="AV260" s="22" t="n">
        <f aca="false">100*(AV126-AV125)</f>
        <v>20.5744486081092</v>
      </c>
      <c r="AW260" s="22" t="n">
        <f aca="false">100*(AW126-AW125)</f>
        <v>20.7768785847347</v>
      </c>
      <c r="AX260" s="22" t="n">
        <f aca="false">100*(AX126-AX125)</f>
        <v>20.9701637657329</v>
      </c>
      <c r="AY260" s="22" t="n">
        <f aca="false">100*(AY126-AY125)</f>
        <v>21.1545938160022</v>
      </c>
      <c r="AZ260" s="22" t="n">
        <f aca="false">100*(AZ126-AZ125)</f>
        <v>21.3305536441087</v>
      </c>
      <c r="BA260" s="22" t="n">
        <f aca="false">100*(BA126-BA125)</f>
        <v>21.4985080227326</v>
      </c>
      <c r="BB260" s="22" t="n">
        <f aca="false">100*(BB126-BB125)</f>
        <v>21.658969424868</v>
      </c>
      <c r="BC260" s="22" t="n">
        <f aca="false">100*(BC126-BC125)</f>
        <v>21.8124774732664</v>
      </c>
      <c r="BD260" s="22" t="n">
        <f aca="false">100*(BD126-BD125)</f>
        <v>21.9595825894191</v>
      </c>
      <c r="BE260" s="22" t="n">
        <f aca="false">100*(BE126-BE125)</f>
        <v>22.1008314382357</v>
      </c>
      <c r="BF260" s="22" t="n">
        <f aca="false">100*(BF126-BF125)</f>
        <v>22.2367541278427</v>
      </c>
      <c r="BG260" s="22" t="n">
        <f aca="false">100*(BG126-BG125)</f>
        <v>22.3678657676735</v>
      </c>
      <c r="BH260" s="22" t="n">
        <f aca="false">AVERAGE(C260:BG260)</f>
        <v>16.7076603697178</v>
      </c>
    </row>
    <row r="261" customFormat="false" ht="15" hidden="false" customHeight="false" outlineLevel="0" collapsed="false">
      <c r="A261" s="20" t="n">
        <f aca="false">A127</f>
        <v>2</v>
      </c>
      <c r="B261" s="21" t="n">
        <f aca="false">B127</f>
        <v>44840</v>
      </c>
      <c r="C261" s="22" t="n">
        <f aca="false">100*(C127-C126)</f>
        <v>12.4512953790577</v>
      </c>
      <c r="D261" s="22" t="n">
        <f aca="false">100*(D127-D126)</f>
        <v>12.8385969136216</v>
      </c>
      <c r="E261" s="22" t="n">
        <f aca="false">100*(E127-E126)</f>
        <v>13.0817842029208</v>
      </c>
      <c r="F261" s="22" t="n">
        <f aca="false">100*(F127-F126)</f>
        <v>13.2640126079923</v>
      </c>
      <c r="G261" s="22" t="n">
        <f aca="false">100*(G127-G126)</f>
        <v>13.4250239542416</v>
      </c>
      <c r="H261" s="22" t="n">
        <f aca="false">100*(H127-H126)</f>
        <v>13.5846424774127</v>
      </c>
      <c r="I261" s="22" t="n">
        <f aca="false">100*(I127-I126)</f>
        <v>13.7532546011787</v>
      </c>
      <c r="J261" s="22" t="n">
        <f aca="false">100*(J127-J126)</f>
        <v>13.9365421052386</v>
      </c>
      <c r="K261" s="22" t="n">
        <f aca="false">100*(K127-K126)</f>
        <v>14.1370680831848</v>
      </c>
      <c r="L261" s="22" t="n">
        <f aca="false">100*(L127-L126)</f>
        <v>14.3544339540765</v>
      </c>
      <c r="M261" s="22" t="n">
        <f aca="false">100*(M127-M126)</f>
        <v>14.586267095744</v>
      </c>
      <c r="N261" s="22" t="n">
        <f aca="false">100*(N127-N126)</f>
        <v>14.8288980976617</v>
      </c>
      <c r="O261" s="22" t="n">
        <f aca="false">100*(O127-O126)</f>
        <v>15.0783575199831</v>
      </c>
      <c r="P261" s="22" t="n">
        <f aca="false">100*(P127-P126)</f>
        <v>15.3306656714027</v>
      </c>
      <c r="Q261" s="22" t="n">
        <f aca="false">100*(Q127-Q126)</f>
        <v>15.5819603743498</v>
      </c>
      <c r="R261" s="22" t="n">
        <f aca="false">100*(R127-R126)</f>
        <v>15.8285685564326</v>
      </c>
      <c r="S261" s="22" t="n">
        <f aca="false">100*(S127-S126)</f>
        <v>16.0669691956562</v>
      </c>
      <c r="T261" s="22" t="n">
        <f aca="false">100*(T127-T126)</f>
        <v>16.2938687705539</v>
      </c>
      <c r="U261" s="22" t="n">
        <f aca="false">100*(U127-U126)</f>
        <v>16.5062259177057</v>
      </c>
      <c r="V261" s="22" t="n">
        <f aca="false">100*(V127-V126)</f>
        <v>16.7011927856131</v>
      </c>
      <c r="W261" s="22" t="n">
        <f aca="false">100*(W127-W126)</f>
        <v>16.8760745249855</v>
      </c>
      <c r="X261" s="22" t="n">
        <f aca="false">100*(X127-X126)</f>
        <v>17.0283129096182</v>
      </c>
      <c r="Y261" s="22" t="n">
        <f aca="false">100*(Y127-Y126)</f>
        <v>17.1555225064949</v>
      </c>
      <c r="Z261" s="22" t="n">
        <f aca="false">100*(Z127-Z126)</f>
        <v>17.255449408184</v>
      </c>
      <c r="AA261" s="22" t="n">
        <f aca="false">100*(AA127-AA126)</f>
        <v>17.3258884526859</v>
      </c>
      <c r="AB261" s="22" t="n">
        <f aca="false">100*(AB127-AB126)</f>
        <v>17.3650370121134</v>
      </c>
      <c r="AC261" s="22" t="n">
        <f aca="false">100*(AC127-AC126)</f>
        <v>17.3716925361014</v>
      </c>
      <c r="AD261" s="22" t="n">
        <f aca="false">100*(AD127-AD126)</f>
        <v>17.3451686203591</v>
      </c>
      <c r="AE261" s="22" t="n">
        <f aca="false">100*(AE127-AE126)</f>
        <v>17.2852143588436</v>
      </c>
      <c r="AF261" s="22" t="n">
        <f aca="false">100*(AF127-AF126)</f>
        <v>17.1919593690935</v>
      </c>
      <c r="AG261" s="22" t="n">
        <f aca="false">100*(AG127-AG126)</f>
        <v>17.0661079441028</v>
      </c>
      <c r="AH261" s="22" t="n">
        <f aca="false">100*(AH127-AH126)</f>
        <v>16.9091080679515</v>
      </c>
      <c r="AI261" s="22" t="n">
        <f aca="false">100*(AI127-AI126)</f>
        <v>16.7230326218899</v>
      </c>
      <c r="AJ261" s="22" t="n">
        <f aca="false">100*(AJ127-AJ126)</f>
        <v>16.5105180396421</v>
      </c>
      <c r="AK261" s="22" t="n">
        <f aca="false">100*(AK127-AK126)</f>
        <v>16.2746834711471</v>
      </c>
      <c r="AL261" s="22" t="n">
        <f aca="false">100*(AL127-AL126)</f>
        <v>16.0190515337733</v>
      </c>
      <c r="AM261" s="22" t="n">
        <f aca="false">100*(AM127-AM126)</f>
        <v>15.747465049111</v>
      </c>
      <c r="AN261" s="22" t="n">
        <f aca="false">100*(AN127-AN126)</f>
        <v>15.4640101443684</v>
      </c>
      <c r="AO261" s="22" t="n">
        <f aca="false">100*(AO127-AO126)</f>
        <v>15.172918671609</v>
      </c>
      <c r="AP261" s="22" t="n">
        <f aca="false">100*(AP127-AP126)</f>
        <v>14.8784100008886</v>
      </c>
      <c r="AQ261" s="22" t="n">
        <f aca="false">100*(AQ127-AQ126)</f>
        <v>14.5846178703622</v>
      </c>
      <c r="AR261" s="22" t="n">
        <f aca="false">100*(AR127-AR126)</f>
        <v>14.2954398714341</v>
      </c>
      <c r="AS261" s="22" t="n">
        <f aca="false">100*(AS127-AS126)</f>
        <v>14.0144763778168</v>
      </c>
      <c r="AT261" s="22" t="n">
        <f aca="false">100*(AT127-AT126)</f>
        <v>13.7449828745812</v>
      </c>
      <c r="AU261" s="22" t="n">
        <f aca="false">100*(AU127-AU126)</f>
        <v>13.4898612579327</v>
      </c>
      <c r="AV261" s="22" t="n">
        <f aca="false">100*(AV127-AV126)</f>
        <v>13.2516439456486</v>
      </c>
      <c r="AW261" s="22" t="n">
        <f aca="false">100*(AW127-AW126)</f>
        <v>13.0324974848933</v>
      </c>
      <c r="AX261" s="22" t="n">
        <f aca="false">100*(AX127-AX126)</f>
        <v>12.834228420575</v>
      </c>
      <c r="AY261" s="22" t="n">
        <f aca="false">100*(AY127-AY126)</f>
        <v>12.6582821608215</v>
      </c>
      <c r="AZ261" s="22" t="n">
        <f aca="false">100*(AZ127-AZ126)</f>
        <v>12.5057649160052</v>
      </c>
      <c r="BA261" s="22" t="n">
        <f aca="false">100*(BA127-BA126)</f>
        <v>12.3774675718886</v>
      </c>
      <c r="BB261" s="22" t="n">
        <f aca="false">100*(BB127-BB126)</f>
        <v>12.2738665872056</v>
      </c>
      <c r="BC261" s="22" t="n">
        <f aca="false">100*(BC127-BC126)</f>
        <v>12.1951431693876</v>
      </c>
      <c r="BD261" s="22" t="n">
        <f aca="false">100*(BD127-BD126)</f>
        <v>12.1412157073583</v>
      </c>
      <c r="BE261" s="22" t="n">
        <f aca="false">100*(BE127-BE126)</f>
        <v>12.1117760122956</v>
      </c>
      <c r="BF261" s="22" t="n">
        <f aca="false">100*(BF127-BF126)</f>
        <v>12.1063249842207</v>
      </c>
      <c r="BG261" s="22" t="n">
        <f aca="false">100*(BG127-BG126)</f>
        <v>12.1241914236923</v>
      </c>
      <c r="BH261" s="22" t="n">
        <f aca="false">AVERAGE(C261:BG261)</f>
        <v>14.8129304235634</v>
      </c>
    </row>
    <row r="262" customFormat="false" ht="15" hidden="false" customHeight="false" outlineLevel="0" collapsed="false">
      <c r="A262" s="20" t="n">
        <f aca="false">A128</f>
        <v>3</v>
      </c>
      <c r="B262" s="21" t="n">
        <f aca="false">B128</f>
        <v>44841</v>
      </c>
      <c r="C262" s="22" t="n">
        <f aca="false">100*(C128-C127)</f>
        <v>2.38376180823181</v>
      </c>
      <c r="D262" s="22" t="n">
        <f aca="false">100*(D128-D127)</f>
        <v>2.32874723155438</v>
      </c>
      <c r="E262" s="22" t="n">
        <f aca="false">100*(E128-E127)</f>
        <v>2.37197735138226</v>
      </c>
      <c r="F262" s="22" t="n">
        <f aca="false">100*(F128-F127)</f>
        <v>2.49368599601425</v>
      </c>
      <c r="G262" s="22" t="n">
        <f aca="false">100*(G128-G127)</f>
        <v>2.67373228723775</v>
      </c>
      <c r="H262" s="22" t="n">
        <f aca="false">100*(H128-H127)</f>
        <v>2.89672994530434</v>
      </c>
      <c r="I262" s="22" t="n">
        <f aca="false">100*(I128-I127)</f>
        <v>3.15188114040019</v>
      </c>
      <c r="J262" s="22" t="n">
        <f aca="false">100*(J128-J127)</f>
        <v>3.4327772673155</v>
      </c>
      <c r="K262" s="22" t="n">
        <f aca="false">100*(K128-K127)</f>
        <v>3.73638122006534</v>
      </c>
      <c r="L262" s="22" t="n">
        <f aca="false">100*(L128-L127)</f>
        <v>4.06163102633439</v>
      </c>
      <c r="M262" s="22" t="n">
        <f aca="false">100*(M128-M127)</f>
        <v>4.40830470756364</v>
      </c>
      <c r="N262" s="22" t="n">
        <f aca="false">100*(N128-N127)</f>
        <v>4.7765724143793</v>
      </c>
      <c r="O262" s="22" t="n">
        <f aca="false">100*(O128-O127)</f>
        <v>5.1663504502204</v>
      </c>
      <c r="P262" s="22" t="n">
        <f aca="false">100*(P128-P127)</f>
        <v>5.57730259565563</v>
      </c>
      <c r="Q262" s="22" t="n">
        <f aca="false">100*(Q128-Q127)</f>
        <v>6.00845145660962</v>
      </c>
      <c r="R262" s="22" t="n">
        <f aca="false">100*(R128-R127)</f>
        <v>6.45799860487504</v>
      </c>
      <c r="S262" s="22" t="n">
        <f aca="false">100*(S128-S127)</f>
        <v>6.92315374218131</v>
      </c>
      <c r="T262" s="22" t="n">
        <f aca="false">100*(T128-T127)</f>
        <v>7.40020350818451</v>
      </c>
      <c r="U262" s="22" t="n">
        <f aca="false">100*(U128-U127)</f>
        <v>7.88456013971253</v>
      </c>
      <c r="V262" s="22" t="n">
        <f aca="false">100*(V128-V127)</f>
        <v>8.37087524339717</v>
      </c>
      <c r="W262" s="22" t="n">
        <f aca="false">100*(W128-W127)</f>
        <v>8.85319749884754</v>
      </c>
      <c r="X262" s="22" t="n">
        <f aca="false">100*(X128-X127)</f>
        <v>9.32512430833405</v>
      </c>
      <c r="Y262" s="22" t="n">
        <f aca="false">100*(Y128-Y127)</f>
        <v>9.77998528034325</v>
      </c>
      <c r="Z262" s="22" t="n">
        <f aca="false">100*(Z128-Z127)</f>
        <v>10.2108789327351</v>
      </c>
      <c r="AA262" s="22" t="n">
        <f aca="false">100*(AA128-AA127)</f>
        <v>10.6108227499385</v>
      </c>
      <c r="AB262" s="22" t="n">
        <f aca="false">100*(AB128-AB127)</f>
        <v>10.973607826414</v>
      </c>
      <c r="AC262" s="22" t="n">
        <f aca="false">100*(AC128-AC127)</f>
        <v>11.294161562538</v>
      </c>
      <c r="AD262" s="22" t="n">
        <f aca="false">100*(AD128-AD127)</f>
        <v>11.5683839211636</v>
      </c>
      <c r="AE262" s="22" t="n">
        <f aca="false">100*(AE128-AE127)</f>
        <v>11.7929954647351</v>
      </c>
      <c r="AF262" s="22" t="n">
        <f aca="false">100*(AF128-AF127)</f>
        <v>11.9654436076651</v>
      </c>
      <c r="AG262" s="22" t="n">
        <f aca="false">100*(AG128-AG127)</f>
        <v>12.08436512384</v>
      </c>
      <c r="AH262" s="22" t="n">
        <f aca="false">100*(AH128-AH127)</f>
        <v>12.1497610393501</v>
      </c>
      <c r="AI262" s="22" t="n">
        <f aca="false">100*(AI128-AI127)</f>
        <v>12.1627091658514</v>
      </c>
      <c r="AJ262" s="22" t="n">
        <f aca="false">100*(AJ128-AJ127)</f>
        <v>12.1253007221007</v>
      </c>
      <c r="AK262" s="22" t="n">
        <f aca="false">100*(AK128-AK127)</f>
        <v>12.0404962174025</v>
      </c>
      <c r="AL262" s="22" t="n">
        <f aca="false">100*(AL128-AL127)</f>
        <v>11.9119839530232</v>
      </c>
      <c r="AM262" s="22" t="n">
        <f aca="false">100*(AM128-AM127)</f>
        <v>11.7440146731026</v>
      </c>
      <c r="AN262" s="22" t="n">
        <f aca="false">100*(AN128-AN127)</f>
        <v>11.5412497202149</v>
      </c>
      <c r="AO262" s="22" t="n">
        <f aca="false">100*(AO128-AO127)</f>
        <v>11.3086180877485</v>
      </c>
      <c r="AP262" s="22" t="n">
        <f aca="false">100*(AP128-AP127)</f>
        <v>11.0511093449186</v>
      </c>
      <c r="AQ262" s="22" t="n">
        <f aca="false">100*(AQ128-AQ127)</f>
        <v>10.7736798070528</v>
      </c>
      <c r="AR262" s="22" t="n">
        <f aca="false">100*(AR128-AR127)</f>
        <v>10.4810824391123</v>
      </c>
      <c r="AS262" s="22" t="n">
        <f aca="false">100*(AS128-AS127)</f>
        <v>10.1777919566676</v>
      </c>
      <c r="AT262" s="22" t="n">
        <f aca="false">100*(AT128-AT127)</f>
        <v>9.86792708987982</v>
      </c>
      <c r="AU262" s="22" t="n">
        <f aca="false">100*(AU128-AU127)</f>
        <v>9.55522737377814</v>
      </c>
      <c r="AV262" s="22" t="n">
        <f aca="false">100*(AV128-AV127)</f>
        <v>9.24301435059487</v>
      </c>
      <c r="AW262" s="22" t="n">
        <f aca="false">100*(AW128-AW127)</f>
        <v>8.9341807734348</v>
      </c>
      <c r="AX262" s="22" t="n">
        <f aca="false">100*(AX128-AX127)</f>
        <v>8.63118420742373</v>
      </c>
      <c r="AY262" s="22" t="n">
        <f aca="false">100*(AY128-AY127)</f>
        <v>8.33606164292968</v>
      </c>
      <c r="AZ262" s="22" t="n">
        <f aca="false">100*(AZ128-AZ127)</f>
        <v>8.05046463630479</v>
      </c>
      <c r="BA262" s="22" t="n">
        <f aca="false">100*(BA128-BA127)</f>
        <v>7.77569034185524</v>
      </c>
      <c r="BB262" s="22" t="n">
        <f aca="false">100*(BB128-BB127)</f>
        <v>7.51270080176969</v>
      </c>
      <c r="BC262" s="22" t="n">
        <f aca="false">100*(BC128-BC127)</f>
        <v>7.26215495710605</v>
      </c>
      <c r="BD262" s="22" t="n">
        <f aca="false">100*(BD128-BD127)</f>
        <v>7.02444879119266</v>
      </c>
      <c r="BE262" s="22" t="n">
        <f aca="false">100*(BE128-BE127)</f>
        <v>6.79975463606803</v>
      </c>
      <c r="BF262" s="22" t="n">
        <f aca="false">100*(BF128-BF127)</f>
        <v>6.58806074327227</v>
      </c>
      <c r="BG262" s="22" t="n">
        <f aca="false">100*(BG128-BG127)</f>
        <v>6.38919978399901</v>
      </c>
      <c r="BH262" s="22" t="n">
        <f aca="false">AVERAGE(C262:BG262)</f>
        <v>8.07722652051452</v>
      </c>
    </row>
    <row r="263" customFormat="false" ht="15" hidden="false" customHeight="false" outlineLevel="0" collapsed="false">
      <c r="A263" s="20" t="n">
        <f aca="false">A129</f>
        <v>4</v>
      </c>
      <c r="B263" s="21" t="n">
        <f aca="false">B129</f>
        <v>44844</v>
      </c>
      <c r="C263" s="22" t="n">
        <f aca="false">100*(C129-C128)</f>
        <v>21.4839022030072</v>
      </c>
      <c r="D263" s="22" t="n">
        <f aca="false">100*(D129-D128)</f>
        <v>21.9912918592494</v>
      </c>
      <c r="E263" s="22" t="n">
        <f aca="false">100*(E129-E128)</f>
        <v>22.3345828792389</v>
      </c>
      <c r="F263" s="22" t="n">
        <f aca="false">100*(F129-F128)</f>
        <v>22.6173845980916</v>
      </c>
      <c r="G263" s="22" t="n">
        <f aca="false">100*(G129-G128)</f>
        <v>22.8799729180582</v>
      </c>
      <c r="H263" s="22" t="n">
        <f aca="false">100*(H129-H128)</f>
        <v>23.1375035670473</v>
      </c>
      <c r="I263" s="22" t="n">
        <f aca="false">100*(I129-I128)</f>
        <v>23.3946863892256</v>
      </c>
      <c r="J263" s="22" t="n">
        <f aca="false">100*(J129-J128)</f>
        <v>23.6522618482731</v>
      </c>
      <c r="K263" s="22" t="n">
        <f aca="false">100*(K129-K128)</f>
        <v>23.9101314549904</v>
      </c>
      <c r="L263" s="22" t="n">
        <f aca="false">100*(L129-L128)</f>
        <v>24.1689892002774</v>
      </c>
      <c r="M263" s="22" t="n">
        <f aca="false">100*(M129-M128)</f>
        <v>24.4305806075661</v>
      </c>
      <c r="N263" s="22" t="n">
        <f aca="false">100*(N129-N128)</f>
        <v>24.6975709328771</v>
      </c>
      <c r="O263" s="22" t="n">
        <f aca="false">100*(O129-O128)</f>
        <v>24.9726499522197</v>
      </c>
      <c r="P263" s="22" t="n">
        <f aca="false">100*(P129-P128)</f>
        <v>25.2580655352892</v>
      </c>
      <c r="Q263" s="22" t="n">
        <f aca="false">100*(Q129-Q128)</f>
        <v>25.5552851774662</v>
      </c>
      <c r="R263" s="22" t="n">
        <f aca="false">100*(R129-R128)</f>
        <v>25.865136504108</v>
      </c>
      <c r="S263" s="22" t="n">
        <f aca="false">100*(S129-S128)</f>
        <v>26.1881046008418</v>
      </c>
      <c r="T263" s="22" t="n">
        <f aca="false">100*(T129-T128)</f>
        <v>26.5245075119713</v>
      </c>
      <c r="U263" s="22" t="n">
        <f aca="false">100*(U129-U128)</f>
        <v>26.8743125150622</v>
      </c>
      <c r="V263" s="22" t="n">
        <f aca="false">100*(V129-V128)</f>
        <v>27.2371345606083</v>
      </c>
      <c r="W263" s="22" t="n">
        <f aca="false">100*(W129-W128)</f>
        <v>27.6123092443364</v>
      </c>
      <c r="X263" s="22" t="n">
        <f aca="false">100*(X129-X128)</f>
        <v>27.9989264174893</v>
      </c>
      <c r="Y263" s="22" t="n">
        <f aca="false">100*(Y129-Y128)</f>
        <v>28.395692014595</v>
      </c>
      <c r="Z263" s="22" t="n">
        <f aca="false">100*(Z129-Z128)</f>
        <v>28.8008650319357</v>
      </c>
      <c r="AA263" s="22" t="n">
        <f aca="false">100*(AA129-AA128)</f>
        <v>29.2123790796439</v>
      </c>
      <c r="AB263" s="22" t="n">
        <f aca="false">100*(AB129-AB128)</f>
        <v>29.6278710795304</v>
      </c>
      <c r="AC263" s="22" t="n">
        <f aca="false">100*(AC129-AC128)</f>
        <v>30.0446655840567</v>
      </c>
      <c r="AD263" s="22" t="n">
        <f aca="false">100*(AD129-AD128)</f>
        <v>30.4598192751403</v>
      </c>
      <c r="AE263" s="22" t="n">
        <f aca="false">100*(AE129-AE128)</f>
        <v>30.870162818927</v>
      </c>
      <c r="AF263" s="22" t="n">
        <f aca="false">100*(AF129-AF128)</f>
        <v>31.2723390185351</v>
      </c>
      <c r="AG263" s="22" t="n">
        <f aca="false">100*(AG129-AG128)</f>
        <v>31.6628605021662</v>
      </c>
      <c r="AH263" s="22" t="n">
        <f aca="false">100*(AH129-AH128)</f>
        <v>32.038131250741</v>
      </c>
      <c r="AI263" s="22" t="n">
        <f aca="false">100*(AI129-AI128)</f>
        <v>32.3946822026043</v>
      </c>
      <c r="AJ263" s="22" t="n">
        <f aca="false">100*(AJ129-AJ128)</f>
        <v>32.7293181204156</v>
      </c>
      <c r="AK263" s="22" t="n">
        <f aca="false">100*(AK129-AK128)</f>
        <v>33.0391689818467</v>
      </c>
      <c r="AL263" s="22" t="n">
        <f aca="false">100*(AL129-AL128)</f>
        <v>33.3218162463913</v>
      </c>
      <c r="AM263" s="22" t="n">
        <f aca="false">100*(AM129-AM128)</f>
        <v>33.575318033744</v>
      </c>
      <c r="AN263" s="22" t="n">
        <f aca="false">100*(AN129-AN128)</f>
        <v>33.7982074323239</v>
      </c>
      <c r="AO263" s="22" t="n">
        <f aca="false">100*(AO129-AO128)</f>
        <v>33.9894902045981</v>
      </c>
      <c r="AP263" s="22" t="n">
        <f aca="false">100*(AP129-AP128)</f>
        <v>34.1486926326414</v>
      </c>
      <c r="AQ263" s="22" t="n">
        <f aca="false">100*(AQ129-AQ128)</f>
        <v>34.2758418483788</v>
      </c>
      <c r="AR263" s="22" t="n">
        <f aca="false">100*(AR129-AR128)</f>
        <v>34.3714721144718</v>
      </c>
      <c r="AS263" s="22" t="n">
        <f aca="false">100*(AS129-AS128)</f>
        <v>34.4365900588437</v>
      </c>
      <c r="AT263" s="22" t="n">
        <f aca="false">100*(AT129-AT128)</f>
        <v>34.4726061194222</v>
      </c>
      <c r="AU263" s="22" t="n">
        <f aca="false">100*(AU129-AU128)</f>
        <v>34.4812760830437</v>
      </c>
      <c r="AV263" s="22" t="n">
        <f aca="false">100*(AV129-AV128)</f>
        <v>34.4646258801836</v>
      </c>
      <c r="AW263" s="22" t="n">
        <f aca="false">100*(AW129-AW128)</f>
        <v>34.4248986745934</v>
      </c>
      <c r="AX263" s="22" t="n">
        <f aca="false">100*(AX129-AX128)</f>
        <v>34.3644932925995</v>
      </c>
      <c r="AY263" s="22" t="n">
        <f aca="false">100*(AY129-AY128)</f>
        <v>34.2858672666114</v>
      </c>
      <c r="AZ263" s="22" t="n">
        <f aca="false">100*(AZ129-AZ128)</f>
        <v>34.1915010896898</v>
      </c>
      <c r="BA263" s="22" t="n">
        <f aca="false">100*(BA129-BA128)</f>
        <v>34.0838753732648</v>
      </c>
      <c r="BB263" s="22" t="n">
        <f aca="false">100*(BB129-BB128)</f>
        <v>33.9653960133954</v>
      </c>
      <c r="BC263" s="22" t="n">
        <f aca="false">100*(BC129-BC128)</f>
        <v>33.8383572176284</v>
      </c>
      <c r="BD263" s="22" t="n">
        <f aca="false">100*(BD129-BD128)</f>
        <v>33.7049199778423</v>
      </c>
      <c r="BE263" s="22" t="n">
        <f aca="false">100*(BE129-BE128)</f>
        <v>33.5670936417354</v>
      </c>
      <c r="BF263" s="22" t="n">
        <f aca="false">100*(BF129-BF128)</f>
        <v>33.42671656509</v>
      </c>
      <c r="BG263" s="22" t="n">
        <f aca="false">100*(BG129-BG128)</f>
        <v>33.2854531499885</v>
      </c>
      <c r="BH263" s="22" t="n">
        <f aca="false">AVERAGE(C263:BG263)</f>
        <v>29.6808377956827</v>
      </c>
    </row>
    <row r="264" customFormat="false" ht="15" hidden="false" customHeight="false" outlineLevel="0" collapsed="false">
      <c r="A264" s="20" t="n">
        <f aca="false">A130</f>
        <v>5</v>
      </c>
      <c r="B264" s="21" t="n">
        <f aca="false">B130</f>
        <v>44845</v>
      </c>
      <c r="C264" s="22" t="n">
        <f aca="false">100*(C130-C129)</f>
        <v>-13.8879168295706</v>
      </c>
      <c r="D264" s="22" t="n">
        <f aca="false">100*(D130-D129)</f>
        <v>-13.3085329684658</v>
      </c>
      <c r="E264" s="22" t="n">
        <f aca="false">100*(E130-E129)</f>
        <v>-12.6035310256319</v>
      </c>
      <c r="F264" s="22" t="n">
        <f aca="false">100*(F130-F129)</f>
        <v>-11.9002569276233</v>
      </c>
      <c r="G264" s="22" t="n">
        <f aca="false">100*(G130-G129)</f>
        <v>-11.2474785406125</v>
      </c>
      <c r="H264" s="22" t="n">
        <f aca="false">100*(H130-H129)</f>
        <v>-10.6573324566459</v>
      </c>
      <c r="I264" s="22" t="n">
        <f aca="false">100*(I130-I129)</f>
        <v>-10.1263739868196</v>
      </c>
      <c r="J264" s="22" t="n">
        <f aca="false">100*(J130-J129)</f>
        <v>-9.64560587782115</v>
      </c>
      <c r="K264" s="22" t="n">
        <f aca="false">100*(K130-K129)</f>
        <v>-9.20455518585177</v>
      </c>
      <c r="L264" s="22" t="n">
        <f aca="false">100*(L130-L129)</f>
        <v>-8.79275965241009</v>
      </c>
      <c r="M264" s="22" t="n">
        <f aca="false">100*(M130-M129)</f>
        <v>-8.40040672157523</v>
      </c>
      <c r="N264" s="22" t="n">
        <f aca="false">100*(N130-N129)</f>
        <v>-8.0185975459746</v>
      </c>
      <c r="O264" s="22" t="n">
        <f aca="false">100*(O130-O129)</f>
        <v>-7.63985323241343</v>
      </c>
      <c r="P264" s="22" t="n">
        <f aca="false">100*(P130-P129)</f>
        <v>-7.2582007193887</v>
      </c>
      <c r="Q264" s="22" t="n">
        <f aca="false">100*(Q130-Q129)</f>
        <v>-6.86922328505677</v>
      </c>
      <c r="R264" s="22" t="n">
        <f aca="false">100*(R130-R129)</f>
        <v>-6.469826773629</v>
      </c>
      <c r="S264" s="22" t="n">
        <f aca="false">100*(S130-S129)</f>
        <v>-6.05791353872869</v>
      </c>
      <c r="T264" s="22" t="n">
        <f aca="false">100*(T130-T129)</f>
        <v>-5.6321280853278</v>
      </c>
      <c r="U264" s="22" t="n">
        <f aca="false">100*(U130-U129)</f>
        <v>-5.19163137746181</v>
      </c>
      <c r="V264" s="22" t="n">
        <f aca="false">100*(V130-V129)</f>
        <v>-4.73598690322996</v>
      </c>
      <c r="W264" s="22" t="n">
        <f aca="false">100*(W130-W129)</f>
        <v>-4.26507691988984</v>
      </c>
      <c r="X264" s="22" t="n">
        <f aca="false">100*(X130-X129)</f>
        <v>-3.77903590259612</v>
      </c>
      <c r="Y264" s="22" t="n">
        <f aca="false">100*(Y130-Y129)</f>
        <v>-3.27821952771474</v>
      </c>
      <c r="Z264" s="22" t="n">
        <f aca="false">100*(Z130-Z129)</f>
        <v>-2.76314595927163</v>
      </c>
      <c r="AA264" s="22" t="n">
        <f aca="false">100*(AA130-AA129)</f>
        <v>-2.2343068387829</v>
      </c>
      <c r="AB264" s="22" t="n">
        <f aca="false">100*(AB130-AB129)</f>
        <v>-1.69236281672935</v>
      </c>
      <c r="AC264" s="22" t="n">
        <f aca="false">100*(AC130-AC129)</f>
        <v>-1.13832485876104</v>
      </c>
      <c r="AD264" s="22" t="n">
        <f aca="false">100*(AD130-AD129)</f>
        <v>-0.57351083702768</v>
      </c>
      <c r="AE264" s="22" t="n">
        <f aca="false">100*(AE130-AE129)</f>
        <v>0.000502423961101783</v>
      </c>
      <c r="AF264" s="22" t="n">
        <f aca="false">100*(AF130-AF129)</f>
        <v>0.581913537897982</v>
      </c>
      <c r="AG264" s="22" t="n">
        <f aca="false">100*(AG130-AG129)</f>
        <v>1.16855674841334</v>
      </c>
      <c r="AH264" s="22" t="n">
        <f aca="false">100*(AH130-AH129)</f>
        <v>1.75773450367576</v>
      </c>
      <c r="AI264" s="22" t="n">
        <f aca="false">100*(AI130-AI129)</f>
        <v>2.34638530076019</v>
      </c>
      <c r="AJ264" s="22" t="n">
        <f aca="false">100*(AJ130-AJ129)</f>
        <v>2.93117724071372</v>
      </c>
      <c r="AK264" s="22" t="n">
        <f aca="false">100*(AK130-AK129)</f>
        <v>3.50856746861634</v>
      </c>
      <c r="AL264" s="22" t="n">
        <f aca="false">100*(AL130-AL129)</f>
        <v>4.0748793329354</v>
      </c>
      <c r="AM264" s="22" t="n">
        <f aca="false">100*(AM130-AM129)</f>
        <v>4.62639086840442</v>
      </c>
      <c r="AN264" s="22" t="n">
        <f aca="false">100*(AN130-AN129)</f>
        <v>5.15941617901836</v>
      </c>
      <c r="AO264" s="22" t="n">
        <f aca="false">100*(AO130-AO129)</f>
        <v>5.67038947570397</v>
      </c>
      <c r="AP264" s="22" t="n">
        <f aca="false">100*(AP130-AP129)</f>
        <v>6.15601783379809</v>
      </c>
      <c r="AQ264" s="22" t="n">
        <f aca="false">100*(AQ130-AQ129)</f>
        <v>6.61332350327148</v>
      </c>
      <c r="AR264" s="22" t="n">
        <f aca="false">100*(AR130-AR129)</f>
        <v>7.03974341809523</v>
      </c>
      <c r="AS264" s="22" t="n">
        <f aca="false">100*(AS130-AS129)</f>
        <v>7.43314903980403</v>
      </c>
      <c r="AT264" s="22" t="n">
        <f aca="false">100*(AT130-AT129)</f>
        <v>7.79184502551891</v>
      </c>
      <c r="AU264" s="22" t="n">
        <f aca="false">100*(AU130-AU129)</f>
        <v>8.11454777443919</v>
      </c>
      <c r="AV264" s="22" t="n">
        <f aca="false">100*(AV130-AV129)</f>
        <v>8.40036608038783</v>
      </c>
      <c r="AW264" s="22" t="n">
        <f aca="false">100*(AW130-AW129)</f>
        <v>8.6487799003601</v>
      </c>
      <c r="AX264" s="22" t="n">
        <f aca="false">100*(AX130-AX129)</f>
        <v>8.85961716202894</v>
      </c>
      <c r="AY264" s="22" t="n">
        <f aca="false">100*(AY130-AY129)</f>
        <v>9.03301856212186</v>
      </c>
      <c r="AZ264" s="22" t="n">
        <f aca="false">100*(AZ130-AZ129)</f>
        <v>9.16940734528149</v>
      </c>
      <c r="BA264" s="22" t="n">
        <f aca="false">100*(BA130-BA129)</f>
        <v>9.26946262285906</v>
      </c>
      <c r="BB264" s="22" t="n">
        <f aca="false">100*(BB130-BB129)</f>
        <v>9.33409661941749</v>
      </c>
      <c r="BC264" s="22" t="n">
        <f aca="false">100*(BC130-BC129)</f>
        <v>9.36442909469699</v>
      </c>
      <c r="BD264" s="22" t="n">
        <f aca="false">100*(BD130-BD129)</f>
        <v>9.36175554872447</v>
      </c>
      <c r="BE264" s="22" t="n">
        <f aca="false">100*(BE130-BE129)</f>
        <v>9.32751020690459</v>
      </c>
      <c r="BF264" s="22" t="n">
        <f aca="false">100*(BF130-BF129)</f>
        <v>9.26323249512366</v>
      </c>
      <c r="BG264" s="22" t="n">
        <f aca="false">100*(BG130-BG129)</f>
        <v>9.17056158981202</v>
      </c>
      <c r="BH264" s="22" t="n">
        <f aca="false">AVERAGE(C264:BG264)</f>
        <v>-0.231496813899401</v>
      </c>
    </row>
    <row r="265" customFormat="false" ht="15" hidden="false" customHeight="false" outlineLevel="0" collapsed="false">
      <c r="A265" s="20" t="n">
        <f aca="false">A131</f>
        <v>6</v>
      </c>
      <c r="B265" s="21" t="n">
        <f aca="false">B131</f>
        <v>44846</v>
      </c>
      <c r="C265" s="22" t="n">
        <f aca="false">100*(C131-C130)</f>
        <v>-16.4666298971159</v>
      </c>
      <c r="D265" s="22" t="n">
        <f aca="false">100*(D131-D130)</f>
        <v>-14.1047056347717</v>
      </c>
      <c r="E265" s="22" t="n">
        <f aca="false">100*(E131-E130)</f>
        <v>-11.6907689214082</v>
      </c>
      <c r="F265" s="22" t="n">
        <f aca="false">100*(F131-F130)</f>
        <v>-9.3707977514776</v>
      </c>
      <c r="G265" s="22" t="n">
        <f aca="false">100*(G131-G130)</f>
        <v>-7.2188021897313</v>
      </c>
      <c r="H265" s="22" t="n">
        <f aca="false">100*(H131-H130)</f>
        <v>-5.26478823753891</v>
      </c>
      <c r="I265" s="22" t="n">
        <f aca="false">100*(I131-I130)</f>
        <v>-3.51502916236912</v>
      </c>
      <c r="J265" s="22" t="n">
        <f aca="false">100*(J131-J130)</f>
        <v>-1.96324203920124</v>
      </c>
      <c r="K265" s="22" t="n">
        <f aca="false">100*(K131-K130)</f>
        <v>-0.595984748274514</v>
      </c>
      <c r="L265" s="22" t="n">
        <f aca="false">100*(L131-L130)</f>
        <v>0.603213801785074</v>
      </c>
      <c r="M265" s="22" t="n">
        <f aca="false">100*(M131-M130)</f>
        <v>1.65095264733086</v>
      </c>
      <c r="N265" s="22" t="n">
        <f aca="false">100*(N131-N130)</f>
        <v>2.56248264561014</v>
      </c>
      <c r="O265" s="22" t="n">
        <f aca="false">100*(O131-O130)</f>
        <v>3.3509826167232</v>
      </c>
      <c r="P265" s="22" t="n">
        <f aca="false">100*(P131-P130)</f>
        <v>4.02763460545197</v>
      </c>
      <c r="Q265" s="22" t="n">
        <f aca="false">100*(Q131-Q130)</f>
        <v>4.60203007537805</v>
      </c>
      <c r="R265" s="22" t="n">
        <f aca="false">100*(R131-R130)</f>
        <v>5.082970729734</v>
      </c>
      <c r="S265" s="22" t="n">
        <f aca="false">100*(S131-S130)</f>
        <v>5.47922039570432</v>
      </c>
      <c r="T265" s="22" t="n">
        <f aca="false">100*(T131-T130)</f>
        <v>5.79992692142373</v>
      </c>
      <c r="U265" s="22" t="n">
        <f aca="false">100*(U131-U130)</f>
        <v>6.05449884478029</v>
      </c>
      <c r="V265" s="22" t="n">
        <f aca="false">100*(V131-V130)</f>
        <v>6.25250325159357</v>
      </c>
      <c r="W265" s="22" t="n">
        <f aca="false">100*(W131-W130)</f>
        <v>6.40363245709814</v>
      </c>
      <c r="X265" s="22" t="n">
        <f aca="false">100*(X131-X130)</f>
        <v>6.51763599820701</v>
      </c>
      <c r="Y265" s="22" t="n">
        <f aca="false">100*(Y131-Y130)</f>
        <v>6.60399875676037</v>
      </c>
      <c r="Z265" s="22" t="n">
        <f aca="false">100*(Z131-Z130)</f>
        <v>6.67173550527744</v>
      </c>
      <c r="AA265" s="22" t="n">
        <f aca="false">100*(AA131-AA130)</f>
        <v>6.72925493105794</v>
      </c>
      <c r="AB265" s="22" t="n">
        <f aca="false">100*(AB131-AB130)</f>
        <v>6.78381488461133</v>
      </c>
      <c r="AC265" s="22" t="n">
        <f aca="false">100*(AC131-AC130)</f>
        <v>6.84129555149413</v>
      </c>
      <c r="AD265" s="22" t="n">
        <f aca="false">100*(AD131-AD130)</f>
        <v>6.90639875745758</v>
      </c>
      <c r="AE265" s="22" t="n">
        <f aca="false">100*(AE131-AE130)</f>
        <v>6.98283208716779</v>
      </c>
      <c r="AF265" s="22" t="n">
        <f aca="false">100*(AF131-AF130)</f>
        <v>7.07344821475697</v>
      </c>
      <c r="AG265" s="22" t="n">
        <f aca="false">100*(AG131-AG130)</f>
        <v>7.18006712860486</v>
      </c>
      <c r="AH265" s="22" t="n">
        <f aca="false">100*(AH131-AH130)</f>
        <v>7.30331932980635</v>
      </c>
      <c r="AI265" s="22" t="n">
        <f aca="false">100*(AI131-AI130)</f>
        <v>7.4430033537884</v>
      </c>
      <c r="AJ265" s="22" t="n">
        <f aca="false">100*(AJ131-AJ130)</f>
        <v>7.5982790430718</v>
      </c>
      <c r="AK265" s="22" t="n">
        <f aca="false">100*(AK131-AK130)</f>
        <v>7.7678102328842</v>
      </c>
      <c r="AL265" s="22" t="n">
        <f aca="false">100*(AL131-AL130)</f>
        <v>7.94994351895362</v>
      </c>
      <c r="AM265" s="22" t="n">
        <f aca="false">100*(AM131-AM130)</f>
        <v>8.14282808578009</v>
      </c>
      <c r="AN265" s="22" t="n">
        <f aca="false">100*(AN131-AN130)</f>
        <v>8.3445065447302</v>
      </c>
      <c r="AO265" s="22" t="n">
        <f aca="false">100*(AO131-AO130)</f>
        <v>8.55296736685158</v>
      </c>
      <c r="AP265" s="22" t="n">
        <f aca="false">100*(AP131-AP130)</f>
        <v>8.76621725217461</v>
      </c>
      <c r="AQ265" s="22" t="n">
        <f aca="false">100*(AQ131-AQ130)</f>
        <v>8.98229840610014</v>
      </c>
      <c r="AR265" s="22" t="n">
        <f aca="false">100*(AR131-AR130)</f>
        <v>9.19930406789646</v>
      </c>
      <c r="AS265" s="22" t="n">
        <f aca="false">100*(AS131-AS130)</f>
        <v>9.41538342641968</v>
      </c>
      <c r="AT265" s="22" t="n">
        <f aca="false">100*(AT131-AT130)</f>
        <v>9.62874740827839</v>
      </c>
      <c r="AU265" s="22" t="n">
        <f aca="false">100*(AU131-AU130)</f>
        <v>9.83766955056309</v>
      </c>
      <c r="AV265" s="22" t="n">
        <f aca="false">100*(AV131-AV130)</f>
        <v>10.0404888256662</v>
      </c>
      <c r="AW265" s="22" t="n">
        <f aca="false">100*(AW131-AW130)</f>
        <v>10.2356139452195</v>
      </c>
      <c r="AX265" s="22" t="n">
        <f aca="false">100*(AX131-AX130)</f>
        <v>10.4215327093074</v>
      </c>
      <c r="AY265" s="22" t="n">
        <f aca="false">100*(AY131-AY130)</f>
        <v>10.5968231598704</v>
      </c>
      <c r="AZ265" s="22" t="n">
        <f aca="false">100*(AZ131-AZ130)</f>
        <v>10.760152631681</v>
      </c>
      <c r="BA265" s="22" t="n">
        <f aca="false">100*(BA131-BA130)</f>
        <v>10.9102733750084</v>
      </c>
      <c r="BB265" s="22" t="n">
        <f aca="false">100*(BB131-BB130)</f>
        <v>11.0460312504277</v>
      </c>
      <c r="BC265" s="22" t="n">
        <f aca="false">100*(BC131-BC130)</f>
        <v>11.1663668133777</v>
      </c>
      <c r="BD265" s="22" t="n">
        <f aca="false">100*(BD131-BD130)</f>
        <v>11.2703116849686</v>
      </c>
      <c r="BE265" s="22" t="n">
        <f aca="false">100*(BE131-BE130)</f>
        <v>11.356983621273</v>
      </c>
      <c r="BF265" s="22" t="n">
        <f aca="false">100*(BF131-BF130)</f>
        <v>11.4255841016774</v>
      </c>
      <c r="BG265" s="22" t="n">
        <f aca="false">100*(BG131-BG130)</f>
        <v>11.4753997485566</v>
      </c>
      <c r="BH265" s="22" t="n">
        <f aca="false">AVERAGE(C265:BG265)</f>
        <v>5.25627406456935</v>
      </c>
    </row>
    <row r="266" customFormat="false" ht="15" hidden="false" customHeight="false" outlineLevel="0" collapsed="false">
      <c r="A266" s="20" t="n">
        <f aca="false">A132</f>
        <v>7</v>
      </c>
      <c r="B266" s="21" t="n">
        <f aca="false">B132</f>
        <v>44847</v>
      </c>
      <c r="C266" s="22" t="n">
        <f aca="false">100*(C132-C131)</f>
        <v>-21.5268762525819</v>
      </c>
      <c r="D266" s="22" t="n">
        <f aca="false">100*(D132-D131)</f>
        <v>-21.9149820136714</v>
      </c>
      <c r="E266" s="22" t="n">
        <f aca="false">100*(E132-E131)</f>
        <v>-22.0684469080916</v>
      </c>
      <c r="F266" s="22" t="n">
        <f aca="false">100*(F132-F131)</f>
        <v>-22.1208635936439</v>
      </c>
      <c r="G266" s="22" t="n">
        <f aca="false">100*(G132-G131)</f>
        <v>-22.1347928408616</v>
      </c>
      <c r="H266" s="22" t="n">
        <f aca="false">100*(H132-H131)</f>
        <v>-22.1429096129632</v>
      </c>
      <c r="I266" s="22" t="n">
        <f aca="false">100*(I132-I131)</f>
        <v>-22.1626106029207</v>
      </c>
      <c r="J266" s="22" t="n">
        <f aca="false">100*(J132-J131)</f>
        <v>-22.2028189260075</v>
      </c>
      <c r="K266" s="22" t="n">
        <f aca="false">100*(K132-K131)</f>
        <v>-22.2672397276042</v>
      </c>
      <c r="L266" s="22" t="n">
        <f aca="false">100*(L132-L131)</f>
        <v>-22.3564922699631</v>
      </c>
      <c r="M266" s="22" t="n">
        <f aca="false">100*(M132-M131)</f>
        <v>-22.4696206841019</v>
      </c>
      <c r="N266" s="22" t="n">
        <f aca="false">100*(N132-N131)</f>
        <v>-22.6046555674318</v>
      </c>
      <c r="O266" s="22" t="n">
        <f aca="false">100*(O132-O131)</f>
        <v>-22.7592669846833</v>
      </c>
      <c r="P266" s="22" t="n">
        <f aca="false">100*(P132-P131)</f>
        <v>-22.9310491487854</v>
      </c>
      <c r="Q266" s="22" t="n">
        <f aca="false">100*(Q132-Q131)</f>
        <v>-23.1178307589865</v>
      </c>
      <c r="R266" s="22" t="n">
        <f aca="false">100*(R132-R131)</f>
        <v>-23.3177930298756</v>
      </c>
      <c r="S266" s="22" t="n">
        <f aca="false">100*(S132-S131)</f>
        <v>-23.5295025523943</v>
      </c>
      <c r="T266" s="22" t="n">
        <f aca="false">100*(T132-T131)</f>
        <v>-23.7518816125775</v>
      </c>
      <c r="U266" s="22" t="n">
        <f aca="false">100*(U132-U131)</f>
        <v>-23.9839601881137</v>
      </c>
      <c r="V266" s="22" t="n">
        <f aca="false">100*(V132-V131)</f>
        <v>-24.2248167108373</v>
      </c>
      <c r="W266" s="22" t="n">
        <f aca="false">100*(W132-W131)</f>
        <v>-24.473567933735</v>
      </c>
      <c r="X266" s="22" t="n">
        <f aca="false">100*(X132-X131)</f>
        <v>-24.7293321922816</v>
      </c>
      <c r="Y266" s="22" t="n">
        <f aca="false">100*(Y132-Y131)</f>
        <v>-24.9910769741545</v>
      </c>
      <c r="Z266" s="22" t="n">
        <f aca="false">100*(Z132-Z131)</f>
        <v>-25.2576071564632</v>
      </c>
      <c r="AA266" s="22" t="n">
        <f aca="false">100*(AA132-AA131)</f>
        <v>-25.527712174175</v>
      </c>
      <c r="AB266" s="22" t="n">
        <f aca="false">100*(AB132-AB131)</f>
        <v>-25.8001006352763</v>
      </c>
      <c r="AC266" s="22" t="n">
        <f aca="false">100*(AC132-AC131)</f>
        <v>-26.0733578919781</v>
      </c>
      <c r="AD266" s="22" t="n">
        <f aca="false">100*(AD132-AD131)</f>
        <v>-26.3459649057766</v>
      </c>
      <c r="AE266" s="22" t="n">
        <f aca="false">100*(AE132-AE131)</f>
        <v>-26.6163145585039</v>
      </c>
      <c r="AF266" s="22" t="n">
        <f aca="false">100*(AF132-AF131)</f>
        <v>-26.8827163691926</v>
      </c>
      <c r="AG266" s="22" t="n">
        <f aca="false">100*(AG132-AG131)</f>
        <v>-27.1432853531486</v>
      </c>
      <c r="AH266" s="22" t="n">
        <f aca="false">100*(AH132-AH131)</f>
        <v>-27.3959624309754</v>
      </c>
      <c r="AI266" s="22" t="n">
        <f aca="false">100*(AI132-AI131)</f>
        <v>-27.6386532987829</v>
      </c>
      <c r="AJ266" s="22" t="n">
        <f aca="false">100*(AJ132-AJ131)</f>
        <v>-27.8692697489899</v>
      </c>
      <c r="AK266" s="22" t="n">
        <f aca="false">100*(AK132-AK131)</f>
        <v>-28.0857736886558</v>
      </c>
      <c r="AL266" s="22" t="n">
        <f aca="false">100*(AL132-AL131)</f>
        <v>-28.2862583240922</v>
      </c>
      <c r="AM266" s="22" t="n">
        <f aca="false">100*(AM132-AM131)</f>
        <v>-28.4689780611086</v>
      </c>
      <c r="AN266" s="22" t="n">
        <f aca="false">100*(AN132-AN131)</f>
        <v>-28.6323614729157</v>
      </c>
      <c r="AO266" s="22" t="n">
        <f aca="false">100*(AO132-AO131)</f>
        <v>-28.7750135507956</v>
      </c>
      <c r="AP266" s="22" t="n">
        <f aca="false">100*(AP132-AP131)</f>
        <v>-28.8957348806604</v>
      </c>
      <c r="AQ266" s="22" t="n">
        <f aca="false">100*(AQ132-AQ131)</f>
        <v>-28.9935105956748</v>
      </c>
      <c r="AR266" s="22" t="n">
        <f aca="false">100*(AR132-AR131)</f>
        <v>-29.0674973861647</v>
      </c>
      <c r="AS266" s="22" t="n">
        <f aca="false">100*(AS132-AS131)</f>
        <v>-29.1170086425834</v>
      </c>
      <c r="AT266" s="22" t="n">
        <f aca="false">100*(AT132-AT131)</f>
        <v>-29.1415000942704</v>
      </c>
      <c r="AU266" s="22" t="n">
        <f aca="false">100*(AU132-AU131)</f>
        <v>-29.1405549270243</v>
      </c>
      <c r="AV266" s="22" t="n">
        <f aca="false">100*(AV132-AV131)</f>
        <v>-29.1138688408283</v>
      </c>
      <c r="AW266" s="22" t="n">
        <f aca="false">100*(AW132-AW131)</f>
        <v>-29.0612384043132</v>
      </c>
      <c r="AX266" s="22" t="n">
        <f aca="false">100*(AX132-AX131)</f>
        <v>-28.9825538899929</v>
      </c>
      <c r="AY266" s="22" t="n">
        <f aca="false">100*(AY132-AY131)</f>
        <v>-28.8777887178351</v>
      </c>
      <c r="AZ266" s="22" t="n">
        <f aca="false">100*(AZ132-AZ131)</f>
        <v>-28.7469895886328</v>
      </c>
      <c r="BA266" s="22" t="n">
        <f aca="false">100*(BA132-BA131)</f>
        <v>-28.5902708075984</v>
      </c>
      <c r="BB266" s="22" t="n">
        <f aca="false">100*(BB132-BB131)</f>
        <v>-28.4078100109888</v>
      </c>
      <c r="BC266" s="22" t="n">
        <f aca="false">100*(BC132-BC131)</f>
        <v>-28.1998440084695</v>
      </c>
      <c r="BD266" s="22" t="n">
        <f aca="false">100*(BD132-BD131)</f>
        <v>-27.9666669671012</v>
      </c>
      <c r="BE266" s="22" t="n">
        <f aca="false">100*(BE132-BE131)</f>
        <v>-27.7086311639788</v>
      </c>
      <c r="BF266" s="22" t="n">
        <f aca="false">100*(BF132-BF131)</f>
        <v>-27.426147334758</v>
      </c>
      <c r="BG266" s="22" t="n">
        <f aca="false">100*(BG132-BG131)</f>
        <v>-27.1196794907726</v>
      </c>
      <c r="BH266" s="22" t="n">
        <f aca="false">AVERAGE(C266:BG266)</f>
        <v>-25.9147195168201</v>
      </c>
    </row>
    <row r="267" customFormat="false" ht="15" hidden="false" customHeight="false" outlineLevel="0" collapsed="false">
      <c r="A267" s="20" t="n">
        <f aca="false">A133</f>
        <v>8</v>
      </c>
      <c r="B267" s="21" t="n">
        <f aca="false">B133</f>
        <v>44848</v>
      </c>
      <c r="C267" s="22" t="n">
        <f aca="false">100*(C133-C132)</f>
        <v>2.17845471568801</v>
      </c>
      <c r="D267" s="22" t="n">
        <f aca="false">100*(D133-D132)</f>
        <v>1.4401055681728</v>
      </c>
      <c r="E267" s="22" t="n">
        <f aca="false">100*(E133-E132)</f>
        <v>1.17420989542802</v>
      </c>
      <c r="F267" s="22" t="n">
        <f aca="false">100*(F133-F132)</f>
        <v>1.23684334264071</v>
      </c>
      <c r="G267" s="22" t="n">
        <f aca="false">100*(G133-G132)</f>
        <v>1.52250124705793</v>
      </c>
      <c r="H267" s="22" t="n">
        <f aca="false">100*(H133-H132)</f>
        <v>1.95798383825725</v>
      </c>
      <c r="I267" s="22" t="n">
        <f aca="false">100*(I133-I132)</f>
        <v>2.49090659296263</v>
      </c>
      <c r="J267" s="22" t="n">
        <f aca="false">100*(J133-J132)</f>
        <v>3.08269180664018</v>
      </c>
      <c r="K267" s="22" t="n">
        <f aca="false">100*(K133-K132)</f>
        <v>3.70451089790462</v>
      </c>
      <c r="L267" s="22" t="n">
        <f aca="false">100*(L133-L132)</f>
        <v>4.33549725035798</v>
      </c>
      <c r="M267" s="22" t="n">
        <f aca="false">100*(M133-M132)</f>
        <v>4.96098612059548</v>
      </c>
      <c r="N267" s="22" t="n">
        <f aca="false">100*(N133-N132)</f>
        <v>5.57177852717246</v>
      </c>
      <c r="O267" s="22" t="n">
        <f aca="false">100*(O133-O132)</f>
        <v>6.16287137091307</v>
      </c>
      <c r="P267" s="22" t="n">
        <f aca="false">100*(P133-P132)</f>
        <v>6.73288448221765</v>
      </c>
      <c r="Q267" s="22" t="n">
        <f aca="false">100*(Q133-Q132)</f>
        <v>7.28322402998822</v>
      </c>
      <c r="R267" s="22" t="n">
        <f aca="false">100*(R133-R132)</f>
        <v>7.81704452957746</v>
      </c>
      <c r="S267" s="22" t="n">
        <f aca="false">100*(S133-S132)</f>
        <v>8.33820345716489</v>
      </c>
      <c r="T267" s="22" t="n">
        <f aca="false">100*(T133-T132)</f>
        <v>8.85080478570171</v>
      </c>
      <c r="U267" s="22" t="n">
        <f aca="false">100*(U133-U132)</f>
        <v>9.35803248069442</v>
      </c>
      <c r="V267" s="22" t="n">
        <f aca="false">100*(V133-V132)</f>
        <v>9.86206027661059</v>
      </c>
      <c r="W267" s="22" t="n">
        <f aca="false">100*(W133-W132)</f>
        <v>10.3642610683226</v>
      </c>
      <c r="X267" s="22" t="n">
        <f aca="false">100*(X133-X132)</f>
        <v>10.8653042927446</v>
      </c>
      <c r="Y267" s="22" t="n">
        <f aca="false">100*(Y133-Y132)</f>
        <v>11.3648141871327</v>
      </c>
      <c r="Z267" s="22" t="n">
        <f aca="false">100*(Z133-Z132)</f>
        <v>11.8612376452104</v>
      </c>
      <c r="AA267" s="22" t="n">
        <f aca="false">100*(AA133-AA132)</f>
        <v>12.3522359197183</v>
      </c>
      <c r="AB267" s="22" t="n">
        <f aca="false">100*(AB133-AB132)</f>
        <v>12.8353180638357</v>
      </c>
      <c r="AC267" s="22" t="n">
        <f aca="false">100*(AC133-AC132)</f>
        <v>13.3080729451492</v>
      </c>
      <c r="AD267" s="22" t="n">
        <f aca="false">100*(AD133-AD132)</f>
        <v>13.7681605081689</v>
      </c>
      <c r="AE267" s="22" t="n">
        <f aca="false">100*(AE133-AE132)</f>
        <v>14.2133006685595</v>
      </c>
      <c r="AF267" s="22" t="n">
        <f aca="false">100*(AF133-AF132)</f>
        <v>14.6412911947454</v>
      </c>
      <c r="AG267" s="22" t="n">
        <f aca="false">100*(AG133-AG132)</f>
        <v>15.0503707069864</v>
      </c>
      <c r="AH267" s="22" t="n">
        <f aca="false">100*(AH133-AH132)</f>
        <v>15.4392893617011</v>
      </c>
      <c r="AI267" s="22" t="n">
        <f aca="false">100*(AI133-AI132)</f>
        <v>15.8072237796011</v>
      </c>
      <c r="AJ267" s="22" t="n">
        <f aca="false">100*(AJ133-AJ132)</f>
        <v>16.1537918331907</v>
      </c>
      <c r="AK267" s="22" t="n">
        <f aca="false">100*(AK133-AK132)</f>
        <v>16.4790194438081</v>
      </c>
      <c r="AL267" s="22" t="n">
        <f aca="false">100*(AL133-AL132)</f>
        <v>16.7833296686434</v>
      </c>
      <c r="AM267" s="22" t="n">
        <f aca="false">100*(AM133-AM132)</f>
        <v>17.0674849671135</v>
      </c>
      <c r="AN267" s="22" t="n">
        <f aca="false">100*(AN133-AN132)</f>
        <v>17.3325278581513</v>
      </c>
      <c r="AO267" s="22" t="n">
        <f aca="false">100*(AO133-AO132)</f>
        <v>17.579729074348</v>
      </c>
      <c r="AP267" s="22" t="n">
        <f aca="false">100*(AP133-AP132)</f>
        <v>17.8105281506013</v>
      </c>
      <c r="AQ267" s="22" t="n">
        <f aca="false">100*(AQ133-AQ132)</f>
        <v>18.0264937889006</v>
      </c>
      <c r="AR267" s="22" t="n">
        <f aca="false">100*(AR133-AR132)</f>
        <v>18.2292676638913</v>
      </c>
      <c r="AS267" s="22" t="n">
        <f aca="false">100*(AS133-AS132)</f>
        <v>18.4205290240889</v>
      </c>
      <c r="AT267" s="22" t="n">
        <f aca="false">100*(AT133-AT132)</f>
        <v>18.6019515645499</v>
      </c>
      <c r="AU267" s="22" t="n">
        <f aca="false">100*(AU133-AU132)</f>
        <v>18.7751828804304</v>
      </c>
      <c r="AV267" s="22" t="n">
        <f aca="false">100*(AV133-AV132)</f>
        <v>18.941816838971</v>
      </c>
      <c r="AW267" s="22" t="n">
        <f aca="false">100*(AW133-AW132)</f>
        <v>19.10338074668</v>
      </c>
      <c r="AX267" s="22" t="n">
        <f aca="false">100*(AX133-AX132)</f>
        <v>19.2613190502915</v>
      </c>
      <c r="AY267" s="22" t="n">
        <f aca="false">100*(AY133-AY132)</f>
        <v>19.4169818605662</v>
      </c>
      <c r="AZ267" s="22" t="n">
        <f aca="false">100*(AZ133-AZ132)</f>
        <v>19.5716313521284</v>
      </c>
      <c r="BA267" s="22" t="n">
        <f aca="false">100*(BA133-BA132)</f>
        <v>19.7264416382638</v>
      </c>
      <c r="BB267" s="22" t="n">
        <f aca="false">100*(BB133-BB132)</f>
        <v>19.8824848543169</v>
      </c>
      <c r="BC267" s="22" t="n">
        <f aca="false">100*(BC133-BC132)</f>
        <v>20.0407290447041</v>
      </c>
      <c r="BD267" s="22" t="n">
        <f aca="false">100*(BD133-BD132)</f>
        <v>20.202036200917</v>
      </c>
      <c r="BE267" s="22" t="n">
        <f aca="false">100*(BE133-BE132)</f>
        <v>20.3671527367733</v>
      </c>
      <c r="BF267" s="22" t="n">
        <f aca="false">100*(BF133-BF132)</f>
        <v>20.536699915358</v>
      </c>
      <c r="BG267" s="22" t="n">
        <f aca="false">100*(BG133-BG132)</f>
        <v>20.7111749700063</v>
      </c>
      <c r="BH267" s="22" t="n">
        <f aca="false">AVERAGE(C267:BG267)</f>
        <v>12.6132308891985</v>
      </c>
    </row>
    <row r="268" customFormat="false" ht="15" hidden="false" customHeight="false" outlineLevel="0" collapsed="false">
      <c r="A268" s="20" t="n">
        <f aca="false">A134</f>
        <v>9</v>
      </c>
      <c r="B268" s="21" t="n">
        <f aca="false">B134</f>
        <v>44851</v>
      </c>
      <c r="C268" s="22" t="n">
        <f aca="false">100*(C134-C133)</f>
        <v>-33.0602543443881</v>
      </c>
      <c r="D268" s="22" t="n">
        <f aca="false">100*(D134-D133)</f>
        <v>-33.336671379419</v>
      </c>
      <c r="E268" s="22" t="n">
        <f aca="false">100*(E134-E133)</f>
        <v>-33.3614453281886</v>
      </c>
      <c r="F268" s="22" t="n">
        <f aca="false">100*(F134-F133)</f>
        <v>-33.2349607491859</v>
      </c>
      <c r="G268" s="22" t="n">
        <f aca="false">100*(G134-G133)</f>
        <v>-33.0312026847671</v>
      </c>
      <c r="H268" s="22" t="n">
        <f aca="false">100*(H134-H133)</f>
        <v>-32.7991632330602</v>
      </c>
      <c r="I268" s="22" t="n">
        <f aca="false">100*(I134-I133)</f>
        <v>-32.5701046803149</v>
      </c>
      <c r="J268" s="22" t="n">
        <f aca="false">100*(J134-J133)</f>
        <v>-32.3633656540292</v>
      </c>
      <c r="K268" s="22" t="n">
        <f aca="false">100*(K134-K133)</f>
        <v>-32.1899048032602</v>
      </c>
      <c r="L268" s="22" t="n">
        <f aca="false">100*(L134-L133)</f>
        <v>-32.0545918118476</v>
      </c>
      <c r="M268" s="22" t="n">
        <f aca="false">100*(M134-M133)</f>
        <v>-31.9581973310406</v>
      </c>
      <c r="N268" s="22" t="n">
        <f aca="false">100*(N134-N133)</f>
        <v>-31.8990349167057</v>
      </c>
      <c r="O268" s="22" t="n">
        <f aca="false">100*(O134-O133)</f>
        <v>-31.8745054875171</v>
      </c>
      <c r="P268" s="22" t="n">
        <f aca="false">100*(P134-P133)</f>
        <v>-31.8819137491986</v>
      </c>
      <c r="Q268" s="22" t="n">
        <f aca="false">100*(Q134-Q133)</f>
        <v>-31.9187313823806</v>
      </c>
      <c r="R268" s="22" t="n">
        <f aca="false">100*(R134-R133)</f>
        <v>-31.9829599042998</v>
      </c>
      <c r="S268" s="22" t="n">
        <f aca="false">100*(S134-S133)</f>
        <v>-32.07306849958</v>
      </c>
      <c r="T268" s="22" t="n">
        <f aca="false">100*(T134-T133)</f>
        <v>-32.1878755200684</v>
      </c>
      <c r="U268" s="22" t="n">
        <f aca="false">100*(U134-U133)</f>
        <v>-32.3262342633639</v>
      </c>
      <c r="V268" s="22" t="n">
        <f aca="false">100*(V134-V133)</f>
        <v>-32.4869730659207</v>
      </c>
      <c r="W268" s="22" t="n">
        <f aca="false">100*(W134-W133)</f>
        <v>-32.6689003769427</v>
      </c>
      <c r="X268" s="22" t="n">
        <f aca="false">100*(X134-X133)</f>
        <v>-32.8707740575298</v>
      </c>
      <c r="Y268" s="22" t="n">
        <f aca="false">100*(Y134-Y133)</f>
        <v>-33.0911306332371</v>
      </c>
      <c r="Z268" s="22" t="n">
        <f aca="false">100*(Z134-Z133)</f>
        <v>-33.3282254348106</v>
      </c>
      <c r="AA268" s="22" t="n">
        <f aca="false">100*(AA134-AA133)</f>
        <v>-33.5800672251695</v>
      </c>
      <c r="AB268" s="22" t="n">
        <f aca="false">100*(AB134-AB133)</f>
        <v>-33.8445597689306</v>
      </c>
      <c r="AC268" s="22" t="n">
        <f aca="false">100*(AC134-AC133)</f>
        <v>-34.1196126021604</v>
      </c>
      <c r="AD268" s="22" t="n">
        <f aca="false">100*(AD134-AD133)</f>
        <v>-34.4031462322771</v>
      </c>
      <c r="AE268" s="22" t="n">
        <f aca="false">100*(AE134-AE133)</f>
        <v>-34.6930904237763</v>
      </c>
      <c r="AF268" s="22" t="n">
        <f aca="false">100*(AF134-AF133)</f>
        <v>-34.98738691563</v>
      </c>
      <c r="AG268" s="22" t="n">
        <f aca="false">100*(AG134-AG133)</f>
        <v>-35.2841012608583</v>
      </c>
      <c r="AH268" s="22" t="n">
        <f aca="false">100*(AH134-AH133)</f>
        <v>-35.5814684567378</v>
      </c>
      <c r="AI268" s="22" t="n">
        <f aca="false">100*(AI134-AI133)</f>
        <v>-35.877846441316</v>
      </c>
      <c r="AJ268" s="22" t="n">
        <f aca="false">100*(AJ134-AJ133)</f>
        <v>-36.1717370483148</v>
      </c>
      <c r="AK268" s="22" t="n">
        <f aca="false">100*(AK134-AK133)</f>
        <v>-36.4617861393153</v>
      </c>
      <c r="AL268" s="22" t="n">
        <f aca="false">100*(AL134-AL133)</f>
        <v>-36.7467997682082</v>
      </c>
      <c r="AM268" s="22" t="n">
        <f aca="false">100*(AM134-AM133)</f>
        <v>-37.0257639903539</v>
      </c>
      <c r="AN268" s="22" t="n">
        <f aca="false">100*(AN134-AN133)</f>
        <v>-37.2978591080119</v>
      </c>
      <c r="AO268" s="22" t="n">
        <f aca="false">100*(AO134-AO133)</f>
        <v>-37.5624547607214</v>
      </c>
      <c r="AP268" s="22" t="n">
        <f aca="false">100*(AP134-AP133)</f>
        <v>-37.81911559914</v>
      </c>
      <c r="AQ268" s="22" t="n">
        <f aca="false">100*(AQ134-AQ133)</f>
        <v>-38.0675883727158</v>
      </c>
      <c r="AR268" s="22" t="n">
        <f aca="false">100*(AR134-AR133)</f>
        <v>-38.3077920154529</v>
      </c>
      <c r="AS268" s="22" t="n">
        <f aca="false">100*(AS134-AS133)</f>
        <v>-38.5397998438526</v>
      </c>
      <c r="AT268" s="22" t="n">
        <f aca="false">100*(AT134-AT133)</f>
        <v>-38.7638123200564</v>
      </c>
      <c r="AU268" s="22" t="n">
        <f aca="false">100*(AU134-AU133)</f>
        <v>-38.9801346381115</v>
      </c>
      <c r="AV268" s="22" t="n">
        <f aca="false">100*(AV134-AV133)</f>
        <v>-39.1891480840847</v>
      </c>
      <c r="AW268" s="22" t="n">
        <f aca="false">100*(AW134-AW133)</f>
        <v>-39.3912901298945</v>
      </c>
      <c r="AX268" s="22" t="n">
        <f aca="false">100*(AX134-AX133)</f>
        <v>-39.587032180601</v>
      </c>
      <c r="AY268" s="22" t="n">
        <f aca="false">100*(AY134-AY133)</f>
        <v>-39.7768425151467</v>
      </c>
      <c r="AZ268" s="22" t="n">
        <f aca="false">100*(AZ134-AZ133)</f>
        <v>-39.9611735430885</v>
      </c>
      <c r="BA268" s="22" t="n">
        <f aca="false">100*(BA134-BA133)</f>
        <v>-40.1404547538813</v>
      </c>
      <c r="BB268" s="22" t="n">
        <f aca="false">100*(BB134-BB133)</f>
        <v>-40.3150632176184</v>
      </c>
      <c r="BC268" s="22" t="n">
        <f aca="false">100*(BC134-BC133)</f>
        <v>-40.4853076075409</v>
      </c>
      <c r="BD268" s="22" t="n">
        <f aca="false">100*(BD134-BD133)</f>
        <v>-40.6514173455478</v>
      </c>
      <c r="BE268" s="22" t="n">
        <f aca="false">100*(BE134-BE133)</f>
        <v>-40.8135365021994</v>
      </c>
      <c r="BF268" s="22" t="n">
        <f aca="false">100*(BF134-BF133)</f>
        <v>-40.9717162550662</v>
      </c>
      <c r="BG268" s="22" t="n">
        <f aca="false">100*(BG134-BG133)</f>
        <v>-41.1259100476694</v>
      </c>
      <c r="BH268" s="22" t="n">
        <f aca="false">AVERAGE(C268:BG268)</f>
        <v>-35.5627193755176</v>
      </c>
    </row>
    <row r="269" customFormat="false" ht="15" hidden="false" customHeight="false" outlineLevel="0" collapsed="false">
      <c r="A269" s="20" t="n">
        <f aca="false">A135</f>
        <v>10</v>
      </c>
      <c r="B269" s="21" t="n">
        <f aca="false">B135</f>
        <v>44852</v>
      </c>
      <c r="C269" s="22" t="n">
        <f aca="false">100*(C135-C134)</f>
        <v>-7.28392938763349</v>
      </c>
      <c r="D269" s="22" t="n">
        <f aca="false">100*(D135-D134)</f>
        <v>-7.6712434972388</v>
      </c>
      <c r="E269" s="22" t="n">
        <f aca="false">100*(E135-E134)</f>
        <v>-7.75796245664688</v>
      </c>
      <c r="F269" s="22" t="n">
        <f aca="false">100*(F135-F134)</f>
        <v>-7.694471421856</v>
      </c>
      <c r="G269" s="22" t="n">
        <f aca="false">100*(G135-G134)</f>
        <v>-7.559613755696</v>
      </c>
      <c r="H269" s="22" t="n">
        <f aca="false">100*(H135-H134)</f>
        <v>-7.3964652341</v>
      </c>
      <c r="I269" s="22" t="n">
        <f aca="false">100*(I135-I134)</f>
        <v>-7.23009887965933</v>
      </c>
      <c r="J269" s="22" t="n">
        <f aca="false">100*(J135-J134)</f>
        <v>-7.0759320918544</v>
      </c>
      <c r="K269" s="22" t="n">
        <f aca="false">100*(K135-K134)</f>
        <v>-6.94351599583469</v>
      </c>
      <c r="L269" s="22" t="n">
        <f aca="false">100*(L135-L134)</f>
        <v>-6.83822050782421</v>
      </c>
      <c r="M269" s="22" t="n">
        <f aca="false">100*(M135-M134)</f>
        <v>-6.76263010774378</v>
      </c>
      <c r="N269" s="22" t="n">
        <f aca="false">100*(N135-N134)</f>
        <v>-6.71768777764141</v>
      </c>
      <c r="O269" s="22" t="n">
        <f aca="false">100*(O135-O134)</f>
        <v>-6.70348704559749</v>
      </c>
      <c r="P269" s="22" t="n">
        <f aca="false">100*(P135-P134)</f>
        <v>-6.71961899599589</v>
      </c>
      <c r="Q269" s="22" t="n">
        <f aca="false">100*(Q135-Q134)</f>
        <v>-6.76519941047</v>
      </c>
      <c r="R269" s="22" t="n">
        <f aca="false">100*(R135-R134)</f>
        <v>-6.83910567927524</v>
      </c>
      <c r="S269" s="22" t="n">
        <f aca="false">100*(S135-S134)</f>
        <v>-6.94001867968828</v>
      </c>
      <c r="T269" s="22" t="n">
        <f aca="false">100*(T135-T134)</f>
        <v>-7.06644104173169</v>
      </c>
      <c r="U269" s="22" t="n">
        <f aca="false">100*(U135-U134)</f>
        <v>-7.2164975097949</v>
      </c>
      <c r="V269" s="22" t="n">
        <f aca="false">100*(V135-V134)</f>
        <v>-7.38796477442172</v>
      </c>
      <c r="W269" s="22" t="n">
        <f aca="false">100*(W135-W134)</f>
        <v>-7.57834387206362</v>
      </c>
      <c r="X269" s="22" t="n">
        <f aca="false">100*(X135-X134)</f>
        <v>-7.78488956875876</v>
      </c>
      <c r="Y269" s="22" t="n">
        <f aca="false">100*(Y135-Y134)</f>
        <v>-8.00453547177291</v>
      </c>
      <c r="Z269" s="22" t="n">
        <f aca="false">100*(Z135-Z134)</f>
        <v>-8.2339322725268</v>
      </c>
      <c r="AA269" s="22" t="n">
        <f aca="false">100*(AA135-AA134)</f>
        <v>-8.4696557201644</v>
      </c>
      <c r="AB269" s="22" t="n">
        <f aca="false">100*(AB135-AB134)</f>
        <v>-8.70850713822415</v>
      </c>
      <c r="AC269" s="22" t="n">
        <f aca="false">100*(AC135-AC134)</f>
        <v>-8.94764767818161</v>
      </c>
      <c r="AD269" s="22" t="n">
        <f aca="false">100*(AD135-AD134)</f>
        <v>-9.18454966079052</v>
      </c>
      <c r="AE269" s="22" t="n">
        <f aca="false">100*(AE135-AE134)</f>
        <v>-9.41694795588397</v>
      </c>
      <c r="AF269" s="22" t="n">
        <f aca="false">100*(AF135-AF134)</f>
        <v>-9.64280660521624</v>
      </c>
      <c r="AG269" s="22" t="n">
        <f aca="false">100*(AG135-AG134)</f>
        <v>-9.86043746732737</v>
      </c>
      <c r="AH269" s="22" t="n">
        <f aca="false">100*(AH135-AH134)</f>
        <v>-10.0685466301926</v>
      </c>
      <c r="AI269" s="22" t="n">
        <f aca="false">100*(AI135-AI134)</f>
        <v>-10.2661748112681</v>
      </c>
      <c r="AJ269" s="22" t="n">
        <f aca="false">100*(AJ135-AJ134)</f>
        <v>-10.4527049622499</v>
      </c>
      <c r="AK269" s="22" t="n">
        <f aca="false">100*(AK135-AK134)</f>
        <v>-10.6278425860627</v>
      </c>
      <c r="AL269" s="22" t="n">
        <f aca="false">100*(AL135-AL134)</f>
        <v>-10.7916160561023</v>
      </c>
      <c r="AM269" s="22" t="n">
        <f aca="false">100*(AM135-AM134)</f>
        <v>-10.9443435202243</v>
      </c>
      <c r="AN269" s="22" t="n">
        <f aca="false">100*(AN135-AN134)</f>
        <v>-11.0865952142727</v>
      </c>
      <c r="AO269" s="22" t="n">
        <f aca="false">100*(AO135-AO134)</f>
        <v>-11.2191522984816</v>
      </c>
      <c r="AP269" s="22" t="n">
        <f aca="false">100*(AP135-AP134)</f>
        <v>-11.3429611190461</v>
      </c>
      <c r="AQ269" s="22" t="n">
        <f aca="false">100*(AQ135-AQ134)</f>
        <v>-11.4590985371371</v>
      </c>
      <c r="AR269" s="22" t="n">
        <f aca="false">100*(AR135-AR134)</f>
        <v>-11.5687169481041</v>
      </c>
      <c r="AS269" s="22" t="n">
        <f aca="false">100*(AS135-AS134)</f>
        <v>-11.6730108963575</v>
      </c>
      <c r="AT269" s="22" t="n">
        <f aca="false">100*(AT135-AT134)</f>
        <v>-11.7731754758075</v>
      </c>
      <c r="AU269" s="22" t="n">
        <f aca="false">100*(AU135-AU134)</f>
        <v>-11.8703831223041</v>
      </c>
      <c r="AV269" s="22" t="n">
        <f aca="false">100*(AV135-AV134)</f>
        <v>-11.9657511507008</v>
      </c>
      <c r="AW269" s="22" t="n">
        <f aca="false">100*(AW135-AW134)</f>
        <v>-12.0603236963451</v>
      </c>
      <c r="AX269" s="22" t="n">
        <f aca="false">100*(AX135-AX134)</f>
        <v>-12.1550509651548</v>
      </c>
      <c r="AY269" s="22" t="n">
        <f aca="false">100*(AY135-AY134)</f>
        <v>-12.2507557983865</v>
      </c>
      <c r="AZ269" s="22" t="n">
        <f aca="false">100*(AZ135-AZ134)</f>
        <v>-12.3481304180679</v>
      </c>
      <c r="BA269" s="22" t="n">
        <f aca="false">100*(BA135-BA134)</f>
        <v>-12.447737934784</v>
      </c>
      <c r="BB269" s="22" t="n">
        <f aca="false">100*(BB135-BB134)</f>
        <v>-12.5499864740686</v>
      </c>
      <c r="BC269" s="22" t="n">
        <f aca="false">100*(BC135-BC134)</f>
        <v>-12.6551255833181</v>
      </c>
      <c r="BD269" s="22" t="n">
        <f aca="false">100*(BD135-BD134)</f>
        <v>-12.7632543069236</v>
      </c>
      <c r="BE269" s="22" t="n">
        <f aca="false">100*(BE135-BE134)</f>
        <v>-12.8743319396992</v>
      </c>
      <c r="BF269" s="22" t="n">
        <f aca="false">100*(BF135-BF134)</f>
        <v>-12.9881875228193</v>
      </c>
      <c r="BG269" s="22" t="n">
        <f aca="false">100*(BG135-BG134)</f>
        <v>-13.1045291371936</v>
      </c>
      <c r="BH269" s="22" t="n">
        <f aca="false">AVERAGE(C269:BG269)</f>
        <v>-9.53876920643309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6" t="s">
        <v>245</v>
      </c>
    </row>
    <row r="3" customFormat="false" ht="39.55" hidden="false" customHeight="false" outlineLevel="0" collapsed="false">
      <c r="A3" s="3" t="s">
        <v>85</v>
      </c>
      <c r="B3" s="3" t="s">
        <v>72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  <c r="I3" s="3" t="s">
        <v>164</v>
      </c>
      <c r="J3" s="3" t="s">
        <v>165</v>
      </c>
      <c r="K3" s="3" t="s">
        <v>166</v>
      </c>
    </row>
    <row r="4" customFormat="false" ht="15" hidden="false" customHeight="false" outlineLevel="0" collapsed="false">
      <c r="A4" s="10" t="n">
        <v>-121</v>
      </c>
      <c r="B4" s="8" t="n">
        <v>44658</v>
      </c>
      <c r="C4" s="15" t="n">
        <v>1.67784709122</v>
      </c>
      <c r="F4" s="10" t="n">
        <v>0</v>
      </c>
    </row>
    <row r="5" customFormat="false" ht="15" hidden="false" customHeight="false" outlineLevel="0" collapsed="false">
      <c r="A5" s="10" t="n">
        <v>-120</v>
      </c>
      <c r="B5" s="8" t="n">
        <v>44659</v>
      </c>
      <c r="C5" s="15" t="n">
        <v>1.72394643746</v>
      </c>
      <c r="D5" s="22" t="n">
        <f aca="false">100*(C5-C4)</f>
        <v>4.60993462399999</v>
      </c>
      <c r="E5" s="23" t="n">
        <f aca="false">'A5 control'!BH139</f>
        <v>3.47009234110407</v>
      </c>
      <c r="F5" s="10" t="n">
        <v>1</v>
      </c>
    </row>
    <row r="6" customFormat="false" ht="15" hidden="false" customHeight="false" outlineLevel="0" collapsed="false">
      <c r="A6" s="10" t="n">
        <v>-119</v>
      </c>
      <c r="B6" s="8" t="n">
        <v>44662</v>
      </c>
      <c r="C6" s="15" t="n">
        <v>1.8006627363</v>
      </c>
      <c r="D6" s="22" t="n">
        <f aca="false">100*(C6-C5)</f>
        <v>7.67162988400001</v>
      </c>
      <c r="E6" s="23" t="n">
        <f aca="false">'A5 control'!BH140</f>
        <v>7.54261867491654</v>
      </c>
      <c r="F6" s="10" t="n">
        <v>1</v>
      </c>
    </row>
    <row r="7" customFormat="false" ht="15" hidden="false" customHeight="false" outlineLevel="0" collapsed="false">
      <c r="A7" s="10" t="n">
        <v>-118</v>
      </c>
      <c r="B7" s="8" t="n">
        <v>44663</v>
      </c>
      <c r="C7" s="15" t="n">
        <v>1.76909154703</v>
      </c>
      <c r="D7" s="22" t="n">
        <f aca="false">100*(C7-C6)</f>
        <v>-3.15711892700001</v>
      </c>
      <c r="E7" s="23" t="n">
        <f aca="false">'A5 control'!BH141</f>
        <v>-3.53386372905341</v>
      </c>
      <c r="F7" s="10" t="n">
        <v>1</v>
      </c>
    </row>
    <row r="8" customFormat="false" ht="15" hidden="false" customHeight="false" outlineLevel="0" collapsed="false">
      <c r="A8" s="10" t="n">
        <v>-117</v>
      </c>
      <c r="B8" s="8" t="n">
        <v>44664</v>
      </c>
      <c r="C8" s="15" t="n">
        <v>1.77374223796</v>
      </c>
      <c r="D8" s="22" t="n">
        <f aca="false">100*(C8-C7)</f>
        <v>0.465069093000015</v>
      </c>
      <c r="E8" s="23" t="n">
        <f aca="false">'A5 control'!BH142</f>
        <v>0.422394763429182</v>
      </c>
      <c r="F8" s="10" t="n">
        <v>1</v>
      </c>
    </row>
    <row r="9" customFormat="false" ht="15" hidden="false" customHeight="false" outlineLevel="0" collapsed="false">
      <c r="A9" s="10" t="n">
        <v>-116</v>
      </c>
      <c r="B9" s="8" t="n">
        <v>44665</v>
      </c>
      <c r="C9" s="15" t="n">
        <v>1.8716501859</v>
      </c>
      <c r="D9" s="22" t="n">
        <f aca="false">100*(C9-C8)</f>
        <v>9.790794794</v>
      </c>
      <c r="E9" s="23" t="n">
        <f aca="false">'A5 control'!BH143</f>
        <v>7.8166755591261</v>
      </c>
      <c r="F9" s="10" t="n">
        <v>1</v>
      </c>
    </row>
    <row r="10" customFormat="false" ht="15" hidden="false" customHeight="false" outlineLevel="0" collapsed="false">
      <c r="A10" s="10" t="n">
        <v>-115</v>
      </c>
      <c r="B10" s="8" t="n">
        <v>44670</v>
      </c>
      <c r="C10" s="15" t="n">
        <v>1.97373308818</v>
      </c>
      <c r="D10" s="22" t="n">
        <f aca="false">100*(C10-C9)</f>
        <v>10.208290228</v>
      </c>
      <c r="E10" s="23" t="n">
        <f aca="false">'A5 control'!BH144</f>
        <v>10.0632765483674</v>
      </c>
      <c r="F10" s="10" t="n">
        <v>1</v>
      </c>
    </row>
    <row r="11" customFormat="false" ht="15" hidden="false" customHeight="false" outlineLevel="0" collapsed="false">
      <c r="A11" s="10" t="n">
        <v>-114</v>
      </c>
      <c r="B11" s="8" t="n">
        <v>44671</v>
      </c>
      <c r="C11" s="15" t="n">
        <v>1.88638910584</v>
      </c>
      <c r="D11" s="22" t="n">
        <f aca="false">100*(C11-C10)</f>
        <v>-8.734398234</v>
      </c>
      <c r="E11" s="23" t="n">
        <f aca="false">'A5 control'!BH145</f>
        <v>-6.93699174043887</v>
      </c>
      <c r="F11" s="10" t="n">
        <v>1</v>
      </c>
    </row>
    <row r="12" customFormat="false" ht="15" hidden="false" customHeight="false" outlineLevel="0" collapsed="false">
      <c r="A12" s="10" t="n">
        <v>-113</v>
      </c>
      <c r="B12" s="8" t="n">
        <v>44672</v>
      </c>
      <c r="C12" s="15" t="n">
        <v>1.88812802867</v>
      </c>
      <c r="D12" s="22" t="n">
        <f aca="false">100*(C12-C11)</f>
        <v>0.173892282999999</v>
      </c>
      <c r="E12" s="23" t="n">
        <f aca="false">'A5 control'!BH146</f>
        <v>4.71560065249032</v>
      </c>
      <c r="F12" s="10" t="n">
        <v>1</v>
      </c>
    </row>
    <row r="13" customFormat="false" ht="15" hidden="false" customHeight="false" outlineLevel="0" collapsed="false">
      <c r="A13" s="10" t="n">
        <v>-112</v>
      </c>
      <c r="B13" s="8" t="n">
        <v>44673</v>
      </c>
      <c r="C13" s="15" t="n">
        <v>1.81895241716</v>
      </c>
      <c r="D13" s="22" t="n">
        <f aca="false">100*(C13-C12)</f>
        <v>-6.917561151</v>
      </c>
      <c r="E13" s="23" t="n">
        <f aca="false">'A5 control'!BH147</f>
        <v>-4.01509847784058</v>
      </c>
      <c r="F13" s="10" t="n">
        <v>1</v>
      </c>
    </row>
    <row r="14" customFormat="false" ht="15" hidden="false" customHeight="false" outlineLevel="0" collapsed="false">
      <c r="A14" s="10" t="n">
        <v>-111</v>
      </c>
      <c r="B14" s="8" t="n">
        <v>44676</v>
      </c>
      <c r="C14" s="15" t="n">
        <v>1.74150587417</v>
      </c>
      <c r="D14" s="22" t="n">
        <f aca="false">100*(C14-C13)</f>
        <v>-7.744654299</v>
      </c>
      <c r="E14" s="23" t="n">
        <f aca="false">'A5 control'!BH148</f>
        <v>-9.57026824094024</v>
      </c>
      <c r="F14" s="10" t="n">
        <v>1</v>
      </c>
    </row>
    <row r="15" customFormat="false" ht="15" hidden="false" customHeight="false" outlineLevel="0" collapsed="false">
      <c r="A15" s="10" t="n">
        <v>-110</v>
      </c>
      <c r="B15" s="8" t="n">
        <v>44677</v>
      </c>
      <c r="C15" s="15" t="n">
        <v>1.68856086981</v>
      </c>
      <c r="D15" s="22" t="n">
        <f aca="false">100*(C15-C14)</f>
        <v>-5.29450043599999</v>
      </c>
      <c r="E15" s="23" t="n">
        <f aca="false">'A5 control'!BH149</f>
        <v>-4.95690048083501</v>
      </c>
      <c r="F15" s="10" t="n">
        <v>1</v>
      </c>
    </row>
    <row r="16" customFormat="false" ht="15" hidden="false" customHeight="false" outlineLevel="0" collapsed="false">
      <c r="A16" s="10" t="n">
        <v>-109</v>
      </c>
      <c r="B16" s="8" t="n">
        <v>44678</v>
      </c>
      <c r="C16" s="15" t="n">
        <v>1.7405688236</v>
      </c>
      <c r="D16" s="22" t="n">
        <f aca="false">100*(C16-C15)</f>
        <v>5.200795379</v>
      </c>
      <c r="E16" s="23" t="n">
        <f aca="false">'A5 control'!BH150</f>
        <v>3.06481565823311</v>
      </c>
      <c r="F16" s="10" t="n">
        <v>1</v>
      </c>
    </row>
    <row r="17" customFormat="false" ht="15" hidden="false" customHeight="false" outlineLevel="0" collapsed="false">
      <c r="A17" s="10" t="n">
        <v>-108</v>
      </c>
      <c r="B17" s="8" t="n">
        <v>44679</v>
      </c>
      <c r="C17" s="15" t="n">
        <v>1.81718747108</v>
      </c>
      <c r="D17" s="22" t="n">
        <f aca="false">100*(C17-C16)</f>
        <v>7.66186474799999</v>
      </c>
      <c r="E17" s="23" t="n">
        <f aca="false">'A5 control'!BH151</f>
        <v>6.03836077346512</v>
      </c>
      <c r="F17" s="10" t="n">
        <v>1</v>
      </c>
    </row>
    <row r="18" customFormat="false" ht="15" hidden="false" customHeight="false" outlineLevel="0" collapsed="false">
      <c r="A18" s="10" t="n">
        <v>-107</v>
      </c>
      <c r="B18" s="8" t="n">
        <v>44680</v>
      </c>
      <c r="C18" s="15" t="n">
        <v>1.8528530116</v>
      </c>
      <c r="D18" s="22" t="n">
        <f aca="false">100*(C18-C17)</f>
        <v>3.56655405199999</v>
      </c>
      <c r="E18" s="23" t="n">
        <f aca="false">'A5 control'!BH152</f>
        <v>4.27811150065846</v>
      </c>
      <c r="F18" s="10" t="n">
        <v>1</v>
      </c>
    </row>
    <row r="19" customFormat="false" ht="15" hidden="false" customHeight="false" outlineLevel="0" collapsed="false">
      <c r="A19" s="10" t="n">
        <v>-106</v>
      </c>
      <c r="B19" s="8" t="n">
        <v>44684</v>
      </c>
      <c r="C19" s="15" t="n">
        <v>1.88107601697</v>
      </c>
      <c r="D19" s="22" t="n">
        <f aca="false">100*(C19-C18)</f>
        <v>2.82230053700001</v>
      </c>
      <c r="E19" s="23" t="n">
        <f aca="false">'A5 control'!BH153</f>
        <v>2.97814266593895</v>
      </c>
      <c r="F19" s="10" t="n">
        <v>1</v>
      </c>
    </row>
    <row r="20" customFormat="false" ht="15" hidden="false" customHeight="false" outlineLevel="0" collapsed="false">
      <c r="A20" s="10" t="n">
        <v>-105</v>
      </c>
      <c r="B20" s="8" t="n">
        <v>44685</v>
      </c>
      <c r="C20" s="15" t="n">
        <v>1.89171945213</v>
      </c>
      <c r="D20" s="22" t="n">
        <f aca="false">100*(C20-C19)</f>
        <v>1.064343516</v>
      </c>
      <c r="E20" s="23" t="n">
        <f aca="false">'A5 control'!BH154</f>
        <v>1.95775787382774</v>
      </c>
      <c r="F20" s="10" t="n">
        <v>1</v>
      </c>
    </row>
    <row r="21" customFormat="false" ht="15" hidden="false" customHeight="false" outlineLevel="0" collapsed="false">
      <c r="A21" s="10" t="n">
        <v>-104</v>
      </c>
      <c r="B21" s="8" t="n">
        <v>44686</v>
      </c>
      <c r="C21" s="15" t="n">
        <v>1.92706577702</v>
      </c>
      <c r="D21" s="22" t="n">
        <f aca="false">100*(C21-C20)</f>
        <v>3.53463248899999</v>
      </c>
      <c r="E21" s="23" t="n">
        <f aca="false">'A5 control'!BH155</f>
        <v>-0.287915311617539</v>
      </c>
      <c r="F21" s="10" t="n">
        <v>1</v>
      </c>
    </row>
    <row r="22" customFormat="false" ht="15" hidden="false" customHeight="false" outlineLevel="0" collapsed="false">
      <c r="A22" s="10" t="n">
        <v>-103</v>
      </c>
      <c r="B22" s="8" t="n">
        <v>44687</v>
      </c>
      <c r="C22" s="15" t="n">
        <v>2.01196846742</v>
      </c>
      <c r="D22" s="22" t="n">
        <f aca="false">100*(C22-C21)</f>
        <v>8.49026904000001</v>
      </c>
      <c r="E22" s="23" t="n">
        <f aca="false">'A5 control'!BH156</f>
        <v>5.66104121083005</v>
      </c>
      <c r="F22" s="10" t="n">
        <v>1</v>
      </c>
    </row>
    <row r="23" customFormat="false" ht="15" hidden="false" customHeight="false" outlineLevel="0" collapsed="false">
      <c r="A23" s="10" t="n">
        <v>-102</v>
      </c>
      <c r="B23" s="8" t="n">
        <v>44690</v>
      </c>
      <c r="C23" s="15" t="n">
        <v>1.97685914046</v>
      </c>
      <c r="D23" s="22" t="n">
        <f aca="false">100*(C23-C22)</f>
        <v>-3.510932696</v>
      </c>
      <c r="E23" s="23" t="n">
        <f aca="false">'A5 control'!BH157</f>
        <v>-4.99057248287466</v>
      </c>
      <c r="F23" s="10" t="n">
        <v>1</v>
      </c>
    </row>
    <row r="24" customFormat="false" ht="15" hidden="false" customHeight="false" outlineLevel="0" collapsed="false">
      <c r="A24" s="10" t="n">
        <v>-101</v>
      </c>
      <c r="B24" s="8" t="n">
        <v>44691</v>
      </c>
      <c r="C24" s="15" t="n">
        <v>1.88275137738</v>
      </c>
      <c r="D24" s="22" t="n">
        <f aca="false">100*(C24-C23)</f>
        <v>-9.410776308</v>
      </c>
      <c r="E24" s="23" t="n">
        <f aca="false">'A5 control'!BH158</f>
        <v>-10.0645096591991</v>
      </c>
      <c r="F24" s="10" t="n">
        <v>1</v>
      </c>
    </row>
    <row r="25" customFormat="false" ht="15" hidden="false" customHeight="false" outlineLevel="0" collapsed="false">
      <c r="A25" s="10" t="n">
        <v>-100</v>
      </c>
      <c r="B25" s="8" t="n">
        <v>44692</v>
      </c>
      <c r="C25" s="15" t="n">
        <v>1.94647492223</v>
      </c>
      <c r="D25" s="22" t="n">
        <f aca="false">100*(C25-C24)</f>
        <v>6.372354485</v>
      </c>
      <c r="E25" s="23" t="n">
        <f aca="false">'A5 control'!BH159</f>
        <v>3.24497339553285</v>
      </c>
      <c r="F25" s="10" t="n">
        <v>1</v>
      </c>
    </row>
    <row r="26" customFormat="false" ht="15" hidden="false" customHeight="false" outlineLevel="0" collapsed="false">
      <c r="A26" s="10" t="n">
        <v>-99</v>
      </c>
      <c r="B26" s="8" t="n">
        <v>44693</v>
      </c>
      <c r="C26" s="15" t="n">
        <v>1.80752472519</v>
      </c>
      <c r="D26" s="22" t="n">
        <f aca="false">100*(C26-C25)</f>
        <v>-13.895019704</v>
      </c>
      <c r="E26" s="23" t="n">
        <f aca="false">'A5 control'!BH160</f>
        <v>-14.7738063461728</v>
      </c>
      <c r="F26" s="10" t="n">
        <v>1</v>
      </c>
    </row>
    <row r="27" customFormat="false" ht="15" hidden="false" customHeight="false" outlineLevel="0" collapsed="false">
      <c r="A27" s="10" t="n">
        <v>-98</v>
      </c>
      <c r="B27" s="8" t="n">
        <v>44694</v>
      </c>
      <c r="C27" s="15" t="n">
        <v>1.83761939441</v>
      </c>
      <c r="D27" s="22" t="n">
        <f aca="false">100*(C27-C26)</f>
        <v>3.00946692200001</v>
      </c>
      <c r="E27" s="23" t="n">
        <f aca="false">'A5 control'!BH161</f>
        <v>3.98518991211419</v>
      </c>
      <c r="F27" s="10" t="n">
        <v>1</v>
      </c>
    </row>
    <row r="28" customFormat="false" ht="15" hidden="false" customHeight="false" outlineLevel="0" collapsed="false">
      <c r="A28" s="10" t="n">
        <v>-97</v>
      </c>
      <c r="B28" s="8" t="n">
        <v>44697</v>
      </c>
      <c r="C28" s="15" t="n">
        <v>1.81217717227</v>
      </c>
      <c r="D28" s="22" t="n">
        <f aca="false">100*(C28-C27)</f>
        <v>-2.54422221400001</v>
      </c>
      <c r="E28" s="23" t="n">
        <f aca="false">'A5 control'!BH162</f>
        <v>-0.939527282106072</v>
      </c>
      <c r="F28" s="10" t="n">
        <v>1</v>
      </c>
    </row>
    <row r="29" customFormat="false" ht="15" hidden="false" customHeight="false" outlineLevel="0" collapsed="false">
      <c r="A29" s="10" t="n">
        <v>-96</v>
      </c>
      <c r="B29" s="8" t="n">
        <v>44698</v>
      </c>
      <c r="C29" s="15" t="n">
        <v>1.90625437147</v>
      </c>
      <c r="D29" s="22" t="n">
        <f aca="false">100*(C29-C28)</f>
        <v>9.40771992</v>
      </c>
      <c r="E29" s="23" t="n">
        <f aca="false">'A5 control'!BH163</f>
        <v>12.8034325866073</v>
      </c>
      <c r="F29" s="10" t="n">
        <v>1</v>
      </c>
    </row>
    <row r="30" customFormat="false" ht="15" hidden="false" customHeight="false" outlineLevel="0" collapsed="false">
      <c r="A30" s="10" t="n">
        <v>-95</v>
      </c>
      <c r="B30" s="8" t="n">
        <v>44699</v>
      </c>
      <c r="C30" s="15" t="n">
        <v>1.88869487146</v>
      </c>
      <c r="D30" s="22" t="n">
        <f aca="false">100*(C30-C29)</f>
        <v>-1.755950001</v>
      </c>
      <c r="E30" s="23" t="n">
        <f aca="false">'A5 control'!BH164</f>
        <v>-1.03313466365505</v>
      </c>
      <c r="F30" s="10" t="n">
        <v>1</v>
      </c>
    </row>
    <row r="31" customFormat="false" ht="15" hidden="false" customHeight="false" outlineLevel="0" collapsed="false">
      <c r="A31" s="10" t="n">
        <v>-94</v>
      </c>
      <c r="B31" s="8" t="n">
        <v>44700</v>
      </c>
      <c r="C31" s="15" t="n">
        <v>1.90250582994</v>
      </c>
      <c r="D31" s="22" t="n">
        <f aca="false">100*(C31-C30)</f>
        <v>1.38109584799999</v>
      </c>
      <c r="E31" s="23" t="n">
        <f aca="false">'A5 control'!BH165</f>
        <v>0.65575849651575</v>
      </c>
      <c r="F31" s="10" t="n">
        <v>1</v>
      </c>
    </row>
    <row r="32" customFormat="false" ht="15" hidden="false" customHeight="false" outlineLevel="0" collapsed="false">
      <c r="A32" s="10" t="n">
        <v>-93</v>
      </c>
      <c r="B32" s="8" t="n">
        <v>44701</v>
      </c>
      <c r="C32" s="15" t="n">
        <v>1.93202075899</v>
      </c>
      <c r="D32" s="22" t="n">
        <f aca="false">100*(C32-C31)</f>
        <v>2.95149290500001</v>
      </c>
      <c r="E32" s="23" t="n">
        <f aca="false">'A5 control'!BH166</f>
        <v>2.7881302469771</v>
      </c>
      <c r="F32" s="10" t="n">
        <v>1</v>
      </c>
    </row>
    <row r="33" customFormat="false" ht="15" hidden="false" customHeight="false" outlineLevel="0" collapsed="false">
      <c r="A33" s="10" t="n">
        <v>-92</v>
      </c>
      <c r="B33" s="8" t="n">
        <v>44704</v>
      </c>
      <c r="C33" s="15" t="n">
        <v>1.99604813292</v>
      </c>
      <c r="D33" s="22" t="n">
        <f aca="false">100*(C33-C32)</f>
        <v>6.40273739299999</v>
      </c>
      <c r="E33" s="23" t="n">
        <f aca="false">'A5 control'!BH167</f>
        <v>7.52129644951491</v>
      </c>
      <c r="F33" s="10" t="n">
        <v>1</v>
      </c>
    </row>
    <row r="34" customFormat="false" ht="15" hidden="false" customHeight="false" outlineLevel="0" collapsed="false">
      <c r="A34" s="10" t="n">
        <v>-91</v>
      </c>
      <c r="B34" s="8" t="n">
        <v>44705</v>
      </c>
      <c r="C34" s="15" t="n">
        <v>1.92266698537</v>
      </c>
      <c r="D34" s="22" t="n">
        <f aca="false">100*(C34-C33)</f>
        <v>-7.33811475499999</v>
      </c>
      <c r="E34" s="23" t="n">
        <f aca="false">'A5 control'!BH168</f>
        <v>-9.92371936797633</v>
      </c>
      <c r="F34" s="10" t="n">
        <v>1</v>
      </c>
    </row>
    <row r="35" customFormat="false" ht="15" hidden="false" customHeight="false" outlineLevel="0" collapsed="false">
      <c r="A35" s="10" t="n">
        <v>-90</v>
      </c>
      <c r="B35" s="8" t="n">
        <v>44706</v>
      </c>
      <c r="C35" s="15" t="n">
        <v>1.98704087137</v>
      </c>
      <c r="D35" s="22" t="n">
        <f aca="false">100*(C35-C34)</f>
        <v>6.43738860000001</v>
      </c>
      <c r="E35" s="23" t="n">
        <f aca="false">'A5 control'!BH169</f>
        <v>4.62827339871899</v>
      </c>
      <c r="F35" s="10" t="n">
        <v>1</v>
      </c>
    </row>
    <row r="36" customFormat="false" ht="15" hidden="false" customHeight="false" outlineLevel="0" collapsed="false">
      <c r="A36" s="10" t="n">
        <v>-89</v>
      </c>
      <c r="B36" s="8" t="n">
        <v>44707</v>
      </c>
      <c r="C36" s="15" t="n">
        <v>2.07072841758</v>
      </c>
      <c r="D36" s="22" t="n">
        <f aca="false">100*(C36-C35)</f>
        <v>8.36875462099997</v>
      </c>
      <c r="E36" s="23" t="n">
        <f aca="false">'A5 control'!BH170</f>
        <v>6.96044695270305</v>
      </c>
      <c r="F36" s="10" t="n">
        <v>1</v>
      </c>
    </row>
    <row r="37" customFormat="false" ht="15" hidden="false" customHeight="false" outlineLevel="0" collapsed="false">
      <c r="A37" s="10" t="n">
        <v>-88</v>
      </c>
      <c r="B37" s="8" t="n">
        <v>44708</v>
      </c>
      <c r="C37" s="15" t="n">
        <v>2.0521065354</v>
      </c>
      <c r="D37" s="22" t="n">
        <f aca="false">100*(C37-C36)</f>
        <v>-1.86218821799997</v>
      </c>
      <c r="E37" s="23" t="n">
        <f aca="false">'A5 control'!BH171</f>
        <v>-3.94555792180714</v>
      </c>
      <c r="F37" s="10" t="n">
        <v>1</v>
      </c>
    </row>
    <row r="38" customFormat="false" ht="15" hidden="false" customHeight="false" outlineLevel="0" collapsed="false">
      <c r="A38" s="10" t="n">
        <v>-87</v>
      </c>
      <c r="B38" s="8" t="n">
        <v>44711</v>
      </c>
      <c r="C38" s="15" t="n">
        <v>2.09552811709</v>
      </c>
      <c r="D38" s="22" t="n">
        <f aca="false">100*(C38-C37)</f>
        <v>4.34215816900001</v>
      </c>
      <c r="E38" s="23" t="n">
        <f aca="false">'A5 control'!BH172</f>
        <v>4.91671985920594</v>
      </c>
      <c r="F38" s="10" t="n">
        <v>1</v>
      </c>
    </row>
    <row r="39" customFormat="false" ht="15" hidden="false" customHeight="false" outlineLevel="0" collapsed="false">
      <c r="A39" s="10" t="n">
        <v>-86</v>
      </c>
      <c r="B39" s="8" t="n">
        <v>44712</v>
      </c>
      <c r="C39" s="15" t="n">
        <v>2.25390282091</v>
      </c>
      <c r="D39" s="22" t="n">
        <f aca="false">100*(C39-C38)</f>
        <v>15.837470382</v>
      </c>
      <c r="E39" s="23" t="n">
        <f aca="false">'A5 control'!BH173</f>
        <v>14.1177101944688</v>
      </c>
      <c r="F39" s="10" t="n">
        <v>1</v>
      </c>
    </row>
    <row r="40" customFormat="false" ht="15" hidden="false" customHeight="false" outlineLevel="0" collapsed="false">
      <c r="A40" s="10" t="n">
        <v>-85</v>
      </c>
      <c r="B40" s="8" t="n">
        <v>44713</v>
      </c>
      <c r="C40" s="15" t="n">
        <v>2.25170326277</v>
      </c>
      <c r="D40" s="22" t="n">
        <f aca="false">100*(C40-C39)</f>
        <v>-0.219955814000006</v>
      </c>
      <c r="E40" s="23" t="n">
        <f aca="false">'A5 control'!BH174</f>
        <v>0.907344899380259</v>
      </c>
      <c r="F40" s="10" t="n">
        <v>1</v>
      </c>
    </row>
    <row r="41" customFormat="false" ht="15" hidden="false" customHeight="false" outlineLevel="0" collapsed="false">
      <c r="A41" s="10" t="n">
        <v>-84</v>
      </c>
      <c r="B41" s="8" t="n">
        <v>44718</v>
      </c>
      <c r="C41" s="15" t="n">
        <v>2.33448364345</v>
      </c>
      <c r="D41" s="22" t="n">
        <f aca="false">100*(C41-C40)</f>
        <v>8.278038068</v>
      </c>
      <c r="E41" s="23" t="n">
        <f aca="false">'A5 control'!BH175</f>
        <v>9.83638420139027</v>
      </c>
      <c r="F41" s="10" t="n">
        <v>1</v>
      </c>
    </row>
    <row r="42" customFormat="false" ht="15" hidden="false" customHeight="false" outlineLevel="0" collapsed="false">
      <c r="A42" s="10" t="n">
        <v>-83</v>
      </c>
      <c r="B42" s="8" t="n">
        <v>44719</v>
      </c>
      <c r="C42" s="15" t="n">
        <v>2.25253780806</v>
      </c>
      <c r="D42" s="22" t="n">
        <f aca="false">100*(C42-C41)</f>
        <v>-8.194583539</v>
      </c>
      <c r="E42" s="23" t="n">
        <f aca="false">'A5 control'!BH176</f>
        <v>-6.09069096729792</v>
      </c>
      <c r="F42" s="10" t="n">
        <v>1</v>
      </c>
    </row>
    <row r="43" customFormat="false" ht="15" hidden="false" customHeight="false" outlineLevel="0" collapsed="false">
      <c r="A43" s="10" t="n">
        <v>-82</v>
      </c>
      <c r="B43" s="8" t="n">
        <v>44720</v>
      </c>
      <c r="C43" s="15" t="n">
        <v>2.29587924242</v>
      </c>
      <c r="D43" s="22" t="n">
        <f aca="false">100*(C43-C42)</f>
        <v>4.33414343599998</v>
      </c>
      <c r="E43" s="23" t="n">
        <f aca="false">'A5 control'!BH177</f>
        <v>3.8996838950618</v>
      </c>
      <c r="F43" s="10" t="n">
        <v>1</v>
      </c>
    </row>
    <row r="44" customFormat="false" ht="15" hidden="false" customHeight="false" outlineLevel="0" collapsed="false">
      <c r="A44" s="10" t="n">
        <v>-81</v>
      </c>
      <c r="B44" s="8" t="n">
        <v>44721</v>
      </c>
      <c r="C44" s="15" t="n">
        <v>2.30668632977</v>
      </c>
      <c r="D44" s="22" t="n">
        <f aca="false">100*(C44-C43)</f>
        <v>1.08070873500004</v>
      </c>
      <c r="E44" s="23" t="n">
        <f aca="false">'A5 control'!BH178</f>
        <v>5.72115983709536</v>
      </c>
      <c r="F44" s="10" t="n">
        <v>1</v>
      </c>
    </row>
    <row r="45" customFormat="false" ht="15" hidden="false" customHeight="false" outlineLevel="0" collapsed="false">
      <c r="A45" s="10" t="n">
        <v>-80</v>
      </c>
      <c r="B45" s="8" t="n">
        <v>44722</v>
      </c>
      <c r="C45" s="15" t="n">
        <v>2.36436252587</v>
      </c>
      <c r="D45" s="22" t="n">
        <f aca="false">100*(C45-C44)</f>
        <v>5.76761960999996</v>
      </c>
      <c r="E45" s="23" t="n">
        <f aca="false">'A5 control'!BH179</f>
        <v>8.65904074482185</v>
      </c>
      <c r="F45" s="10" t="n">
        <v>1</v>
      </c>
    </row>
    <row r="46" customFormat="false" ht="15" hidden="false" customHeight="false" outlineLevel="0" collapsed="false">
      <c r="A46" s="10" t="n">
        <v>-79</v>
      </c>
      <c r="B46" s="8" t="n">
        <v>44725</v>
      </c>
      <c r="C46" s="15" t="n">
        <v>2.42978950501</v>
      </c>
      <c r="D46" s="22" t="n">
        <f aca="false">100*(C46-C45)</f>
        <v>6.54269791400002</v>
      </c>
      <c r="E46" s="23" t="n">
        <f aca="false">'A5 control'!BH180</f>
        <v>7.19228597485369</v>
      </c>
      <c r="F46" s="10" t="n">
        <v>1</v>
      </c>
    </row>
    <row r="47" customFormat="false" ht="15" hidden="false" customHeight="false" outlineLevel="0" collapsed="false">
      <c r="A47" s="10" t="n">
        <v>-78</v>
      </c>
      <c r="B47" s="8" t="n">
        <v>44726</v>
      </c>
      <c r="C47" s="15" t="n">
        <v>2.50696159522</v>
      </c>
      <c r="D47" s="22" t="n">
        <f aca="false">100*(C47-C46)</f>
        <v>7.71720902099999</v>
      </c>
      <c r="E47" s="23" t="n">
        <f aca="false">'A5 control'!BH181</f>
        <v>5.7992723083356</v>
      </c>
      <c r="F47" s="10" t="n">
        <v>1</v>
      </c>
    </row>
    <row r="48" customFormat="false" ht="15" hidden="false" customHeight="false" outlineLevel="0" collapsed="false">
      <c r="A48" s="10" t="n">
        <v>-77</v>
      </c>
      <c r="B48" s="8" t="n">
        <v>44727</v>
      </c>
      <c r="C48" s="15" t="n">
        <v>2.44543018744</v>
      </c>
      <c r="D48" s="22" t="n">
        <f aca="false">100*(C48-C47)</f>
        <v>-6.153140778</v>
      </c>
      <c r="E48" s="23" t="n">
        <f aca="false">'A5 control'!BH182</f>
        <v>-8.37147460387631</v>
      </c>
      <c r="F48" s="10" t="n">
        <v>1</v>
      </c>
    </row>
    <row r="49" customFormat="false" ht="15" hidden="false" customHeight="false" outlineLevel="0" collapsed="false">
      <c r="A49" s="10" t="n">
        <v>-76</v>
      </c>
      <c r="B49" s="8" t="n">
        <v>44728</v>
      </c>
      <c r="C49" s="15" t="n">
        <v>2.48198844498</v>
      </c>
      <c r="D49" s="22" t="n">
        <f aca="false">100*(C49-C48)</f>
        <v>3.65582575399999</v>
      </c>
      <c r="E49" s="23" t="n">
        <f aca="false">'A5 control'!BH183</f>
        <v>6.10043475504932</v>
      </c>
      <c r="F49" s="10" t="n">
        <v>1</v>
      </c>
    </row>
    <row r="50" customFormat="false" ht="15" hidden="false" customHeight="false" outlineLevel="0" collapsed="false">
      <c r="A50" s="10" t="n">
        <v>-75</v>
      </c>
      <c r="B50" s="8" t="n">
        <v>44729</v>
      </c>
      <c r="C50" s="15" t="n">
        <v>2.47610851977</v>
      </c>
      <c r="D50" s="22" t="n">
        <f aca="false">100*(C50-C49)</f>
        <v>-0.587992520999991</v>
      </c>
      <c r="E50" s="23" t="n">
        <f aca="false">'A5 control'!BH184</f>
        <v>0.0220632350359654</v>
      </c>
      <c r="F50" s="10" t="n">
        <v>1</v>
      </c>
    </row>
    <row r="51" customFormat="false" ht="15" hidden="false" customHeight="false" outlineLevel="0" collapsed="false">
      <c r="A51" s="10" t="n">
        <v>-74</v>
      </c>
      <c r="B51" s="8" t="n">
        <v>44732</v>
      </c>
      <c r="C51" s="15" t="n">
        <v>2.61381674175</v>
      </c>
      <c r="D51" s="22" t="n">
        <f aca="false">100*(C51-C50)</f>
        <v>13.770822198</v>
      </c>
      <c r="E51" s="23" t="n">
        <f aca="false">'A5 control'!BH185</f>
        <v>11.3533403326085</v>
      </c>
      <c r="F51" s="10" t="n">
        <v>1</v>
      </c>
    </row>
    <row r="52" customFormat="false" ht="15" hidden="false" customHeight="false" outlineLevel="0" collapsed="false">
      <c r="A52" s="10" t="n">
        <v>-73</v>
      </c>
      <c r="B52" s="8" t="n">
        <v>44733</v>
      </c>
      <c r="C52" s="15" t="n">
        <v>2.71141126414</v>
      </c>
      <c r="D52" s="22" t="n">
        <f aca="false">100*(C52-C51)</f>
        <v>9.75945223900001</v>
      </c>
      <c r="E52" s="23" t="n">
        <f aca="false">'A5 control'!BH186</f>
        <v>4.98699432313436</v>
      </c>
      <c r="F52" s="10" t="n">
        <v>1</v>
      </c>
    </row>
    <row r="53" customFormat="false" ht="15" hidden="false" customHeight="false" outlineLevel="0" collapsed="false">
      <c r="A53" s="10" t="n">
        <v>-72</v>
      </c>
      <c r="B53" s="8" t="n">
        <v>44734</v>
      </c>
      <c r="C53" s="15" t="n">
        <v>2.55928832178</v>
      </c>
      <c r="D53" s="22" t="n">
        <f aca="false">100*(C53-C52)</f>
        <v>-15.212294236</v>
      </c>
      <c r="E53" s="23" t="n">
        <f aca="false">'A5 control'!BH187</f>
        <v>-15.876241485619</v>
      </c>
      <c r="F53" s="10" t="n">
        <v>1</v>
      </c>
    </row>
    <row r="54" customFormat="false" ht="15" hidden="false" customHeight="false" outlineLevel="0" collapsed="false">
      <c r="A54" s="10" t="n">
        <v>-71</v>
      </c>
      <c r="B54" s="8" t="n">
        <v>44735</v>
      </c>
      <c r="C54" s="15" t="n">
        <v>2.38939853677</v>
      </c>
      <c r="D54" s="22" t="n">
        <f aca="false">100*(C54-C53)</f>
        <v>-16.988978501</v>
      </c>
      <c r="E54" s="23" t="n">
        <f aca="false">'A5 control'!BH188</f>
        <v>-16.7723415076031</v>
      </c>
      <c r="F54" s="10" t="n">
        <v>1</v>
      </c>
    </row>
    <row r="55" customFormat="false" ht="15" hidden="false" customHeight="false" outlineLevel="0" collapsed="false">
      <c r="A55" s="10" t="n">
        <v>-70</v>
      </c>
      <c r="B55" s="8" t="n">
        <v>44736</v>
      </c>
      <c r="C55" s="15" t="n">
        <v>2.37802798264</v>
      </c>
      <c r="D55" s="22" t="n">
        <f aca="false">100*(C55-C54)</f>
        <v>-1.137055413</v>
      </c>
      <c r="E55" s="23" t="n">
        <f aca="false">'A5 control'!BH189</f>
        <v>0.681481684831314</v>
      </c>
      <c r="F55" s="10" t="n">
        <v>1</v>
      </c>
    </row>
    <row r="56" customFormat="false" ht="15" hidden="false" customHeight="false" outlineLevel="0" collapsed="false">
      <c r="A56" s="10" t="n">
        <v>-69</v>
      </c>
      <c r="B56" s="8" t="n">
        <v>44739</v>
      </c>
      <c r="C56" s="15" t="n">
        <v>2.46742497212</v>
      </c>
      <c r="D56" s="22" t="n">
        <f aca="false">100*(C56-C55)</f>
        <v>8.939698948</v>
      </c>
      <c r="E56" s="23" t="n">
        <f aca="false">'A5 control'!BH190</f>
        <v>8.61301455432981</v>
      </c>
      <c r="F56" s="10" t="n">
        <v>1</v>
      </c>
    </row>
    <row r="57" customFormat="false" ht="15" hidden="false" customHeight="false" outlineLevel="0" collapsed="false">
      <c r="A57" s="10" t="n">
        <v>-68</v>
      </c>
      <c r="B57" s="8" t="n">
        <v>44740</v>
      </c>
      <c r="C57" s="15" t="n">
        <v>2.54121578933</v>
      </c>
      <c r="D57" s="22" t="n">
        <f aca="false">100*(C57-C56)</f>
        <v>7.37908172099999</v>
      </c>
      <c r="E57" s="23" t="n">
        <f aca="false">'A5 control'!BH191</f>
        <v>8.71783512939537</v>
      </c>
      <c r="F57" s="10" t="n">
        <v>1</v>
      </c>
    </row>
    <row r="58" customFormat="false" ht="15" hidden="false" customHeight="false" outlineLevel="0" collapsed="false">
      <c r="A58" s="10" t="n">
        <v>-67</v>
      </c>
      <c r="B58" s="8" t="n">
        <v>44741</v>
      </c>
      <c r="C58" s="15" t="n">
        <v>2.48824745445</v>
      </c>
      <c r="D58" s="22" t="n">
        <f aca="false">100*(C58-C57)</f>
        <v>-5.29683348799996</v>
      </c>
      <c r="E58" s="23" t="n">
        <f aca="false">'A5 control'!BH192</f>
        <v>-6.63347456494359</v>
      </c>
      <c r="F58" s="10" t="n">
        <v>1</v>
      </c>
    </row>
    <row r="59" customFormat="false" ht="15" hidden="false" customHeight="false" outlineLevel="0" collapsed="false">
      <c r="A59" s="10" t="n">
        <v>-66</v>
      </c>
      <c r="B59" s="8" t="n">
        <v>44742</v>
      </c>
      <c r="C59" s="15" t="n">
        <v>2.42340772279</v>
      </c>
      <c r="D59" s="22" t="n">
        <f aca="false">100*(C59-C58)</f>
        <v>-6.48397316600002</v>
      </c>
      <c r="E59" s="23" t="n">
        <f aca="false">'A5 control'!BH193</f>
        <v>-8.68139770252819</v>
      </c>
      <c r="F59" s="10" t="n">
        <v>1</v>
      </c>
    </row>
    <row r="60" customFormat="false" ht="15" hidden="false" customHeight="false" outlineLevel="0" collapsed="false">
      <c r="A60" s="10" t="n">
        <v>-65</v>
      </c>
      <c r="B60" s="8" t="n">
        <v>44743</v>
      </c>
      <c r="C60" s="15" t="n">
        <v>2.29578610929</v>
      </c>
      <c r="D60" s="22" t="n">
        <f aca="false">100*(C60-C59)</f>
        <v>-12.76216135</v>
      </c>
      <c r="E60" s="23" t="n">
        <f aca="false">'A5 control'!BH194</f>
        <v>-16.9425775969114</v>
      </c>
      <c r="F60" s="10" t="n">
        <v>1</v>
      </c>
    </row>
    <row r="61" customFormat="false" ht="15" hidden="false" customHeight="false" outlineLevel="0" collapsed="false">
      <c r="A61" s="10" t="n">
        <v>-64</v>
      </c>
      <c r="B61" s="8" t="n">
        <v>44746</v>
      </c>
      <c r="C61" s="15" t="n">
        <v>2.4380921639</v>
      </c>
      <c r="D61" s="22" t="n">
        <f aca="false">100*(C61-C60)</f>
        <v>14.230605461</v>
      </c>
      <c r="E61" s="23" t="n">
        <f aca="false">'A5 control'!BH195</f>
        <v>13.7874749535488</v>
      </c>
      <c r="F61" s="10" t="n">
        <v>1</v>
      </c>
    </row>
    <row r="62" customFormat="false" ht="15" hidden="false" customHeight="false" outlineLevel="0" collapsed="false">
      <c r="A62" s="10" t="n">
        <v>-63</v>
      </c>
      <c r="B62" s="8" t="n">
        <v>44747</v>
      </c>
      <c r="C62" s="15" t="n">
        <v>2.35685841076</v>
      </c>
      <c r="D62" s="22" t="n">
        <f aca="false">100*(C62-C61)</f>
        <v>-8.12337531399998</v>
      </c>
      <c r="E62" s="23" t="n">
        <f aca="false">'A5 control'!BH196</f>
        <v>-10.0869650900632</v>
      </c>
      <c r="F62" s="10" t="n">
        <v>1</v>
      </c>
    </row>
    <row r="63" customFormat="false" ht="15" hidden="false" customHeight="false" outlineLevel="0" collapsed="false">
      <c r="A63" s="10" t="n">
        <v>-62</v>
      </c>
      <c r="B63" s="8" t="n">
        <v>44748</v>
      </c>
      <c r="C63" s="15" t="n">
        <v>2.39875058901</v>
      </c>
      <c r="D63" s="22" t="n">
        <f aca="false">100*(C63-C62)</f>
        <v>4.18921782499999</v>
      </c>
      <c r="E63" s="23" t="n">
        <f aca="false">'A5 control'!BH197</f>
        <v>2.36786102137023</v>
      </c>
      <c r="F63" s="10" t="n">
        <v>1</v>
      </c>
    </row>
    <row r="64" customFormat="false" ht="15" hidden="false" customHeight="false" outlineLevel="0" collapsed="false">
      <c r="A64" s="10" t="n">
        <v>-61</v>
      </c>
      <c r="B64" s="8" t="n">
        <v>44749</v>
      </c>
      <c r="C64" s="15" t="n">
        <v>2.4023244621</v>
      </c>
      <c r="D64" s="22" t="n">
        <f aca="false">100*(C64-C63)</f>
        <v>0.357387309000012</v>
      </c>
      <c r="E64" s="23" t="n">
        <f aca="false">'A5 control'!BH198</f>
        <v>1.32560344373433</v>
      </c>
      <c r="F64" s="10" t="n">
        <v>1</v>
      </c>
    </row>
    <row r="65" customFormat="false" ht="15" hidden="false" customHeight="false" outlineLevel="0" collapsed="false">
      <c r="A65" s="10" t="n">
        <v>-60</v>
      </c>
      <c r="B65" s="8" t="n">
        <v>44750</v>
      </c>
      <c r="C65" s="15" t="n">
        <v>2.49088285901</v>
      </c>
      <c r="D65" s="22" t="n">
        <f aca="false">100*(C65-C64)</f>
        <v>8.85583969099999</v>
      </c>
      <c r="E65" s="23" t="n">
        <f aca="false">'A5 control'!BH199</f>
        <v>10.2732458187626</v>
      </c>
      <c r="F65" s="10" t="n">
        <v>1</v>
      </c>
    </row>
    <row r="66" customFormat="false" ht="15" hidden="false" customHeight="false" outlineLevel="0" collapsed="false">
      <c r="A66" s="10" t="n">
        <v>-59</v>
      </c>
      <c r="B66" s="8" t="n">
        <v>44753</v>
      </c>
      <c r="C66" s="15" t="n">
        <v>2.47747688125</v>
      </c>
      <c r="D66" s="22" t="n">
        <f aca="false">100*(C66-C65)</f>
        <v>-1.34059777600002</v>
      </c>
      <c r="E66" s="23" t="n">
        <f aca="false">'A5 control'!BH200</f>
        <v>-2.58087706616627</v>
      </c>
      <c r="F66" s="10" t="n">
        <v>1</v>
      </c>
    </row>
    <row r="67" customFormat="false" ht="15" hidden="false" customHeight="false" outlineLevel="0" collapsed="false">
      <c r="A67" s="10" t="n">
        <v>-58</v>
      </c>
      <c r="B67" s="8" t="n">
        <v>44754</v>
      </c>
      <c r="C67" s="15" t="n">
        <v>2.4918961471</v>
      </c>
      <c r="D67" s="22" t="n">
        <f aca="false">100*(C67-C66)</f>
        <v>1.441926585</v>
      </c>
      <c r="E67" s="23" t="n">
        <f aca="false">'A5 control'!BH201</f>
        <v>-4.49244071492691</v>
      </c>
      <c r="F67" s="10" t="n">
        <v>1</v>
      </c>
    </row>
    <row r="68" customFormat="false" ht="15" hidden="false" customHeight="false" outlineLevel="0" collapsed="false">
      <c r="A68" s="10" t="n">
        <v>-57</v>
      </c>
      <c r="B68" s="8" t="n">
        <v>44755</v>
      </c>
      <c r="C68" s="15" t="n">
        <v>2.44803577814</v>
      </c>
      <c r="D68" s="22" t="n">
        <f aca="false">100*(C68-C67)</f>
        <v>-4.38603689599999</v>
      </c>
      <c r="E68" s="23" t="n">
        <f aca="false">'A5 control'!BH202</f>
        <v>-2.85482953636306</v>
      </c>
      <c r="F68" s="10" t="n">
        <v>1</v>
      </c>
    </row>
    <row r="69" customFormat="false" ht="15" hidden="false" customHeight="false" outlineLevel="0" collapsed="false">
      <c r="A69" s="10" t="n">
        <v>-56</v>
      </c>
      <c r="B69" s="8" t="n">
        <v>44756</v>
      </c>
      <c r="C69" s="15" t="n">
        <v>2.45711200334</v>
      </c>
      <c r="D69" s="22" t="n">
        <f aca="false">100*(C69-C68)</f>
        <v>0.907622519999984</v>
      </c>
      <c r="E69" s="23" t="n">
        <f aca="false">'A5 control'!BH203</f>
        <v>2.84597009045498</v>
      </c>
      <c r="F69" s="10" t="n">
        <v>1</v>
      </c>
    </row>
    <row r="70" customFormat="false" ht="15" hidden="false" customHeight="false" outlineLevel="0" collapsed="false">
      <c r="A70" s="10" t="n">
        <v>-55</v>
      </c>
      <c r="B70" s="8" t="n">
        <v>44757</v>
      </c>
      <c r="C70" s="15" t="n">
        <v>2.51846730072</v>
      </c>
      <c r="D70" s="22" t="n">
        <f aca="false">100*(C70-C69)</f>
        <v>6.135529738</v>
      </c>
      <c r="E70" s="23" t="n">
        <f aca="false">'A5 control'!BH204</f>
        <v>3.11558519316202</v>
      </c>
      <c r="F70" s="10" t="n">
        <v>1</v>
      </c>
    </row>
    <row r="71" customFormat="false" ht="15" hidden="false" customHeight="false" outlineLevel="0" collapsed="false">
      <c r="A71" s="10" t="n">
        <v>-54</v>
      </c>
      <c r="B71" s="8" t="n">
        <v>44760</v>
      </c>
      <c r="C71" s="15" t="n">
        <v>2.54475109853</v>
      </c>
      <c r="D71" s="22" t="n">
        <f aca="false">100*(C71-C70)</f>
        <v>2.62837978100001</v>
      </c>
      <c r="E71" s="23" t="n">
        <f aca="false">'A5 control'!BH205</f>
        <v>5.13212828681148</v>
      </c>
      <c r="F71" s="10" t="n">
        <v>1</v>
      </c>
    </row>
    <row r="72" customFormat="false" ht="15" hidden="false" customHeight="false" outlineLevel="0" collapsed="false">
      <c r="A72" s="10" t="n">
        <v>-53</v>
      </c>
      <c r="B72" s="8" t="n">
        <v>44761</v>
      </c>
      <c r="C72" s="15" t="n">
        <v>2.58770675957</v>
      </c>
      <c r="D72" s="22" t="n">
        <f aca="false">100*(C72-C71)</f>
        <v>4.29556610400002</v>
      </c>
      <c r="E72" s="23" t="n">
        <f aca="false">'A5 control'!BH206</f>
        <v>5.7208266925356</v>
      </c>
      <c r="F72" s="10" t="n">
        <v>1</v>
      </c>
    </row>
    <row r="73" customFormat="false" ht="15" hidden="false" customHeight="false" outlineLevel="0" collapsed="false">
      <c r="A73" s="10" t="n">
        <v>-52</v>
      </c>
      <c r="B73" s="8" t="n">
        <v>44762</v>
      </c>
      <c r="C73" s="15" t="n">
        <v>2.5387459093</v>
      </c>
      <c r="D73" s="22" t="n">
        <f aca="false">100*(C73-C72)</f>
        <v>-4.89608502699999</v>
      </c>
      <c r="E73" s="23" t="n">
        <f aca="false">'A5 control'!BH207</f>
        <v>-4.09583258647102</v>
      </c>
      <c r="F73" s="10" t="n">
        <v>1</v>
      </c>
    </row>
    <row r="74" customFormat="false" ht="15" hidden="false" customHeight="false" outlineLevel="0" collapsed="false">
      <c r="A74" s="10" t="n">
        <v>-51</v>
      </c>
      <c r="B74" s="8" t="n">
        <v>44763</v>
      </c>
      <c r="C74" s="15" t="n">
        <v>2.35886924019</v>
      </c>
      <c r="D74" s="22" t="n">
        <f aca="false">100*(C74-C73)</f>
        <v>-17.987666911</v>
      </c>
      <c r="E74" s="23" t="n">
        <f aca="false">'A5 control'!BH208</f>
        <v>-12.2982776370995</v>
      </c>
      <c r="F74" s="10" t="n">
        <v>1</v>
      </c>
    </row>
    <row r="75" customFormat="false" ht="15" hidden="false" customHeight="false" outlineLevel="0" collapsed="false">
      <c r="A75" s="10" t="n">
        <v>-50</v>
      </c>
      <c r="B75" s="8" t="n">
        <v>44764</v>
      </c>
      <c r="C75" s="15" t="n">
        <v>2.30265405467</v>
      </c>
      <c r="D75" s="22" t="n">
        <f aca="false">100*(C75-C74)</f>
        <v>-5.62151855200002</v>
      </c>
      <c r="E75" s="23" t="n">
        <f aca="false">'A5 control'!BH209</f>
        <v>-8.23462564892987</v>
      </c>
      <c r="F75" s="10" t="n">
        <v>1</v>
      </c>
    </row>
    <row r="76" customFormat="false" ht="15" hidden="false" customHeight="false" outlineLevel="0" collapsed="false">
      <c r="A76" s="10" t="n">
        <v>-49</v>
      </c>
      <c r="B76" s="8" t="n">
        <v>44767</v>
      </c>
      <c r="C76" s="15" t="n">
        <v>2.38143166614</v>
      </c>
      <c r="D76" s="22" t="n">
        <f aca="false">100*(C76-C75)</f>
        <v>7.87776114700001</v>
      </c>
      <c r="E76" s="23" t="n">
        <f aca="false">'A5 control'!BH210</f>
        <v>3.09472347835257</v>
      </c>
      <c r="F76" s="10" t="n">
        <v>1</v>
      </c>
    </row>
    <row r="77" customFormat="false" ht="15" hidden="false" customHeight="false" outlineLevel="0" collapsed="false">
      <c r="A77" s="10" t="n">
        <v>-48</v>
      </c>
      <c r="B77" s="8" t="n">
        <v>44768</v>
      </c>
      <c r="C77" s="15" t="n">
        <v>2.36393745811</v>
      </c>
      <c r="D77" s="22" t="n">
        <f aca="false">100*(C77-C76)</f>
        <v>-1.749420803</v>
      </c>
      <c r="E77" s="23" t="n">
        <f aca="false">'A5 control'!BH211</f>
        <v>-3.19938297741706</v>
      </c>
      <c r="F77" s="10" t="n">
        <v>1</v>
      </c>
    </row>
    <row r="78" customFormat="false" ht="15" hidden="false" customHeight="false" outlineLevel="0" collapsed="false">
      <c r="A78" s="10" t="n">
        <v>-47</v>
      </c>
      <c r="B78" s="8" t="n">
        <v>44769</v>
      </c>
      <c r="C78" s="15" t="n">
        <v>2.42701937573</v>
      </c>
      <c r="D78" s="22" t="n">
        <f aca="false">100*(C78-C77)</f>
        <v>6.30819176199999</v>
      </c>
      <c r="E78" s="23" t="n">
        <f aca="false">'A5 control'!BH212</f>
        <v>4.42055702517812</v>
      </c>
      <c r="F78" s="10" t="n">
        <v>1</v>
      </c>
    </row>
    <row r="79" customFormat="false" ht="15" hidden="false" customHeight="false" outlineLevel="0" collapsed="false">
      <c r="A79" s="10" t="n">
        <v>-46</v>
      </c>
      <c r="B79" s="8" t="n">
        <v>44770</v>
      </c>
      <c r="C79" s="15" t="n">
        <v>2.3093207143</v>
      </c>
      <c r="D79" s="22" t="n">
        <f aca="false">100*(C79-C78)</f>
        <v>-11.769866143</v>
      </c>
      <c r="E79" s="23" t="n">
        <f aca="false">'A5 control'!BH213</f>
        <v>-10.6729270078554</v>
      </c>
      <c r="F79" s="10" t="n">
        <v>1</v>
      </c>
    </row>
    <row r="80" customFormat="false" ht="15" hidden="false" customHeight="false" outlineLevel="0" collapsed="false">
      <c r="A80" s="10" t="n">
        <v>-45</v>
      </c>
      <c r="B80" s="8" t="n">
        <v>44771</v>
      </c>
      <c r="C80" s="15" t="n">
        <v>2.26396161833</v>
      </c>
      <c r="D80" s="22" t="n">
        <f aca="false">100*(C80-C79)</f>
        <v>-4.53590959699999</v>
      </c>
      <c r="E80" s="23" t="n">
        <f aca="false">'A5 control'!BH214</f>
        <v>-0.796811470967851</v>
      </c>
      <c r="F80" s="10" t="n">
        <v>1</v>
      </c>
    </row>
    <row r="81" customFormat="false" ht="15" hidden="false" customHeight="false" outlineLevel="0" collapsed="false">
      <c r="A81" s="10" t="n">
        <v>-44</v>
      </c>
      <c r="B81" s="8" t="n">
        <v>44774</v>
      </c>
      <c r="C81" s="15" t="n">
        <v>2.12354086026</v>
      </c>
      <c r="D81" s="22" t="n">
        <f aca="false">100*(C81-C80)</f>
        <v>-14.042075807</v>
      </c>
      <c r="E81" s="23" t="n">
        <f aca="false">'A5 control'!BH215</f>
        <v>-10.6970944502775</v>
      </c>
      <c r="F81" s="10" t="n">
        <v>1</v>
      </c>
    </row>
    <row r="82" customFormat="false" ht="15" hidden="false" customHeight="false" outlineLevel="0" collapsed="false">
      <c r="A82" s="10" t="n">
        <v>-43</v>
      </c>
      <c r="B82" s="8" t="n">
        <v>44775</v>
      </c>
      <c r="C82" s="15" t="n">
        <v>2.09530124283</v>
      </c>
      <c r="D82" s="22" t="n">
        <f aca="false">100*(C82-C81)</f>
        <v>-2.82396174299997</v>
      </c>
      <c r="E82" s="23" t="n">
        <f aca="false">'A5 control'!BH216</f>
        <v>0.934431083046754</v>
      </c>
      <c r="F82" s="10" t="n">
        <v>1</v>
      </c>
    </row>
    <row r="83" customFormat="false" ht="15" hidden="false" customHeight="false" outlineLevel="0" collapsed="false">
      <c r="A83" s="10" t="n">
        <v>-42</v>
      </c>
      <c r="B83" s="8" t="n">
        <v>44776</v>
      </c>
      <c r="C83" s="15" t="n">
        <v>2.150256362</v>
      </c>
      <c r="D83" s="22" t="n">
        <f aca="false">100*(C83-C82)</f>
        <v>5.49551191699997</v>
      </c>
      <c r="E83" s="23" t="n">
        <f aca="false">'A5 control'!BH217</f>
        <v>7.82255107741194</v>
      </c>
      <c r="F83" s="10" t="n">
        <v>1</v>
      </c>
    </row>
    <row r="84" customFormat="false" ht="15" hidden="false" customHeight="false" outlineLevel="0" collapsed="false">
      <c r="A84" s="10" t="n">
        <v>-41</v>
      </c>
      <c r="B84" s="8" t="n">
        <v>44777</v>
      </c>
      <c r="C84" s="15" t="n">
        <v>2.10111678318</v>
      </c>
      <c r="D84" s="22" t="n">
        <f aca="false">100*(C84-C83)</f>
        <v>-4.91395788199998</v>
      </c>
      <c r="E84" s="23" t="n">
        <f aca="false">'A5 control'!BH218</f>
        <v>-4.3609352626168</v>
      </c>
      <c r="F84" s="10" t="n">
        <v>1</v>
      </c>
    </row>
    <row r="85" customFormat="false" ht="15" hidden="false" customHeight="false" outlineLevel="0" collapsed="false">
      <c r="A85" s="10" t="n">
        <v>-40</v>
      </c>
      <c r="B85" s="8" t="n">
        <v>44778</v>
      </c>
      <c r="C85" s="15" t="n">
        <v>2.25787774275</v>
      </c>
      <c r="D85" s="22" t="n">
        <f aca="false">100*(C85-C84)</f>
        <v>15.676095957</v>
      </c>
      <c r="E85" s="23" t="n">
        <f aca="false">'A5 control'!BH219</f>
        <v>14.9022324118872</v>
      </c>
      <c r="F85" s="10" t="n">
        <v>1</v>
      </c>
    </row>
    <row r="86" customFormat="false" ht="15" hidden="false" customHeight="false" outlineLevel="0" collapsed="false">
      <c r="A86" s="10" t="n">
        <v>-39</v>
      </c>
      <c r="B86" s="8" t="n">
        <v>44781</v>
      </c>
      <c r="C86" s="15" t="n">
        <v>2.19043655134</v>
      </c>
      <c r="D86" s="22" t="n">
        <f aca="false">100*(C86-C85)</f>
        <v>-6.74411914099999</v>
      </c>
      <c r="E86" s="23" t="n">
        <f aca="false">'A5 control'!BH220</f>
        <v>-8.20056287754682</v>
      </c>
      <c r="F86" s="10" t="n">
        <v>1</v>
      </c>
    </row>
    <row r="87" customFormat="false" ht="15" hidden="false" customHeight="false" outlineLevel="0" collapsed="false">
      <c r="A87" s="10" t="n">
        <v>-38</v>
      </c>
      <c r="B87" s="8" t="n">
        <v>44782</v>
      </c>
      <c r="C87" s="15" t="n">
        <v>2.20346189942</v>
      </c>
      <c r="D87" s="22" t="n">
        <f aca="false">100*(C87-C86)</f>
        <v>1.30253480800002</v>
      </c>
      <c r="E87" s="23" t="n">
        <f aca="false">'A5 control'!BH221</f>
        <v>2.79079527280428</v>
      </c>
      <c r="F87" s="10" t="n">
        <v>1</v>
      </c>
    </row>
    <row r="88" customFormat="false" ht="15" hidden="false" customHeight="false" outlineLevel="0" collapsed="false">
      <c r="A88" s="10" t="n">
        <v>-37</v>
      </c>
      <c r="B88" s="8" t="n">
        <v>44783</v>
      </c>
      <c r="C88" s="15" t="n">
        <v>2.18247679142</v>
      </c>
      <c r="D88" s="22" t="n">
        <f aca="false">100*(C88-C87)</f>
        <v>-2.09851080000001</v>
      </c>
      <c r="E88" s="23" t="n">
        <f aca="false">'A5 control'!BH222</f>
        <v>-2.86179958585924</v>
      </c>
      <c r="F88" s="10" t="n">
        <v>1</v>
      </c>
    </row>
    <row r="89" customFormat="false" ht="15" hidden="false" customHeight="false" outlineLevel="0" collapsed="false">
      <c r="A89" s="10" t="n">
        <v>-36</v>
      </c>
      <c r="B89" s="8" t="n">
        <v>44784</v>
      </c>
      <c r="C89" s="15" t="n">
        <v>2.32023401334</v>
      </c>
      <c r="D89" s="22" t="n">
        <f aca="false">100*(C89-C88)</f>
        <v>13.775722192</v>
      </c>
      <c r="E89" s="23" t="n">
        <f aca="false">'A5 control'!BH223</f>
        <v>11.9984274573841</v>
      </c>
      <c r="F89" s="10" t="n">
        <v>1</v>
      </c>
    </row>
    <row r="90" customFormat="false" ht="15" hidden="false" customHeight="false" outlineLevel="0" collapsed="false">
      <c r="A90" s="10" t="n">
        <v>-35</v>
      </c>
      <c r="B90" s="8" t="n">
        <v>44785</v>
      </c>
      <c r="C90" s="15" t="n">
        <v>2.41357877094</v>
      </c>
      <c r="D90" s="22" t="n">
        <f aca="false">100*(C90-C89)</f>
        <v>9.33447576000002</v>
      </c>
      <c r="E90" s="23" t="n">
        <f aca="false">'A5 control'!BH224</f>
        <v>6.97647866783964</v>
      </c>
      <c r="F90" s="10" t="n">
        <v>1</v>
      </c>
    </row>
    <row r="91" customFormat="false" ht="15" hidden="false" customHeight="false" outlineLevel="0" collapsed="false">
      <c r="A91" s="10" t="n">
        <v>-34</v>
      </c>
      <c r="B91" s="8" t="n">
        <v>44788</v>
      </c>
      <c r="C91" s="15" t="n">
        <v>2.30484015911</v>
      </c>
      <c r="D91" s="22" t="n">
        <f aca="false">100*(C91-C90)</f>
        <v>-10.873861183</v>
      </c>
      <c r="E91" s="23" t="n">
        <f aca="false">'A5 control'!BH225</f>
        <v>-10.1376481907623</v>
      </c>
      <c r="F91" s="10" t="n">
        <v>1</v>
      </c>
    </row>
    <row r="92" customFormat="false" ht="15" hidden="false" customHeight="false" outlineLevel="0" collapsed="false">
      <c r="A92" s="10" t="n">
        <v>-33</v>
      </c>
      <c r="B92" s="8" t="n">
        <v>44789</v>
      </c>
      <c r="C92" s="15" t="n">
        <v>2.39140266549</v>
      </c>
      <c r="D92" s="22" t="n">
        <f aca="false">100*(C92-C91)</f>
        <v>8.656250638</v>
      </c>
      <c r="E92" s="23" t="n">
        <f aca="false">'A5 control'!BH226</f>
        <v>10.0880269740428</v>
      </c>
      <c r="F92" s="10" t="n">
        <v>1</v>
      </c>
    </row>
    <row r="93" customFormat="false" ht="15" hidden="false" customHeight="false" outlineLevel="0" collapsed="false">
      <c r="A93" s="10" t="n">
        <v>-32</v>
      </c>
      <c r="B93" s="8" t="n">
        <v>44790</v>
      </c>
      <c r="C93" s="15" t="n">
        <v>2.46196277809</v>
      </c>
      <c r="D93" s="22" t="n">
        <f aca="false">100*(C93-C92)</f>
        <v>7.05601126000004</v>
      </c>
      <c r="E93" s="23" t="n">
        <f aca="false">'A5 control'!BH227</f>
        <v>12.2563075169016</v>
      </c>
      <c r="F93" s="10" t="n">
        <v>1</v>
      </c>
    </row>
    <row r="94" customFormat="false" ht="15" hidden="false" customHeight="false" outlineLevel="0" collapsed="false">
      <c r="A94" s="10" t="n">
        <v>-31</v>
      </c>
      <c r="B94" s="8" t="n">
        <v>44791</v>
      </c>
      <c r="C94" s="15" t="n">
        <v>2.41835936772</v>
      </c>
      <c r="D94" s="22" t="n">
        <f aca="false">100*(C94-C93)</f>
        <v>-4.36034103700003</v>
      </c>
      <c r="E94" s="23" t="n">
        <f aca="false">'A5 control'!BH228</f>
        <v>-0.712480038662025</v>
      </c>
      <c r="F94" s="10" t="n">
        <v>1</v>
      </c>
    </row>
    <row r="95" customFormat="false" ht="15" hidden="false" customHeight="false" outlineLevel="0" collapsed="false">
      <c r="A95" s="10" t="n">
        <v>-30</v>
      </c>
      <c r="B95" s="8" t="n">
        <v>44792</v>
      </c>
      <c r="C95" s="15" t="n">
        <v>2.52633833706</v>
      </c>
      <c r="D95" s="22" t="n">
        <f aca="false">100*(C95-C94)</f>
        <v>10.797896934</v>
      </c>
      <c r="E95" s="23" t="n">
        <f aca="false">'A5 control'!BH229</f>
        <v>11.7647116567389</v>
      </c>
      <c r="F95" s="10" t="n">
        <v>1</v>
      </c>
    </row>
    <row r="96" customFormat="false" ht="15" hidden="false" customHeight="false" outlineLevel="0" collapsed="false">
      <c r="A96" s="10" t="n">
        <v>-29</v>
      </c>
      <c r="B96" s="8" t="n">
        <v>44795</v>
      </c>
      <c r="C96" s="15" t="n">
        <v>2.63855226369</v>
      </c>
      <c r="D96" s="22" t="n">
        <f aca="false">100*(C96-C95)</f>
        <v>11.221392663</v>
      </c>
      <c r="E96" s="23" t="n">
        <f aca="false">'A5 control'!BH230</f>
        <v>9.61560265436242</v>
      </c>
      <c r="F96" s="10" t="n">
        <v>1</v>
      </c>
    </row>
    <row r="97" customFormat="false" ht="15" hidden="false" customHeight="false" outlineLevel="0" collapsed="false">
      <c r="A97" s="10" t="n">
        <v>-28</v>
      </c>
      <c r="B97" s="8" t="n">
        <v>44796</v>
      </c>
      <c r="C97" s="15" t="n">
        <v>2.67063772104</v>
      </c>
      <c r="D97" s="22" t="n">
        <f aca="false">100*(C97-C96)</f>
        <v>3.208545735</v>
      </c>
      <c r="E97" s="23" t="n">
        <f aca="false">'A5 control'!BH231</f>
        <v>5.42807300124472</v>
      </c>
      <c r="F97" s="10" t="n">
        <v>1</v>
      </c>
    </row>
    <row r="98" customFormat="false" ht="15" hidden="false" customHeight="false" outlineLevel="0" collapsed="false">
      <c r="A98" s="10" t="n">
        <v>-27</v>
      </c>
      <c r="B98" s="8" t="n">
        <v>44797</v>
      </c>
      <c r="C98" s="15" t="n">
        <v>2.70710223979</v>
      </c>
      <c r="D98" s="22" t="n">
        <f aca="false">100*(C98-C97)</f>
        <v>3.64645187500003</v>
      </c>
      <c r="E98" s="23" t="n">
        <f aca="false">'A5 control'!BH232</f>
        <v>10.2518572884167</v>
      </c>
      <c r="F98" s="10" t="n">
        <v>1</v>
      </c>
    </row>
    <row r="99" customFormat="false" ht="15" hidden="false" customHeight="false" outlineLevel="0" collapsed="false">
      <c r="A99" s="10" t="n">
        <v>-26</v>
      </c>
      <c r="B99" s="8" t="n">
        <v>44798</v>
      </c>
      <c r="C99" s="15" t="n">
        <v>2.66476317321</v>
      </c>
      <c r="D99" s="22" t="n">
        <f aca="false">100*(C99-C98)</f>
        <v>-4.23390665800003</v>
      </c>
      <c r="E99" s="23" t="n">
        <f aca="false">'A5 control'!BH233</f>
        <v>-5.17531598463634</v>
      </c>
      <c r="F99" s="10" t="n">
        <v>1</v>
      </c>
    </row>
    <row r="100" customFormat="false" ht="15" hidden="false" customHeight="false" outlineLevel="0" collapsed="false">
      <c r="A100" s="10" t="n">
        <v>-25</v>
      </c>
      <c r="B100" s="8" t="n">
        <v>44799</v>
      </c>
      <c r="C100" s="15" t="n">
        <v>2.61719936006</v>
      </c>
      <c r="D100" s="22" t="n">
        <f aca="false">100*(C100-C99)</f>
        <v>-4.756381315</v>
      </c>
      <c r="E100" s="23" t="n">
        <f aca="false">'A5 control'!BH234</f>
        <v>-1.27246061319062</v>
      </c>
      <c r="F100" s="10" t="n">
        <v>1</v>
      </c>
    </row>
    <row r="101" customFormat="false" ht="15" hidden="false" customHeight="false" outlineLevel="0" collapsed="false">
      <c r="A101" s="10" t="n">
        <v>-24</v>
      </c>
      <c r="B101" s="8" t="n">
        <v>44803</v>
      </c>
      <c r="C101" s="15" t="n">
        <v>2.73607481078</v>
      </c>
      <c r="D101" s="22" t="n">
        <f aca="false">100*(C101-C100)</f>
        <v>11.887545072</v>
      </c>
      <c r="E101" s="23" t="n">
        <f aca="false">'A5 control'!BH235</f>
        <v>12.9635807882438</v>
      </c>
      <c r="F101" s="10" t="n">
        <v>1</v>
      </c>
    </row>
    <row r="102" customFormat="false" ht="15" hidden="false" customHeight="false" outlineLevel="0" collapsed="false">
      <c r="A102" s="10" t="n">
        <v>-23</v>
      </c>
      <c r="B102" s="8" t="n">
        <v>44804</v>
      </c>
      <c r="C102" s="15" t="n">
        <v>2.82460050395</v>
      </c>
      <c r="D102" s="22" t="n">
        <f aca="false">100*(C102-C101)</f>
        <v>8.85256931700003</v>
      </c>
      <c r="E102" s="23" t="n">
        <f aca="false">'A5 control'!BH236</f>
        <v>8.80045439317549</v>
      </c>
      <c r="F102" s="10" t="n">
        <v>1</v>
      </c>
    </row>
    <row r="103" customFormat="false" ht="15" hidden="false" customHeight="false" outlineLevel="0" collapsed="false">
      <c r="A103" s="10" t="n">
        <v>-22</v>
      </c>
      <c r="B103" s="8" t="n">
        <v>44805</v>
      </c>
      <c r="C103" s="15" t="n">
        <v>2.96803894418</v>
      </c>
      <c r="D103" s="22" t="n">
        <f aca="false">100*(C103-C102)</f>
        <v>14.343844023</v>
      </c>
      <c r="E103" s="23" t="n">
        <f aca="false">'A5 control'!BH237</f>
        <v>11.961462994749</v>
      </c>
      <c r="F103" s="10" t="n">
        <v>1</v>
      </c>
    </row>
    <row r="104" customFormat="false" ht="15" hidden="false" customHeight="false" outlineLevel="0" collapsed="false">
      <c r="A104" s="10" t="n">
        <v>-21</v>
      </c>
      <c r="B104" s="8" t="n">
        <v>44806</v>
      </c>
      <c r="C104" s="15" t="n">
        <v>3.01932951343</v>
      </c>
      <c r="D104" s="22" t="n">
        <f aca="false">100*(C104-C103)</f>
        <v>5.12905692499999</v>
      </c>
      <c r="E104" s="23" t="n">
        <f aca="false">'A5 control'!BH238</f>
        <v>0.749356592714639</v>
      </c>
      <c r="F104" s="10" t="n">
        <v>1</v>
      </c>
    </row>
    <row r="105" customFormat="false" ht="15" hidden="false" customHeight="false" outlineLevel="0" collapsed="false">
      <c r="A105" s="10" t="n">
        <v>-20</v>
      </c>
      <c r="B105" s="8" t="n">
        <v>44809</v>
      </c>
      <c r="C105" s="15" t="n">
        <v>2.95478179912</v>
      </c>
      <c r="D105" s="22" t="n">
        <f aca="false">100*(C105-C104)</f>
        <v>-6.45477143099997</v>
      </c>
      <c r="E105" s="23" t="n">
        <f aca="false">'A5 control'!BH239</f>
        <v>-2.08194387575536</v>
      </c>
      <c r="F105" s="10" t="n">
        <v>0</v>
      </c>
    </row>
    <row r="106" customFormat="false" ht="15" hidden="false" customHeight="false" outlineLevel="0" collapsed="false">
      <c r="A106" s="10" t="n">
        <v>-19</v>
      </c>
      <c r="B106" s="8" t="n">
        <v>44810</v>
      </c>
      <c r="C106" s="15" t="n">
        <v>3.1131737773</v>
      </c>
      <c r="D106" s="22" t="n">
        <f aca="false">100*(C106-C105)</f>
        <v>15.839197818</v>
      </c>
      <c r="E106" s="23" t="n">
        <f aca="false">'A5 control'!BH240</f>
        <v>12.5085900844188</v>
      </c>
      <c r="F106" s="10" t="n">
        <v>0</v>
      </c>
    </row>
    <row r="107" customFormat="false" ht="15" hidden="false" customHeight="false" outlineLevel="0" collapsed="false">
      <c r="A107" s="10" t="n">
        <v>-18</v>
      </c>
      <c r="B107" s="8" t="n">
        <v>44811</v>
      </c>
      <c r="C107" s="15" t="n">
        <v>3.12655093822</v>
      </c>
      <c r="D107" s="22" t="n">
        <f aca="false">100*(C107-C106)</f>
        <v>1.33771609199997</v>
      </c>
      <c r="E107" s="23" t="n">
        <f aca="false">'A5 control'!BH241</f>
        <v>-1.27034990789753</v>
      </c>
      <c r="F107" s="10" t="n">
        <v>0</v>
      </c>
    </row>
    <row r="108" customFormat="false" ht="15" hidden="false" customHeight="false" outlineLevel="0" collapsed="false">
      <c r="A108" s="10" t="n">
        <v>-17</v>
      </c>
      <c r="B108" s="8" t="n">
        <v>44812</v>
      </c>
      <c r="C108" s="15" t="n">
        <v>3.26412955841</v>
      </c>
      <c r="D108" s="22" t="n">
        <f aca="false">100*(C108-C107)</f>
        <v>13.757862019</v>
      </c>
      <c r="E108" s="23" t="n">
        <f aca="false">'A5 control'!BH242</f>
        <v>13.169401909476</v>
      </c>
      <c r="F108" s="10" t="n">
        <v>0</v>
      </c>
    </row>
    <row r="109" customFormat="false" ht="15" hidden="false" customHeight="false" outlineLevel="0" collapsed="false">
      <c r="A109" s="10" t="n">
        <v>-16</v>
      </c>
      <c r="B109" s="8" t="n">
        <v>44813</v>
      </c>
      <c r="C109" s="15" t="n">
        <v>3.26173471674</v>
      </c>
      <c r="D109" s="22" t="n">
        <f aca="false">100*(C109-C108)</f>
        <v>-0.239484167000015</v>
      </c>
      <c r="E109" s="23" t="n">
        <f aca="false">'A5 control'!BH243</f>
        <v>-1.55872458856841</v>
      </c>
      <c r="F109" s="10" t="n">
        <v>0</v>
      </c>
    </row>
    <row r="110" customFormat="false" ht="15" hidden="false" customHeight="false" outlineLevel="0" collapsed="false">
      <c r="A110" s="10" t="n">
        <v>-15</v>
      </c>
      <c r="B110" s="8" t="n">
        <v>44816</v>
      </c>
      <c r="C110" s="15" t="n">
        <v>3.19119347513</v>
      </c>
      <c r="D110" s="22" t="n">
        <f aca="false">100*(C110-C109)</f>
        <v>-7.054124161</v>
      </c>
      <c r="E110" s="23" t="n">
        <f aca="false">'A5 control'!BH244</f>
        <v>-6.88206641698271</v>
      </c>
      <c r="F110" s="10" t="n">
        <v>0</v>
      </c>
    </row>
    <row r="111" customFormat="false" ht="15" hidden="false" customHeight="false" outlineLevel="0" collapsed="false">
      <c r="A111" s="10" t="n">
        <v>-14</v>
      </c>
      <c r="B111" s="8" t="n">
        <v>44817</v>
      </c>
      <c r="C111" s="15" t="n">
        <v>3.21550884205</v>
      </c>
      <c r="D111" s="22" t="n">
        <f aca="false">100*(C111-C110)</f>
        <v>2.43153669200002</v>
      </c>
      <c r="E111" s="23" t="n">
        <f aca="false">'A5 control'!BH245</f>
        <v>6.0150497706037</v>
      </c>
      <c r="F111" s="10" t="n">
        <v>0</v>
      </c>
    </row>
    <row r="112" customFormat="false" ht="15" hidden="false" customHeight="false" outlineLevel="0" collapsed="false">
      <c r="A112" s="10" t="n">
        <v>-13</v>
      </c>
      <c r="B112" s="8" t="n">
        <v>44818</v>
      </c>
      <c r="C112" s="15" t="n">
        <v>3.18316000299</v>
      </c>
      <c r="D112" s="22" t="n">
        <f aca="false">100*(C112-C111)</f>
        <v>-3.23488390600004</v>
      </c>
      <c r="E112" s="23" t="n">
        <f aca="false">'A5 control'!BH246</f>
        <v>-2.88492905590667</v>
      </c>
      <c r="F112" s="10" t="n">
        <v>0</v>
      </c>
    </row>
    <row r="113" customFormat="false" ht="15" hidden="false" customHeight="false" outlineLevel="0" collapsed="false">
      <c r="A113" s="10" t="n">
        <v>-12</v>
      </c>
      <c r="B113" s="8" t="n">
        <v>44819</v>
      </c>
      <c r="C113" s="15" t="n">
        <v>3.20483864944</v>
      </c>
      <c r="D113" s="22" t="n">
        <f aca="false">100*(C113-C112)</f>
        <v>2.16786464500003</v>
      </c>
      <c r="E113" s="23" t="n">
        <f aca="false">'A5 control'!BH247</f>
        <v>2.35544176744759</v>
      </c>
      <c r="F113" s="10" t="n">
        <v>0</v>
      </c>
    </row>
    <row r="114" customFormat="false" ht="15" hidden="false" customHeight="false" outlineLevel="0" collapsed="false">
      <c r="A114" s="10" t="n">
        <v>-11</v>
      </c>
      <c r="B114" s="8" t="n">
        <v>44820</v>
      </c>
      <c r="C114" s="15" t="n">
        <v>3.21008438253</v>
      </c>
      <c r="D114" s="22" t="n">
        <f aca="false">100*(C114-C113)</f>
        <v>0.524573308999976</v>
      </c>
      <c r="E114" s="23" t="n">
        <f aca="false">'A5 control'!BH248</f>
        <v>1.75109894446917</v>
      </c>
      <c r="F114" s="10" t="n">
        <v>0</v>
      </c>
    </row>
    <row r="115" customFormat="false" ht="15" hidden="false" customHeight="false" outlineLevel="0" collapsed="false">
      <c r="A115" s="10" t="n">
        <v>-10</v>
      </c>
      <c r="B115" s="8" t="n">
        <v>44824</v>
      </c>
      <c r="C115" s="15" t="n">
        <v>3.32254049084</v>
      </c>
      <c r="D115" s="22" t="n">
        <f aca="false">100*(C115-C114)</f>
        <v>11.245610831</v>
      </c>
      <c r="E115" s="23" t="n">
        <f aca="false">'A5 control'!BH249</f>
        <v>12.5716650113567</v>
      </c>
      <c r="F115" s="10" t="n">
        <v>0</v>
      </c>
      <c r="G115" s="22" t="n">
        <f aca="false">D115-$B$137*E115</f>
        <v>-0.820952958385854</v>
      </c>
      <c r="H115" s="22" t="n">
        <f aca="false">H116-G116</f>
        <v>3.75656598026</v>
      </c>
      <c r="I115" s="22" t="n">
        <f aca="false">D115-E115</f>
        <v>-1.32605418035674</v>
      </c>
      <c r="J115" s="22" t="n">
        <f aca="false">J116-I116</f>
        <v>7.22759121775708</v>
      </c>
      <c r="K115" s="22" t="n">
        <f aca="false">K116-D116</f>
        <v>-79.164135101</v>
      </c>
    </row>
    <row r="116" customFormat="false" ht="15" hidden="false" customHeight="false" outlineLevel="0" collapsed="false">
      <c r="A116" s="10" t="n">
        <v>-9</v>
      </c>
      <c r="B116" s="8" t="n">
        <v>44825</v>
      </c>
      <c r="C116" s="15" t="n">
        <v>3.31520213799</v>
      </c>
      <c r="D116" s="22" t="n">
        <f aca="false">100*(C116-C115)</f>
        <v>-0.733835284999973</v>
      </c>
      <c r="E116" s="23" t="n">
        <f aca="false">'A5 control'!BH250</f>
        <v>2.62561503723422</v>
      </c>
      <c r="F116" s="10" t="n">
        <v>0</v>
      </c>
      <c r="G116" s="22" t="n">
        <f aca="false">D116-$B$137*E116</f>
        <v>-3.25395901598843</v>
      </c>
      <c r="H116" s="22" t="n">
        <f aca="false">H117-G117</f>
        <v>0.502606964271564</v>
      </c>
      <c r="I116" s="22" t="n">
        <f aca="false">D116-E116</f>
        <v>-3.35945032223419</v>
      </c>
      <c r="J116" s="22" t="n">
        <f aca="false">J117-I117</f>
        <v>3.86814089552288</v>
      </c>
      <c r="K116" s="22" t="n">
        <f aca="false">K117-D117</f>
        <v>-79.897970386</v>
      </c>
    </row>
    <row r="117" customFormat="false" ht="15" hidden="false" customHeight="false" outlineLevel="0" collapsed="false">
      <c r="A117" s="10" t="n">
        <v>-8</v>
      </c>
      <c r="B117" s="8" t="n">
        <v>44826</v>
      </c>
      <c r="C117" s="15" t="n">
        <v>3.49761869995</v>
      </c>
      <c r="D117" s="22" t="n">
        <f aca="false">100*(C117-C116)</f>
        <v>18.241656196</v>
      </c>
      <c r="E117" s="23" t="n">
        <f aca="false">'A5 control'!BH251</f>
        <v>17.7514562500459</v>
      </c>
      <c r="F117" s="10" t="n">
        <v>0</v>
      </c>
      <c r="G117" s="22" t="n">
        <f aca="false">D117-$B$137*E117</f>
        <v>1.20341352868644</v>
      </c>
      <c r="H117" s="22" t="n">
        <f aca="false">H118-G118</f>
        <v>1.70602049295801</v>
      </c>
      <c r="I117" s="22" t="n">
        <f aca="false">D117-E117</f>
        <v>0.490199945954078</v>
      </c>
      <c r="J117" s="22" t="n">
        <f aca="false">J118-I118</f>
        <v>4.35834084147696</v>
      </c>
      <c r="K117" s="22" t="n">
        <f aca="false">K118-D118</f>
        <v>-61.65631419</v>
      </c>
    </row>
    <row r="118" customFormat="false" ht="15" hidden="false" customHeight="false" outlineLevel="0" collapsed="false">
      <c r="A118" s="10" t="n">
        <v>-7</v>
      </c>
      <c r="B118" s="8" t="n">
        <v>44827</v>
      </c>
      <c r="C118" s="15" t="n">
        <v>3.71627629086</v>
      </c>
      <c r="D118" s="22" t="n">
        <f aca="false">100*(C118-C117)</f>
        <v>21.865759091</v>
      </c>
      <c r="E118" s="23" t="n">
        <f aca="false">'A5 control'!BH252</f>
        <v>27.9730412239106</v>
      </c>
      <c r="F118" s="10" t="n">
        <v>0</v>
      </c>
      <c r="G118" s="22" t="n">
        <f aca="false">D118-$B$137*E118</f>
        <v>-4.98338825794055</v>
      </c>
      <c r="H118" s="22" t="n">
        <f aca="false">H119-G119</f>
        <v>-3.27736776498254</v>
      </c>
      <c r="I118" s="22" t="n">
        <f aca="false">D118-E118</f>
        <v>-6.1072821329106</v>
      </c>
      <c r="J118" s="22" t="n">
        <f aca="false">J119-I119</f>
        <v>-1.74894129143364</v>
      </c>
      <c r="K118" s="22" t="n">
        <f aca="false">K119-D119</f>
        <v>-39.790555099</v>
      </c>
    </row>
    <row r="119" customFormat="false" ht="15" hidden="false" customHeight="false" outlineLevel="0" collapsed="false">
      <c r="A119" s="10" t="n">
        <v>-6</v>
      </c>
      <c r="B119" s="8" t="n">
        <v>44830</v>
      </c>
      <c r="C119" s="15" t="n">
        <v>4.11418184185</v>
      </c>
      <c r="D119" s="22" t="n">
        <f aca="false">100*(C119-C118)</f>
        <v>39.790555099</v>
      </c>
      <c r="E119" s="23" t="n">
        <f aca="false">'A5 control'!BH253</f>
        <v>38.0416138075663</v>
      </c>
      <c r="F119" s="10" t="n">
        <v>0</v>
      </c>
      <c r="G119" s="22" t="n">
        <f aca="false">D119-$B$137*E119</f>
        <v>3.27736776498254</v>
      </c>
      <c r="H119" s="22" t="n">
        <v>0</v>
      </c>
      <c r="I119" s="22" t="n">
        <f aca="false">D119-E119</f>
        <v>1.74894129143364</v>
      </c>
      <c r="J119" s="22" t="n">
        <v>0</v>
      </c>
      <c r="K119" s="22" t="n">
        <v>0</v>
      </c>
    </row>
    <row r="120" customFormat="false" ht="15" hidden="false" customHeight="false" outlineLevel="0" collapsed="false">
      <c r="A120" s="10" t="n">
        <v>-5</v>
      </c>
      <c r="B120" s="8" t="n">
        <v>44831</v>
      </c>
      <c r="C120" s="15" t="n">
        <v>4.6232710178</v>
      </c>
      <c r="D120" s="22" t="n">
        <f aca="false">100*(C120-C119)</f>
        <v>50.908917595</v>
      </c>
      <c r="E120" s="23" t="n">
        <f aca="false">'A5 control'!BH254</f>
        <v>32.9188392080654</v>
      </c>
      <c r="F120" s="10" t="n">
        <v>0</v>
      </c>
      <c r="G120" s="22" t="n">
        <f aca="false">D120-$B$137*E120</f>
        <v>19.3126833000337</v>
      </c>
      <c r="H120" s="22" t="n">
        <f aca="false">H119+G120</f>
        <v>19.3126833000337</v>
      </c>
      <c r="I120" s="22" t="n">
        <f aca="false">D120-E120</f>
        <v>17.9900783869346</v>
      </c>
      <c r="J120" s="22" t="n">
        <f aca="false">J119+I120</f>
        <v>17.9900783869346</v>
      </c>
      <c r="K120" s="22" t="n">
        <f aca="false">K119+D120</f>
        <v>50.908917595</v>
      </c>
    </row>
    <row r="121" customFormat="false" ht="15" hidden="false" customHeight="false" outlineLevel="0" collapsed="false">
      <c r="A121" s="10" t="n">
        <v>-4</v>
      </c>
      <c r="B121" s="8" t="n">
        <v>44832</v>
      </c>
      <c r="C121" s="15" t="n">
        <v>3.50247225206</v>
      </c>
      <c r="D121" s="22" t="n">
        <f aca="false">100*(C121-C120)</f>
        <v>-112.079876574</v>
      </c>
      <c r="E121" s="23" t="n">
        <f aca="false">'A5 control'!BH255</f>
        <v>-66.7175831518367</v>
      </c>
      <c r="F121" s="10" t="n">
        <v>0</v>
      </c>
      <c r="G121" s="22" t="n">
        <f aca="false">D121-$B$137*E121</f>
        <v>-48.0428558414207</v>
      </c>
      <c r="H121" s="22" t="n">
        <f aca="false">H120+G121</f>
        <v>-28.730172541387</v>
      </c>
      <c r="I121" s="22" t="n">
        <f aca="false">D121-E121</f>
        <v>-45.3622934221632</v>
      </c>
      <c r="J121" s="22" t="n">
        <f aca="false">J120+I121</f>
        <v>-27.3722150352287</v>
      </c>
      <c r="K121" s="22" t="n">
        <f aca="false">K120+D121</f>
        <v>-61.170958979</v>
      </c>
    </row>
    <row r="122" customFormat="false" ht="15" hidden="false" customHeight="false" outlineLevel="0" collapsed="false">
      <c r="A122" s="10" t="n">
        <v>-3</v>
      </c>
      <c r="B122" s="8" t="n">
        <v>44833</v>
      </c>
      <c r="C122" s="15" t="n">
        <v>3.40804847832</v>
      </c>
      <c r="D122" s="22" t="n">
        <f aca="false">100*(C122-C121)</f>
        <v>-9.442377374</v>
      </c>
      <c r="E122" s="23" t="n">
        <f aca="false">'A5 control'!BH256</f>
        <v>4.33617455421108</v>
      </c>
      <c r="F122" s="10" t="n">
        <v>0</v>
      </c>
      <c r="G122" s="22" t="n">
        <f aca="false">D122-$B$137*E122</f>
        <v>-13.6043341882353</v>
      </c>
      <c r="H122" s="22" t="n">
        <f aca="false">H121+G122</f>
        <v>-42.3345067296223</v>
      </c>
      <c r="I122" s="22" t="n">
        <f aca="false">D122-E122</f>
        <v>-13.7785519282111</v>
      </c>
      <c r="J122" s="22" t="n">
        <f aca="false">J121+I122</f>
        <v>-41.1507669634397</v>
      </c>
      <c r="K122" s="22" t="n">
        <f aca="false">K121+D122</f>
        <v>-70.613336353</v>
      </c>
    </row>
    <row r="123" customFormat="false" ht="15" hidden="false" customHeight="false" outlineLevel="0" collapsed="false">
      <c r="A123" s="10" t="n">
        <v>-2</v>
      </c>
      <c r="B123" s="8" t="n">
        <v>44834</v>
      </c>
      <c r="C123" s="15" t="n">
        <v>3.22689316387</v>
      </c>
      <c r="D123" s="22" t="n">
        <f aca="false">100*(C123-C122)</f>
        <v>-18.115531445</v>
      </c>
      <c r="E123" s="23" t="n">
        <f aca="false">'A5 control'!BH257</f>
        <v>-7.51516386544266</v>
      </c>
      <c r="F123" s="10" t="n">
        <v>0</v>
      </c>
      <c r="G123" s="22" t="n">
        <f aca="false">D123-$B$137*E123</f>
        <v>-10.9023099593708</v>
      </c>
      <c r="H123" s="22" t="n">
        <f aca="false">H122+G123</f>
        <v>-53.2368166889931</v>
      </c>
      <c r="I123" s="22" t="n">
        <f aca="false">D123-E123</f>
        <v>-10.6003675795574</v>
      </c>
      <c r="J123" s="22" t="n">
        <f aca="false">J122+I123</f>
        <v>-51.7511345429971</v>
      </c>
      <c r="K123" s="22" t="n">
        <f aca="false">K122+D123</f>
        <v>-88.728867798</v>
      </c>
    </row>
    <row r="124" customFormat="false" ht="15" hidden="false" customHeight="false" outlineLevel="0" collapsed="false">
      <c r="A124" s="10" t="n">
        <v>-1</v>
      </c>
      <c r="B124" s="8" t="n">
        <v>44837</v>
      </c>
      <c r="C124" s="15" t="n">
        <v>3.34374227438</v>
      </c>
      <c r="D124" s="22" t="n">
        <f aca="false">100*(C124-C123)</f>
        <v>11.684911051</v>
      </c>
      <c r="E124" s="23" t="n">
        <f aca="false">'A5 control'!BH258</f>
        <v>-2.14460919123834</v>
      </c>
      <c r="F124" s="10" t="n">
        <v>0</v>
      </c>
      <c r="G124" s="22" t="n">
        <f aca="false">D124-$B$137*E124</f>
        <v>13.74335466893</v>
      </c>
      <c r="H124" s="22" t="n">
        <f aca="false">H123+G124</f>
        <v>-39.4934620200632</v>
      </c>
      <c r="I124" s="22" t="n">
        <f aca="false">D124-E124</f>
        <v>13.8295202422383</v>
      </c>
      <c r="J124" s="22" t="n">
        <f aca="false">J123+I124</f>
        <v>-37.9216143007588</v>
      </c>
      <c r="K124" s="22" t="n">
        <f aca="false">K123+D124</f>
        <v>-77.043956747</v>
      </c>
    </row>
    <row r="125" customFormat="false" ht="15" hidden="false" customHeight="false" outlineLevel="0" collapsed="false">
      <c r="A125" s="10" t="n">
        <v>0</v>
      </c>
      <c r="B125" s="8" t="n">
        <v>44838</v>
      </c>
      <c r="C125" s="15" t="n">
        <v>3.56100803334</v>
      </c>
      <c r="D125" s="22" t="n">
        <f aca="false">100*(C125-C124)</f>
        <v>21.726575896</v>
      </c>
      <c r="E125" s="23" t="n">
        <f aca="false">'A5 control'!BH259</f>
        <v>3.59777924444424</v>
      </c>
      <c r="F125" s="10" t="n">
        <v>0</v>
      </c>
      <c r="G125" s="22" t="n">
        <f aca="false">D125-$B$137*E125</f>
        <v>18.2733473289011</v>
      </c>
      <c r="H125" s="22" t="n">
        <f aca="false">H124+G125</f>
        <v>-21.2201146911621</v>
      </c>
      <c r="I125" s="22" t="n">
        <f aca="false">D125-E125</f>
        <v>18.1287966515558</v>
      </c>
      <c r="J125" s="22" t="n">
        <f aca="false">J124+I125</f>
        <v>-19.792817649203</v>
      </c>
      <c r="K125" s="22" t="n">
        <f aca="false">K124+D125</f>
        <v>-55.317380851</v>
      </c>
    </row>
    <row r="126" customFormat="false" ht="15" hidden="false" customHeight="false" outlineLevel="0" collapsed="false">
      <c r="A126" s="10" t="n">
        <v>1</v>
      </c>
      <c r="B126" s="8" t="n">
        <v>44839</v>
      </c>
      <c r="C126" s="15" t="n">
        <v>3.80482368734</v>
      </c>
      <c r="D126" s="22" t="n">
        <f aca="false">100*(C126-C125)</f>
        <v>24.3815654</v>
      </c>
      <c r="E126" s="23" t="n">
        <f aca="false">'A5 control'!BH260</f>
        <v>16.7076603697178</v>
      </c>
      <c r="F126" s="10" t="n">
        <v>0</v>
      </c>
      <c r="G126" s="22" t="n">
        <f aca="false">D126-$B$137*E126</f>
        <v>8.34518124241448</v>
      </c>
      <c r="H126" s="22" t="n">
        <f aca="false">H125+G126</f>
        <v>-12.8749334487476</v>
      </c>
      <c r="I126" s="22" t="n">
        <f aca="false">D126-E126</f>
        <v>7.67390503028224</v>
      </c>
      <c r="J126" s="22" t="n">
        <f aca="false">J125+I126</f>
        <v>-12.1189126189208</v>
      </c>
      <c r="K126" s="22" t="n">
        <f aca="false">K125+D126</f>
        <v>-30.935815451</v>
      </c>
    </row>
    <row r="127" customFormat="false" ht="15" hidden="false" customHeight="false" outlineLevel="0" collapsed="false">
      <c r="A127" s="10" t="n">
        <v>2</v>
      </c>
      <c r="B127" s="8" t="n">
        <v>44840</v>
      </c>
      <c r="C127" s="15" t="n">
        <v>3.96161403274</v>
      </c>
      <c r="D127" s="22" t="n">
        <f aca="false">100*(C127-C126)</f>
        <v>15.67903454</v>
      </c>
      <c r="E127" s="23" t="n">
        <f aca="false">'A5 control'!BH261</f>
        <v>14.8129304235634</v>
      </c>
      <c r="F127" s="10" t="n">
        <v>0</v>
      </c>
      <c r="G127" s="22" t="n">
        <f aca="false">D127-$B$137*E127</f>
        <v>1.46125434125991</v>
      </c>
      <c r="H127" s="22" t="n">
        <f aca="false">H126+G127</f>
        <v>-11.4136791074877</v>
      </c>
      <c r="I127" s="22" t="n">
        <f aca="false">D127-E127</f>
        <v>0.866104116436665</v>
      </c>
      <c r="J127" s="22" t="n">
        <f aca="false">J126+I127</f>
        <v>-11.2528085024841</v>
      </c>
      <c r="K127" s="22" t="n">
        <f aca="false">K126+D127</f>
        <v>-15.256780911</v>
      </c>
    </row>
    <row r="128" customFormat="false" ht="15" hidden="false" customHeight="false" outlineLevel="0" collapsed="false">
      <c r="A128" s="10" t="n">
        <v>3</v>
      </c>
      <c r="B128" s="8" t="n">
        <v>44841</v>
      </c>
      <c r="C128" s="15" t="n">
        <v>4.01346341332</v>
      </c>
      <c r="D128" s="22" t="n">
        <f aca="false">100*(C128-C127)</f>
        <v>5.18493805800002</v>
      </c>
      <c r="E128" s="23" t="n">
        <f aca="false">'A5 control'!BH262</f>
        <v>8.07722652051452</v>
      </c>
      <c r="F128" s="10" t="n">
        <v>0</v>
      </c>
      <c r="G128" s="22" t="n">
        <f aca="false">D128-$B$137*E128</f>
        <v>-2.56776366950085</v>
      </c>
      <c r="H128" s="22" t="n">
        <f aca="false">H127+G128</f>
        <v>-13.9814427769885</v>
      </c>
      <c r="I128" s="22" t="n">
        <f aca="false">D128-E128</f>
        <v>-2.8922884625145</v>
      </c>
      <c r="J128" s="22" t="n">
        <f aca="false">J127+I128</f>
        <v>-14.1450969649986</v>
      </c>
      <c r="K128" s="22" t="n">
        <f aca="false">K127+D128</f>
        <v>-10.071842853</v>
      </c>
    </row>
    <row r="129" customFormat="false" ht="15" hidden="false" customHeight="false" outlineLevel="0" collapsed="false">
      <c r="A129" s="10" t="n">
        <v>4</v>
      </c>
      <c r="B129" s="8" t="n">
        <v>44844</v>
      </c>
      <c r="C129" s="15" t="n">
        <v>4.33801818663</v>
      </c>
      <c r="D129" s="22" t="n">
        <f aca="false">100*(C129-C128)</f>
        <v>32.455477331</v>
      </c>
      <c r="E129" s="23" t="n">
        <f aca="false">'A5 control'!BH263</f>
        <v>29.6808377956827</v>
      </c>
      <c r="F129" s="10" t="n">
        <v>0</v>
      </c>
      <c r="G129" s="22" t="n">
        <f aca="false">D129-$B$137*E129</f>
        <v>3.9671488350939</v>
      </c>
      <c r="H129" s="22" t="n">
        <f aca="false">H128+G129</f>
        <v>-10.0142939418946</v>
      </c>
      <c r="I129" s="22" t="n">
        <f aca="false">D129-E129</f>
        <v>2.77463953531731</v>
      </c>
      <c r="J129" s="22" t="n">
        <f aca="false">J128+I129</f>
        <v>-11.3704574296813</v>
      </c>
      <c r="K129" s="22" t="n">
        <f aca="false">K128+D129</f>
        <v>22.383634478</v>
      </c>
    </row>
    <row r="130" customFormat="false" ht="15" hidden="false" customHeight="false" outlineLevel="0" collapsed="false">
      <c r="A130" s="10" t="n">
        <v>5</v>
      </c>
      <c r="B130" s="8" t="n">
        <v>44845</v>
      </c>
      <c r="C130" s="15" t="n">
        <v>4.38187832995</v>
      </c>
      <c r="D130" s="22" t="n">
        <f aca="false">100*(C130-C129)</f>
        <v>4.38601433199999</v>
      </c>
      <c r="E130" s="23" t="n">
        <f aca="false">'A5 control'!BH264</f>
        <v>-0.231496813899401</v>
      </c>
      <c r="F130" s="10" t="n">
        <v>0</v>
      </c>
      <c r="G130" s="22" t="n">
        <f aca="false">D130-$B$137*E130</f>
        <v>4.60821012463631</v>
      </c>
      <c r="H130" s="22" t="n">
        <f aca="false">H129+G130</f>
        <v>-5.4060838172583</v>
      </c>
      <c r="I130" s="22" t="n">
        <f aca="false">D130-E130</f>
        <v>4.61751114589939</v>
      </c>
      <c r="J130" s="22" t="n">
        <f aca="false">J129+I130</f>
        <v>-6.75294628378188</v>
      </c>
      <c r="K130" s="22" t="n">
        <f aca="false">K129+D130</f>
        <v>26.76964881</v>
      </c>
    </row>
    <row r="131" customFormat="false" ht="15" hidden="false" customHeight="false" outlineLevel="0" collapsed="false">
      <c r="A131" s="10" t="n">
        <v>6</v>
      </c>
      <c r="B131" s="8" t="n">
        <v>44846</v>
      </c>
      <c r="C131" s="15" t="n">
        <v>4.47025638007</v>
      </c>
      <c r="D131" s="22" t="n">
        <f aca="false">100*(C131-C130)</f>
        <v>8.83780501200002</v>
      </c>
      <c r="E131" s="23" t="n">
        <f aca="false">'A5 control'!BH265</f>
        <v>5.25627406456935</v>
      </c>
      <c r="F131" s="10" t="n">
        <v>0</v>
      </c>
      <c r="G131" s="22" t="n">
        <f aca="false">D131-$B$137*E131</f>
        <v>3.7927162160987</v>
      </c>
      <c r="H131" s="22" t="n">
        <f aca="false">H130+G131</f>
        <v>-1.6133676011596</v>
      </c>
      <c r="I131" s="22" t="n">
        <f aca="false">D131-E131</f>
        <v>3.58153094743067</v>
      </c>
      <c r="J131" s="22" t="n">
        <f aca="false">J130+I131</f>
        <v>-3.17141533635121</v>
      </c>
      <c r="K131" s="22" t="n">
        <f aca="false">K130+D131</f>
        <v>35.607453822</v>
      </c>
    </row>
    <row r="132" customFormat="false" ht="15" hidden="false" customHeight="false" outlineLevel="0" collapsed="false">
      <c r="A132" s="10" t="n">
        <v>7</v>
      </c>
      <c r="B132" s="8" t="n">
        <v>44847</v>
      </c>
      <c r="C132" s="15" t="n">
        <v>4.27196362046</v>
      </c>
      <c r="D132" s="22" t="n">
        <f aca="false">100*(C132-C131)</f>
        <v>-19.829275961</v>
      </c>
      <c r="E132" s="23" t="n">
        <f aca="false">'A5 control'!BH266</f>
        <v>-25.9147195168201</v>
      </c>
      <c r="F132" s="10" t="n">
        <v>0</v>
      </c>
      <c r="G132" s="22" t="n">
        <f aca="false">D132-$B$137*E132</f>
        <v>5.04424841713686</v>
      </c>
      <c r="H132" s="22" t="n">
        <f aca="false">H131+G132</f>
        <v>3.43088081597726</v>
      </c>
      <c r="I132" s="22" t="n">
        <f aca="false">D132-E132</f>
        <v>6.08544355582007</v>
      </c>
      <c r="J132" s="22" t="n">
        <f aca="false">J131+I132</f>
        <v>2.91402821946886</v>
      </c>
      <c r="K132" s="22" t="n">
        <f aca="false">K131+D132</f>
        <v>15.778177861</v>
      </c>
    </row>
    <row r="133" customFormat="false" ht="15" hidden="false" customHeight="false" outlineLevel="0" collapsed="false">
      <c r="A133" s="10" t="n">
        <v>8</v>
      </c>
      <c r="B133" s="8" t="n">
        <v>44848</v>
      </c>
      <c r="C133" s="15" t="n">
        <v>4.51266503586</v>
      </c>
      <c r="D133" s="22" t="n">
        <f aca="false">100*(C133-C132)</f>
        <v>24.0701415399999</v>
      </c>
      <c r="E133" s="23" t="n">
        <f aca="false">'A5 control'!BH267</f>
        <v>12.6132308891985</v>
      </c>
      <c r="F133" s="10" t="n">
        <v>0</v>
      </c>
      <c r="G133" s="22" t="n">
        <f aca="false">D133-$B$137*E133</f>
        <v>11.9636818962474</v>
      </c>
      <c r="H133" s="22" t="n">
        <f aca="false">H132+G133</f>
        <v>15.3945627122247</v>
      </c>
      <c r="I133" s="22" t="n">
        <f aca="false">D133-E133</f>
        <v>11.4569106508014</v>
      </c>
      <c r="J133" s="22" t="n">
        <f aca="false">J132+I133</f>
        <v>14.3709388702703</v>
      </c>
      <c r="K133" s="22" t="n">
        <f aca="false">K132+D133</f>
        <v>39.848319401</v>
      </c>
    </row>
    <row r="134" customFormat="false" ht="15" hidden="false" customHeight="false" outlineLevel="0" collapsed="false">
      <c r="A134" s="10" t="n">
        <v>9</v>
      </c>
      <c r="B134" s="8" t="n">
        <v>44851</v>
      </c>
      <c r="C134" s="15" t="n">
        <v>4.08164898616</v>
      </c>
      <c r="D134" s="22" t="n">
        <f aca="false">100*(C134-C133)</f>
        <v>-43.1016049699999</v>
      </c>
      <c r="E134" s="23" t="n">
        <f aca="false">'A5 control'!BH268</f>
        <v>-35.5627193755176</v>
      </c>
      <c r="F134" s="10" t="n">
        <v>0</v>
      </c>
      <c r="G134" s="22" t="n">
        <f aca="false">D134-$B$137*E134</f>
        <v>-8.9677156656745</v>
      </c>
      <c r="H134" s="22" t="n">
        <f aca="false">H133+G134</f>
        <v>6.42684704655015</v>
      </c>
      <c r="I134" s="22" t="n">
        <f aca="false">D134-E134</f>
        <v>-7.53888559448229</v>
      </c>
      <c r="J134" s="22" t="n">
        <f aca="false">J133+I134</f>
        <v>6.83205327578798</v>
      </c>
      <c r="K134" s="22" t="n">
        <f aca="false">K133+D134</f>
        <v>-3.25328556899996</v>
      </c>
    </row>
    <row r="135" customFormat="false" ht="15" hidden="false" customHeight="false" outlineLevel="0" collapsed="false">
      <c r="A135" s="10" t="n">
        <v>10</v>
      </c>
      <c r="B135" s="8" t="n">
        <v>44852</v>
      </c>
      <c r="C135" s="15" t="n">
        <v>3.93315208394</v>
      </c>
      <c r="D135" s="22" t="n">
        <f aca="false">100*(C135-C134)</f>
        <v>-14.849690222</v>
      </c>
      <c r="E135" s="23" t="n">
        <f aca="false">'A5 control'!BH269</f>
        <v>-9.53876920643309</v>
      </c>
      <c r="F135" s="10" t="n">
        <v>0</v>
      </c>
      <c r="G135" s="22" t="n">
        <f aca="false">D135-$B$137*E135</f>
        <v>-5.69416730616687</v>
      </c>
      <c r="H135" s="22" t="n">
        <f aca="false">H134+G135</f>
        <v>0.732679740383279</v>
      </c>
      <c r="I135" s="22" t="n">
        <f aca="false">D135-E135</f>
        <v>-5.31092101556693</v>
      </c>
      <c r="J135" s="22" t="n">
        <f aca="false">J134+I135</f>
        <v>1.52113226022105</v>
      </c>
      <c r="K135" s="22" t="n">
        <f aca="false">K134+D135</f>
        <v>-18.102975791</v>
      </c>
    </row>
    <row r="137" customFormat="false" ht="15" hidden="false" customHeight="false" outlineLevel="0" collapsed="false">
      <c r="A137" s="7" t="s">
        <v>167</v>
      </c>
      <c r="B137" s="24" t="n">
        <f aca="false">SLOPE(D5:D104,E5:E104)</f>
        <v>0.959822249358809</v>
      </c>
    </row>
    <row r="138" customFormat="false" ht="15" hidden="false" customHeight="false" outlineLevel="0" collapsed="false">
      <c r="A138" s="7" t="s">
        <v>168</v>
      </c>
      <c r="B138" s="22" t="n">
        <f aca="false">INTERCEPT(D5:D104,E5:E104)</f>
        <v>0.0319186965998115</v>
      </c>
    </row>
    <row r="139" customFormat="false" ht="15" hidden="false" customHeight="false" outlineLevel="0" collapsed="false">
      <c r="A139" s="7" t="s">
        <v>169</v>
      </c>
      <c r="B139" s="18" t="n">
        <f aca="false">RSQ(D5:D104,E5:E104)</f>
        <v>0.905541931544163</v>
      </c>
    </row>
    <row r="140" customFormat="false" ht="15" hidden="false" customHeight="false" outlineLevel="0" collapsed="false">
      <c r="A140" s="7" t="s">
        <v>170</v>
      </c>
      <c r="B140" s="19" t="n">
        <f aca="false">COUNT(D5:D104)</f>
        <v>100</v>
      </c>
    </row>
    <row r="141" customFormat="false" ht="15" hidden="false" customHeight="false" outlineLevel="0" collapsed="false">
      <c r="A141" s="7" t="s">
        <v>171</v>
      </c>
      <c r="B141" s="25" t="n">
        <v>0.959822249358809</v>
      </c>
    </row>
    <row r="143" customFormat="false" ht="26.85" hidden="false" customHeight="false" outlineLevel="0" collapsed="false">
      <c r="A143" s="3" t="s">
        <v>172</v>
      </c>
      <c r="B143" s="3" t="s">
        <v>173</v>
      </c>
      <c r="C143" s="3" t="s">
        <v>174</v>
      </c>
      <c r="D143" s="3" t="s">
        <v>175</v>
      </c>
      <c r="E143" s="3" t="s">
        <v>176</v>
      </c>
    </row>
    <row r="144" customFormat="false" ht="15" hidden="false" customHeight="false" outlineLevel="0" collapsed="false">
      <c r="A144" s="7" t="s">
        <v>177</v>
      </c>
      <c r="B144" s="17" t="n">
        <f aca="false">H124-H119</f>
        <v>-39.4934620200632</v>
      </c>
      <c r="C144" s="18" t="n">
        <f aca="false">J124-J119</f>
        <v>-37.9216143007588</v>
      </c>
      <c r="D144" s="18" t="n">
        <f aca="false">K124-K119</f>
        <v>-77.043956747</v>
      </c>
      <c r="E144" s="9" t="n">
        <v>-39.4934620200631</v>
      </c>
    </row>
    <row r="145" customFormat="false" ht="15" hidden="false" customHeight="false" outlineLevel="0" collapsed="false">
      <c r="A145" s="7" t="s">
        <v>178</v>
      </c>
      <c r="B145" s="17" t="n">
        <f aca="false">H125-H124</f>
        <v>18.2733473289011</v>
      </c>
      <c r="C145" s="18" t="n">
        <f aca="false">J125-J124</f>
        <v>18.1287966515558</v>
      </c>
      <c r="D145" s="18" t="n">
        <f aca="false">K125-K124</f>
        <v>21.726575896</v>
      </c>
      <c r="E145" s="9" t="n">
        <v>18.2733473289011</v>
      </c>
    </row>
    <row r="146" customFormat="false" ht="15" hidden="false" customHeight="false" outlineLevel="0" collapsed="false">
      <c r="A146" s="7" t="s">
        <v>179</v>
      </c>
      <c r="B146" s="17" t="n">
        <f aca="false">H130-H125</f>
        <v>15.8140308739038</v>
      </c>
      <c r="C146" s="18" t="n">
        <f aca="false">J130-J125</f>
        <v>13.0398713654211</v>
      </c>
      <c r="D146" s="18" t="n">
        <f aca="false">K130-K125</f>
        <v>82.087029661</v>
      </c>
      <c r="E146" s="9" t="n">
        <v>15.8140308739037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2026-10-20T17:37:29Z</dcterms:created>
  <dc:creator>openpyxl</dc:creator>
  <dc:description/>
  <dc:language>en-US</dc:language>
  <cp:lastModifiedBy/>
  <dcterms:modified xsi:type="dcterms:W3CDTF">2026-10-20T17:37:31Z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